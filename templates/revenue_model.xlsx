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dde83923e440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enue model" sheetId="1" r:id="Rc8b33c398edd455c"/>
    <x:sheet xmlns:r="http://schemas.openxmlformats.org/officeDocument/2006/relationships" name="Assumptions" sheetId="2" r:id="R14c0b89aed3e4c54"/>
    <x:sheet xmlns:r="http://schemas.openxmlformats.org/officeDocument/2006/relationships" name="Short-Term build" sheetId="3" r:id="Re13b5faaff284451"/>
    <x:sheet xmlns:r="http://schemas.openxmlformats.org/officeDocument/2006/relationships" name="Installment build" sheetId="4" r:id="R95f66e41e3784e74"/>
    <x:sheet xmlns:r="http://schemas.openxmlformats.org/officeDocument/2006/relationships" name="CF Short-Term" sheetId="5" r:id="R2da9fe097e5344f4"/>
    <x:sheet xmlns:r="http://schemas.openxmlformats.org/officeDocument/2006/relationships" name="CF Installment" sheetId="6" r:id="R920f1d3bd49f4169"/>
    <x:sheet xmlns:r="http://schemas.openxmlformats.org/officeDocument/2006/relationships" name="MK Short-Term" sheetId="7" r:id="Rab61ca0dacba4514"/>
    <x:sheet xmlns:r="http://schemas.openxmlformats.org/officeDocument/2006/relationships" name="MK Installment" sheetId="8" r:id="R1d0c52b9537448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;(#,##0);&quot;-&quot;"/>
    <x:numFmt numFmtId="201" formatCode="0.00"/>
    <x:numFmt numFmtId="202" formatCode="0.0%;(0.0%);&quot;-&quot;"/>
    <x:numFmt numFmtId="203" formatCode="$#,##0;($#,##0);&quot;-&quot;"/>
    <x:numFmt numFmtId="204" formatCode="0"/>
    <x:numFmt numFmtId="205" formatCode="0.00x"/>
    <x:numFmt numFmtId="206" formatCode="&quot;Month &quot;0"/>
    <x:numFmt numFmtId="207" formatCode="0.00%"/>
    <x:numFmt numFmtId="208" formatCode="0.0000%"/>
    <x:numFmt numFmtId="209" formatCode="#,##0.00;(#,##0.00);&quot;-&quot;"/>
    <x:numFmt numFmtId="210" formatCode="$#,##0"/>
    <x:numFmt numFmtId="211" formatCode="#,##0,;(#,##0,);&quot;-&quot;"/>
  </x:numFmts>
  <x:fonts count="7">
    <x:font>
      <x:sz val="11"/>
      <x:name val="Carlito"/>
    </x:font>
    <x:font>
      <x:sz val="10"/>
      <x:color rgb="FF000000"/>
      <x:name val="Arial"/>
    </x:font>
    <x:font>
      <x:b/>
      <x:sz val="14"/>
      <x:color rgb="FF17365D"/>
      <x:name val="Arial"/>
    </x:font>
    <x:font>
      <x:sz val="10"/>
      <x:color rgb="FF00800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8F0FA"/>
      </x:patternFill>
    </x:fill>
    <x:fill>
      <x:patternFill patternType="solid">
        <x:fgColor rgb="FFDCE6F1"/>
      </x:patternFill>
    </x:fill>
    <x:fill>
      <x:patternFill patternType="solid">
        <x:fgColor rgb="FFF0F4F9"/>
      </x:patternFill>
    </x:fill>
  </x:fills>
  <x:borders count="2">
    <x:border/>
    <x:border>
      <x:top style="thin">
        <x:color rgb="FFB7C9DD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2" borderId="0" xfId="0" applyNumberFormat="1" applyFont="1" applyFill="1" applyBorder="1" applyAlignment="1">
      <x:alignment vertical="center"/>
    </x:xf>
    <x:xf numFmtId="206" fontId="4" fillId="2" borderId="0" xfId="0" applyNumberFormat="1" applyFont="1" applyFill="1" applyBorder="1" applyAlignment="1">
      <x:alignment vertical="center"/>
    </x:xf>
    <x:xf numFmtId="207" fontId="3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211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211" fontId="6" fillId="6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211" fontId="6" fillId="6" borderId="1" xfId="0" applyNumberFormat="1" applyFont="1" applyFill="1" applyBorder="1" applyAlignment="1">
      <x:alignment vertical="center"/>
    </x:xf>
    <x:xf numFmtId="211" fontId="1" fillId="5" borderId="0" xfId="0" applyNumberFormat="1" applyFont="1" applyFill="1" applyBorder="1" applyAlignment="1">
      <x:alignment vertical="center"/>
    </x:xf>
    <x:xf numFmtId="211" fontId="6" fillId="5" borderId="0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211" fontId="6" fillId="5" borderId="1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5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42749b43464dcd" /><Relationship Type="http://schemas.openxmlformats.org/officeDocument/2006/relationships/theme" Target="/xl/theme/theme1.xml" Id="Re8babf76ab934051" /><Relationship Type="http://schemas.openxmlformats.org/officeDocument/2006/relationships/sharedStrings" Target="/xl/sharedStrings.xml" Id="Rd50d3414f8834020" /><Relationship Type="http://schemas.openxmlformats.org/officeDocument/2006/relationships/worksheet" Target="/xl/worksheets/sheet1.xml" Id="Rc8b33c398edd455c" /><Relationship Type="http://schemas.openxmlformats.org/officeDocument/2006/relationships/worksheet" Target="/xl/worksheets/sheet2.xml" Id="R14c0b89aed3e4c54" /><Relationship Type="http://schemas.openxmlformats.org/officeDocument/2006/relationships/worksheet" Target="/xl/worksheets/sheet3.xml" Id="Re13b5faaff284451" /><Relationship Type="http://schemas.openxmlformats.org/officeDocument/2006/relationships/worksheet" Target="/xl/worksheets/sheet4.xml" Id="R95f66e41e3784e74" /><Relationship Type="http://schemas.openxmlformats.org/officeDocument/2006/relationships/worksheet" Target="/xl/worksheets/sheet5.xml" Id="R2da9fe097e5344f4" /><Relationship Type="http://schemas.openxmlformats.org/officeDocument/2006/relationships/worksheet" Target="/xl/worksheets/sheet6.xml" Id="R920f1d3bd49f4169" /><Relationship Type="http://schemas.openxmlformats.org/officeDocument/2006/relationships/worksheet" Target="/xl/worksheets/sheet7.xml" Id="Rab61ca0dacba4514" /><Relationship Type="http://schemas.openxmlformats.org/officeDocument/2006/relationships/worksheet" Target="/xl/worksheets/sheet8.xml" Id="R1d0c52b9537448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LendSight CLAB revenue model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Main-sheet totals calculate locally; cohort details link to product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1008000</x:v>
      </x:c>
      <x:c r="F8" s="2"/>
      <x:c r="G8" s="37" t="n">
        <x:f>IF('Assumptions'!$E$9=2,'Short-Term build'!G8,IF('Assumptions'!$E$9=3,'Installment build'!G8,'Short-Term build'!G8+'Installment build'!G8))</x:f>
        <x:v>42000</x:v>
      </x:c>
      <x:c r="H8" s="37" t="n">
        <x:f>IF('Assumptions'!$E$9=2,'Short-Term build'!H8,IF('Assumptions'!$E$9=3,'Installment build'!H8,'Short-Term build'!H8+'Installment build'!H8))</x:f>
        <x:v>42000</x:v>
      </x:c>
      <x:c r="I8" s="37" t="n">
        <x:f>IF('Assumptions'!$E$9=2,'Short-Term build'!I8,IF('Assumptions'!$E$9=3,'Installment build'!I8,'Short-Term build'!I8+'Installment build'!I8))</x:f>
        <x:v>42000</x:v>
      </x:c>
      <x:c r="J8" s="37" t="n">
        <x:f>IF('Assumptions'!$E$9=2,'Short-Term build'!J8,IF('Assumptions'!$E$9=3,'Installment build'!J8,'Short-Term build'!J8+'Installment build'!J8))</x:f>
        <x:v>42000</x:v>
      </x:c>
      <x:c r="K8" s="37" t="n">
        <x:f>IF('Assumptions'!$E$9=2,'Short-Term build'!K8,IF('Assumptions'!$E$9=3,'Installment build'!K8,'Short-Term build'!K8+'Installment build'!K8))</x:f>
        <x:v>42000</x:v>
      </x:c>
      <x:c r="L8" s="37" t="n">
        <x:f>IF('Assumptions'!$E$9=2,'Short-Term build'!L8,IF('Assumptions'!$E$9=3,'Installment build'!L8,'Short-Term build'!L8+'Installment build'!L8))</x:f>
        <x:v>42000</x:v>
      </x:c>
      <x:c r="M8" s="37" t="n">
        <x:f>IF('Assumptions'!$E$9=2,'Short-Term build'!M8,IF('Assumptions'!$E$9=3,'Installment build'!M8,'Short-Term build'!M8+'Installment build'!M8))</x:f>
        <x:v>42000</x:v>
      </x:c>
      <x:c r="N8" s="37" t="n">
        <x:f>IF('Assumptions'!$E$9=2,'Short-Term build'!N8,IF('Assumptions'!$E$9=3,'Installment build'!N8,'Short-Term build'!N8+'Installment build'!N8))</x:f>
        <x:v>42000</x:v>
      </x:c>
      <x:c r="O8" s="37" t="n">
        <x:f>IF('Assumptions'!$E$9=2,'Short-Term build'!O8,IF('Assumptions'!$E$9=3,'Installment build'!O8,'Short-Term build'!O8+'Installment build'!O8))</x:f>
        <x:v>42000</x:v>
      </x:c>
      <x:c r="P8" s="37" t="n">
        <x:f>IF('Assumptions'!$E$9=2,'Short-Term build'!P8,IF('Assumptions'!$E$9=3,'Installment build'!P8,'Short-Term build'!P8+'Installment build'!P8))</x:f>
        <x:v>42000</x:v>
      </x:c>
      <x:c r="Q8" s="37" t="n">
        <x:f>IF('Assumptions'!$E$9=2,'Short-Term build'!Q8,IF('Assumptions'!$E$9=3,'Installment build'!Q8,'Short-Term build'!Q8+'Installment build'!Q8))</x:f>
        <x:v>42000</x:v>
      </x:c>
      <x:c r="R8" s="37" t="n">
        <x:f>IF('Assumptions'!$E$9=2,'Short-Term build'!R8,IF('Assumptions'!$E$9=3,'Installment build'!R8,'Short-Term build'!R8+'Installment build'!R8))</x:f>
        <x:v>42000</x:v>
      </x:c>
      <x:c r="S8" s="37" t="n">
        <x:f>IF('Assumptions'!$E$9=2,'Short-Term build'!S8,IF('Assumptions'!$E$9=3,'Installment build'!S8,'Short-Term build'!S8+'Installment build'!S8))</x:f>
        <x:v>42000</x:v>
      </x:c>
      <x:c r="T8" s="37" t="n">
        <x:f>IF('Assumptions'!$E$9=2,'Short-Term build'!T8,IF('Assumptions'!$E$9=3,'Installment build'!T8,'Short-Term build'!T8+'Installment build'!T8))</x:f>
        <x:v>42000</x:v>
      </x:c>
      <x:c r="U8" s="37" t="n">
        <x:f>IF('Assumptions'!$E$9=2,'Short-Term build'!U8,IF('Assumptions'!$E$9=3,'Installment build'!U8,'Short-Term build'!U8+'Installment build'!U8))</x:f>
        <x:v>42000</x:v>
      </x:c>
      <x:c r="V8" s="37" t="n">
        <x:f>IF('Assumptions'!$E$9=2,'Short-Term build'!V8,IF('Assumptions'!$E$9=3,'Installment build'!V8,'Short-Term build'!V8+'Installment build'!V8))</x:f>
        <x:v>42000</x:v>
      </x:c>
      <x:c r="W8" s="37" t="n">
        <x:f>IF('Assumptions'!$E$9=2,'Short-Term build'!W8,IF('Assumptions'!$E$9=3,'Installment build'!W8,'Short-Term build'!W8+'Installment build'!W8))</x:f>
        <x:v>42000</x:v>
      </x:c>
      <x:c r="X8" s="37" t="n">
        <x:f>IF('Assumptions'!$E$9=2,'Short-Term build'!X8,IF('Assumptions'!$E$9=3,'Installment build'!X8,'Short-Term build'!X8+'Installment build'!X8))</x:f>
        <x:v>42000</x:v>
      </x:c>
      <x:c r="Y8" s="37" t="n">
        <x:f>IF('Assumptions'!$E$9=2,'Short-Term build'!Y8,IF('Assumptions'!$E$9=3,'Installment build'!Y8,'Short-Term build'!Y8+'Installment build'!Y8))</x:f>
        <x:v>42000</x:v>
      </x:c>
      <x:c r="Z8" s="37" t="n">
        <x:f>IF('Assumptions'!$E$9=2,'Short-Term build'!Z8,IF('Assumptions'!$E$9=3,'Installment build'!Z8,'Short-Term build'!Z8+'Installment build'!Z8))</x:f>
        <x:v>42000</x:v>
      </x:c>
      <x:c r="AA8" s="37" t="n">
        <x:f>IF('Assumptions'!$E$9=2,'Short-Term build'!AA8,IF('Assumptions'!$E$9=3,'Installment build'!AA8,'Short-Term build'!AA8+'Installment build'!AA8))</x:f>
        <x:v>42000</x:v>
      </x:c>
      <x:c r="AB8" s="37" t="n">
        <x:f>IF('Assumptions'!$E$9=2,'Short-Term build'!AB8,IF('Assumptions'!$E$9=3,'Installment build'!AB8,'Short-Term build'!AB8+'Installment build'!AB8))</x:f>
        <x:v>42000</x:v>
      </x:c>
      <x:c r="AC8" s="37" t="n">
        <x:f>IF('Assumptions'!$E$9=2,'Short-Term build'!AC8,IF('Assumptions'!$E$9=3,'Installment build'!AC8,'Short-Term build'!AC8+'Installment build'!AC8))</x:f>
        <x:v>42000</x:v>
      </x:c>
      <x:c r="AD8" s="37" t="n">
        <x:f>IF('Assumptions'!$E$9=2,'Short-Term build'!AD8,IF('Assumptions'!$E$9=3,'Installment build'!AD8,'Short-Term build'!AD8+'Installment build'!AD8))</x:f>
        <x:v>42000</x:v>
      </x:c>
      <x:c r="AE8" s="37" t="n">
        <x:f>IF('Assumptions'!$E$9=2,'Short-Term build'!AE8,IF('Assumptions'!$E$9=3,'Installment build'!AE8,'Short-Term build'!AE8+'Installment build'!AE8))</x:f>
        <x:v>42000</x:v>
      </x:c>
      <x:c r="AF8" s="37" t="n">
        <x:f>IF('Assumptions'!$E$9=2,'Short-Term build'!AF8,IF('Assumptions'!$E$9=3,'Installment build'!AF8,'Short-Term build'!AF8+'Installment build'!AF8))</x:f>
        <x:v>42000</x:v>
      </x:c>
      <x:c r="AG8" s="37" t="n">
        <x:f>IF('Assumptions'!$E$9=2,'Short-Term build'!AG8,IF('Assumptions'!$E$9=3,'Installment build'!AG8,'Short-Term build'!AG8+'Installment build'!AG8))</x:f>
        <x:v>42000</x:v>
      </x:c>
      <x:c r="AH8" s="37" t="n">
        <x:f>IF('Assumptions'!$E$9=2,'Short-Term build'!AH8,IF('Assumptions'!$E$9=3,'Installment build'!AH8,'Short-Term build'!AH8+'Installment build'!AH8))</x:f>
        <x:v>42000</x:v>
      </x:c>
      <x:c r="AI8" s="37" t="n">
        <x:f>IF('Assumptions'!$E$9=2,'Short-Term build'!AI8,IF('Assumptions'!$E$9=3,'Installment build'!AI8,'Short-Term build'!AI8+'Installment build'!AI8))</x:f>
        <x:v>42000</x:v>
      </x:c>
      <x:c r="AJ8" s="37" t="n">
        <x:f>IF('Assumptions'!$E$9=2,'Short-Term build'!AJ8,IF('Assumptions'!$E$9=3,'Installment build'!AJ8,'Short-Term build'!AJ8+'Installment build'!AJ8))</x:f>
        <x:v>42000</x:v>
      </x:c>
      <x:c r="AK8" s="37" t="n">
        <x:f>IF('Assumptions'!$E$9=2,'Short-Term build'!AK8,IF('Assumptions'!$E$9=3,'Installment build'!AK8,'Short-Term build'!AK8+'Installment build'!AK8))</x:f>
        <x:v>42000</x:v>
      </x:c>
      <x:c r="AL8" s="37" t="n">
        <x:f>IF('Assumptions'!$E$9=2,'Short-Term build'!AL8,IF('Assumptions'!$E$9=3,'Installment build'!AL8,'Short-Term build'!AL8+'Installment build'!AL8))</x:f>
        <x:v>42000</x:v>
      </x:c>
      <x:c r="AM8" s="37" t="n">
        <x:f>IF('Assumptions'!$E$9=2,'Short-Term build'!AM8,IF('Assumptions'!$E$9=3,'Installment build'!AM8,'Short-Term build'!AM8+'Installment build'!AM8))</x:f>
        <x:v>42000</x:v>
      </x:c>
      <x:c r="AN8" s="37" t="n">
        <x:f>IF('Assumptions'!$E$9=2,'Short-Term build'!AN8,IF('Assumptions'!$E$9=3,'Installment build'!AN8,'Short-Term build'!AN8+'Installment build'!AN8))</x:f>
        <x:v>42000</x:v>
      </x:c>
      <x:c r="AO8" s="37" t="n">
        <x:f>IF('Assumptions'!$E$9=2,'Short-Term build'!AO8,IF('Assumptions'!$E$9=3,'Installment build'!AO8,'Short-Term build'!AO8+'Installment build'!AO8))</x:f>
        <x:v>42000</x:v>
      </x:c>
      <x:c r="AP8" s="37" t="n">
        <x:f>IF('Assumptions'!$E$9=2,'Short-Term build'!AP8,IF('Assumptions'!$E$9=3,'Installment build'!AP8,'Short-Term build'!AP8+'Installment build'!AP8))</x:f>
        <x:v>42000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IF(G8=0,0,IF('Assumptions'!$E$9=2,'Short-Term build'!G9,IF('Assumptions'!$E$9=3,'Installment build'!G9,('Short-Term build'!G8*'Short-Term build'!G9+'Installment build'!G8*'Installment build'!G9)/G8)))</x:f>
        <x:v>0.34285714285714286</x:v>
      </x:c>
      <x:c r="H9" s="12" t="n">
        <x:f>IF(H8=0,0,IF('Assumptions'!$E$9=2,'Short-Term build'!H9,IF('Assumptions'!$E$9=3,'Installment build'!H9,('Short-Term build'!H8*'Short-Term build'!H9+'Installment build'!H8*'Installment build'!H9)/H8)))</x:f>
        <x:v>0.34285714285714286</x:v>
      </x:c>
      <x:c r="I9" s="12" t="n">
        <x:f>IF(I8=0,0,IF('Assumptions'!$E$9=2,'Short-Term build'!I9,IF('Assumptions'!$E$9=3,'Installment build'!I9,('Short-Term build'!I8*'Short-Term build'!I9+'Installment build'!I8*'Installment build'!I9)/I8)))</x:f>
        <x:v>0.34285714285714286</x:v>
      </x:c>
      <x:c r="J9" s="12" t="n">
        <x:f>IF(J8=0,0,IF('Assumptions'!$E$9=2,'Short-Term build'!J9,IF('Assumptions'!$E$9=3,'Installment build'!J9,('Short-Term build'!J8*'Short-Term build'!J9+'Installment build'!J8*'Installment build'!J9)/J8)))</x:f>
        <x:v>0.34285714285714286</x:v>
      </x:c>
      <x:c r="K9" s="12" t="n">
        <x:f>IF(K8=0,0,IF('Assumptions'!$E$9=2,'Short-Term build'!K9,IF('Assumptions'!$E$9=3,'Installment build'!K9,('Short-Term build'!K8*'Short-Term build'!K9+'Installment build'!K8*'Installment build'!K9)/K8)))</x:f>
        <x:v>0.34285714285714286</x:v>
      </x:c>
      <x:c r="L9" s="12" t="n">
        <x:f>IF(L8=0,0,IF('Assumptions'!$E$9=2,'Short-Term build'!L9,IF('Assumptions'!$E$9=3,'Installment build'!L9,('Short-Term build'!L8*'Short-Term build'!L9+'Installment build'!L8*'Installment build'!L9)/L8)))</x:f>
        <x:v>0.34285714285714286</x:v>
      </x:c>
      <x:c r="M9" s="12" t="n">
        <x:f>IF(M8=0,0,IF('Assumptions'!$E$9=2,'Short-Term build'!M9,IF('Assumptions'!$E$9=3,'Installment build'!M9,('Short-Term build'!M8*'Short-Term build'!M9+'Installment build'!M8*'Installment build'!M9)/M8)))</x:f>
        <x:v>0.34285714285714286</x:v>
      </x:c>
      <x:c r="N9" s="12" t="n">
        <x:f>IF(N8=0,0,IF('Assumptions'!$E$9=2,'Short-Term build'!N9,IF('Assumptions'!$E$9=3,'Installment build'!N9,('Short-Term build'!N8*'Short-Term build'!N9+'Installment build'!N8*'Installment build'!N9)/N8)))</x:f>
        <x:v>0.34285714285714286</x:v>
      </x:c>
      <x:c r="O9" s="12" t="n">
        <x:f>IF(O8=0,0,IF('Assumptions'!$E$9=2,'Short-Term build'!O9,IF('Assumptions'!$E$9=3,'Installment build'!O9,('Short-Term build'!O8*'Short-Term build'!O9+'Installment build'!O8*'Installment build'!O9)/O8)))</x:f>
        <x:v>0.34285714285714286</x:v>
      </x:c>
      <x:c r="P9" s="12" t="n">
        <x:f>IF(P8=0,0,IF('Assumptions'!$E$9=2,'Short-Term build'!P9,IF('Assumptions'!$E$9=3,'Installment build'!P9,('Short-Term build'!P8*'Short-Term build'!P9+'Installment build'!P8*'Installment build'!P9)/P8)))</x:f>
        <x:v>0.34285714285714286</x:v>
      </x:c>
      <x:c r="Q9" s="12" t="n">
        <x:f>IF(Q8=0,0,IF('Assumptions'!$E$9=2,'Short-Term build'!Q9,IF('Assumptions'!$E$9=3,'Installment build'!Q9,('Short-Term build'!Q8*'Short-Term build'!Q9+'Installment build'!Q8*'Installment build'!Q9)/Q8)))</x:f>
        <x:v>0.34285714285714286</x:v>
      </x:c>
      <x:c r="R9" s="12" t="n">
        <x:f>IF(R8=0,0,IF('Assumptions'!$E$9=2,'Short-Term build'!R9,IF('Assumptions'!$E$9=3,'Installment build'!R9,('Short-Term build'!R8*'Short-Term build'!R9+'Installment build'!R8*'Installment build'!R9)/R8)))</x:f>
        <x:v>0.34285714285714286</x:v>
      </x:c>
      <x:c r="S9" s="12" t="n">
        <x:f>IF(S8=0,0,IF('Assumptions'!$E$9=2,'Short-Term build'!S9,IF('Assumptions'!$E$9=3,'Installment build'!S9,('Short-Term build'!S8*'Short-Term build'!S9+'Installment build'!S8*'Installment build'!S9)/S8)))</x:f>
        <x:v>0.34285714285714286</x:v>
      </x:c>
      <x:c r="T9" s="12" t="n">
        <x:f>IF(T8=0,0,IF('Assumptions'!$E$9=2,'Short-Term build'!T9,IF('Assumptions'!$E$9=3,'Installment build'!T9,('Short-Term build'!T8*'Short-Term build'!T9+'Installment build'!T8*'Installment build'!T9)/T8)))</x:f>
        <x:v>0.34285714285714286</x:v>
      </x:c>
      <x:c r="U9" s="12" t="n">
        <x:f>IF(U8=0,0,IF('Assumptions'!$E$9=2,'Short-Term build'!U9,IF('Assumptions'!$E$9=3,'Installment build'!U9,('Short-Term build'!U8*'Short-Term build'!U9+'Installment build'!U8*'Installment build'!U9)/U8)))</x:f>
        <x:v>0.34285714285714286</x:v>
      </x:c>
      <x:c r="V9" s="12" t="n">
        <x:f>IF(V8=0,0,IF('Assumptions'!$E$9=2,'Short-Term build'!V9,IF('Assumptions'!$E$9=3,'Installment build'!V9,('Short-Term build'!V8*'Short-Term build'!V9+'Installment build'!V8*'Installment build'!V9)/V8)))</x:f>
        <x:v>0.34285714285714286</x:v>
      </x:c>
      <x:c r="W9" s="12" t="n">
        <x:f>IF(W8=0,0,IF('Assumptions'!$E$9=2,'Short-Term build'!W9,IF('Assumptions'!$E$9=3,'Installment build'!W9,('Short-Term build'!W8*'Short-Term build'!W9+'Installment build'!W8*'Installment build'!W9)/W8)))</x:f>
        <x:v>0.34285714285714286</x:v>
      </x:c>
      <x:c r="X9" s="12" t="n">
        <x:f>IF(X8=0,0,IF('Assumptions'!$E$9=2,'Short-Term build'!X9,IF('Assumptions'!$E$9=3,'Installment build'!X9,('Short-Term build'!X8*'Short-Term build'!X9+'Installment build'!X8*'Installment build'!X9)/X8)))</x:f>
        <x:v>0.34285714285714286</x:v>
      </x:c>
      <x:c r="Y9" s="12" t="n">
        <x:f>IF(Y8=0,0,IF('Assumptions'!$E$9=2,'Short-Term build'!Y9,IF('Assumptions'!$E$9=3,'Installment build'!Y9,('Short-Term build'!Y8*'Short-Term build'!Y9+'Installment build'!Y8*'Installment build'!Y9)/Y8)))</x:f>
        <x:v>0.34285714285714286</x:v>
      </x:c>
      <x:c r="Z9" s="12" t="n">
        <x:f>IF(Z8=0,0,IF('Assumptions'!$E$9=2,'Short-Term build'!Z9,IF('Assumptions'!$E$9=3,'Installment build'!Z9,('Short-Term build'!Z8*'Short-Term build'!Z9+'Installment build'!Z8*'Installment build'!Z9)/Z8)))</x:f>
        <x:v>0.34285714285714286</x:v>
      </x:c>
      <x:c r="AA9" s="12" t="n">
        <x:f>IF(AA8=0,0,IF('Assumptions'!$E$9=2,'Short-Term build'!AA9,IF('Assumptions'!$E$9=3,'Installment build'!AA9,('Short-Term build'!AA8*'Short-Term build'!AA9+'Installment build'!AA8*'Installment build'!AA9)/AA8)))</x:f>
        <x:v>0.34285714285714286</x:v>
      </x:c>
      <x:c r="AB9" s="12" t="n">
        <x:f>IF(AB8=0,0,IF('Assumptions'!$E$9=2,'Short-Term build'!AB9,IF('Assumptions'!$E$9=3,'Installment build'!AB9,('Short-Term build'!AB8*'Short-Term build'!AB9+'Installment build'!AB8*'Installment build'!AB9)/AB8)))</x:f>
        <x:v>0.34285714285714286</x:v>
      </x:c>
      <x:c r="AC9" s="12" t="n">
        <x:f>IF(AC8=0,0,IF('Assumptions'!$E$9=2,'Short-Term build'!AC9,IF('Assumptions'!$E$9=3,'Installment build'!AC9,('Short-Term build'!AC8*'Short-Term build'!AC9+'Installment build'!AC8*'Installment build'!AC9)/AC8)))</x:f>
        <x:v>0.34285714285714286</x:v>
      </x:c>
      <x:c r="AD9" s="12" t="n">
        <x:f>IF(AD8=0,0,IF('Assumptions'!$E$9=2,'Short-Term build'!AD9,IF('Assumptions'!$E$9=3,'Installment build'!AD9,('Short-Term build'!AD8*'Short-Term build'!AD9+'Installment build'!AD8*'Installment build'!AD9)/AD8)))</x:f>
        <x:v>0.34285714285714286</x:v>
      </x:c>
      <x:c r="AE9" s="12" t="n">
        <x:f>IF(AE8=0,0,IF('Assumptions'!$E$9=2,'Short-Term build'!AE9,IF('Assumptions'!$E$9=3,'Installment build'!AE9,('Short-Term build'!AE8*'Short-Term build'!AE9+'Installment build'!AE8*'Installment build'!AE9)/AE8)))</x:f>
        <x:v>0.34285714285714286</x:v>
      </x:c>
      <x:c r="AF9" s="12" t="n">
        <x:f>IF(AF8=0,0,IF('Assumptions'!$E$9=2,'Short-Term build'!AF9,IF('Assumptions'!$E$9=3,'Installment build'!AF9,('Short-Term build'!AF8*'Short-Term build'!AF9+'Installment build'!AF8*'Installment build'!AF9)/AF8)))</x:f>
        <x:v>0.34285714285714286</x:v>
      </x:c>
      <x:c r="AG9" s="12" t="n">
        <x:f>IF(AG8=0,0,IF('Assumptions'!$E$9=2,'Short-Term build'!AG9,IF('Assumptions'!$E$9=3,'Installment build'!AG9,('Short-Term build'!AG8*'Short-Term build'!AG9+'Installment build'!AG8*'Installment build'!AG9)/AG8)))</x:f>
        <x:v>0.34285714285714286</x:v>
      </x:c>
      <x:c r="AH9" s="12" t="n">
        <x:f>IF(AH8=0,0,IF('Assumptions'!$E$9=2,'Short-Term build'!AH9,IF('Assumptions'!$E$9=3,'Installment build'!AH9,('Short-Term build'!AH8*'Short-Term build'!AH9+'Installment build'!AH8*'Installment build'!AH9)/AH8)))</x:f>
        <x:v>0.34285714285714286</x:v>
      </x:c>
      <x:c r="AI9" s="12" t="n">
        <x:f>IF(AI8=0,0,IF('Assumptions'!$E$9=2,'Short-Term build'!AI9,IF('Assumptions'!$E$9=3,'Installment build'!AI9,('Short-Term build'!AI8*'Short-Term build'!AI9+'Installment build'!AI8*'Installment build'!AI9)/AI8)))</x:f>
        <x:v>0.34285714285714286</x:v>
      </x:c>
      <x:c r="AJ9" s="12" t="n">
        <x:f>IF(AJ8=0,0,IF('Assumptions'!$E$9=2,'Short-Term build'!AJ9,IF('Assumptions'!$E$9=3,'Installment build'!AJ9,('Short-Term build'!AJ8*'Short-Term build'!AJ9+'Installment build'!AJ8*'Installment build'!AJ9)/AJ8)))</x:f>
        <x:v>0.34285714285714286</x:v>
      </x:c>
      <x:c r="AK9" s="12" t="n">
        <x:f>IF(AK8=0,0,IF('Assumptions'!$E$9=2,'Short-Term build'!AK9,IF('Assumptions'!$E$9=3,'Installment build'!AK9,('Short-Term build'!AK8*'Short-Term build'!AK9+'Installment build'!AK8*'Installment build'!AK9)/AK8)))</x:f>
        <x:v>0.34285714285714286</x:v>
      </x:c>
      <x:c r="AL9" s="12" t="n">
        <x:f>IF(AL8=0,0,IF('Assumptions'!$E$9=2,'Short-Term build'!AL9,IF('Assumptions'!$E$9=3,'Installment build'!AL9,('Short-Term build'!AL8*'Short-Term build'!AL9+'Installment build'!AL8*'Installment build'!AL9)/AL8)))</x:f>
        <x:v>0.34285714285714286</x:v>
      </x:c>
      <x:c r="AM9" s="12" t="n">
        <x:f>IF(AM8=0,0,IF('Assumptions'!$E$9=2,'Short-Term build'!AM9,IF('Assumptions'!$E$9=3,'Installment build'!AM9,('Short-Term build'!AM8*'Short-Term build'!AM9+'Installment build'!AM8*'Installment build'!AM9)/AM8)))</x:f>
        <x:v>0.34285714285714286</x:v>
      </x:c>
      <x:c r="AN9" s="12" t="n">
        <x:f>IF(AN8=0,0,IF('Assumptions'!$E$9=2,'Short-Term build'!AN9,IF('Assumptions'!$E$9=3,'Installment build'!AN9,('Short-Term build'!AN8*'Short-Term build'!AN9+'Installment build'!AN8*'Installment build'!AN9)/AN8)))</x:f>
        <x:v>0.34285714285714286</x:v>
      </x:c>
      <x:c r="AO9" s="12" t="n">
        <x:f>IF(AO8=0,0,IF('Assumptions'!$E$9=2,'Short-Term build'!AO9,IF('Assumptions'!$E$9=3,'Installment build'!AO9,('Short-Term build'!AO8*'Short-Term build'!AO9+'Installment build'!AO8*'Installment build'!AO9)/AO8)))</x:f>
        <x:v>0.34285714285714286</x:v>
      </x:c>
      <x:c r="AP9" s="12" t="n">
        <x:f>IF(AP8=0,0,IF('Assumptions'!$E$9=2,'Short-Term build'!AP9,IF('Assumptions'!$E$9=3,'Installment build'!AP9,('Short-Term build'!AP8*'Short-Term build'!AP9+'Installment build'!AP8*'Installment build'!AP9)/AP8)))</x:f>
        <x:v>0.34285714285714286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IF(G8*G9=0,0,IF('Assumptions'!$E$9=2,'Short-Term build'!G10,IF('Assumptions'!$E$9=3,'Installment build'!G10,('Short-Term build'!G8*'Short-Term build'!G9*'Short-Term build'!G10+'Installment build'!G8*'Installment build'!G9*'Installment build'!G10)/(G8*G9))))</x:f>
        <x:v>2437.5</x:v>
      </x:c>
      <x:c r="H10" s="48" t="n">
        <x:f>IF(H8*H9=0,0,IF('Assumptions'!$E$9=2,'Short-Term build'!H10,IF('Assumptions'!$E$9=3,'Installment build'!H10,('Short-Term build'!H8*'Short-Term build'!H9*'Short-Term build'!H10+'Installment build'!H8*'Installment build'!H9*'Installment build'!H10)/(H8*H9))))</x:f>
        <x:v>2437.5</x:v>
      </x:c>
      <x:c r="I10" s="48" t="n">
        <x:f>IF(I8*I9=0,0,IF('Assumptions'!$E$9=2,'Short-Term build'!I10,IF('Assumptions'!$E$9=3,'Installment build'!I10,('Short-Term build'!I8*'Short-Term build'!I9*'Short-Term build'!I10+'Installment build'!I8*'Installment build'!I9*'Installment build'!I10)/(I8*I9))))</x:f>
        <x:v>2437.5</x:v>
      </x:c>
      <x:c r="J10" s="48" t="n">
        <x:f>IF(J8*J9=0,0,IF('Assumptions'!$E$9=2,'Short-Term build'!J10,IF('Assumptions'!$E$9=3,'Installment build'!J10,('Short-Term build'!J8*'Short-Term build'!J9*'Short-Term build'!J10+'Installment build'!J8*'Installment build'!J9*'Installment build'!J10)/(J8*J9))))</x:f>
        <x:v>2437.5</x:v>
      </x:c>
      <x:c r="K10" s="48" t="n">
        <x:f>IF(K8*K9=0,0,IF('Assumptions'!$E$9=2,'Short-Term build'!K10,IF('Assumptions'!$E$9=3,'Installment build'!K10,('Short-Term build'!K8*'Short-Term build'!K9*'Short-Term build'!K10+'Installment build'!K8*'Installment build'!K9*'Installment build'!K10)/(K8*K9))))</x:f>
        <x:v>2437.5</x:v>
      </x:c>
      <x:c r="L10" s="48" t="n">
        <x:f>IF(L8*L9=0,0,IF('Assumptions'!$E$9=2,'Short-Term build'!L10,IF('Assumptions'!$E$9=3,'Installment build'!L10,('Short-Term build'!L8*'Short-Term build'!L9*'Short-Term build'!L10+'Installment build'!L8*'Installment build'!L9*'Installment build'!L10)/(L8*L9))))</x:f>
        <x:v>2437.5</x:v>
      </x:c>
      <x:c r="M10" s="48" t="n">
        <x:f>IF(M8*M9=0,0,IF('Assumptions'!$E$9=2,'Short-Term build'!M10,IF('Assumptions'!$E$9=3,'Installment build'!M10,('Short-Term build'!M8*'Short-Term build'!M9*'Short-Term build'!M10+'Installment build'!M8*'Installment build'!M9*'Installment build'!M10)/(M8*M9))))</x:f>
        <x:v>2437.5</x:v>
      </x:c>
      <x:c r="N10" s="48" t="n">
        <x:f>IF(N8*N9=0,0,IF('Assumptions'!$E$9=2,'Short-Term build'!N10,IF('Assumptions'!$E$9=3,'Installment build'!N10,('Short-Term build'!N8*'Short-Term build'!N9*'Short-Term build'!N10+'Installment build'!N8*'Installment build'!N9*'Installment build'!N10)/(N8*N9))))</x:f>
        <x:v>2437.5</x:v>
      </x:c>
      <x:c r="O10" s="48" t="n">
        <x:f>IF(O8*O9=0,0,IF('Assumptions'!$E$9=2,'Short-Term build'!O10,IF('Assumptions'!$E$9=3,'Installment build'!O10,('Short-Term build'!O8*'Short-Term build'!O9*'Short-Term build'!O10+'Installment build'!O8*'Installment build'!O9*'Installment build'!O10)/(O8*O9))))</x:f>
        <x:v>2437.5</x:v>
      </x:c>
      <x:c r="P10" s="48" t="n">
        <x:f>IF(P8*P9=0,0,IF('Assumptions'!$E$9=2,'Short-Term build'!P10,IF('Assumptions'!$E$9=3,'Installment build'!P10,('Short-Term build'!P8*'Short-Term build'!P9*'Short-Term build'!P10+'Installment build'!P8*'Installment build'!P9*'Installment build'!P10)/(P8*P9))))</x:f>
        <x:v>2437.5</x:v>
      </x:c>
      <x:c r="Q10" s="48" t="n">
        <x:f>IF(Q8*Q9=0,0,IF('Assumptions'!$E$9=2,'Short-Term build'!Q10,IF('Assumptions'!$E$9=3,'Installment build'!Q10,('Short-Term build'!Q8*'Short-Term build'!Q9*'Short-Term build'!Q10+'Installment build'!Q8*'Installment build'!Q9*'Installment build'!Q10)/(Q8*Q9))))</x:f>
        <x:v>2437.5</x:v>
      </x:c>
      <x:c r="R10" s="48" t="n">
        <x:f>IF(R8*R9=0,0,IF('Assumptions'!$E$9=2,'Short-Term build'!R10,IF('Assumptions'!$E$9=3,'Installment build'!R10,('Short-Term build'!R8*'Short-Term build'!R9*'Short-Term build'!R10+'Installment build'!R8*'Installment build'!R9*'Installment build'!R10)/(R8*R9))))</x:f>
        <x:v>2437.5</x:v>
      </x:c>
      <x:c r="S10" s="48" t="n">
        <x:f>IF(S8*S9=0,0,IF('Assumptions'!$E$9=2,'Short-Term build'!S10,IF('Assumptions'!$E$9=3,'Installment build'!S10,('Short-Term build'!S8*'Short-Term build'!S9*'Short-Term build'!S10+'Installment build'!S8*'Installment build'!S9*'Installment build'!S10)/(S8*S9))))</x:f>
        <x:v>2437.5</x:v>
      </x:c>
      <x:c r="T10" s="48" t="n">
        <x:f>IF(T8*T9=0,0,IF('Assumptions'!$E$9=2,'Short-Term build'!T10,IF('Assumptions'!$E$9=3,'Installment build'!T10,('Short-Term build'!T8*'Short-Term build'!T9*'Short-Term build'!T10+'Installment build'!T8*'Installment build'!T9*'Installment build'!T10)/(T8*T9))))</x:f>
        <x:v>2437.5</x:v>
      </x:c>
      <x:c r="U10" s="48" t="n">
        <x:f>IF(U8*U9=0,0,IF('Assumptions'!$E$9=2,'Short-Term build'!U10,IF('Assumptions'!$E$9=3,'Installment build'!U10,('Short-Term build'!U8*'Short-Term build'!U9*'Short-Term build'!U10+'Installment build'!U8*'Installment build'!U9*'Installment build'!U10)/(U8*U9))))</x:f>
        <x:v>2437.5</x:v>
      </x:c>
      <x:c r="V10" s="48" t="n">
        <x:f>IF(V8*V9=0,0,IF('Assumptions'!$E$9=2,'Short-Term build'!V10,IF('Assumptions'!$E$9=3,'Installment build'!V10,('Short-Term build'!V8*'Short-Term build'!V9*'Short-Term build'!V10+'Installment build'!V8*'Installment build'!V9*'Installment build'!V10)/(V8*V9))))</x:f>
        <x:v>2437.5</x:v>
      </x:c>
      <x:c r="W10" s="48" t="n">
        <x:f>IF(W8*W9=0,0,IF('Assumptions'!$E$9=2,'Short-Term build'!W10,IF('Assumptions'!$E$9=3,'Installment build'!W10,('Short-Term build'!W8*'Short-Term build'!W9*'Short-Term build'!W10+'Installment build'!W8*'Installment build'!W9*'Installment build'!W10)/(W8*W9))))</x:f>
        <x:v>2437.5</x:v>
      </x:c>
      <x:c r="X10" s="48" t="n">
        <x:f>IF(X8*X9=0,0,IF('Assumptions'!$E$9=2,'Short-Term build'!X10,IF('Assumptions'!$E$9=3,'Installment build'!X10,('Short-Term build'!X8*'Short-Term build'!X9*'Short-Term build'!X10+'Installment build'!X8*'Installment build'!X9*'Installment build'!X10)/(X8*X9))))</x:f>
        <x:v>2437.5</x:v>
      </x:c>
      <x:c r="Y10" s="48" t="n">
        <x:f>IF(Y8*Y9=0,0,IF('Assumptions'!$E$9=2,'Short-Term build'!Y10,IF('Assumptions'!$E$9=3,'Installment build'!Y10,('Short-Term build'!Y8*'Short-Term build'!Y9*'Short-Term build'!Y10+'Installment build'!Y8*'Installment build'!Y9*'Installment build'!Y10)/(Y8*Y9))))</x:f>
        <x:v>2437.5</x:v>
      </x:c>
      <x:c r="Z10" s="48" t="n">
        <x:f>IF(Z8*Z9=0,0,IF('Assumptions'!$E$9=2,'Short-Term build'!Z10,IF('Assumptions'!$E$9=3,'Installment build'!Z10,('Short-Term build'!Z8*'Short-Term build'!Z9*'Short-Term build'!Z10+'Installment build'!Z8*'Installment build'!Z9*'Installment build'!Z10)/(Z8*Z9))))</x:f>
        <x:v>2437.5</x:v>
      </x:c>
      <x:c r="AA10" s="48" t="n">
        <x:f>IF(AA8*AA9=0,0,IF('Assumptions'!$E$9=2,'Short-Term build'!AA10,IF('Assumptions'!$E$9=3,'Installment build'!AA10,('Short-Term build'!AA8*'Short-Term build'!AA9*'Short-Term build'!AA10+'Installment build'!AA8*'Installment build'!AA9*'Installment build'!AA10)/(AA8*AA9))))</x:f>
        <x:v>2437.5</x:v>
      </x:c>
      <x:c r="AB10" s="48" t="n">
        <x:f>IF(AB8*AB9=0,0,IF('Assumptions'!$E$9=2,'Short-Term build'!AB10,IF('Assumptions'!$E$9=3,'Installment build'!AB10,('Short-Term build'!AB8*'Short-Term build'!AB9*'Short-Term build'!AB10+'Installment build'!AB8*'Installment build'!AB9*'Installment build'!AB10)/(AB8*AB9))))</x:f>
        <x:v>2437.5</x:v>
      </x:c>
      <x:c r="AC10" s="48" t="n">
        <x:f>IF(AC8*AC9=0,0,IF('Assumptions'!$E$9=2,'Short-Term build'!AC10,IF('Assumptions'!$E$9=3,'Installment build'!AC10,('Short-Term build'!AC8*'Short-Term build'!AC9*'Short-Term build'!AC10+'Installment build'!AC8*'Installment build'!AC9*'Installment build'!AC10)/(AC8*AC9))))</x:f>
        <x:v>2437.5</x:v>
      </x:c>
      <x:c r="AD10" s="48" t="n">
        <x:f>IF(AD8*AD9=0,0,IF('Assumptions'!$E$9=2,'Short-Term build'!AD10,IF('Assumptions'!$E$9=3,'Installment build'!AD10,('Short-Term build'!AD8*'Short-Term build'!AD9*'Short-Term build'!AD10+'Installment build'!AD8*'Installment build'!AD9*'Installment build'!AD10)/(AD8*AD9))))</x:f>
        <x:v>2437.5</x:v>
      </x:c>
      <x:c r="AE10" s="48" t="n">
        <x:f>IF(AE8*AE9=0,0,IF('Assumptions'!$E$9=2,'Short-Term build'!AE10,IF('Assumptions'!$E$9=3,'Installment build'!AE10,('Short-Term build'!AE8*'Short-Term build'!AE9*'Short-Term build'!AE10+'Installment build'!AE8*'Installment build'!AE9*'Installment build'!AE10)/(AE8*AE9))))</x:f>
        <x:v>2437.5</x:v>
      </x:c>
      <x:c r="AF10" s="48" t="n">
        <x:f>IF(AF8*AF9=0,0,IF('Assumptions'!$E$9=2,'Short-Term build'!AF10,IF('Assumptions'!$E$9=3,'Installment build'!AF10,('Short-Term build'!AF8*'Short-Term build'!AF9*'Short-Term build'!AF10+'Installment build'!AF8*'Installment build'!AF9*'Installment build'!AF10)/(AF8*AF9))))</x:f>
        <x:v>2437.5</x:v>
      </x:c>
      <x:c r="AG10" s="48" t="n">
        <x:f>IF(AG8*AG9=0,0,IF('Assumptions'!$E$9=2,'Short-Term build'!AG10,IF('Assumptions'!$E$9=3,'Installment build'!AG10,('Short-Term build'!AG8*'Short-Term build'!AG9*'Short-Term build'!AG10+'Installment build'!AG8*'Installment build'!AG9*'Installment build'!AG10)/(AG8*AG9))))</x:f>
        <x:v>2437.5</x:v>
      </x:c>
      <x:c r="AH10" s="48" t="n">
        <x:f>IF(AH8*AH9=0,0,IF('Assumptions'!$E$9=2,'Short-Term build'!AH10,IF('Assumptions'!$E$9=3,'Installment build'!AH10,('Short-Term build'!AH8*'Short-Term build'!AH9*'Short-Term build'!AH10+'Installment build'!AH8*'Installment build'!AH9*'Installment build'!AH10)/(AH8*AH9))))</x:f>
        <x:v>2437.5</x:v>
      </x:c>
      <x:c r="AI10" s="48" t="n">
        <x:f>IF(AI8*AI9=0,0,IF('Assumptions'!$E$9=2,'Short-Term build'!AI10,IF('Assumptions'!$E$9=3,'Installment build'!AI10,('Short-Term build'!AI8*'Short-Term build'!AI9*'Short-Term build'!AI10+'Installment build'!AI8*'Installment build'!AI9*'Installment build'!AI10)/(AI8*AI9))))</x:f>
        <x:v>2437.5</x:v>
      </x:c>
      <x:c r="AJ10" s="48" t="n">
        <x:f>IF(AJ8*AJ9=0,0,IF('Assumptions'!$E$9=2,'Short-Term build'!AJ10,IF('Assumptions'!$E$9=3,'Installment build'!AJ10,('Short-Term build'!AJ8*'Short-Term build'!AJ9*'Short-Term build'!AJ10+'Installment build'!AJ8*'Installment build'!AJ9*'Installment build'!AJ10)/(AJ8*AJ9))))</x:f>
        <x:v>2437.5</x:v>
      </x:c>
      <x:c r="AK10" s="48" t="n">
        <x:f>IF(AK8*AK9=0,0,IF('Assumptions'!$E$9=2,'Short-Term build'!AK10,IF('Assumptions'!$E$9=3,'Installment build'!AK10,('Short-Term build'!AK8*'Short-Term build'!AK9*'Short-Term build'!AK10+'Installment build'!AK8*'Installment build'!AK9*'Installment build'!AK10)/(AK8*AK9))))</x:f>
        <x:v>2437.5</x:v>
      </x:c>
      <x:c r="AL10" s="48" t="n">
        <x:f>IF(AL8*AL9=0,0,IF('Assumptions'!$E$9=2,'Short-Term build'!AL10,IF('Assumptions'!$E$9=3,'Installment build'!AL10,('Short-Term build'!AL8*'Short-Term build'!AL9*'Short-Term build'!AL10+'Installment build'!AL8*'Installment build'!AL9*'Installment build'!AL10)/(AL8*AL9))))</x:f>
        <x:v>2437.5</x:v>
      </x:c>
      <x:c r="AM10" s="48" t="n">
        <x:f>IF(AM8*AM9=0,0,IF('Assumptions'!$E$9=2,'Short-Term build'!AM10,IF('Assumptions'!$E$9=3,'Installment build'!AM10,('Short-Term build'!AM8*'Short-Term build'!AM9*'Short-Term build'!AM10+'Installment build'!AM8*'Installment build'!AM9*'Installment build'!AM10)/(AM8*AM9))))</x:f>
        <x:v>2437.5</x:v>
      </x:c>
      <x:c r="AN10" s="48" t="n">
        <x:f>IF(AN8*AN9=0,0,IF('Assumptions'!$E$9=2,'Short-Term build'!AN10,IF('Assumptions'!$E$9=3,'Installment build'!AN10,('Short-Term build'!AN8*'Short-Term build'!AN9*'Short-Term build'!AN10+'Installment build'!AN8*'Installment build'!AN9*'Installment build'!AN10)/(AN8*AN9))))</x:f>
        <x:v>2437.5</x:v>
      </x:c>
      <x:c r="AO10" s="48" t="n">
        <x:f>IF(AO8*AO9=0,0,IF('Assumptions'!$E$9=2,'Short-Term build'!AO10,IF('Assumptions'!$E$9=3,'Installment build'!AO10,('Short-Term build'!AO8*'Short-Term build'!AO9*'Short-Term build'!AO10+'Installment build'!AO8*'Installment build'!AO9*'Installment build'!AO10)/(AO8*AO9))))</x:f>
        <x:v>2437.5</x:v>
      </x:c>
      <x:c r="AP10" s="48" t="n">
        <x:f>IF(AP8*AP9=0,0,IF('Assumptions'!$E$9=2,'Short-Term build'!AP10,IF('Assumptions'!$E$9=3,'Installment build'!AP10,('Short-Term build'!AP8*'Short-Term build'!AP9*'Short-Term build'!AP10+'Installment build'!AP8*'Installment build'!AP9*'Installment build'!AP10)/(AP8*AP9))))</x:f>
        <x:v>2437.5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842400000</x:v>
      </x:c>
      <x:c r="F11" s="42"/>
      <x:c r="G11" s="43" t="n">
        <x:f>G8*G9*G10</x:f>
        <x:v>35100000</x:v>
      </x:c>
      <x:c r="H11" s="43" t="n">
        <x:f>H8*H9*H10</x:f>
        <x:v>35100000</x:v>
      </x:c>
      <x:c r="I11" s="43" t="n">
        <x:f>I8*I9*I10</x:f>
        <x:v>35100000</x:v>
      </x:c>
      <x:c r="J11" s="43" t="n">
        <x:f>J8*J9*J10</x:f>
        <x:v>35100000</x:v>
      </x:c>
      <x:c r="K11" s="43" t="n">
        <x:f>K8*K9*K10</x:f>
        <x:v>35100000</x:v>
      </x:c>
      <x:c r="L11" s="43" t="n">
        <x:f>L8*L9*L10</x:f>
        <x:v>35100000</x:v>
      </x:c>
      <x:c r="M11" s="43" t="n">
        <x:f>M8*M9*M10</x:f>
        <x:v>35100000</x:v>
      </x:c>
      <x:c r="N11" s="43" t="n">
        <x:f>N8*N9*N10</x:f>
        <x:v>35100000</x:v>
      </x:c>
      <x:c r="O11" s="43" t="n">
        <x:f>O8*O9*O10</x:f>
        <x:v>35100000</x:v>
      </x:c>
      <x:c r="P11" s="43" t="n">
        <x:f>P8*P9*P10</x:f>
        <x:v>35100000</x:v>
      </x:c>
      <x:c r="Q11" s="43" t="n">
        <x:f>Q8*Q9*Q10</x:f>
        <x:v>35100000</x:v>
      </x:c>
      <x:c r="R11" s="43" t="n">
        <x:f>R8*R9*R10</x:f>
        <x:v>35100000</x:v>
      </x:c>
      <x:c r="S11" s="43" t="n">
        <x:f>S8*S9*S10</x:f>
        <x:v>35100000</x:v>
      </x:c>
      <x:c r="T11" s="43" t="n">
        <x:f>T8*T9*T10</x:f>
        <x:v>35100000</x:v>
      </x:c>
      <x:c r="U11" s="43" t="n">
        <x:f>U8*U9*U10</x:f>
        <x:v>35100000</x:v>
      </x:c>
      <x:c r="V11" s="43" t="n">
        <x:f>V8*V9*V10</x:f>
        <x:v>35100000</x:v>
      </x:c>
      <x:c r="W11" s="43" t="n">
        <x:f>W8*W9*W10</x:f>
        <x:v>35100000</x:v>
      </x:c>
      <x:c r="X11" s="43" t="n">
        <x:f>X8*X9*X10</x:f>
        <x:v>35100000</x:v>
      </x:c>
      <x:c r="Y11" s="43" t="n">
        <x:f>Y8*Y9*Y10</x:f>
        <x:v>35100000</x:v>
      </x:c>
      <x:c r="Z11" s="43" t="n">
        <x:f>Z8*Z9*Z10</x:f>
        <x:v>35100000</x:v>
      </x:c>
      <x:c r="AA11" s="43" t="n">
        <x:f>AA8*AA9*AA10</x:f>
        <x:v>35100000</x:v>
      </x:c>
      <x:c r="AB11" s="43" t="n">
        <x:f>AB8*AB9*AB10</x:f>
        <x:v>35100000</x:v>
      </x:c>
      <x:c r="AC11" s="43" t="n">
        <x:f>AC8*AC9*AC10</x:f>
        <x:v>35100000</x:v>
      </x:c>
      <x:c r="AD11" s="43" t="n">
        <x:f>AD8*AD9*AD10</x:f>
        <x:v>35100000</x:v>
      </x:c>
      <x:c r="AE11" s="43" t="n">
        <x:f>AE8*AE9*AE10</x:f>
        <x:v>35100000</x:v>
      </x:c>
      <x:c r="AF11" s="43" t="n">
        <x:f>AF8*AF9*AF10</x:f>
        <x:v>35100000</x:v>
      </x:c>
      <x:c r="AG11" s="43" t="n">
        <x:f>AG8*AG9*AG10</x:f>
        <x:v>35100000</x:v>
      </x:c>
      <x:c r="AH11" s="43" t="n">
        <x:f>AH8*AH9*AH10</x:f>
        <x:v>35100000</x:v>
      </x:c>
      <x:c r="AI11" s="43" t="n">
        <x:f>AI8*AI9*AI10</x:f>
        <x:v>35100000</x:v>
      </x:c>
      <x:c r="AJ11" s="43" t="n">
        <x:f>AJ8*AJ9*AJ10</x:f>
        <x:v>35100000</x:v>
      </x:c>
      <x:c r="AK11" s="43" t="n">
        <x:f>AK8*AK9*AK10</x:f>
        <x:v>35100000</x:v>
      </x:c>
      <x:c r="AL11" s="43" t="n">
        <x:f>AL8*AL9*AL10</x:f>
        <x:v>35100000</x:v>
      </x:c>
      <x:c r="AM11" s="43" t="n">
        <x:f>AM8*AM9*AM10</x:f>
        <x:v>35100000</x:v>
      </x:c>
      <x:c r="AN11" s="43" t="n">
        <x:f>AN8*AN9*AN10</x:f>
        <x:v>35100000</x:v>
      </x:c>
      <x:c r="AO11" s="43" t="n">
        <x:f>AO8*AO9*AO10</x:f>
        <x:v>35100000</x:v>
      </x:c>
      <x:c r="AP11" s="43" t="n">
        <x:f>AP8*AP9*AP10</x:f>
        <x:v>35100000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639000000</x:v>
      </x:c>
      <x:c r="F13" s="2"/>
      <x:c r="G13" s="35" t="n">
        <x:f>IF('Assumptions'!$E$9=2,'Short-Term build'!G13,IF('Assumptions'!$E$9=3,'Installment build'!G13,'Short-Term build'!G13+'Installment build'!G13))</x:f>
        <x:v>639000000</x:v>
      </x:c>
      <x:c r="H13" s="35" t="n">
        <x:f>G16</x:f>
        <x:v>552385613.3957957</x:v>
      </x:c>
      <x:c r="I13" s="35" t="n">
        <x:f>H16</x:f>
        <x:v>498586002.86747444</x:v>
      </x:c>
      <x:c r="J13" s="35" t="n">
        <x:f>I16</x:f>
        <x:v>460122143.35031354</x:v>
      </x:c>
      <x:c r="K13" s="35" t="n">
        <x:f>J16</x:f>
        <x:v>431276649.2693305</x:v>
      </x:c>
      <x:c r="L13" s="35" t="n">
        <x:f>K16</x:f>
        <x:v>409210454.66390604</x:v>
      </x:c>
      <x:c r="M13" s="35" t="n">
        <x:f>L16</x:f>
        <x:v>392219299.6896691</x:v>
      </x:c>
      <x:c r="N13" s="35" t="n">
        <x:f>M16</x:f>
        <x:v>379165276.83538413</x:v>
      </x:c>
      <x:c r="O13" s="35" t="n">
        <x:f>N16</x:f>
        <x:v>369238230.234548</x:v>
      </x:c>
      <x:c r="P13" s="35" t="n">
        <x:f>O16</x:f>
        <x:v>361838650.6763477</x:v>
      </x:c>
      <x:c r="Q13" s="35" t="n">
        <x:f>P16</x:f>
        <x:v>356514395.7179124</x:v>
      </x:c>
      <x:c r="R13" s="35" t="n">
        <x:f>Q16</x:f>
        <x:v>352923338.16664934</x:v>
      </x:c>
      <x:c r="S13" s="35" t="n">
        <x:f>R16</x:f>
        <x:v>350807487.81499046</x:v>
      </x:c>
      <x:c r="T13" s="35" t="n">
        <x:f>S16</x:f>
        <x:v>349972003.23887783</x:v>
      </x:c>
      <x:c r="U13" s="35" t="n">
        <x:f>T16</x:f>
        <x:v>349586613.173265</x:v>
      </x:c>
      <x:c r="V13" s="35" t="n">
        <x:f>U16</x:f>
        <x:v>349579767.28284705</x:v>
      </x:c>
      <x:c r="W13" s="35" t="n">
        <x:f>V16</x:f>
        <x:v>349883999.397581</x:v>
      </x:c>
      <x:c r="X13" s="35" t="n">
        <x:f>W16</x:f>
        <x:v>350432858.55151856</x:v>
      </x:c>
      <x:c r="Y13" s="35" t="n">
        <x:f>X16</x:f>
        <x:v>351158340.69422954</x:v>
      </x:c>
      <x:c r="Z13" s="35" t="n">
        <x:f>Y16</x:f>
        <x:v>351989420.42834705</x:v>
      </x:c>
      <x:c r="AA13" s="35" t="n">
        <x:f>Z16</x:f>
        <x:v>352852257.51476717</x:v>
      </x:c>
      <x:c r="AB13" s="35" t="n">
        <x:f>AA16</x:f>
        <x:v>353672270.3671673</x:v>
      </x:c>
      <x:c r="AC13" s="35" t="n">
        <x:f>AB16</x:f>
        <x:v>354377612.49188244</x:v>
      </x:c>
      <x:c r="AD13" s="35" t="n">
        <x:f>AC16</x:f>
        <x:v>354902684.80641305</x:v>
      </x:c>
      <x:c r="AE13" s="35" t="n">
        <x:f>AD16</x:f>
        <x:v>355190025.33926</x:v>
      </x:c>
      <x:c r="AF13" s="35" t="n">
        <x:f>AE16</x:f>
        <x:v>355190025.33926</x:v>
      </x:c>
      <x:c r="AG13" s="35" t="n">
        <x:f>AF16</x:f>
        <x:v>355190025.33926</x:v>
      </x:c>
      <x:c r="AH13" s="35" t="n">
        <x:f>AG16</x:f>
        <x:v>355190025.33926</x:v>
      </x:c>
      <x:c r="AI13" s="35" t="n">
        <x:f>AH16</x:f>
        <x:v>355190025.33926</x:v>
      </x:c>
      <x:c r="AJ13" s="35" t="n">
        <x:f>AI16</x:f>
        <x:v>355190025.33926</x:v>
      </x:c>
      <x:c r="AK13" s="35" t="n">
        <x:f>AJ16</x:f>
        <x:v>355190025.33926</x:v>
      </x:c>
      <x:c r="AL13" s="35" t="n">
        <x:f>AK16</x:f>
        <x:v>355190025.33926</x:v>
      </x:c>
      <x:c r="AM13" s="35" t="n">
        <x:f>AL16</x:f>
        <x:v>355190025.33926</x:v>
      </x:c>
      <x:c r="AN13" s="35" t="n">
        <x:f>AM16</x:f>
        <x:v>355190025.33926</x:v>
      </x:c>
      <x:c r="AO13" s="35" t="n">
        <x:f>AN16</x:f>
        <x:v>355190025.33926</x:v>
      </x:c>
      <x:c r="AP13" s="35" t="n">
        <x:f>AO16</x:f>
        <x:v>355190025.33926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954536481.1285261</x:v>
      </x:c>
      <x:c r="F14" s="2"/>
      <x:c r="G14" s="35" t="n">
        <x:f>IF('Assumptions'!$E$9=2,'Short-Term build'!G14,IF('Assumptions'!$E$9=3,'Installment build'!G14,'Short-Term build'!G14+'Installment build'!G14))</x:f>
        <x:v>111980808.49365267</x:v>
      </x:c>
      <x:c r="H14" s="35" t="n">
        <x:f>IF('Assumptions'!$E$9=2,'Short-Term build'!H14,IF('Assumptions'!$E$9=3,'Installment build'!H14,'Short-Term build'!H14+'Installment build'!H14))</x:f>
        <x:v>80116178.39226583</x:v>
      </x:c>
      <x:c r="I14" s="35" t="n">
        <x:f>IF('Assumptions'!$E$9=2,'Short-Term build'!I14,IF('Assumptions'!$E$9=3,'Installment build'!I14,'Short-Term build'!I14+'Installment build'!I14))</x:f>
        <x:v>65472411.64194871</x:v>
      </x:c>
      <x:c r="J14" s="35" t="n">
        <x:f>IF('Assumptions'!$E$9=2,'Short-Term build'!J14,IF('Assumptions'!$E$9=3,'Installment build'!J14,'Short-Term build'!J14+'Installment build'!J14))</x:f>
        <x:v>56351778.5265985</x:v>
      </x:c>
      <x:c r="K14" s="35" t="n">
        <x:f>IF('Assumptions'!$E$9=2,'Short-Term build'!K14,IF('Assumptions'!$E$9=3,'Installment build'!K14,'Short-Term build'!K14+'Installment build'!K14))</x:f>
        <x:v>49911978.78282155</x:v>
      </x:c>
      <x:c r="L14" s="35" t="n">
        <x:f>IF('Assumptions'!$E$9=2,'Short-Term build'!L14,IF('Assumptions'!$E$9=3,'Installment build'!L14,'Short-Term build'!L14+'Installment build'!L14))</x:f>
        <x:v>45051097.67982578</x:v>
      </x:c>
      <x:c r="M14" s="35" t="n">
        <x:f>IF('Assumptions'!$E$9=2,'Short-Term build'!M14,IF('Assumptions'!$E$9=3,'Installment build'!M14,'Short-Term build'!M14+'Installment build'!M14))</x:f>
        <x:v>41236167.51415146</x:v>
      </x:c>
      <x:c r="N14" s="35" t="n">
        <x:f>IF('Assumptions'!$E$9=2,'Short-Term build'!N14,IF('Assumptions'!$E$9=3,'Installment build'!N14,'Short-Term build'!N14+'Installment build'!N14))</x:f>
        <x:v>38170453.00335808</x:v>
      </x:c>
      <x:c r="O14" s="35" t="n">
        <x:f>IF('Assumptions'!$E$9=2,'Short-Term build'!O14,IF('Assumptions'!$E$9=3,'Installment build'!O14,'Short-Term build'!O14+'Installment build'!O14))</x:f>
        <x:v>35668293.60735801</x:v>
      </x:c>
      <x:c r="P14" s="35" t="n">
        <x:f>IF('Assumptions'!$E$9=2,'Short-Term build'!P14,IF('Assumptions'!$E$9=3,'Installment build'!P14,'Short-Term build'!P14+'Installment build'!P14))</x:f>
        <x:v>33599663.37363541</x:v>
      </x:c>
      <x:c r="Q14" s="35" t="n">
        <x:f>IF('Assumptions'!$E$9=2,'Short-Term build'!Q14,IF('Assumptions'!$E$9=3,'Installment build'!Q14,'Short-Term build'!Q14+'Installment build'!Q14))</x:f>
        <x:v>31864990.07304672</x:v>
      </x:c>
      <x:c r="R14" s="35" t="n">
        <x:f>IF('Assumptions'!$E$9=2,'Short-Term build'!R14,IF('Assumptions'!$E$9=3,'Installment build'!R14,'Short-Term build'!R14+'Installment build'!R14))</x:f>
        <x:v>30385636.50437732</x:v>
      </x:c>
      <x:c r="S14" s="35" t="n">
        <x:f>IF('Assumptions'!$E$9=2,'Short-Term build'!S14,IF('Assumptions'!$E$9=3,'Installment build'!S14,'Short-Term build'!S14+'Installment build'!S14))</x:f>
        <x:v>29100963.768412672</x:v>
      </x:c>
      <x:c r="T14" s="35" t="n">
        <x:f>IF('Assumptions'!$E$9=2,'Short-Term build'!T14,IF('Assumptions'!$E$9=3,'Installment build'!T14,'Short-Term build'!T14+'Installment build'!T14))</x:f>
        <x:v>28647329.136789754</x:v>
      </x:c>
      <x:c r="U14" s="35" t="n">
        <x:f>IF('Assumptions'!$E$9=2,'Short-Term build'!U14,IF('Assumptions'!$E$9=3,'Installment build'!U14,'Short-Term build'!U14+'Installment build'!U14))</x:f>
        <x:v>28266838.387085844</x:v>
      </x:c>
      <x:c r="V14" s="35" t="n">
        <x:f>IF('Assumptions'!$E$9=2,'Short-Term build'!V14,IF('Assumptions'!$E$9=3,'Installment build'!V14,'Short-Term build'!V14+'Installment build'!V14))</x:f>
        <x:v>27954702.48282248</x:v>
      </x:c>
      <x:c r="W14" s="35" t="n">
        <x:f>IF('Assumptions'!$E$9=2,'Short-Term build'!W14,IF('Assumptions'!$E$9=3,'Installment build'!W14,'Short-Term build'!W14+'Installment build'!W14))</x:f>
        <x:v>27709506.870747164</x:v>
      </x:c>
      <x:c r="X14" s="35" t="n">
        <x:f>IF('Assumptions'!$E$9=2,'Short-Term build'!X14,IF('Assumptions'!$E$9=3,'Installment build'!X14,'Short-Term build'!X14+'Installment build'!X14))</x:f>
        <x:v>27532581.927615993</x:v>
      </x:c>
      <x:c r="Y14" s="35" t="n">
        <x:f>IF('Assumptions'!$E$9=2,'Short-Term build'!Y14,IF('Assumptions'!$E$9=3,'Installment build'!Y14,'Short-Term build'!Y14+'Installment build'!Y14))</x:f>
        <x:v>27426826.22946876</x:v>
      </x:c>
      <x:c r="Z14" s="35" t="n">
        <x:f>IF('Assumptions'!$E$9=2,'Short-Term build'!Z14,IF('Assumptions'!$E$9=3,'Installment build'!Z14,'Short-Term build'!Z14+'Installment build'!Z14))</x:f>
        <x:v>27394987.5816041</x:v>
      </x:c>
      <x:c r="AA14" s="35" t="n">
        <x:f>IF('Assumptions'!$E$9=2,'Short-Term build'!AA14,IF('Assumptions'!$E$9=3,'Installment build'!AA14,'Short-Term build'!AA14+'Installment build'!AA14))</x:f>
        <x:v>27437771.049880076</x:v>
      </x:c>
      <x:c r="AB14" s="35" t="n">
        <x:f>IF('Assumptions'!$E$9=2,'Short-Term build'!AB14,IF('Assumptions'!$E$9=3,'Installment build'!AB14,'Short-Term build'!AB14+'Installment build'!AB14))</x:f>
        <x:v>27552422.082472537</x:v>
      </x:c>
      <x:c r="AC14" s="35" t="n">
        <x:f>IF('Assumptions'!$E$9=2,'Short-Term build'!AC14,IF('Assumptions'!$E$9=3,'Installment build'!AC14,'Short-Term build'!AC14+'Installment build'!AC14))</x:f>
        <x:v>27732682.936463013</x:v>
      </x:c>
      <x:c r="AD14" s="35" t="n">
        <x:f>IF('Assumptions'!$E$9=2,'Short-Term build'!AD14,IF('Assumptions'!$E$9=3,'Installment build'!AD14,'Short-Term build'!AD14+'Installment build'!AD14))</x:f>
        <x:v>27970411.082123693</x:v>
      </x:c>
      <x:c r="AE14" s="35" t="n">
        <x:f>IF('Assumptions'!$E$9=2,'Short-Term build'!AE14,IF('Assumptions'!$E$9=3,'Installment build'!AE14,'Short-Term build'!AE14+'Installment build'!AE14))</x:f>
        <x:v>28257750.502487674</x:v>
      </x:c>
      <x:c r="AF14" s="35" t="n">
        <x:f>IF('Assumptions'!$E$9=2,'Short-Term build'!AF14,IF('Assumptions'!$E$9=3,'Installment build'!AF14,'Short-Term build'!AF14+'Installment build'!AF14))</x:f>
        <x:v>28257750.502487674</x:v>
      </x:c>
      <x:c r="AG14" s="35" t="n">
        <x:f>IF('Assumptions'!$E$9=2,'Short-Term build'!AG14,IF('Assumptions'!$E$9=3,'Installment build'!AG14,'Short-Term build'!AG14+'Installment build'!AG14))</x:f>
        <x:v>28257750.502487674</x:v>
      </x:c>
      <x:c r="AH14" s="35" t="n">
        <x:f>IF('Assumptions'!$E$9=2,'Short-Term build'!AH14,IF('Assumptions'!$E$9=3,'Installment build'!AH14,'Short-Term build'!AH14+'Installment build'!AH14))</x:f>
        <x:v>28257750.502487674</x:v>
      </x:c>
      <x:c r="AI14" s="35" t="n">
        <x:f>IF('Assumptions'!$E$9=2,'Short-Term build'!AI14,IF('Assumptions'!$E$9=3,'Installment build'!AI14,'Short-Term build'!AI14+'Installment build'!AI14))</x:f>
        <x:v>28257750.502487674</x:v>
      </x:c>
      <x:c r="AJ14" s="35" t="n">
        <x:f>IF('Assumptions'!$E$9=2,'Short-Term build'!AJ14,IF('Assumptions'!$E$9=3,'Installment build'!AJ14,'Short-Term build'!AJ14+'Installment build'!AJ14))</x:f>
        <x:v>28257750.502487674</x:v>
      </x:c>
      <x:c r="AK14" s="35" t="n">
        <x:f>IF('Assumptions'!$E$9=2,'Short-Term build'!AK14,IF('Assumptions'!$E$9=3,'Installment build'!AK14,'Short-Term build'!AK14+'Installment build'!AK14))</x:f>
        <x:v>28257750.502487674</x:v>
      </x:c>
      <x:c r="AL14" s="35" t="n">
        <x:f>IF('Assumptions'!$E$9=2,'Short-Term build'!AL14,IF('Assumptions'!$E$9=3,'Installment build'!AL14,'Short-Term build'!AL14+'Installment build'!AL14))</x:f>
        <x:v>28257750.502487674</x:v>
      </x:c>
      <x:c r="AM14" s="35" t="n">
        <x:f>IF('Assumptions'!$E$9=2,'Short-Term build'!AM14,IF('Assumptions'!$E$9=3,'Installment build'!AM14,'Short-Term build'!AM14+'Installment build'!AM14))</x:f>
        <x:v>28257750.502487674</x:v>
      </x:c>
      <x:c r="AN14" s="35" t="n">
        <x:f>IF('Assumptions'!$E$9=2,'Short-Term build'!AN14,IF('Assumptions'!$E$9=3,'Installment build'!AN14,'Short-Term build'!AN14+'Installment build'!AN14))</x:f>
        <x:v>28257750.502487674</x:v>
      </x:c>
      <x:c r="AO14" s="35" t="n">
        <x:f>IF('Assumptions'!$E$9=2,'Short-Term build'!AO14,IF('Assumptions'!$E$9=3,'Installment build'!AO14,'Short-Term build'!AO14+'Installment build'!AO14))</x:f>
        <x:v>28257750.502487674</x:v>
      </x:c>
      <x:c r="AP14" s="35" t="n">
        <x:f>IF('Assumptions'!$E$9=2,'Short-Term build'!AP14,IF('Assumptions'!$E$9=3,'Installment build'!AP14,'Short-Term build'!AP14+'Installment build'!AP14))</x:f>
        <x:v>28257750.502487674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171673493.532214</x:v>
      </x:c>
      <x:c r="F15" s="2"/>
      <x:c r="G15" s="35" t="n">
        <x:f>IF('Assumptions'!$E$9=2,'Short-Term build'!G15,IF('Assumptions'!$E$9=3,'Installment build'!G15,'Short-Term build'!G15+'Installment build'!G15))</x:f>
        <x:v>9733578.110551627</x:v>
      </x:c>
      <x:c r="H15" s="35" t="n">
        <x:f>IF('Assumptions'!$E$9=2,'Short-Term build'!H15,IF('Assumptions'!$E$9=3,'Installment build'!H15,'Short-Term build'!H15+'Installment build'!H15))</x:f>
        <x:v>8783432.136055473</x:v>
      </x:c>
      <x:c r="I15" s="35" t="n">
        <x:f>IF('Assumptions'!$E$9=2,'Short-Term build'!I15,IF('Assumptions'!$E$9=3,'Installment build'!I15,'Short-Term build'!I15+'Installment build'!I15))</x:f>
        <x:v>8091447.875212204</x:v>
      </x:c>
      <x:c r="J15" s="35" t="n">
        <x:f>IF('Assumptions'!$E$9=2,'Short-Term build'!J15,IF('Assumptions'!$E$9=3,'Installment build'!J15,'Short-Term build'!J15+'Installment build'!J15))</x:f>
        <x:v>7593715.554384535</x:v>
      </x:c>
      <x:c r="K15" s="35" t="n">
        <x:f>IF('Assumptions'!$E$9=2,'Short-Term build'!K15,IF('Assumptions'!$E$9=3,'Installment build'!K15,'Short-Term build'!K15+'Installment build'!K15))</x:f>
        <x:v>7254215.822602931</x:v>
      </x:c>
      <x:c r="L15" s="35" t="n">
        <x:f>IF('Assumptions'!$E$9=2,'Short-Term build'!L15,IF('Assumptions'!$E$9=3,'Installment build'!L15,'Short-Term build'!L15+'Installment build'!L15))</x:f>
        <x:v>7040057.294411161</x:v>
      </x:c>
      <x:c r="M15" s="35" t="n">
        <x:f>IF('Assumptions'!$E$9=2,'Short-Term build'!M15,IF('Assumptions'!$E$9=3,'Installment build'!M15,'Short-Term build'!M15+'Installment build'!M15))</x:f>
        <x:v>6917855.340133462</x:v>
      </x:c>
      <x:c r="N15" s="35" t="n">
        <x:f>IF('Assumptions'!$E$9=2,'Short-Term build'!N15,IF('Assumptions'!$E$9=3,'Installment build'!N15,'Short-Term build'!N15+'Installment build'!N15))</x:f>
        <x:v>6856593.597478071</x:v>
      </x:c>
      <x:c r="O15" s="35" t="n">
        <x:f>IF('Assumptions'!$E$9=2,'Short-Term build'!O15,IF('Assumptions'!$E$9=3,'Installment build'!O15,'Short-Term build'!O15+'Installment build'!O15))</x:f>
        <x:v>6831285.950842319</x:v>
      </x:c>
      <x:c r="P15" s="35" t="n">
        <x:f>IF('Assumptions'!$E$9=2,'Short-Term build'!P15,IF('Assumptions'!$E$9=3,'Installment build'!P15,'Short-Term build'!P15+'Installment build'!P15))</x:f>
        <x:v>6824591.584799889</x:v>
      </x:c>
      <x:c r="Q15" s="35" t="n">
        <x:f>IF('Assumptions'!$E$9=2,'Short-Term build'!Q15,IF('Assumptions'!$E$9=3,'Installment build'!Q15,'Short-Term build'!Q15+'Installment build'!Q15))</x:f>
        <x:v>6826067.478216312</x:v>
      </x:c>
      <x:c r="R15" s="35" t="n">
        <x:f>IF('Assumptions'!$E$9=2,'Short-Term build'!R15,IF('Assumptions'!$E$9=3,'Installment build'!R15,'Short-Term build'!R15+'Installment build'!R15))</x:f>
        <x:v>6830213.847281564</x:v>
      </x:c>
      <x:c r="S15" s="35" t="n">
        <x:f>IF('Assumptions'!$E$9=2,'Short-Term build'!S15,IF('Assumptions'!$E$9=3,'Installment build'!S15,'Short-Term build'!S15+'Installment build'!S15))</x:f>
        <x:v>6834520.807699965</x:v>
      </x:c>
      <x:c r="T15" s="35" t="n">
        <x:f>IF('Assumptions'!$E$9=2,'Short-Term build'!T15,IF('Assumptions'!$E$9=3,'Installment build'!T15,'Short-Term build'!T15+'Installment build'!T15))</x:f>
        <x:v>6838060.928823134</x:v>
      </x:c>
      <x:c r="U15" s="35" t="n">
        <x:f>IF('Assumptions'!$E$9=2,'Short-Term build'!U15,IF('Assumptions'!$E$9=3,'Installment build'!U15,'Short-Term build'!U15+'Installment build'!U15))</x:f>
        <x:v>6840007.503332081</x:v>
      </x:c>
      <x:c r="V15" s="35" t="n">
        <x:f>IF('Assumptions'!$E$9=2,'Short-Term build'!V15,IF('Assumptions'!$E$9=3,'Installment build'!V15,'Short-Term build'!V15+'Installment build'!V15))</x:f>
        <x:v>6841065.402443575</x:v>
      </x:c>
      <x:c r="W15" s="35" t="n">
        <x:f>IF('Assumptions'!$E$9=2,'Short-Term build'!W15,IF('Assumptions'!$E$9=3,'Installment build'!W15,'Short-Term build'!W15+'Installment build'!W15))</x:f>
        <x:v>6841633.975315279</x:v>
      </x:c>
      <x:c r="X15" s="35" t="n">
        <x:f>IF('Assumptions'!$E$9=2,'Short-Term build'!X15,IF('Assumptions'!$E$9=3,'Installment build'!X15,'Short-Term build'!X15+'Installment build'!X15))</x:f>
        <x:v>6841935.929673025</x:v>
      </x:c>
      <x:c r="Y15" s="35" t="n">
        <x:f>IF('Assumptions'!$E$9=2,'Short-Term build'!Y15,IF('Assumptions'!$E$9=3,'Installment build'!Y15,'Short-Term build'!Y15+'Installment build'!Y15))</x:f>
        <x:v>6842094.036413723</x:v>
      </x:c>
      <x:c r="Z15" s="35" t="n">
        <x:f>IF('Assumptions'!$E$9=2,'Short-Term build'!Z15,IF('Assumptions'!$E$9=3,'Installment build'!Z15,'Short-Term build'!Z15+'Installment build'!Z15))</x:f>
        <x:v>6842175.331975786</x:v>
      </x:c>
      <x:c r="AA15" s="35" t="n">
        <x:f>IF('Assumptions'!$E$9=2,'Short-Term build'!AA15,IF('Assumptions'!$E$9=3,'Installment build'!AA15,'Short-Term build'!AA15+'Installment build'!AA15))</x:f>
        <x:v>6842216.097719776</x:v>
      </x:c>
      <x:c r="AB15" s="35" t="n">
        <x:f>IF('Assumptions'!$E$9=2,'Short-Term build'!AB15,IF('Assumptions'!$E$9=3,'Installment build'!AB15,'Short-Term build'!AB15+'Installment build'!AB15))</x:f>
        <x:v>6842235.792812318</x:v>
      </x:c>
      <x:c r="AC15" s="35" t="n">
        <x:f>IF('Assumptions'!$E$9=2,'Short-Term build'!AC15,IF('Assumptions'!$E$9=3,'Installment build'!AC15,'Short-Term build'!AC15+'Installment build'!AC15))</x:f>
        <x:v>6842244.749006409</x:v>
      </x:c>
      <x:c r="AD15" s="35" t="n">
        <x:f>IF('Assumptions'!$E$9=2,'Short-Term build'!AD15,IF('Assumptions'!$E$9=3,'Installment build'!AD15,'Short-Term build'!AD15+'Installment build'!AD15))</x:f>
        <x:v>6842248.385029383</x:v>
      </x:c>
      <x:c r="AE15" s="35" t="n">
        <x:f>IF('Assumptions'!$E$9=2,'Short-Term build'!AE15,IF('Assumptions'!$E$9=3,'Installment build'!AE15,'Short-Term build'!AE15+'Installment build'!AE15))</x:f>
        <x:v>6842249.497512322</x:v>
      </x:c>
      <x:c r="AF15" s="35" t="n">
        <x:f>IF('Assumptions'!$E$9=2,'Short-Term build'!AF15,IF('Assumptions'!$E$9=3,'Installment build'!AF15,'Short-Term build'!AF15+'Installment build'!AF15))</x:f>
        <x:v>6842249.497512322</x:v>
      </x:c>
      <x:c r="AG15" s="35" t="n">
        <x:f>IF('Assumptions'!$E$9=2,'Short-Term build'!AG15,IF('Assumptions'!$E$9=3,'Installment build'!AG15,'Short-Term build'!AG15+'Installment build'!AG15))</x:f>
        <x:v>6842249.497512322</x:v>
      </x:c>
      <x:c r="AH15" s="35" t="n">
        <x:f>IF('Assumptions'!$E$9=2,'Short-Term build'!AH15,IF('Assumptions'!$E$9=3,'Installment build'!AH15,'Short-Term build'!AH15+'Installment build'!AH15))</x:f>
        <x:v>6842249.497512322</x:v>
      </x:c>
      <x:c r="AI15" s="35" t="n">
        <x:f>IF('Assumptions'!$E$9=2,'Short-Term build'!AI15,IF('Assumptions'!$E$9=3,'Installment build'!AI15,'Short-Term build'!AI15+'Installment build'!AI15))</x:f>
        <x:v>6842249.497512322</x:v>
      </x:c>
      <x:c r="AJ15" s="35" t="n">
        <x:f>IF('Assumptions'!$E$9=2,'Short-Term build'!AJ15,IF('Assumptions'!$E$9=3,'Installment build'!AJ15,'Short-Term build'!AJ15+'Installment build'!AJ15))</x:f>
        <x:v>6842249.497512322</x:v>
      </x:c>
      <x:c r="AK15" s="35" t="n">
        <x:f>IF('Assumptions'!$E$9=2,'Short-Term build'!AK15,IF('Assumptions'!$E$9=3,'Installment build'!AK15,'Short-Term build'!AK15+'Installment build'!AK15))</x:f>
        <x:v>6842249.497512322</x:v>
      </x:c>
      <x:c r="AL15" s="35" t="n">
        <x:f>IF('Assumptions'!$E$9=2,'Short-Term build'!AL15,IF('Assumptions'!$E$9=3,'Installment build'!AL15,'Short-Term build'!AL15+'Installment build'!AL15))</x:f>
        <x:v>6842249.497512322</x:v>
      </x:c>
      <x:c r="AM15" s="35" t="n">
        <x:f>IF('Assumptions'!$E$9=2,'Short-Term build'!AM15,IF('Assumptions'!$E$9=3,'Installment build'!AM15,'Short-Term build'!AM15+'Installment build'!AM15))</x:f>
        <x:v>6842249.497512322</x:v>
      </x:c>
      <x:c r="AN15" s="35" t="n">
        <x:f>IF('Assumptions'!$E$9=2,'Short-Term build'!AN15,IF('Assumptions'!$E$9=3,'Installment build'!AN15,'Short-Term build'!AN15+'Installment build'!AN15))</x:f>
        <x:v>6842249.497512322</x:v>
      </x:c>
      <x:c r="AO15" s="35" t="n">
        <x:f>IF('Assumptions'!$E$9=2,'Short-Term build'!AO15,IF('Assumptions'!$E$9=3,'Installment build'!AO15,'Short-Term build'!AO15+'Installment build'!AO15))</x:f>
        <x:v>6842249.497512322</x:v>
      </x:c>
      <x:c r="AP15" s="35" t="n">
        <x:f>IF('Assumptions'!$E$9=2,'Short-Term build'!AP15,IF('Assumptions'!$E$9=3,'Installment build'!AP15,'Short-Term build'!AP15+'Installment build'!AP15))</x:f>
        <x:v>6842249.497512322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355190025.33926</x:v>
      </x:c>
      <x:c r="F16" s="42"/>
      <x:c r="G16" s="43" t="n">
        <x:f>G13+G11-G14-G15</x:f>
        <x:v>552385613.3957957</x:v>
      </x:c>
      <x:c r="H16" s="43" t="n">
        <x:f>H13+H11-H14-H15</x:f>
        <x:v>498586002.86747444</x:v>
      </x:c>
      <x:c r="I16" s="43" t="n">
        <x:f>I13+I11-I14-I15</x:f>
        <x:v>460122143.35031354</x:v>
      </x:c>
      <x:c r="J16" s="43" t="n">
        <x:f>J13+J11-J14-J15</x:f>
        <x:v>431276649.2693305</x:v>
      </x:c>
      <x:c r="K16" s="43" t="n">
        <x:f>K13+K11-K14-K15</x:f>
        <x:v>409210454.66390604</x:v>
      </x:c>
      <x:c r="L16" s="43" t="n">
        <x:f>L13+L11-L14-L15</x:f>
        <x:v>392219299.6896691</x:v>
      </x:c>
      <x:c r="M16" s="43" t="n">
        <x:f>M13+M11-M14-M15</x:f>
        <x:v>379165276.83538413</x:v>
      </x:c>
      <x:c r="N16" s="43" t="n">
        <x:f>N13+N11-N14-N15</x:f>
        <x:v>369238230.234548</x:v>
      </x:c>
      <x:c r="O16" s="43" t="n">
        <x:f>O13+O11-O14-O15</x:f>
        <x:v>361838650.6763477</x:v>
      </x:c>
      <x:c r="P16" s="43" t="n">
        <x:f>P13+P11-P14-P15</x:f>
        <x:v>356514395.7179124</x:v>
      </x:c>
      <x:c r="Q16" s="43" t="n">
        <x:f>Q13+Q11-Q14-Q15</x:f>
        <x:v>352923338.16664934</x:v>
      </x:c>
      <x:c r="R16" s="43" t="n">
        <x:f>R13+R11-R14-R15</x:f>
        <x:v>350807487.81499046</x:v>
      </x:c>
      <x:c r="S16" s="43" t="n">
        <x:f>S13+S11-S14-S15</x:f>
        <x:v>349972003.23887783</x:v>
      </x:c>
      <x:c r="T16" s="43" t="n">
        <x:f>T13+T11-T14-T15</x:f>
        <x:v>349586613.173265</x:v>
      </x:c>
      <x:c r="U16" s="43" t="n">
        <x:f>U13+U11-U14-U15</x:f>
        <x:v>349579767.28284705</x:v>
      </x:c>
      <x:c r="V16" s="43" t="n">
        <x:f>V13+V11-V14-V15</x:f>
        <x:v>349883999.397581</x:v>
      </x:c>
      <x:c r="W16" s="43" t="n">
        <x:f>W13+W11-W14-W15</x:f>
        <x:v>350432858.55151856</x:v>
      </x:c>
      <x:c r="X16" s="43" t="n">
        <x:f>X13+X11-X14-X15</x:f>
        <x:v>351158340.69422954</x:v>
      </x:c>
      <x:c r="Y16" s="43" t="n">
        <x:f>Y13+Y11-Y14-Y15</x:f>
        <x:v>351989420.42834705</x:v>
      </x:c>
      <x:c r="Z16" s="43" t="n">
        <x:f>Z13+Z11-Z14-Z15</x:f>
        <x:v>352852257.51476717</x:v>
      </x:c>
      <x:c r="AA16" s="43" t="n">
        <x:f>AA13+AA11-AA14-AA15</x:f>
        <x:v>353672270.3671673</x:v>
      </x:c>
      <x:c r="AB16" s="43" t="n">
        <x:f>AB13+AB11-AB14-AB15</x:f>
        <x:v>354377612.49188244</x:v>
      </x:c>
      <x:c r="AC16" s="43" t="n">
        <x:f>AC13+AC11-AC14-AC15</x:f>
        <x:v>354902684.80641305</x:v>
      </x:c>
      <x:c r="AD16" s="43" t="n">
        <x:f>AD13+AD11-AD14-AD15</x:f>
        <x:v>355190025.33926</x:v>
      </x:c>
      <x:c r="AE16" s="43" t="n">
        <x:f>AE13+AE11-AE14-AE15</x:f>
        <x:v>355190025.33926</x:v>
      </x:c>
      <x:c r="AF16" s="43" t="n">
        <x:f>AF13+AF11-AF14-AF15</x:f>
        <x:v>355190025.33926</x:v>
      </x:c>
      <x:c r="AG16" s="43" t="n">
        <x:f>AG13+AG11-AG14-AG15</x:f>
        <x:v>355190025.33926</x:v>
      </x:c>
      <x:c r="AH16" s="43" t="n">
        <x:f>AH13+AH11-AH14-AH15</x:f>
        <x:v>355190025.33926</x:v>
      </x:c>
      <x:c r="AI16" s="43" t="n">
        <x:f>AI13+AI11-AI14-AI15</x:f>
        <x:v>355190025.33926</x:v>
      </x:c>
      <x:c r="AJ16" s="43" t="n">
        <x:f>AJ13+AJ11-AJ14-AJ15</x:f>
        <x:v>355190025.33926</x:v>
      </x:c>
      <x:c r="AK16" s="43" t="n">
        <x:f>AK13+AK11-AK14-AK15</x:f>
        <x:v>355190025.33926</x:v>
      </x:c>
      <x:c r="AL16" s="43" t="n">
        <x:f>AL13+AL11-AL14-AL15</x:f>
        <x:v>355190025.33926</x:v>
      </x:c>
      <x:c r="AM16" s="43" t="n">
        <x:f>AM13+AM11-AM14-AM15</x:f>
        <x:v>355190025.33926</x:v>
      </x:c>
      <x:c r="AN16" s="43" t="n">
        <x:f>AN13+AN11-AN14-AN15</x:f>
        <x:v>355190025.33926</x:v>
      </x:c>
      <x:c r="AO16" s="43" t="n">
        <x:f>AO13+AO11-AO14-AO15</x:f>
        <x:v>355190025.33926</x:v>
      </x:c>
      <x:c r="AP16" s="43" t="n">
        <x:f>AP13+AP11-AP14-AP15</x:f>
        <x:v>355190025.33926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38295554.44468585</x:v>
      </x:c>
      <x:c r="F18" s="2"/>
      <x:c r="G18" s="35" t="n">
        <x:f>IF('Assumptions'!$E$9=2,'Short-Term build'!G18,IF('Assumptions'!$E$9=3,'Installment build'!G18,'Short-Term build'!G18+'Installment build'!G18))</x:f>
        <x:v>38295554.44468585</x:v>
      </x:c>
      <x:c r="H18" s="35" t="n">
        <x:f>G20</x:f>
        <x:v>35404225.83164655</x:v>
      </x:c>
      <x:c r="I18" s="35" t="n">
        <x:f>H20</x:f>
        <x:v>33463043.1931034</x:v>
      </x:c>
      <x:c r="J18" s="35" t="n">
        <x:f>I20</x:f>
        <x:v>32213844.815403517</x:v>
      </x:c>
      <x:c r="K18" s="35" t="n">
        <x:f>J20</x:f>
        <x:v>31462378.758531302</x:v>
      </x:c>
      <x:c r="L18" s="35" t="n">
        <x:f>K20</x:f>
        <x:v>31050412.433440696</x:v>
      </x:c>
      <x:c r="M18" s="35" t="n">
        <x:f>L20</x:f>
        <x:v>30852604.63654186</x:v>
      </x:c>
      <x:c r="N18" s="35" t="n">
        <x:f>M20</x:f>
        <x:v>30776998.79392072</x:v>
      </x:c>
      <x:c r="O18" s="35" t="n">
        <x:f>N20</x:f>
        <x:v>30762654.693954974</x:v>
      </x:c>
      <x:c r="P18" s="35" t="n">
        <x:f>O20</x:f>
        <x:v>30773618.24062498</x:v>
      </x:c>
      <x:c r="Q18" s="35" t="n">
        <x:f>P20</x:f>
        <x:v>30791276.153337415</x:v>
      </x:c>
      <x:c r="R18" s="35" t="n">
        <x:f>Q20</x:f>
        <x:v>30807458.172633424</x:v>
      </x:c>
      <x:c r="S18" s="35" t="n">
        <x:f>R20</x:f>
        <x:v>30819493.822864186</x:v>
      </x:c>
      <x:c r="T18" s="35" t="n">
        <x:f>S20</x:f>
        <x:v>30827222.512676544</x:v>
      </x:c>
      <x:c r="U18" s="35" t="n">
        <x:f>T20</x:f>
        <x:v>30831411.081365734</x:v>
      </x:c>
      <x:c r="V18" s="35" t="n">
        <x:f>U20</x:f>
        <x:v>30833653.075545978</x:v>
      </x:c>
      <x:c r="W18" s="35" t="n">
        <x:f>V20</x:f>
        <x:v>30834837.170614727</x:v>
      </x:c>
      <x:c r="X18" s="35" t="n">
        <x:f>W20</x:f>
        <x:v>30835452.692811772</x:v>
      </x:c>
      <x:c r="Y18" s="35" t="n">
        <x:f>X20</x:f>
        <x:v>30835766.260651074</x:v>
      </x:c>
      <x:c r="Z18" s="35" t="n">
        <x:f>Y20</x:f>
        <x:v>30835921.72174968</x:v>
      </x:c>
      <x:c r="AA18" s="35" t="n">
        <x:f>Z20</x:f>
        <x:v>30835995.887286216</x:v>
      </x:c>
      <x:c r="AB18" s="35" t="n">
        <x:f>AA20</x:f>
        <x:v>30836029.287078764</x:v>
      </x:c>
      <x:c r="AC18" s="35" t="n">
        <x:f>AB20</x:f>
        <x:v>30836042.99177877</x:v>
      </x:c>
      <x:c r="AD18" s="35" t="n">
        <x:f>AC20</x:f>
        <x:v>30836047.740284685</x:v>
      </x:c>
      <x:c r="AE18" s="35" t="n">
        <x:f>AD20</x:f>
        <x:v>30836048.852767624</x:v>
      </x:c>
      <x:c r="AF18" s="35" t="n">
        <x:f>AE20</x:f>
        <x:v>30836048.852767628</x:v>
      </x:c>
      <x:c r="AG18" s="35" t="n">
        <x:f>AF20</x:f>
        <x:v>30836048.852767628</x:v>
      </x:c>
      <x:c r="AH18" s="35" t="n">
        <x:f>AG20</x:f>
        <x:v>30836048.852767628</x:v>
      </x:c>
      <x:c r="AI18" s="35" t="n">
        <x:f>AH20</x:f>
        <x:v>30836048.852767628</x:v>
      </x:c>
      <x:c r="AJ18" s="35" t="n">
        <x:f>AI20</x:f>
        <x:v>30836048.852767628</x:v>
      </x:c>
      <x:c r="AK18" s="35" t="n">
        <x:f>AJ20</x:f>
        <x:v>30836048.852767628</x:v>
      </x:c>
      <x:c r="AL18" s="35" t="n">
        <x:f>AK20</x:f>
        <x:v>30836048.852767628</x:v>
      </x:c>
      <x:c r="AM18" s="35" t="n">
        <x:f>AL20</x:f>
        <x:v>30836048.852767628</x:v>
      </x:c>
      <x:c r="AN18" s="35" t="n">
        <x:f>AM20</x:f>
        <x:v>30836048.852767628</x:v>
      </x:c>
      <x:c r="AO18" s="35" t="n">
        <x:f>AN20</x:f>
        <x:v>30836048.852767628</x:v>
      </x:c>
      <x:c r="AP18" s="35" t="n">
        <x:f>AO20</x:f>
        <x:v>30836048.852767628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164213987.94029573</x:v>
      </x:c>
      <x:c r="F19" s="2"/>
      <x:c r="G19" s="35" t="n">
        <x:f>IF('Assumptions'!$E$9=2,'Short-Term build'!G19,IF('Assumptions'!$E$9=3,'Installment build'!G19,'Short-Term build'!G19+'Installment build'!G19))</x:f>
        <x:v>6842249.497512323</x:v>
      </x:c>
      <x:c r="H19" s="35" t="n">
        <x:f>IF('Assumptions'!$E$9=2,'Short-Term build'!H19,IF('Assumptions'!$E$9=3,'Installment build'!H19,'Short-Term build'!H19+'Installment build'!H19))</x:f>
        <x:v>6842249.497512323</x:v>
      </x:c>
      <x:c r="I19" s="35" t="n">
        <x:f>IF('Assumptions'!$E$9=2,'Short-Term build'!I19,IF('Assumptions'!$E$9=3,'Installment build'!I19,'Short-Term build'!I19+'Installment build'!I19))</x:f>
        <x:v>6842249.497512323</x:v>
      </x:c>
      <x:c r="J19" s="35" t="n">
        <x:f>IF('Assumptions'!$E$9=2,'Short-Term build'!J19,IF('Assumptions'!$E$9=3,'Installment build'!J19,'Short-Term build'!J19+'Installment build'!J19))</x:f>
        <x:v>6842249.497512323</x:v>
      </x:c>
      <x:c r="K19" s="35" t="n">
        <x:f>IF('Assumptions'!$E$9=2,'Short-Term build'!K19,IF('Assumptions'!$E$9=3,'Installment build'!K19,'Short-Term build'!K19+'Installment build'!K19))</x:f>
        <x:v>6842249.497512323</x:v>
      </x:c>
      <x:c r="L19" s="35" t="n">
        <x:f>IF('Assumptions'!$E$9=2,'Short-Term build'!L19,IF('Assumptions'!$E$9=3,'Installment build'!L19,'Short-Term build'!L19+'Installment build'!L19))</x:f>
        <x:v>6842249.497512323</x:v>
      </x:c>
      <x:c r="M19" s="35" t="n">
        <x:f>IF('Assumptions'!$E$9=2,'Short-Term build'!M19,IF('Assumptions'!$E$9=3,'Installment build'!M19,'Short-Term build'!M19+'Installment build'!M19))</x:f>
        <x:v>6842249.497512323</x:v>
      </x:c>
      <x:c r="N19" s="35" t="n">
        <x:f>IF('Assumptions'!$E$9=2,'Short-Term build'!N19,IF('Assumptions'!$E$9=3,'Installment build'!N19,'Short-Term build'!N19+'Installment build'!N19))</x:f>
        <x:v>6842249.497512323</x:v>
      </x:c>
      <x:c r="O19" s="35" t="n">
        <x:f>IF('Assumptions'!$E$9=2,'Short-Term build'!O19,IF('Assumptions'!$E$9=3,'Installment build'!O19,'Short-Term build'!O19+'Installment build'!O19))</x:f>
        <x:v>6842249.497512323</x:v>
      </x:c>
      <x:c r="P19" s="35" t="n">
        <x:f>IF('Assumptions'!$E$9=2,'Short-Term build'!P19,IF('Assumptions'!$E$9=3,'Installment build'!P19,'Short-Term build'!P19+'Installment build'!P19))</x:f>
        <x:v>6842249.497512323</x:v>
      </x:c>
      <x:c r="Q19" s="35" t="n">
        <x:f>IF('Assumptions'!$E$9=2,'Short-Term build'!Q19,IF('Assumptions'!$E$9=3,'Installment build'!Q19,'Short-Term build'!Q19+'Installment build'!Q19))</x:f>
        <x:v>6842249.497512323</x:v>
      </x:c>
      <x:c r="R19" s="35" t="n">
        <x:f>IF('Assumptions'!$E$9=2,'Short-Term build'!R19,IF('Assumptions'!$E$9=3,'Installment build'!R19,'Short-Term build'!R19+'Installment build'!R19))</x:f>
        <x:v>6842249.497512323</x:v>
      </x:c>
      <x:c r="S19" s="35" t="n">
        <x:f>IF('Assumptions'!$E$9=2,'Short-Term build'!S19,IF('Assumptions'!$E$9=3,'Installment build'!S19,'Short-Term build'!S19+'Installment build'!S19))</x:f>
        <x:v>6842249.497512323</x:v>
      </x:c>
      <x:c r="T19" s="35" t="n">
        <x:f>IF('Assumptions'!$E$9=2,'Short-Term build'!T19,IF('Assumptions'!$E$9=3,'Installment build'!T19,'Short-Term build'!T19+'Installment build'!T19))</x:f>
        <x:v>6842249.497512323</x:v>
      </x:c>
      <x:c r="U19" s="35" t="n">
        <x:f>IF('Assumptions'!$E$9=2,'Short-Term build'!U19,IF('Assumptions'!$E$9=3,'Installment build'!U19,'Short-Term build'!U19+'Installment build'!U19))</x:f>
        <x:v>6842249.497512323</x:v>
      </x:c>
      <x:c r="V19" s="35" t="n">
        <x:f>IF('Assumptions'!$E$9=2,'Short-Term build'!V19,IF('Assumptions'!$E$9=3,'Installment build'!V19,'Short-Term build'!V19+'Installment build'!V19))</x:f>
        <x:v>6842249.497512323</x:v>
      </x:c>
      <x:c r="W19" s="35" t="n">
        <x:f>IF('Assumptions'!$E$9=2,'Short-Term build'!W19,IF('Assumptions'!$E$9=3,'Installment build'!W19,'Short-Term build'!W19+'Installment build'!W19))</x:f>
        <x:v>6842249.497512323</x:v>
      </x:c>
      <x:c r="X19" s="35" t="n">
        <x:f>IF('Assumptions'!$E$9=2,'Short-Term build'!X19,IF('Assumptions'!$E$9=3,'Installment build'!X19,'Short-Term build'!X19+'Installment build'!X19))</x:f>
        <x:v>6842249.497512323</x:v>
      </x:c>
      <x:c r="Y19" s="35" t="n">
        <x:f>IF('Assumptions'!$E$9=2,'Short-Term build'!Y19,IF('Assumptions'!$E$9=3,'Installment build'!Y19,'Short-Term build'!Y19+'Installment build'!Y19))</x:f>
        <x:v>6842249.497512323</x:v>
      </x:c>
      <x:c r="Z19" s="35" t="n">
        <x:f>IF('Assumptions'!$E$9=2,'Short-Term build'!Z19,IF('Assumptions'!$E$9=3,'Installment build'!Z19,'Short-Term build'!Z19+'Installment build'!Z19))</x:f>
        <x:v>6842249.497512323</x:v>
      </x:c>
      <x:c r="AA19" s="35" t="n">
        <x:f>IF('Assumptions'!$E$9=2,'Short-Term build'!AA19,IF('Assumptions'!$E$9=3,'Installment build'!AA19,'Short-Term build'!AA19+'Installment build'!AA19))</x:f>
        <x:v>6842249.497512323</x:v>
      </x:c>
      <x:c r="AB19" s="35" t="n">
        <x:f>IF('Assumptions'!$E$9=2,'Short-Term build'!AB19,IF('Assumptions'!$E$9=3,'Installment build'!AB19,'Short-Term build'!AB19+'Installment build'!AB19))</x:f>
        <x:v>6842249.497512323</x:v>
      </x:c>
      <x:c r="AC19" s="35" t="n">
        <x:f>IF('Assumptions'!$E$9=2,'Short-Term build'!AC19,IF('Assumptions'!$E$9=3,'Installment build'!AC19,'Short-Term build'!AC19+'Installment build'!AC19))</x:f>
        <x:v>6842249.497512323</x:v>
      </x:c>
      <x:c r="AD19" s="35" t="n">
        <x:f>IF('Assumptions'!$E$9=2,'Short-Term build'!AD19,IF('Assumptions'!$E$9=3,'Installment build'!AD19,'Short-Term build'!AD19+'Installment build'!AD19))</x:f>
        <x:v>6842249.497512323</x:v>
      </x:c>
      <x:c r="AE19" s="35" t="n">
        <x:f>IF('Assumptions'!$E$9=2,'Short-Term build'!AE19,IF('Assumptions'!$E$9=3,'Installment build'!AE19,'Short-Term build'!AE19+'Installment build'!AE19))</x:f>
        <x:v>6842249.497512323</x:v>
      </x:c>
      <x:c r="AF19" s="35" t="n">
        <x:f>IF('Assumptions'!$E$9=2,'Short-Term build'!AF19,IF('Assumptions'!$E$9=3,'Installment build'!AF19,'Short-Term build'!AF19+'Installment build'!AF19))</x:f>
        <x:v>6842249.497512323</x:v>
      </x:c>
      <x:c r="AG19" s="35" t="n">
        <x:f>IF('Assumptions'!$E$9=2,'Short-Term build'!AG19,IF('Assumptions'!$E$9=3,'Installment build'!AG19,'Short-Term build'!AG19+'Installment build'!AG19))</x:f>
        <x:v>6842249.497512323</x:v>
      </x:c>
      <x:c r="AH19" s="35" t="n">
        <x:f>IF('Assumptions'!$E$9=2,'Short-Term build'!AH19,IF('Assumptions'!$E$9=3,'Installment build'!AH19,'Short-Term build'!AH19+'Installment build'!AH19))</x:f>
        <x:v>6842249.497512323</x:v>
      </x:c>
      <x:c r="AI19" s="35" t="n">
        <x:f>IF('Assumptions'!$E$9=2,'Short-Term build'!AI19,IF('Assumptions'!$E$9=3,'Installment build'!AI19,'Short-Term build'!AI19+'Installment build'!AI19))</x:f>
        <x:v>6842249.497512323</x:v>
      </x:c>
      <x:c r="AJ19" s="35" t="n">
        <x:f>IF('Assumptions'!$E$9=2,'Short-Term build'!AJ19,IF('Assumptions'!$E$9=3,'Installment build'!AJ19,'Short-Term build'!AJ19+'Installment build'!AJ19))</x:f>
        <x:v>6842249.497512323</x:v>
      </x:c>
      <x:c r="AK19" s="35" t="n">
        <x:f>IF('Assumptions'!$E$9=2,'Short-Term build'!AK19,IF('Assumptions'!$E$9=3,'Installment build'!AK19,'Short-Term build'!AK19+'Installment build'!AK19))</x:f>
        <x:v>6842249.497512323</x:v>
      </x:c>
      <x:c r="AL19" s="35" t="n">
        <x:f>IF('Assumptions'!$E$9=2,'Short-Term build'!AL19,IF('Assumptions'!$E$9=3,'Installment build'!AL19,'Short-Term build'!AL19+'Installment build'!AL19))</x:f>
        <x:v>6842249.497512323</x:v>
      </x:c>
      <x:c r="AM19" s="35" t="n">
        <x:f>IF('Assumptions'!$E$9=2,'Short-Term build'!AM19,IF('Assumptions'!$E$9=3,'Installment build'!AM19,'Short-Term build'!AM19+'Installment build'!AM19))</x:f>
        <x:v>6842249.497512323</x:v>
      </x:c>
      <x:c r="AN19" s="35" t="n">
        <x:f>IF('Assumptions'!$E$9=2,'Short-Term build'!AN19,IF('Assumptions'!$E$9=3,'Installment build'!AN19,'Short-Term build'!AN19+'Installment build'!AN19))</x:f>
        <x:v>6842249.497512323</x:v>
      </x:c>
      <x:c r="AO19" s="35" t="n">
        <x:f>IF('Assumptions'!$E$9=2,'Short-Term build'!AO19,IF('Assumptions'!$E$9=3,'Installment build'!AO19,'Short-Term build'!AO19+'Installment build'!AO19))</x:f>
        <x:v>6842249.497512323</x:v>
      </x:c>
      <x:c r="AP19" s="35" t="n">
        <x:f>IF('Assumptions'!$E$9=2,'Short-Term build'!AP19,IF('Assumptions'!$E$9=3,'Installment build'!AP19,'Short-Term build'!AP19+'Installment build'!AP19))</x:f>
        <x:v>6842249.497512323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30836048.852767624</x:v>
      </x:c>
      <x:c r="F20" s="42"/>
      <x:c r="G20" s="43" t="n">
        <x:f>G18+G19-G15</x:f>
        <x:v>35404225.83164655</x:v>
      </x:c>
      <x:c r="H20" s="43" t="n">
        <x:f>H18+H19-H15</x:f>
        <x:v>33463043.1931034</x:v>
      </x:c>
      <x:c r="I20" s="43" t="n">
        <x:f>I18+I19-I15</x:f>
        <x:v>32213844.815403517</x:v>
      </x:c>
      <x:c r="J20" s="43" t="n">
        <x:f>J18+J19-J15</x:f>
        <x:v>31462378.758531302</x:v>
      </x:c>
      <x:c r="K20" s="43" t="n">
        <x:f>K18+K19-K15</x:f>
        <x:v>31050412.433440696</x:v>
      </x:c>
      <x:c r="L20" s="43" t="n">
        <x:f>L18+L19-L15</x:f>
        <x:v>30852604.63654186</x:v>
      </x:c>
      <x:c r="M20" s="43" t="n">
        <x:f>M18+M19-M15</x:f>
        <x:v>30776998.79392072</x:v>
      </x:c>
      <x:c r="N20" s="43" t="n">
        <x:f>N18+N19-N15</x:f>
        <x:v>30762654.693954974</x:v>
      </x:c>
      <x:c r="O20" s="43" t="n">
        <x:f>O18+O19-O15</x:f>
        <x:v>30773618.24062498</x:v>
      </x:c>
      <x:c r="P20" s="43" t="n">
        <x:f>P18+P19-P15</x:f>
        <x:v>30791276.153337415</x:v>
      </x:c>
      <x:c r="Q20" s="43" t="n">
        <x:f>Q18+Q19-Q15</x:f>
        <x:v>30807458.172633424</x:v>
      </x:c>
      <x:c r="R20" s="43" t="n">
        <x:f>R18+R19-R15</x:f>
        <x:v>30819493.822864186</x:v>
      </x:c>
      <x:c r="S20" s="43" t="n">
        <x:f>S18+S19-S15</x:f>
        <x:v>30827222.512676544</x:v>
      </x:c>
      <x:c r="T20" s="43" t="n">
        <x:f>T18+T19-T15</x:f>
        <x:v>30831411.081365734</x:v>
      </x:c>
      <x:c r="U20" s="43" t="n">
        <x:f>U18+U19-U15</x:f>
        <x:v>30833653.075545978</x:v>
      </x:c>
      <x:c r="V20" s="43" t="n">
        <x:f>V18+V19-V15</x:f>
        <x:v>30834837.170614727</x:v>
      </x:c>
      <x:c r="W20" s="43" t="n">
        <x:f>W18+W19-W15</x:f>
        <x:v>30835452.692811772</x:v>
      </x:c>
      <x:c r="X20" s="43" t="n">
        <x:f>X18+X19-X15</x:f>
        <x:v>30835766.260651074</x:v>
      </x:c>
      <x:c r="Y20" s="43" t="n">
        <x:f>Y18+Y19-Y15</x:f>
        <x:v>30835921.72174968</x:v>
      </x:c>
      <x:c r="Z20" s="43" t="n">
        <x:f>Z18+Z19-Z15</x:f>
        <x:v>30835995.887286216</x:v>
      </x:c>
      <x:c r="AA20" s="43" t="n">
        <x:f>AA18+AA19-AA15</x:f>
        <x:v>30836029.287078764</x:v>
      </x:c>
      <x:c r="AB20" s="43" t="n">
        <x:f>AB18+AB19-AB15</x:f>
        <x:v>30836042.99177877</x:v>
      </x:c>
      <x:c r="AC20" s="43" t="n">
        <x:f>AC18+AC19-AC15</x:f>
        <x:v>30836047.740284685</x:v>
      </x:c>
      <x:c r="AD20" s="43" t="n">
        <x:f>AD18+AD19-AD15</x:f>
        <x:v>30836048.852767624</x:v>
      </x:c>
      <x:c r="AE20" s="43" t="n">
        <x:f>AE18+AE19-AE15</x:f>
        <x:v>30836048.852767628</x:v>
      </x:c>
      <x:c r="AF20" s="43" t="n">
        <x:f>AF18+AF19-AF15</x:f>
        <x:v>30836048.852767628</x:v>
      </x:c>
      <x:c r="AG20" s="43" t="n">
        <x:f>AG18+AG19-AG15</x:f>
        <x:v>30836048.852767628</x:v>
      </x:c>
      <x:c r="AH20" s="43" t="n">
        <x:f>AH18+AH19-AH15</x:f>
        <x:v>30836048.852767628</x:v>
      </x:c>
      <x:c r="AI20" s="43" t="n">
        <x:f>AI18+AI19-AI15</x:f>
        <x:v>30836048.852767628</x:v>
      </x:c>
      <x:c r="AJ20" s="43" t="n">
        <x:f>AJ18+AJ19-AJ15</x:f>
        <x:v>30836048.852767628</x:v>
      </x:c>
      <x:c r="AK20" s="43" t="n">
        <x:f>AK18+AK19-AK15</x:f>
        <x:v>30836048.852767628</x:v>
      </x:c>
      <x:c r="AL20" s="43" t="n">
        <x:f>AL18+AL19-AL15</x:f>
        <x:v>30836048.852767628</x:v>
      </x:c>
      <x:c r="AM20" s="43" t="n">
        <x:f>AM18+AM19-AM15</x:f>
        <x:v>30836048.852767628</x:v>
      </x:c>
      <x:c r="AN20" s="43" t="n">
        <x:f>AN18+AN19-AN15</x:f>
        <x:v>30836048.852767628</x:v>
      </x:c>
      <x:c r="AO20" s="43" t="n">
        <x:f>AO18+AO19-AO15</x:f>
        <x:v>30836048.852767628</x:v>
      </x:c>
      <x:c r="AP20" s="43" t="n">
        <x:f>AP18+AP19-AP15</x:f>
        <x:v>30836048.852767628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324353976.48649234</x:v>
      </x:c>
      <x:c r="F21" s="42"/>
      <x:c r="G21" s="43" t="n">
        <x:f>G16-G20</x:f>
        <x:v>516981387.56414914</x:v>
      </x:c>
      <x:c r="H21" s="43" t="n">
        <x:f>H16-H20</x:f>
        <x:v>465122959.67437106</x:v>
      </x:c>
      <x:c r="I21" s="43" t="n">
        <x:f>I16-I20</x:f>
        <x:v>427908298.53491</x:v>
      </x:c>
      <x:c r="J21" s="43" t="n">
        <x:f>J16-J20</x:f>
        <x:v>399814270.51079917</x:v>
      </x:c>
      <x:c r="K21" s="43" t="n">
        <x:f>K16-K20</x:f>
        <x:v>378160042.23046535</x:v>
      </x:c>
      <x:c r="L21" s="43" t="n">
        <x:f>L16-L20</x:f>
        <x:v>361366695.0531272</x:v>
      </x:c>
      <x:c r="M21" s="43" t="n">
        <x:f>M16-M20</x:f>
        <x:v>348388278.04146343</x:v>
      </x:c>
      <x:c r="N21" s="43" t="n">
        <x:f>N16-N20</x:f>
        <x:v>338475575.540593</x:v>
      </x:c>
      <x:c r="O21" s="43" t="n">
        <x:f>O16-O20</x:f>
        <x:v>331065032.4357227</x:v>
      </x:c>
      <x:c r="P21" s="43" t="n">
        <x:f>P16-P20</x:f>
        <x:v>325723119.56457496</x:v>
      </x:c>
      <x:c r="Q21" s="43" t="n">
        <x:f>Q16-Q20</x:f>
        <x:v>322115879.99401593</x:v>
      </x:c>
      <x:c r="R21" s="43" t="n">
        <x:f>R16-R20</x:f>
        <x:v>319987993.9921263</x:v>
      </x:c>
      <x:c r="S21" s="43" t="n">
        <x:f>S16-S20</x:f>
        <x:v>319144780.7262013</x:v>
      </x:c>
      <x:c r="T21" s="43" t="n">
        <x:f>T16-T20</x:f>
        <x:v>318755202.0918993</x:v>
      </x:c>
      <x:c r="U21" s="43" t="n">
        <x:f>U16-U20</x:f>
        <x:v>318746114.2073011</x:v>
      </x:c>
      <x:c r="V21" s="43" t="n">
        <x:f>V16-V20</x:f>
        <x:v>319049162.22696626</x:v>
      </x:c>
      <x:c r="W21" s="43" t="n">
        <x:f>W16-W20</x:f>
        <x:v>319597405.8587068</x:v>
      </x:c>
      <x:c r="X21" s="43" t="n">
        <x:f>X16-X20</x:f>
        <x:v>320322574.4335785</x:v>
      </x:c>
      <x:c r="Y21" s="43" t="n">
        <x:f>Y16-Y20</x:f>
        <x:v>321153498.7065974</x:v>
      </x:c>
      <x:c r="Z21" s="43" t="n">
        <x:f>Z16-Z20</x:f>
        <x:v>322016261.627481</x:v>
      </x:c>
      <x:c r="AA21" s="43" t="n">
        <x:f>AA16-AA20</x:f>
        <x:v>322836241.08008856</x:v>
      </x:c>
      <x:c r="AB21" s="43" t="n">
        <x:f>AB16-AB20</x:f>
        <x:v>323541569.50010365</x:v>
      </x:c>
      <x:c r="AC21" s="43" t="n">
        <x:f>AC16-AC20</x:f>
        <x:v>324066637.0661284</x:v>
      </x:c>
      <x:c r="AD21" s="43" t="n">
        <x:f>AD16-AD20</x:f>
        <x:v>324353976.48649234</x:v>
      </x:c>
      <x:c r="AE21" s="43" t="n">
        <x:f>AE16-AE20</x:f>
        <x:v>324353976.48649234</x:v>
      </x:c>
      <x:c r="AF21" s="43" t="n">
        <x:f>AF16-AF20</x:f>
        <x:v>324353976.48649234</x:v>
      </x:c>
      <x:c r="AG21" s="43" t="n">
        <x:f>AG16-AG20</x:f>
        <x:v>324353976.48649234</x:v>
      </x:c>
      <x:c r="AH21" s="43" t="n">
        <x:f>AH16-AH20</x:f>
        <x:v>324353976.48649234</x:v>
      </x:c>
      <x:c r="AI21" s="43" t="n">
        <x:f>AI16-AI20</x:f>
        <x:v>324353976.48649234</x:v>
      </x:c>
      <x:c r="AJ21" s="43" t="n">
        <x:f>AJ16-AJ20</x:f>
        <x:v>324353976.48649234</x:v>
      </x:c>
      <x:c r="AK21" s="43" t="n">
        <x:f>AK16-AK20</x:f>
        <x:v>324353976.48649234</x:v>
      </x:c>
      <x:c r="AL21" s="43" t="n">
        <x:f>AL16-AL20</x:f>
        <x:v>324353976.48649234</x:v>
      </x:c>
      <x:c r="AM21" s="43" t="n">
        <x:f>AM16-AM20</x:f>
        <x:v>324353976.48649234</x:v>
      </x:c>
      <x:c r="AN21" s="43" t="n">
        <x:f>AN16-AN20</x:f>
        <x:v>324353976.48649234</x:v>
      </x:c>
      <x:c r="AO21" s="43" t="n">
        <x:f>AO16-AO20</x:f>
        <x:v>324353976.48649234</x:v>
      </x:c>
      <x:c r="AP21" s="43" t="n">
        <x:f>AP16-AP20</x:f>
        <x:v>324353976.48649234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IF(G13-G15=0,0,G24*12/(G13-G15))</x:f>
        <x:v>0.7288337917807295</x:v>
      </x:c>
      <x:c r="H23" s="12" t="n">
        <x:f>IF(H13-H15=0,0,H24*12/(H13-H15))</x:f>
        <x:v>0.7159480006385167</x:v>
      </x:c>
      <x:c r="I23" s="12" t="n">
        <x:f>IF(I13-I15=0,0,I24*12/(I13-I15))</x:f>
        <x:v>0.7054956601899344</x:v>
      </x:c>
      <x:c r="J23" s="12" t="n">
        <x:f>IF(J13-J15=0,0,J24*12/(J13-J15))</x:f>
        <x:v>0.6965115471878353</x:v>
      </x:c>
      <x:c r="K23" s="12" t="n">
        <x:f>IF(K13-K15=0,0,K24*12/(K13-K15))</x:f>
        <x:v>0.6888171501134295</x:v>
      </x:c>
      <x:c r="L23" s="12" t="n">
        <x:f>IF(L13-L15=0,0,L24*12/(L13-L15))</x:f>
        <x:v>0.6823546055855857</x:v>
      </x:c>
      <x:c r="M23" s="12" t="n">
        <x:f>IF(M13-M15=0,0,M24*12/(M13-M15))</x:f>
        <x:v>0.6770655540848739</x:v>
      </x:c>
      <x:c r="N23" s="12" t="n">
        <x:f>IF(N13-N15=0,0,N24*12/(N13-N15))</x:f>
        <x:v>0.6728676826662765</x:v>
      </x:c>
      <x:c r="O23" s="12" t="n">
        <x:f>IF(O13-O15=0,0,O24*12/(O13-O15))</x:f>
        <x:v>0.6696588536180133</x:v>
      </x:c>
      <x:c r="P23" s="12" t="n">
        <x:f>IF(P13-P15=0,0,P24*12/(P13-P15))</x:f>
        <x:v>0.6673285441819617</x:v>
      </x:c>
      <x:c r="Q23" s="12" t="n">
        <x:f>IF(Q13-Q15=0,0,Q24*12/(Q13-Q15))</x:f>
        <x:v>0.6657702033204941</x:v>
      </x:c>
      <x:c r="R23" s="12" t="n">
        <x:f>IF(R13-R15=0,0,R24*12/(R13-R15))</x:f>
        <x:v>0.6648914706719173</x:v>
      </x:c>
      <x:c r="S23" s="12" t="n">
        <x:f>IF(S13-S15=0,0,S24*12/(S13-S15))</x:f>
        <x:v>0.6646193284744525</x:v>
      </x:c>
      <x:c r="T23" s="12" t="n">
        <x:f>IF(T13-T15=0,0,T24*12/(T13-T15))</x:f>
        <x:v>0.6648995935124233</x:v>
      </x:c>
      <x:c r="U23" s="12" t="n">
        <x:f>IF(U13-U15=0,0,U24*12/(U13-U15))</x:f>
        <x:v>0.6650294411076038</x:v>
      </x:c>
      <x:c r="V23" s="12" t="n">
        <x:f>IF(V13-V15=0,0,V24*12/(V13-V15))</x:f>
        <x:v>0.6650320937654074</x:v>
      </x:c>
      <x:c r="W23" s="12" t="n">
        <x:f>IF(W13-W15=0,0,W24*12/(W13-W15))</x:f>
        <x:v>0.6649302665378065</x:v>
      </x:c>
      <x:c r="X23" s="12" t="n">
        <x:f>IF(X13-X15=0,0,X24*12/(X13-X15))</x:f>
        <x:v>0.6647467755867713</x:v>
      </x:c>
      <x:c r="Y23" s="12" t="n">
        <x:f>IF(Y13-Y15=0,0,Y24*12/(Y13-Y15))</x:f>
        <x:v>0.6645050542181428</x:v>
      </x:c>
      <x:c r="Z23" s="12" t="n">
        <x:f>IF(Z13-Z15=0,0,Z24*12/(Z13-Z15))</x:f>
        <x:v>0.6642293645737553</x:v>
      </x:c>
      <x:c r="AA23" s="12" t="n">
        <x:f>IF(AA13-AA15=0,0,AA24*12/(AA13-AA15))</x:f>
        <x:v>0.6639445269572982</x:v>
      </x:c>
      <x:c r="AB23" s="12" t="n">
        <x:f>IF(AB13-AB15=0,0,AB24*12/(AB13-AB15))</x:f>
        <x:v>0.6636751335279423</x:v>
      </x:c>
      <x:c r="AC23" s="12" t="n">
        <x:f>IF(AC13-AC15=0,0,AC24*12/(AC13-AC15))</x:f>
        <x:v>0.6634444265278631</x:v>
      </x:c>
      <x:c r="AD23" s="12" t="n">
        <x:f>IF(AD13-AD15=0,0,AD24*12/(AD13-AD15))</x:f>
        <x:v>0.6632732892514364</x:v>
      </x:c>
      <x:c r="AE23" s="12" t="n">
        <x:f>IF(AE13-AE15=0,0,AE24*12/(AE13-AE15))</x:f>
        <x:v>0.6631798542317997</x:v>
      </x:c>
      <x:c r="AF23" s="12" t="n">
        <x:f>IF(AF13-AF15=0,0,AF24*12/(AF13-AF15))</x:f>
        <x:v>0.6631798542317997</x:v>
      </x:c>
      <x:c r="AG23" s="12" t="n">
        <x:f>IF(AG13-AG15=0,0,AG24*12/(AG13-AG15))</x:f>
        <x:v>0.6631798542317997</x:v>
      </x:c>
      <x:c r="AH23" s="12" t="n">
        <x:f>IF(AH13-AH15=0,0,AH24*12/(AH13-AH15))</x:f>
        <x:v>0.6631798542317997</x:v>
      </x:c>
      <x:c r="AI23" s="12" t="n">
        <x:f>IF(AI13-AI15=0,0,AI24*12/(AI13-AI15))</x:f>
        <x:v>0.6631798542317997</x:v>
      </x:c>
      <x:c r="AJ23" s="12" t="n">
        <x:f>IF(AJ13-AJ15=0,0,AJ24*12/(AJ13-AJ15))</x:f>
        <x:v>0.6631798542317997</x:v>
      </x:c>
      <x:c r="AK23" s="12" t="n">
        <x:f>IF(AK13-AK15=0,0,AK24*12/(AK13-AK15))</x:f>
        <x:v>0.6631798542317997</x:v>
      </x:c>
      <x:c r="AL23" s="12" t="n">
        <x:f>IF(AL13-AL15=0,0,AL24*12/(AL13-AL15))</x:f>
        <x:v>0.6631798542317997</x:v>
      </x:c>
      <x:c r="AM23" s="12" t="n">
        <x:f>IF(AM13-AM15=0,0,AM24*12/(AM13-AM15))</x:f>
        <x:v>0.6631798542317997</x:v>
      </x:c>
      <x:c r="AN23" s="12" t="n">
        <x:f>IF(AN13-AN15=0,0,AN24*12/(AN13-AN15))</x:f>
        <x:v>0.6631798542317997</x:v>
      </x:c>
      <x:c r="AO23" s="12" t="n">
        <x:f>IF(AO13-AO15=0,0,AO24*12/(AO13-AO15))</x:f>
        <x:v>0.6631798542317997</x:v>
      </x:c>
      <x:c r="AP23" s="12" t="n">
        <x:f>IF(AP13-AP15=0,0,AP24*12/(AP13-AP15))</x:f>
        <x:v>0.6631798542317997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523166392.0282604</x:v>
      </x:c>
      <x:c r="F24" s="42"/>
      <x:c r="G24" s="43" t="n">
        <x:f>G53</x:f>
        <x:v>38219219.35883158</x:v>
      </x:c>
      <x:c r="H24" s="43" t="n">
        <x:f>H53</x:f>
        <x:v>32432574.567970634</x:v>
      </x:c>
      <x:c r="I24" s="43" t="n">
        <x:f>I53</x:f>
        <x:v>28836814.991152845</x:v>
      </x:c>
      <x:c r="J24" s="43" t="n">
        <x:f>J53</x:f>
        <x:v>26265939.615885094</x:v>
      </x:c>
      <x:c r="K24" s="43" t="n">
        <x:f>K53</x:f>
        <x:v>24339493.68257802</x:v>
      </x:c>
      <x:c r="L24" s="43" t="n">
        <x:f>L53</x:f>
        <x:v>22868568.572938327</x:v>
      </x:c>
      <x:c r="M24" s="43" t="n">
        <x:f>M53</x:f>
        <x:v>21739527.99235171</x:v>
      </x:c>
      <x:c r="N24" s="43" t="n">
        <x:f>N53</x:f>
        <x:v>20876206.743901886</x:v>
      </x:c>
      <x:c r="O24" s="43" t="n">
        <x:f>O53</x:f>
        <x:v>20224084.904352795</x:v>
      </x:c>
      <x:c r="P24" s="43" t="n">
        <x:f>P53</x:f>
        <x:v>19742584.601474293</x:v>
      </x:c>
      <x:c r="Q24" s="43" t="n">
        <x:f>Q53</x:f>
        <x:v>19401005.782578845</x:v>
      </x:c>
      <x:c r="R24" s="43" t="n">
        <x:f>R53</x:f>
        <x:v>19176197.20151193</x:v>
      </x:c>
      <x:c r="S24" s="43" t="n">
        <x:f>S53</x:f>
        <x:v>19050923.52881253</x:v>
      </x:c>
      <x:c r="T24" s="43" t="n">
        <x:f>T53</x:f>
        <x:v>19012468.230189223</x:v>
      </x:c>
      <x:c r="U24" s="43" t="n">
        <x:f>U53</x:f>
        <x:v>18994715.30085031</x:v>
      </x:c>
      <x:c r="V24" s="43" t="n">
        <x:f>V53</x:f>
        <x:v>18994353.04383021</x:v>
      </x:c>
      <x:c r="W24" s="43" t="n">
        <x:f>W53</x:f>
        <x:v>19008270.956165563</x:v>
      </x:c>
      <x:c r="X24" s="43" t="n">
        <x:f>X53</x:f>
        <x:v>19033413.161146306</x:v>
      </x:c>
      <x:c r="Y24" s="43" t="n">
        <x:f>Y53</x:f>
        <x:v>19066657.17946161</x:v>
      </x:c>
      <x:c r="Z24" s="43" t="n">
        <x:f>Z53</x:f>
        <x:v>19104744.607895404</x:v>
      </x:c>
      <x:c r="AA24" s="43" t="n">
        <x:f>AA53</x:f>
        <x:v>19144289.439259723</x:v>
      </x:c>
      <x:c r="AB24" s="43" t="n">
        <x:f>AB53</x:f>
        <x:v>19181872.458969656</x:v>
      </x:c>
      <x:c r="AC24" s="43" t="n">
        <x:f>AC53</x:f>
        <x:v>19214200.229193535</x:v>
      </x:c>
      <x:c r="AD24" s="43" t="n">
        <x:f>AD53</x:f>
        <x:v>19238265.876958467</x:v>
      </x:c>
      <x:c r="AE24" s="43" t="n">
        <x:f>AE53</x:f>
        <x:v>19251435.60039182</x:v>
      </x:c>
      <x:c r="AF24" s="43" t="n">
        <x:f>AF53</x:f>
        <x:v>19251435.60039182</x:v>
      </x:c>
      <x:c r="AG24" s="43" t="n">
        <x:f>AG53</x:f>
        <x:v>19251435.60039182</x:v>
      </x:c>
      <x:c r="AH24" s="43" t="n">
        <x:f>AH53</x:f>
        <x:v>19251435.60039182</x:v>
      </x:c>
      <x:c r="AI24" s="43" t="n">
        <x:f>AI53</x:f>
        <x:v>19251435.60039182</x:v>
      </x:c>
      <x:c r="AJ24" s="43" t="n">
        <x:f>AJ53</x:f>
        <x:v>19251435.60039182</x:v>
      </x:c>
      <x:c r="AK24" s="43" t="n">
        <x:f>AK53</x:f>
        <x:v>19251435.60039182</x:v>
      </x:c>
      <x:c r="AL24" s="43" t="n">
        <x:f>AL53</x:f>
        <x:v>19251435.60039182</x:v>
      </x:c>
      <x:c r="AM24" s="43" t="n">
        <x:f>AM53</x:f>
        <x:v>19251435.60039182</x:v>
      </x:c>
      <x:c r="AN24" s="43" t="n">
        <x:f>AN53</x:f>
        <x:v>19251435.60039182</x:v>
      </x:c>
      <x:c r="AO24" s="43" t="n">
        <x:f>AO53</x:f>
        <x:v>19251435.60039182</x:v>
      </x:c>
      <x:c r="AP24" s="43" t="n">
        <x:f>AP53</x:f>
        <x:v>19251435.60039182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358952404.0879649</x:v>
      </x:c>
      <x:c r="F25" s="46"/>
      <x:c r="G25" s="47" t="n">
        <x:f>G24-G19</x:f>
        <x:v>31376969.861319255</x:v>
      </x:c>
      <x:c r="H25" s="47" t="n">
        <x:f>H24-H19</x:f>
        <x:v>25590325.07045831</x:v>
      </x:c>
      <x:c r="I25" s="47" t="n">
        <x:f>I24-I19</x:f>
        <x:v>21994565.493640523</x:v>
      </x:c>
      <x:c r="J25" s="47" t="n">
        <x:f>J24-J19</x:f>
        <x:v>19423690.118372772</x:v>
      </x:c>
      <x:c r="K25" s="47" t="n">
        <x:f>K24-K19</x:f>
        <x:v>17497244.185065698</x:v>
      </x:c>
      <x:c r="L25" s="47" t="n">
        <x:f>L24-L19</x:f>
        <x:v>16026319.075426005</x:v>
      </x:c>
      <x:c r="M25" s="47" t="n">
        <x:f>M24-M19</x:f>
        <x:v>14897278.494839389</x:v>
      </x:c>
      <x:c r="N25" s="47" t="n">
        <x:f>N24-N19</x:f>
        <x:v>14033957.246389564</x:v>
      </x:c>
      <x:c r="O25" s="47" t="n">
        <x:f>O24-O19</x:f>
        <x:v>13381835.406840473</x:v>
      </x:c>
      <x:c r="P25" s="47" t="n">
        <x:f>P24-P19</x:f>
        <x:v>12900335.10396197</x:v>
      </x:c>
      <x:c r="Q25" s="47" t="n">
        <x:f>Q24-Q19</x:f>
        <x:v>12558756.285066523</x:v>
      </x:c>
      <x:c r="R25" s="47" t="n">
        <x:f>R24-R19</x:f>
        <x:v>12333947.703999609</x:v>
      </x:c>
      <x:c r="S25" s="47" t="n">
        <x:f>S24-S19</x:f>
        <x:v>12208674.03130021</x:v>
      </x:c>
      <x:c r="T25" s="47" t="n">
        <x:f>T24-T19</x:f>
        <x:v>12170218.7326769</x:v>
      </x:c>
      <x:c r="U25" s="47" t="n">
        <x:f>U24-U19</x:f>
        <x:v>12152465.803337988</x:v>
      </x:c>
      <x:c r="V25" s="47" t="n">
        <x:f>V24-V19</x:f>
        <x:v>12152103.546317887</x:v>
      </x:c>
      <x:c r="W25" s="47" t="n">
        <x:f>W24-W19</x:f>
        <x:v>12166021.458653241</x:v>
      </x:c>
      <x:c r="X25" s="47" t="n">
        <x:f>X24-X19</x:f>
        <x:v>12191163.663633984</x:v>
      </x:c>
      <x:c r="Y25" s="47" t="n">
        <x:f>Y24-Y19</x:f>
        <x:v>12224407.681949288</x:v>
      </x:c>
      <x:c r="Z25" s="47" t="n">
        <x:f>Z24-Z19</x:f>
        <x:v>12262495.110383082</x:v>
      </x:c>
      <x:c r="AA25" s="47" t="n">
        <x:f>AA24-AA19</x:f>
        <x:v>12302039.9417474</x:v>
      </x:c>
      <x:c r="AB25" s="47" t="n">
        <x:f>AB24-AB19</x:f>
        <x:v>12339622.961457334</x:v>
      </x:c>
      <x:c r="AC25" s="47" t="n">
        <x:f>AC24-AC19</x:f>
        <x:v>12371950.731681213</x:v>
      </x:c>
      <x:c r="AD25" s="47" t="n">
        <x:f>AD24-AD19</x:f>
        <x:v>12396016.379446145</x:v>
      </x:c>
      <x:c r="AE25" s="47" t="n">
        <x:f>AE24-AE19</x:f>
        <x:v>12409186.102879498</x:v>
      </x:c>
      <x:c r="AF25" s="47" t="n">
        <x:f>AF24-AF19</x:f>
        <x:v>12409186.102879498</x:v>
      </x:c>
      <x:c r="AG25" s="47" t="n">
        <x:f>AG24-AG19</x:f>
        <x:v>12409186.102879498</x:v>
      </x:c>
      <x:c r="AH25" s="47" t="n">
        <x:f>AH24-AH19</x:f>
        <x:v>12409186.102879498</x:v>
      </x:c>
      <x:c r="AI25" s="47" t="n">
        <x:f>AI24-AI19</x:f>
        <x:v>12409186.102879498</x:v>
      </x:c>
      <x:c r="AJ25" s="47" t="n">
        <x:f>AJ24-AJ19</x:f>
        <x:v>12409186.102879498</x:v>
      </x:c>
      <x:c r="AK25" s="47" t="n">
        <x:f>AK24-AK19</x:f>
        <x:v>12409186.102879498</x:v>
      </x:c>
      <x:c r="AL25" s="47" t="n">
        <x:f>AL24-AL19</x:f>
        <x:v>12409186.102879498</x:v>
      </x:c>
      <x:c r="AM25" s="47" t="n">
        <x:f>AM24-AM19</x:f>
        <x:v>12409186.102879498</x:v>
      </x:c>
      <x:c r="AN25" s="47" t="n">
        <x:f>AN24-AN19</x:f>
        <x:v>12409186.102879498</x:v>
      </x:c>
      <x:c r="AO25" s="47" t="n">
        <x:f>AO24-AO19</x:f>
        <x:v>12409186.102879498</x:v>
      </x:c>
      <x:c r="AP25" s="47" t="n">
        <x:f>AP24-AP19</x:f>
        <x:v>12409186.102879498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38295554.44468584</x:v>
      </x:c>
      <x:c r="F27" s="2"/>
      <x:c r="G27" s="35" t="n">
        <x:f>IF('Assumptions'!$E$9=2,'Short-Term build'!G27,IF('Assumptions'!$E$9=3,'Installment build'!G27,'Short-Term build'!G27+'Installment build'!G27))</x:f>
        <x:v>9733578.110551627</x:v>
      </x:c>
      <x:c r="H27" s="35" t="n">
        <x:f>IF('Assumptions'!$E$9=2,'Short-Term build'!H27,IF('Assumptions'!$E$9=3,'Installment build'!H27,'Short-Term build'!H27+'Installment build'!H27))</x:f>
        <x:v>8083441.157928133</x:v>
      </x:c>
      <x:c r="I27" s="35" t="n">
        <x:f>IF('Assumptions'!$E$9=2,'Short-Term build'!I27,IF('Assumptions'!$E$9=3,'Installment build'!I27,'Short-Term build'!I27+'Installment build'!I27))</x:f>
        <x:v>6481563.256334169</x:v>
      </x:c>
      <x:c r="J27" s="35" t="n">
        <x:f>IF('Assumptions'!$E$9=2,'Short-Term build'!J27,IF('Assumptions'!$E$9=3,'Installment build'!J27,'Short-Term build'!J27+'Installment build'!J27))</x:f>
        <x:v>4928528.897379536</x:v>
      </x:c>
      <x:c r="K27" s="35" t="n">
        <x:f>IF('Assumptions'!$E$9=2,'Short-Term build'!K27,IF('Assumptions'!$E$9=3,'Installment build'!K27,'Short-Term build'!K27+'Installment build'!K27))</x:f>
        <x:v>3512622.7202378977</x:v>
      </x:c>
      <x:c r="L27" s="35" t="n">
        <x:f>IF('Assumptions'!$E$9=2,'Short-Term build'!L27,IF('Assumptions'!$E$9=3,'Installment build'!L27,'Short-Term build'!L27+'Installment build'!L27))</x:f>
        <x:v>2333990.0925208125</x:v>
      </x:c>
      <x:c r="M27" s="35" t="n">
        <x:f>IF('Assumptions'!$E$9=2,'Short-Term build'!M27,IF('Assumptions'!$E$9=3,'Installment build'!M27,'Short-Term build'!M27+'Installment build'!M27))</x:f>
        <x:v>1446072.4103959103</x:v>
      </x:c>
      <x:c r="N27" s="35" t="n">
        <x:f>IF('Assumptions'!$E$9=2,'Short-Term build'!N27,IF('Assumptions'!$E$9=3,'Installment build'!N27,'Short-Term build'!N27+'Installment build'!N27))</x:f>
        <x:v>839152.4121832647</x:v>
      </x:c>
      <x:c r="O27" s="35" t="n">
        <x:f>IF('Assumptions'!$E$9=2,'Short-Term build'!O27,IF('Assumptions'!$E$9=3,'Installment build'!O27,'Short-Term build'!O27+'Installment build'!O27))</x:f>
        <x:v>459399.68771198223</x:v>
      </x:c>
      <x:c r="P27" s="35" t="n">
        <x:f>IF('Assumptions'!$E$9=2,'Short-Term build'!P27,IF('Assumptions'!$E$9=3,'Installment build'!P27,'Short-Term build'!P27+'Installment build'!P27))</x:f>
        <x:v>239216.20379494075</x:v>
      </x:c>
      <x:c r="Q27" s="35" t="n">
        <x:f>IF('Assumptions'!$E$9=2,'Short-Term build'!Q27,IF('Assumptions'!$E$9=3,'Installment build'!Q27,'Short-Term build'!Q27+'Installment build'!Q27))</x:f>
        <x:v>119547.64522856325</x:v>
      </x:c>
      <x:c r="R27" s="35" t="n">
        <x:f>IF('Assumptions'!$E$9=2,'Short-Term build'!R27,IF('Assumptions'!$E$9=3,'Installment build'!R27,'Short-Term build'!R27+'Installment build'!R27))</x:f>
        <x:v>58182.20715146152</x:v>
      </x:c>
      <x:c r="S27" s="35" t="n">
        <x:f>IF('Assumptions'!$E$9=2,'Short-Term build'!S27,IF('Assumptions'!$E$9=3,'Installment build'!S27,'Short-Term build'!S27+'Installment build'!S27))</x:f>
        <x:v>28551.429149153977</x:v>
      </x:c>
      <x:c r="T27" s="35" t="n">
        <x:f>IF('Assumptions'!$E$9=2,'Short-Term build'!T27,IF('Assumptions'!$E$9=3,'Installment build'!T27,'Short-Term build'!T27+'Installment build'!T27))</x:f>
        <x:v>15288.496739729013</x:v>
      </x:c>
      <x:c r="U27" s="35" t="n">
        <x:f>IF('Assumptions'!$E$9=2,'Short-Term build'!U27,IF('Assumptions'!$E$9=3,'Installment build'!U27,'Short-Term build'!U27+'Installment build'!U27))</x:f>
        <x:v>8075.626003747015</x:v>
      </x:c>
      <x:c r="V27" s="35" t="n">
        <x:f>IF('Assumptions'!$E$9=2,'Short-Term build'!V27,IF('Assumptions'!$E$9=3,'Installment build'!V27,'Short-Term build'!V27+'Installment build'!V27))</x:f>
        <x:v>4201.28800852567</x:v>
      </x:c>
      <x:c r="W27" s="35" t="n">
        <x:f>IF('Assumptions'!$E$9=2,'Short-Term build'!W27,IF('Assumptions'!$E$9=3,'Installment build'!W27,'Short-Term build'!W27+'Installment build'!W27))</x:f>
        <x:v>2146.298493341319</x:v>
      </x:c>
      <x:c r="X27" s="35" t="n">
        <x:f>IF('Assumptions'!$E$9=2,'Short-Term build'!X27,IF('Assumptions'!$E$9=3,'Installment build'!X27,'Short-Term build'!X27+'Installment build'!X27))</x:f>
        <x:v>1071.6288530922802</x:v>
      </x:c>
      <x:c r="Y27" s="35" t="n">
        <x:f>IF('Assumptions'!$E$9=2,'Short-Term build'!Y27,IF('Assumptions'!$E$9=3,'Installment build'!Y27,'Short-Term build'!Y27+'Installment build'!Y27))</x:f>
        <x:v>519.1370442216167</x:v>
      </x:c>
      <x:c r="Z27" s="35" t="n">
        <x:f>IF('Assumptions'!$E$9=2,'Short-Term build'!Z27,IF('Assumptions'!$E$9=3,'Installment build'!Z27,'Short-Term build'!Z27+'Installment build'!Z27))</x:f>
        <x:v>241.22152500617779</x:v>
      </x:c>
      <x:c r="AA27" s="35" t="n">
        <x:f>IF('Assumptions'!$E$9=2,'Short-Term build'!AA27,IF('Assumptions'!$E$9=3,'Installment build'!AA27,'Short-Term build'!AA27+'Installment build'!AA27))</x:f>
        <x:v>105.46603293261717</x:v>
      </x:c>
      <x:c r="AB27" s="35" t="n">
        <x:f>IF('Assumptions'!$E$9=2,'Short-Term build'!AB27,IF('Assumptions'!$E$9=3,'Installment build'!AB27,'Short-Term build'!AB27+'Installment build'!AB27))</x:f>
        <x:v>41.884930362690106</x:v>
      </x:c>
      <x:c r="AC27" s="35" t="n">
        <x:f>IF('Assumptions'!$E$9=2,'Short-Term build'!AC27,IF('Assumptions'!$E$9=3,'Installment build'!AC27,'Short-Term build'!AC27+'Installment build'!AC27))</x:f>
        <x:v>14.007035884316668</x:v>
      </x:c>
      <x:c r="AD27" s="35" t="n">
        <x:f>IF('Assumptions'!$E$9=2,'Short-Term build'!AD27,IF('Assumptions'!$E$9=3,'Installment build'!AD27,'Short-Term build'!AD27+'Installment build'!AD27))</x:f>
        <x:v>3.1594515437778083</x:v>
      </x:c>
      <x:c r="AE27" s="35" t="n">
        <x:f>IF('Assumptions'!$E$9=2,'Short-Term build'!AE27,IF('Assumptions'!$E$9=3,'Installment build'!AE27,'Short-Term build'!AE27+'Installment build'!AE27))</x:f>
        <x:v>0</x:v>
      </x:c>
      <x:c r="AF27" s="35" t="n">
        <x:f>IF('Assumptions'!$E$9=2,'Short-Term build'!AF27,IF('Assumptions'!$E$9=3,'Installment build'!AF27,'Short-Term build'!AF27+'Installment build'!AF27))</x:f>
        <x:v>0</x:v>
      </x:c>
      <x:c r="AG27" s="35" t="n">
        <x:f>IF('Assumptions'!$E$9=2,'Short-Term build'!AG27,IF('Assumptions'!$E$9=3,'Installment build'!AG27,'Short-Term build'!AG27+'Installment build'!AG27))</x:f>
        <x:v>0</x:v>
      </x:c>
      <x:c r="AH27" s="35" t="n">
        <x:f>IF('Assumptions'!$E$9=2,'Short-Term build'!AH27,IF('Assumptions'!$E$9=3,'Installment build'!AH27,'Short-Term build'!AH27+'Installment build'!AH27))</x:f>
        <x:v>0</x:v>
      </x:c>
      <x:c r="AI27" s="35" t="n">
        <x:f>IF('Assumptions'!$E$9=2,'Short-Term build'!AI27,IF('Assumptions'!$E$9=3,'Installment build'!AI27,'Short-Term build'!AI27+'Installment build'!AI27))</x:f>
        <x:v>0</x:v>
      </x:c>
      <x:c r="AJ27" s="35" t="n">
        <x:f>IF('Assumptions'!$E$9=2,'Short-Term build'!AJ27,IF('Assumptions'!$E$9=3,'Installment build'!AJ27,'Short-Term build'!AJ27+'Installment build'!AJ27))</x:f>
        <x:v>0</x:v>
      </x:c>
      <x:c r="AK27" s="35" t="n">
        <x:f>IF('Assumptions'!$E$9=2,'Short-Term build'!AK27,IF('Assumptions'!$E$9=3,'Installment build'!AK27,'Short-Term build'!AK27+'Installment build'!AK27))</x:f>
        <x:v>0</x:v>
      </x:c>
      <x:c r="AL27" s="35" t="n">
        <x:f>IF('Assumptions'!$E$9=2,'Short-Term build'!AL27,IF('Assumptions'!$E$9=3,'Installment build'!AL27,'Short-Term build'!AL27+'Installment build'!AL27))</x:f>
        <x:v>0</x:v>
      </x:c>
      <x:c r="AM27" s="35" t="n">
        <x:f>IF('Assumptions'!$E$9=2,'Short-Term build'!AM27,IF('Assumptions'!$E$9=3,'Installment build'!AM27,'Short-Term build'!AM27+'Installment build'!AM27))</x:f>
        <x:v>0</x:v>
      </x:c>
      <x:c r="AN27" s="35" t="n">
        <x:f>IF('Assumptions'!$E$9=2,'Short-Term build'!AN27,IF('Assumptions'!$E$9=3,'Installment build'!AN27,'Short-Term build'!AN27+'Installment build'!AN27))</x:f>
        <x:v>0</x:v>
      </x:c>
      <x:c r="AO27" s="35" t="n">
        <x:f>IF('Assumptions'!$E$9=2,'Short-Term build'!AO27,IF('Assumptions'!$E$9=3,'Installment build'!AO27,'Short-Term build'!AO27+'Installment build'!AO27))</x:f>
        <x:v>0</x:v>
      </x:c>
      <x:c r="AP27" s="35" t="n">
        <x:f>IF('Assumptions'!$E$9=2,'Short-Term build'!AP27,IF('Assumptions'!$E$9=3,'Installment build'!AP27,'Short-Term build'!AP27+'Installment build'!AP27))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133377939.08752815</x:v>
      </x:c>
      <x:c r="F28" s="2"/>
      <x:c r="G28" s="35" t="n">
        <x:f>IF('Assumptions'!$E$9=2,'Short-Term build'!G28,IF('Assumptions'!$E$9=3,'Installment build'!G28,'Short-Term build'!G28+'Installment build'!G28))</x:f>
        <x:v>0</x:v>
      </x:c>
      <x:c r="H28" s="35" t="n">
        <x:f>IF('Assumptions'!$E$9=2,'Short-Term build'!H28,IF('Assumptions'!$E$9=3,'Installment build'!H28,'Short-Term build'!H28+'Installment build'!H28))</x:f>
        <x:v>699990.9781273394</x:v>
      </x:c>
      <x:c r="I28" s="35" t="n">
        <x:f>IF('Assumptions'!$E$9=2,'Short-Term build'!I28,IF('Assumptions'!$E$9=3,'Installment build'!I28,'Short-Term build'!I28+'Installment build'!I28))</x:f>
        <x:v>1609884.6188780342</x:v>
      </x:c>
      <x:c r="J28" s="35" t="n">
        <x:f>IF('Assumptions'!$E$9=2,'Short-Term build'!J28,IF('Assumptions'!$E$9=3,'Installment build'!J28,'Short-Term build'!J28+'Installment build'!J28))</x:f>
        <x:v>2665186.657004999</x:v>
      </x:c>
      <x:c r="K28" s="35" t="n">
        <x:f>IF('Assumptions'!$E$9=2,'Short-Term build'!K28,IF('Assumptions'!$E$9=3,'Installment build'!K28,'Short-Term build'!K28+'Installment build'!K28))</x:f>
        <x:v>3741593.1023650337</x:v>
      </x:c>
      <x:c r="L28" s="35" t="n">
        <x:f>IF('Assumptions'!$E$9=2,'Short-Term build'!L28,IF('Assumptions'!$E$9=3,'Installment build'!L28,'Short-Term build'!L28+'Installment build'!L28))</x:f>
        <x:v>4706067.201890348</x:v>
      </x:c>
      <x:c r="M28" s="35" t="n">
        <x:f>IF('Assumptions'!$E$9=2,'Short-Term build'!M28,IF('Assumptions'!$E$9=3,'Installment build'!M28,'Short-Term build'!M28+'Installment build'!M28))</x:f>
        <x:v>5471782.929737551</x:v>
      </x:c>
      <x:c r="N28" s="35" t="n">
        <x:f>IF('Assumptions'!$E$9=2,'Short-Term build'!N28,IF('Assumptions'!$E$9=3,'Installment build'!N28,'Short-Term build'!N28+'Installment build'!N28))</x:f>
        <x:v>6017441.185294806</x:v>
      </x:c>
      <x:c r="O28" s="35" t="n">
        <x:f>IF('Assumptions'!$E$9=2,'Short-Term build'!O28,IF('Assumptions'!$E$9=3,'Installment build'!O28,'Short-Term build'!O28+'Installment build'!O28))</x:f>
        <x:v>6371886.263130337</x:v>
      </x:c>
      <x:c r="P28" s="35" t="n">
        <x:f>IF('Assumptions'!$E$9=2,'Short-Term build'!P28,IF('Assumptions'!$E$9=3,'Installment build'!P28,'Short-Term build'!P28+'Installment build'!P28))</x:f>
        <x:v>6585375.381004947</x:v>
      </x:c>
      <x:c r="Q28" s="35" t="n">
        <x:f>IF('Assumptions'!$E$9=2,'Short-Term build'!Q28,IF('Assumptions'!$E$9=3,'Installment build'!Q28,'Short-Term build'!Q28+'Installment build'!Q28))</x:f>
        <x:v>6706519.832987749</x:v>
      </x:c>
      <x:c r="R28" s="35" t="n">
        <x:f>IF('Assumptions'!$E$9=2,'Short-Term build'!R28,IF('Assumptions'!$E$9=3,'Installment build'!R28,'Short-Term build'!R28+'Installment build'!R28))</x:f>
        <x:v>6772031.640130103</x:v>
      </x:c>
      <x:c r="S28" s="35" t="n">
        <x:f>IF('Assumptions'!$E$9=2,'Short-Term build'!S28,IF('Assumptions'!$E$9=3,'Installment build'!S28,'Short-Term build'!S28+'Installment build'!S28))</x:f>
        <x:v>6805969.378550812</x:v>
      </x:c>
      <x:c r="T28" s="35" t="n">
        <x:f>IF('Assumptions'!$E$9=2,'Short-Term build'!T28,IF('Assumptions'!$E$9=3,'Installment build'!T28,'Short-Term build'!T28+'Installment build'!T28))</x:f>
        <x:v>6822772.432083405</x:v>
      </x:c>
      <x:c r="U28" s="35" t="n">
        <x:f>IF('Assumptions'!$E$9=2,'Short-Term build'!U28,IF('Assumptions'!$E$9=3,'Installment build'!U28,'Short-Term build'!U28+'Installment build'!U28))</x:f>
        <x:v>6831931.877328334</x:v>
      </x:c>
      <x:c r="V28" s="35" t="n">
        <x:f>IF('Assumptions'!$E$9=2,'Short-Term build'!V28,IF('Assumptions'!$E$9=3,'Installment build'!V28,'Short-Term build'!V28+'Installment build'!V28))</x:f>
        <x:v>6836864.114435049</x:v>
      </x:c>
      <x:c r="W28" s="35" t="n">
        <x:f>IF('Assumptions'!$E$9=2,'Short-Term build'!W28,IF('Assumptions'!$E$9=3,'Installment build'!W28,'Short-Term build'!W28+'Installment build'!W28))</x:f>
        <x:v>6839487.676821938</x:v>
      </x:c>
      <x:c r="X28" s="35" t="n">
        <x:f>IF('Assumptions'!$E$9=2,'Short-Term build'!X28,IF('Assumptions'!$E$9=3,'Installment build'!X28,'Short-Term build'!X28+'Installment build'!X28))</x:f>
        <x:v>6840864.300819933</x:v>
      </x:c>
      <x:c r="Y28" s="35" t="n">
        <x:f>IF('Assumptions'!$E$9=2,'Short-Term build'!Y28,IF('Assumptions'!$E$9=3,'Installment build'!Y28,'Short-Term build'!Y28+'Installment build'!Y28))</x:f>
        <x:v>6841574.8993695015</x:v>
      </x:c>
      <x:c r="Z28" s="35" t="n">
        <x:f>IF('Assumptions'!$E$9=2,'Short-Term build'!Z28,IF('Assumptions'!$E$9=3,'Installment build'!Z28,'Short-Term build'!Z28+'Installment build'!Z28))</x:f>
        <x:v>6841934.11045078</x:v>
      </x:c>
      <x:c r="AA28" s="35" t="n">
        <x:f>IF('Assumptions'!$E$9=2,'Short-Term build'!AA28,IF('Assumptions'!$E$9=3,'Installment build'!AA28,'Short-Term build'!AA28+'Installment build'!AA28))</x:f>
        <x:v>6842110.631686844</x:v>
      </x:c>
      <x:c r="AB28" s="35" t="n">
        <x:f>IF('Assumptions'!$E$9=2,'Short-Term build'!AB28,IF('Assumptions'!$E$9=3,'Installment build'!AB28,'Short-Term build'!AB28+'Installment build'!AB28))</x:f>
        <x:v>6842193.907881955</x:v>
      </x:c>
      <x:c r="AC28" s="35" t="n">
        <x:f>IF('Assumptions'!$E$9=2,'Short-Term build'!AC28,IF('Assumptions'!$E$9=3,'Installment build'!AC28,'Short-Term build'!AC28+'Installment build'!AC28))</x:f>
        <x:v>6842230.741970526</x:v>
      </x:c>
      <x:c r="AD28" s="35" t="n">
        <x:f>IF('Assumptions'!$E$9=2,'Short-Term build'!AD28,IF('Assumptions'!$E$9=3,'Installment build'!AD28,'Short-Term build'!AD28+'Installment build'!AD28))</x:f>
        <x:v>6842245.22557784</x:v>
      </x:c>
      <x:c r="AE28" s="35" t="n">
        <x:f>IF('Assumptions'!$E$9=2,'Short-Term build'!AE28,IF('Assumptions'!$E$9=3,'Installment build'!AE28,'Short-Term build'!AE28+'Installment build'!AE28))</x:f>
        <x:v>6842249.497512322</x:v>
      </x:c>
      <x:c r="AF28" s="35" t="n">
        <x:f>IF('Assumptions'!$E$9=2,'Short-Term build'!AF28,IF('Assumptions'!$E$9=3,'Installment build'!AF28,'Short-Term build'!AF28+'Installment build'!AF28))</x:f>
        <x:v>6842249.497512322</x:v>
      </x:c>
      <x:c r="AG28" s="35" t="n">
        <x:f>IF('Assumptions'!$E$9=2,'Short-Term build'!AG28,IF('Assumptions'!$E$9=3,'Installment build'!AG28,'Short-Term build'!AG28+'Installment build'!AG28))</x:f>
        <x:v>6842249.497512322</x:v>
      </x:c>
      <x:c r="AH28" s="35" t="n">
        <x:f>IF('Assumptions'!$E$9=2,'Short-Term build'!AH28,IF('Assumptions'!$E$9=3,'Installment build'!AH28,'Short-Term build'!AH28+'Installment build'!AH28))</x:f>
        <x:v>6842249.497512322</x:v>
      </x:c>
      <x:c r="AI28" s="35" t="n">
        <x:f>IF('Assumptions'!$E$9=2,'Short-Term build'!AI28,IF('Assumptions'!$E$9=3,'Installment build'!AI28,'Short-Term build'!AI28+'Installment build'!AI28))</x:f>
        <x:v>6842249.497512322</x:v>
      </x:c>
      <x:c r="AJ28" s="35" t="n">
        <x:f>IF('Assumptions'!$E$9=2,'Short-Term build'!AJ28,IF('Assumptions'!$E$9=3,'Installment build'!AJ28,'Short-Term build'!AJ28+'Installment build'!AJ28))</x:f>
        <x:v>6842249.497512322</x:v>
      </x:c>
      <x:c r="AK28" s="35" t="n">
        <x:f>IF('Assumptions'!$E$9=2,'Short-Term build'!AK28,IF('Assumptions'!$E$9=3,'Installment build'!AK28,'Short-Term build'!AK28+'Installment build'!AK28))</x:f>
        <x:v>6842249.497512322</x:v>
      </x:c>
      <x:c r="AL28" s="35" t="n">
        <x:f>IF('Assumptions'!$E$9=2,'Short-Term build'!AL28,IF('Assumptions'!$E$9=3,'Installment build'!AL28,'Short-Term build'!AL28+'Installment build'!AL28))</x:f>
        <x:v>6842249.497512322</x:v>
      </x:c>
      <x:c r="AM28" s="35" t="n">
        <x:f>IF('Assumptions'!$E$9=2,'Short-Term build'!AM28,IF('Assumptions'!$E$9=3,'Installment build'!AM28,'Short-Term build'!AM28+'Installment build'!AM28))</x:f>
        <x:v>6842249.497512322</x:v>
      </x:c>
      <x:c r="AN28" s="35" t="n">
        <x:f>IF('Assumptions'!$E$9=2,'Short-Term build'!AN28,IF('Assumptions'!$E$9=3,'Installment build'!AN28,'Short-Term build'!AN28+'Installment build'!AN28))</x:f>
        <x:v>6842249.497512322</x:v>
      </x:c>
      <x:c r="AO28" s="35" t="n">
        <x:f>IF('Assumptions'!$E$9=2,'Short-Term build'!AO28,IF('Assumptions'!$E$9=3,'Installment build'!AO28,'Short-Term build'!AO28+'Installment build'!AO28))</x:f>
        <x:v>6842249.497512322</x:v>
      </x:c>
      <x:c r="AP28" s="35" t="n">
        <x:f>IF('Assumptions'!$E$9=2,'Short-Term build'!AP28,IF('Assumptions'!$E$9=3,'Installment build'!AP28,'Short-Term build'!AP28+'Installment build'!AP28))</x:f>
        <x:v>6842249.497512322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600704445.5553141</x:v>
      </x:c>
      <x:c r="F29" s="2"/>
      <x:c r="G29" s="35" t="n">
        <x:f>IF('Assumptions'!$E$9=2,'Short-Term build'!G29,IF('Assumptions'!$E$9=3,'Installment build'!G29,'Short-Term build'!G29+'Installment build'!G29))</x:f>
        <x:v>111980808.49365267</x:v>
      </x:c>
      <x:c r="H29" s="35" t="n">
        <x:f>IF('Assumptions'!$E$9=2,'Short-Term build'!H29,IF('Assumptions'!$E$9=3,'Installment build'!H29,'Short-Term build'!H29+'Installment build'!H29))</x:f>
        <x:v>78930328.07156587</x:v>
      </x:c>
      <x:c r="I29" s="35" t="n">
        <x:f>IF('Assumptions'!$E$9=2,'Short-Term build'!I29,IF('Assumptions'!$E$9=3,'Installment build'!I29,'Short-Term build'!I29+'Installment build'!I29))</x:f>
        <x:v>63055404.221396506</x:v>
      </x:c>
      <x:c r="J29" s="35" t="n">
        <x:f>IF('Assumptions'!$E$9=2,'Short-Term build'!J29,IF('Assumptions'!$E$9=3,'Installment build'!J29,'Short-Term build'!J29+'Installment build'!J29))</x:f>
        <x:v>52664824.20480867</x:v>
      </x:c>
      <x:c r="K29" s="35" t="n">
        <x:f>IF('Assumptions'!$E$9=2,'Short-Term build'!K29,IF('Assumptions'!$E$9=3,'Installment build'!K29,'Short-Term build'!K29+'Installment build'!K29))</x:f>
        <x:v>44919395.18898876</x:v>
      </x:c>
      <x:c r="L29" s="35" t="n">
        <x:f>IF('Assumptions'!$E$9=2,'Short-Term build'!L29,IF('Assumptions'!$E$9=3,'Installment build'!L29,'Short-Term build'!L29+'Installment build'!L29))</x:f>
        <x:v>38714597.463449255</x:v>
      </x:c>
      <x:c r="M29" s="35" t="n">
        <x:f>IF('Assumptions'!$E$9=2,'Short-Term build'!M29,IF('Assumptions'!$E$9=3,'Installment build'!M29,'Short-Term build'!M29+'Installment build'!M29))</x:f>
        <x:v>33509107.33090787</x:v>
      </x:c>
      <x:c r="N29" s="35" t="n">
        <x:f>IF('Assumptions'!$E$9=2,'Short-Term build'!N29,IF('Assumptions'!$E$9=3,'Installment build'!N29,'Short-Term build'!N29+'Installment build'!N29))</x:f>
        <x:v>28993871.203130323</x:v>
      </x:c>
      <x:c r="O29" s="35" t="n">
        <x:f>IF('Assumptions'!$E$9=2,'Short-Term build'!O29,IF('Assumptions'!$E$9=3,'Installment build'!O29,'Short-Term build'!O29+'Installment build'!O29))</x:f>
        <x:v>24969271.23064902</x:v>
      </x:c>
      <x:c r="P29" s="35" t="n">
        <x:f>IF('Assumptions'!$E$9=2,'Short-Term build'!P29,IF('Assumptions'!$E$9=3,'Installment build'!P29,'Short-Term build'!P29+'Installment build'!P29))</x:f>
        <x:v>21291440.097437806</x:v>
      </x:c>
      <x:c r="Q29" s="35" t="n">
        <x:f>IF('Assumptions'!$E$9=2,'Short-Term build'!Q29,IF('Assumptions'!$E$9=3,'Installment build'!Q29,'Short-Term build'!Q29+'Installment build'!Q29))</x:f>
        <x:v>17847859.14686303</x:v>
      </x:c>
      <x:c r="R29" s="35" t="n">
        <x:f>IF('Assumptions'!$E$9=2,'Short-Term build'!R29,IF('Assumptions'!$E$9=3,'Installment build'!R29,'Short-Term build'!R29+'Installment build'!R29))</x:f>
        <x:v>14547864.512210067</x:v>
      </x:c>
      <x:c r="S29" s="35" t="n">
        <x:f>IF('Assumptions'!$E$9=2,'Short-Term build'!S29,IF('Assumptions'!$E$9=3,'Installment build'!S29,'Short-Term build'!S29+'Installment build'!S29))</x:f>
        <x:v>11319385.186875012</x:v>
      </x:c>
      <x:c r="T29" s="35" t="n">
        <x:f>IF('Assumptions'!$E$9=2,'Short-Term build'!T29,IF('Assumptions'!$E$9=3,'Installment build'!T29,'Short-Term build'!T29+'Installment build'!T29))</x:f>
        <x:v>10190289.74503535</x:v>
      </x:c>
      <x:c r="U29" s="35" t="n">
        <x:f>IF('Assumptions'!$E$9=2,'Short-Term build'!U29,IF('Assumptions'!$E$9=3,'Installment build'!U29,'Short-Term build'!U29+'Installment build'!U29))</x:f>
        <x:v>9104038.453252152</x:v>
      </x:c>
      <x:c r="V29" s="35" t="n">
        <x:f>IF('Assumptions'!$E$9=2,'Short-Term build'!V29,IF('Assumptions'!$E$9=3,'Installment build'!V29,'Short-Term build'!V29+'Installment build'!V29))</x:f>
        <x:v>8054194.474754538</x:v>
      </x:c>
      <x:c r="W29" s="35" t="n">
        <x:f>IF('Assumptions'!$E$9=2,'Short-Term build'!W29,IF('Assumptions'!$E$9=3,'Installment build'!W29,'Short-Term build'!W29+'Installment build'!W29))</x:f>
        <x:v>7037721.213111164</x:v>
      </x:c>
      <x:c r="X29" s="35" t="n">
        <x:f>IF('Assumptions'!$E$9=2,'Short-Term build'!X29,IF('Assumptions'!$E$9=3,'Installment build'!X29,'Short-Term build'!X29+'Installment build'!X29))</x:f>
        <x:v>6054314.72018375</x:v>
      </x:c>
      <x:c r="Y29" s="35" t="n">
        <x:f>IF('Assumptions'!$E$9=2,'Short-Term build'!Y29,IF('Assumptions'!$E$9=3,'Installment build'!Y29,'Short-Term build'!Y29+'Installment build'!Y29))</x:f>
        <x:v>5105202.1230712505</x:v>
      </x:c>
      <x:c r="Z29" s="35" t="n">
        <x:f>IF('Assumptions'!$E$9=2,'Short-Term build'!Z29,IF('Assumptions'!$E$9=3,'Installment build'!Z29,'Short-Term build'!Z29+'Installment build'!Z29))</x:f>
        <x:v>4191406.085166423</x:v>
      </x:c>
      <x:c r="AA29" s="35" t="n">
        <x:f>IF('Assumptions'!$E$9=2,'Short-Term build'!AA29,IF('Assumptions'!$E$9=3,'Installment build'!AA29,'Short-Term build'!AA29+'Installment build'!AA29))</x:f>
        <x:v>3311841.329285341</x:v>
      </x:c>
      <x:c r="AB29" s="35" t="n">
        <x:f>IF('Assumptions'!$E$9=2,'Short-Term build'!AB29,IF('Assumptions'!$E$9=3,'Installment build'!AB29,'Short-Term build'!AB29+'Installment build'!AB29))</x:f>
        <x:v>2461889.285274608</x:v>
      </x:c>
      <x:c r="AC29" s="35" t="n">
        <x:f>IF('Assumptions'!$E$9=2,'Short-Term build'!AC29,IF('Assumptions'!$E$9=3,'Installment build'!AC29,'Short-Term build'!AC29+'Installment build'!AC29))</x:f>
        <x:v>1633347.820410972</x:v>
      </x:c>
      <x:c r="AD29" s="35" t="n">
        <x:f>IF('Assumptions'!$E$9=2,'Short-Term build'!AD29,IF('Assumptions'!$E$9=3,'Installment build'!AD29,'Short-Term build'!AD29+'Installment build'!AD29))</x:f>
        <x:v>816043.9538337121</x:v>
      </x:c>
      <x:c r="AE29" s="35" t="n">
        <x:f>IF('Assumptions'!$E$9=2,'Short-Term build'!AE29,IF('Assumptions'!$E$9=3,'Installment build'!AE29,'Short-Term build'!AE29+'Installment build'!AE29))</x:f>
        <x:v>0</x:v>
      </x:c>
      <x:c r="AF29" s="35" t="n">
        <x:f>IF('Assumptions'!$E$9=2,'Short-Term build'!AF29,IF('Assumptions'!$E$9=3,'Installment build'!AF29,'Short-Term build'!AF29+'Installment build'!AF29))</x:f>
        <x:v>0</x:v>
      </x:c>
      <x:c r="AG29" s="35" t="n">
        <x:f>IF('Assumptions'!$E$9=2,'Short-Term build'!AG29,IF('Assumptions'!$E$9=3,'Installment build'!AG29,'Short-Term build'!AG29+'Installment build'!AG29))</x:f>
        <x:v>0</x:v>
      </x:c>
      <x:c r="AH29" s="35" t="n">
        <x:f>IF('Assumptions'!$E$9=2,'Short-Term build'!AH29,IF('Assumptions'!$E$9=3,'Installment build'!AH29,'Short-Term build'!AH29+'Installment build'!AH29))</x:f>
        <x:v>0</x:v>
      </x:c>
      <x:c r="AI29" s="35" t="n">
        <x:f>IF('Assumptions'!$E$9=2,'Short-Term build'!AI29,IF('Assumptions'!$E$9=3,'Installment build'!AI29,'Short-Term build'!AI29+'Installment build'!AI29))</x:f>
        <x:v>0</x:v>
      </x:c>
      <x:c r="AJ29" s="35" t="n">
        <x:f>IF('Assumptions'!$E$9=2,'Short-Term build'!AJ29,IF('Assumptions'!$E$9=3,'Installment build'!AJ29,'Short-Term build'!AJ29+'Installment build'!AJ29))</x:f>
        <x:v>0</x:v>
      </x:c>
      <x:c r="AK29" s="35" t="n">
        <x:f>IF('Assumptions'!$E$9=2,'Short-Term build'!AK29,IF('Assumptions'!$E$9=3,'Installment build'!AK29,'Short-Term build'!AK29+'Installment build'!AK29))</x:f>
        <x:v>0</x:v>
      </x:c>
      <x:c r="AL29" s="35" t="n">
        <x:f>IF('Assumptions'!$E$9=2,'Short-Term build'!AL29,IF('Assumptions'!$E$9=3,'Installment build'!AL29,'Short-Term build'!AL29+'Installment build'!AL29))</x:f>
        <x:v>0</x:v>
      </x:c>
      <x:c r="AM29" s="35" t="n">
        <x:f>IF('Assumptions'!$E$9=2,'Short-Term build'!AM29,IF('Assumptions'!$E$9=3,'Installment build'!AM29,'Short-Term build'!AM29+'Installment build'!AM29))</x:f>
        <x:v>0</x:v>
      </x:c>
      <x:c r="AN29" s="35" t="n">
        <x:f>IF('Assumptions'!$E$9=2,'Short-Term build'!AN29,IF('Assumptions'!$E$9=3,'Installment build'!AN29,'Short-Term build'!AN29+'Installment build'!AN29))</x:f>
        <x:v>0</x:v>
      </x:c>
      <x:c r="AO29" s="35" t="n">
        <x:f>IF('Assumptions'!$E$9=2,'Short-Term build'!AO29,IF('Assumptions'!$E$9=3,'Installment build'!AO29,'Short-Term build'!AO29+'Installment build'!AO29))</x:f>
        <x:v>0</x:v>
      </x:c>
      <x:c r="AP29" s="35" t="n">
        <x:f>IF('Assumptions'!$E$9=2,'Short-Term build'!AP29,IF('Assumptions'!$E$9=3,'Installment build'!AP29,'Short-Term build'!AP29+'Installment build'!AP29))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353832035.573212</x:v>
      </x:c>
      <x:c r="F30" s="2"/>
      <x:c r="G30" s="35" t="n">
        <x:f>IF('Assumptions'!$E$9=2,'Short-Term build'!G30,IF('Assumptions'!$E$9=3,'Installment build'!G30,'Short-Term build'!G30+'Installment build'!G30))</x:f>
        <x:v>0</x:v>
      </x:c>
      <x:c r="H30" s="35" t="n">
        <x:f>IF('Assumptions'!$E$9=2,'Short-Term build'!H30,IF('Assumptions'!$E$9=3,'Installment build'!H30,'Short-Term build'!H30+'Installment build'!H30))</x:f>
        <x:v>1185850.3206999437</x:v>
      </x:c>
      <x:c r="I30" s="35" t="n">
        <x:f>IF('Assumptions'!$E$9=2,'Short-Term build'!I30,IF('Assumptions'!$E$9=3,'Installment build'!I30,'Short-Term build'!I30+'Installment build'!I30))</x:f>
        <x:v>2417007.4205522053</x:v>
      </x:c>
      <x:c r="J30" s="35" t="n">
        <x:f>IF('Assumptions'!$E$9=2,'Short-Term build'!J30,IF('Assumptions'!$E$9=3,'Installment build'!J30,'Short-Term build'!J30+'Installment build'!J30))</x:f>
        <x:v>3686954.321789829</x:v>
      </x:c>
      <x:c r="K30" s="35" t="n">
        <x:f>IF('Assumptions'!$E$9=2,'Short-Term build'!K30,IF('Assumptions'!$E$9=3,'Installment build'!K30,'Short-Term build'!K30+'Installment build'!K30))</x:f>
        <x:v>4992583.593832796</x:v>
      </x:c>
      <x:c r="L30" s="35" t="n">
        <x:f>IF('Assumptions'!$E$9=2,'Short-Term build'!L30,IF('Assumptions'!$E$9=3,'Installment build'!L30,'Short-Term build'!L30+'Installment build'!L30))</x:f>
        <x:v>6336500.216376521</x:v>
      </x:c>
      <x:c r="M30" s="35" t="n">
        <x:f>IF('Assumptions'!$E$9=2,'Short-Term build'!M30,IF('Assumptions'!$E$9=3,'Installment build'!M30,'Short-Term build'!M30+'Installment build'!M30))</x:f>
        <x:v>7727060.183243592</x:v>
      </x:c>
      <x:c r="N30" s="35" t="n">
        <x:f>IF('Assumptions'!$E$9=2,'Short-Term build'!N30,IF('Assumptions'!$E$9=3,'Installment build'!N30,'Short-Term build'!N30+'Installment build'!N30))</x:f>
        <x:v>9176581.800227754</x:v>
      </x:c>
      <x:c r="O30" s="35" t="n">
        <x:f>IF('Assumptions'!$E$9=2,'Short-Term build'!O30,IF('Assumptions'!$E$9=3,'Installment build'!O30,'Short-Term build'!O30+'Installment build'!O30))</x:f>
        <x:v>10699022.376708992</x:v>
      </x:c>
      <x:c r="P30" s="35" t="n">
        <x:f>IF('Assumptions'!$E$9=2,'Short-Term build'!P30,IF('Assumptions'!$E$9=3,'Installment build'!P30,'Short-Term build'!P30+'Installment build'!P30))</x:f>
        <x:v>12308223.276197609</x:v>
      </x:c>
      <x:c r="Q30" s="35" t="n">
        <x:f>IF('Assumptions'!$E$9=2,'Short-Term build'!Q30,IF('Assumptions'!$E$9=3,'Installment build'!Q30,'Short-Term build'!Q30+'Installment build'!Q30))</x:f>
        <x:v>14017130.926183697</x:v>
      </x:c>
      <x:c r="R30" s="35" t="n">
        <x:f>IF('Assumptions'!$E$9=2,'Short-Term build'!R30,IF('Assumptions'!$E$9=3,'Installment build'!R30,'Short-Term build'!R30+'Installment build'!R30))</x:f>
        <x:v>15837771.992167253</x:v>
      </x:c>
      <x:c r="S30" s="35" t="n">
        <x:f>IF('Assumptions'!$E$9=2,'Short-Term build'!S30,IF('Assumptions'!$E$9=3,'Installment build'!S30,'Short-Term build'!S30+'Installment build'!S30))</x:f>
        <x:v>17781578.581537656</x:v>
      </x:c>
      <x:c r="T30" s="35" t="n">
        <x:f>IF('Assumptions'!$E$9=2,'Short-Term build'!T30,IF('Assumptions'!$E$9=3,'Installment build'!T30,'Short-Term build'!T30+'Installment build'!T30))</x:f>
        <x:v>18457039.391754404</x:v>
      </x:c>
      <x:c r="U30" s="35" t="n">
        <x:f>IF('Assumptions'!$E$9=2,'Short-Term build'!U30,IF('Assumptions'!$E$9=3,'Installment build'!U30,'Short-Term build'!U30+'Installment build'!U30))</x:f>
        <x:v>19162799.933833692</x:v>
      </x:c>
      <x:c r="V30" s="35" t="n">
        <x:f>IF('Assumptions'!$E$9=2,'Short-Term build'!V30,IF('Assumptions'!$E$9=3,'Installment build'!V30,'Short-Term build'!V30+'Installment build'!V30))</x:f>
        <x:v>19900508.008067943</x:v>
      </x:c>
      <x:c r="W30" s="35" t="n">
        <x:f>IF('Assumptions'!$E$9=2,'Short-Term build'!W30,IF('Assumptions'!$E$9=3,'Installment build'!W30,'Short-Term build'!W30+'Installment build'!W30))</x:f>
        <x:v>20671785.657636</x:v>
      </x:c>
      <x:c r="X30" s="35" t="n">
        <x:f>IF('Assumptions'!$E$9=2,'Short-Term build'!X30,IF('Assumptions'!$E$9=3,'Installment build'!X30,'Short-Term build'!X30+'Installment build'!X30))</x:f>
        <x:v>21478267.207432244</x:v>
      </x:c>
      <x:c r="Y30" s="35" t="n">
        <x:f>IF('Assumptions'!$E$9=2,'Short-Term build'!Y30,IF('Assumptions'!$E$9=3,'Installment build'!Y30,'Short-Term build'!Y30+'Installment build'!Y30))</x:f>
        <x:v>22321624.10639751</x:v>
      </x:c>
      <x:c r="Z30" s="35" t="n">
        <x:f>IF('Assumptions'!$E$9=2,'Short-Term build'!Z30,IF('Assumptions'!$E$9=3,'Installment build'!Z30,'Short-Term build'!Z30+'Installment build'!Z30))</x:f>
        <x:v>23203581.496437676</x:v>
      </x:c>
      <x:c r="AA30" s="35" t="n">
        <x:f>IF('Assumptions'!$E$9=2,'Short-Term build'!AA30,IF('Assumptions'!$E$9=3,'Installment build'!AA30,'Short-Term build'!AA30+'Installment build'!AA30))</x:f>
        <x:v>24125929.720594734</x:v>
      </x:c>
      <x:c r="AB30" s="35" t="n">
        <x:f>IF('Assumptions'!$E$9=2,'Short-Term build'!AB30,IF('Assumptions'!$E$9=3,'Installment build'!AB30,'Short-Term build'!AB30+'Installment build'!AB30))</x:f>
        <x:v>25090532.797197927</x:v>
      </x:c>
      <x:c r="AC30" s="35" t="n">
        <x:f>IF('Assumptions'!$E$9=2,'Short-Term build'!AC30,IF('Assumptions'!$E$9=3,'Installment build'!AC30,'Short-Term build'!AC30+'Installment build'!AC30))</x:f>
        <x:v>26099335.11605204</x:v>
      </x:c>
      <x:c r="AD30" s="35" t="n">
        <x:f>IF('Assumptions'!$E$9=2,'Short-Term build'!AD30,IF('Assumptions'!$E$9=3,'Installment build'!AD30,'Short-Term build'!AD30+'Installment build'!AD30))</x:f>
        <x:v>27154367.12828998</x:v>
      </x:c>
      <x:c r="AE30" s="35" t="n">
        <x:f>IF('Assumptions'!$E$9=2,'Short-Term build'!AE30,IF('Assumptions'!$E$9=3,'Installment build'!AE30,'Short-Term build'!AE30+'Installment build'!AE30))</x:f>
        <x:v>28257750.502487674</x:v>
      </x:c>
      <x:c r="AF30" s="35" t="n">
        <x:f>IF('Assumptions'!$E$9=2,'Short-Term build'!AF30,IF('Assumptions'!$E$9=3,'Installment build'!AF30,'Short-Term build'!AF30+'Installment build'!AF30))</x:f>
        <x:v>28257750.502487674</x:v>
      </x:c>
      <x:c r="AG30" s="35" t="n">
        <x:f>IF('Assumptions'!$E$9=2,'Short-Term build'!AG30,IF('Assumptions'!$E$9=3,'Installment build'!AG30,'Short-Term build'!AG30+'Installment build'!AG30))</x:f>
        <x:v>28257750.502487674</x:v>
      </x:c>
      <x:c r="AH30" s="35" t="n">
        <x:f>IF('Assumptions'!$E$9=2,'Short-Term build'!AH30,IF('Assumptions'!$E$9=3,'Installment build'!AH30,'Short-Term build'!AH30+'Installment build'!AH30))</x:f>
        <x:v>28257750.502487674</x:v>
      </x:c>
      <x:c r="AI30" s="35" t="n">
        <x:f>IF('Assumptions'!$E$9=2,'Short-Term build'!AI30,IF('Assumptions'!$E$9=3,'Installment build'!AI30,'Short-Term build'!AI30+'Installment build'!AI30))</x:f>
        <x:v>28257750.502487674</x:v>
      </x:c>
      <x:c r="AJ30" s="35" t="n">
        <x:f>IF('Assumptions'!$E$9=2,'Short-Term build'!AJ30,IF('Assumptions'!$E$9=3,'Installment build'!AJ30,'Short-Term build'!AJ30+'Installment build'!AJ30))</x:f>
        <x:v>28257750.502487674</x:v>
      </x:c>
      <x:c r="AK30" s="35" t="n">
        <x:f>IF('Assumptions'!$E$9=2,'Short-Term build'!AK30,IF('Assumptions'!$E$9=3,'Installment build'!AK30,'Short-Term build'!AK30+'Installment build'!AK30))</x:f>
        <x:v>28257750.502487674</x:v>
      </x:c>
      <x:c r="AL30" s="35" t="n">
        <x:f>IF('Assumptions'!$E$9=2,'Short-Term build'!AL30,IF('Assumptions'!$E$9=3,'Installment build'!AL30,'Short-Term build'!AL30+'Installment build'!AL30))</x:f>
        <x:v>28257750.502487674</x:v>
      </x:c>
      <x:c r="AM30" s="35" t="n">
        <x:f>IF('Assumptions'!$E$9=2,'Short-Term build'!AM30,IF('Assumptions'!$E$9=3,'Installment build'!AM30,'Short-Term build'!AM30+'Installment build'!AM30))</x:f>
        <x:v>28257750.502487674</x:v>
      </x:c>
      <x:c r="AN30" s="35" t="n">
        <x:f>IF('Assumptions'!$E$9=2,'Short-Term build'!AN30,IF('Assumptions'!$E$9=3,'Installment build'!AN30,'Short-Term build'!AN30+'Installment build'!AN30))</x:f>
        <x:v>28257750.502487674</x:v>
      </x:c>
      <x:c r="AO30" s="35" t="n">
        <x:f>IF('Assumptions'!$E$9=2,'Short-Term build'!AO30,IF('Assumptions'!$E$9=3,'Installment build'!AO30,'Short-Term build'!AO30+'Installment build'!AO30))</x:f>
        <x:v>28257750.502487674</x:v>
      </x:c>
      <x:c r="AP30" s="35" t="n">
        <x:f>IF('Assumptions'!$E$9=2,'Short-Term build'!AP30,IF('Assumptions'!$E$9=3,'Installment build'!AP30,'Short-Term build'!AP30+'Installment build'!AP30))</x:f>
        <x:v>28257750.502487674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202397070.9908821</x:v>
      </x:c>
      <x:c r="F32" s="2"/>
      <x:c r="G32" s="35" t="n">
        <x:f>IF('Assumptions'!$E$9=2,'Short-Term build'!G32,IF('Assumptions'!$E$9=3,'Installment build'!G32,'Short-Term build'!G32+'Installment build'!G32))</x:f>
        <x:v>38219219.35883158</x:v>
      </x:c>
      <x:c r="H32" s="35" t="n">
        <x:f>IF('Assumptions'!$E$9=2,'Short-Term build'!H32,IF('Assumptions'!$E$9=3,'Installment build'!H32,'Short-Term build'!H32+'Installment build'!H32))</x:f>
        <x:v>30359753.511524457</x:v>
      </x:c>
      <x:c r="I32" s="35" t="n">
        <x:f>IF('Assumptions'!$E$9=2,'Short-Term build'!I32,IF('Assumptions'!$E$9=3,'Installment build'!I32,'Short-Term build'!I32+'Installment build'!I32))</x:f>
        <x:v>24825750.15166311</x:v>
      </x:c>
      <x:c r="J32" s="35" t="n">
        <x:f>IF('Assumptions'!$E$9=2,'Short-Term build'!J32,IF('Assumptions'!$E$9=3,'Installment build'!J32,'Short-Term build'!J32+'Installment build'!J32))</x:f>
        <x:v>20463059.69637538</x:v>
      </x:c>
      <x:c r="K32" s="35" t="n">
        <x:f>IF('Assumptions'!$E$9=2,'Short-Term build'!K32,IF('Assumptions'!$E$9=3,'Installment build'!K32,'Short-Term build'!K32+'Installment build'!K32))</x:f>
        <x:v>16895122.646062437</x:v>
      </x:c>
      <x:c r="L32" s="35" t="n">
        <x:f>IF('Assumptions'!$E$9=2,'Short-Term build'!L32,IF('Assumptions'!$E$9=3,'Installment build'!L32,'Short-Term build'!L32+'Installment build'!L32))</x:f>
        <x:v>13928800.806726925</x:v>
      </x:c>
      <x:c r="M32" s="35" t="n">
        <x:f>IF('Assumptions'!$E$9=2,'Short-Term build'!M32,IF('Assumptions'!$E$9=3,'Installment build'!M32,'Short-Term build'!M32+'Installment build'!M32))</x:f>
        <x:v>11441378.366603363</x:v>
      </x:c>
      <x:c r="N32" s="35" t="n">
        <x:f>IF('Assumptions'!$E$9=2,'Short-Term build'!N32,IF('Assumptions'!$E$9=3,'Installment build'!N32,'Short-Term build'!N32+'Installment build'!N32))</x:f>
        <x:v>9347125.656125514</x:v>
      </x:c>
      <x:c r="O32" s="35" t="n">
        <x:f>IF('Assumptions'!$E$9=2,'Short-Term build'!O32,IF('Assumptions'!$E$9=3,'Installment build'!O32,'Short-Term build'!O32+'Installment build'!O32))</x:f>
        <x:v>7584719.360728843</x:v>
      </x:c>
      <x:c r="P32" s="35" t="n">
        <x:f>IF('Assumptions'!$E$9=2,'Short-Term build'!P32,IF('Assumptions'!$E$9=3,'Installment build'!P32,'Short-Term build'!P32+'Installment build'!P32))</x:f>
        <x:v>6110869.992767587</x:v>
      </x:c>
      <x:c r="Q32" s="35" t="n">
        <x:f>IF('Assumptions'!$E$9=2,'Short-Term build'!Q32,IF('Assumptions'!$E$9=3,'Installment build'!Q32,'Short-Term build'!Q32+'Installment build'!Q32))</x:f>
        <x:v>4896095.702426035</x:v>
      </x:c>
      <x:c r="R32" s="35" t="n">
        <x:f>IF('Assumptions'!$E$9=2,'Short-Term build'!R32,IF('Assumptions'!$E$9=3,'Installment build'!R32,'Short-Term build'!R32+'Installment build'!R32))</x:f>
        <x:v>3921591.4913693573</x:v>
      </x:c>
      <x:c r="S32" s="35" t="n">
        <x:f>IF('Assumptions'!$E$9=2,'Short-Term build'!S32,IF('Assumptions'!$E$9=3,'Installment build'!S32,'Short-Term build'!S32+'Installment build'!S32))</x:f>
        <x:v>3176771.70270042</x:v>
      </x:c>
      <x:c r="T32" s="35" t="n">
        <x:f>IF('Assumptions'!$E$9=2,'Short-Term build'!T32,IF('Assumptions'!$E$9=3,'Installment build'!T32,'Short-Term build'!T32+'Installment build'!T32))</x:f>
        <x:v>2657265.8255347437</x:v>
      </x:c>
      <x:c r="U32" s="35" t="n">
        <x:f>IF('Assumptions'!$E$9=2,'Short-Term build'!U32,IF('Assumptions'!$E$9=3,'Installment build'!U32,'Short-Term build'!U32+'Installment build'!U32))</x:f>
        <x:v>2189840.746028785</x:v>
      </x:c>
      <x:c r="V32" s="35" t="n">
        <x:f>IF('Assumptions'!$E$9=2,'Short-Term build'!V32,IF('Assumptions'!$E$9=3,'Installment build'!V32,'Short-Term build'!V32+'Installment build'!V32))</x:f>
        <x:v>1772379.757887671</x:v>
      </x:c>
      <x:c r="W32" s="35" t="n">
        <x:f>IF('Assumptions'!$E$9=2,'Short-Term build'!W32,IF('Assumptions'!$E$9=3,'Installment build'!W32,'Short-Term build'!W32+'Installment build'!W32))</x:f>
        <x:v>1403130.8057804767</x:v>
      </x:c>
      <x:c r="X32" s="35" t="n">
        <x:f>IF('Assumptions'!$E$9=2,'Short-Term build'!X32,IF('Assumptions'!$E$9=3,'Installment build'!X32,'Short-Term build'!X32+'Installment build'!X32))</x:f>
        <x:v>1080519.4671904482</x:v>
      </x:c>
      <x:c r="Y32" s="35" t="n">
        <x:f>IF('Assumptions'!$E$9=2,'Short-Term build'!Y32,IF('Assumptions'!$E$9=3,'Installment build'!Y32,'Short-Term build'!Y32+'Installment build'!Y32))</x:f>
        <x:v>803006.2487341659</x:v>
      </x:c>
      <x:c r="Z32" s="35" t="n">
        <x:f>IF('Assumptions'!$E$9=2,'Short-Term build'!Z32,IF('Assumptions'!$E$9=3,'Installment build'!Z32,'Short-Term build'!Z32+'Installment build'!Z32))</x:f>
        <x:v>569006.7621068377</x:v>
      </x:c>
      <x:c r="AA32" s="35" t="n">
        <x:f>IF('Assumptions'!$E$9=2,'Short-Term build'!AA32,IF('Assumptions'!$E$9=3,'Installment build'!AA32,'Short-Term build'!AA32+'Installment build'!AA32))</x:f>
        <x:v>376895.8160102004</x:v>
      </x:c>
      <x:c r="AB32" s="35" t="n">
        <x:f>IF('Assumptions'!$E$9=2,'Short-Term build'!AB32,IF('Assumptions'!$E$9=3,'Installment build'!AB32,'Short-Term build'!AB32+'Installment build'!AB32))</x:f>
        <x:v>225101.16869198068</x:v>
      </x:c>
      <x:c r="AC32" s="35" t="n">
        <x:f>IF('Assumptions'!$E$9=2,'Short-Term build'!AC32,IF('Assumptions'!$E$9=3,'Installment build'!AC32,'Short-Term build'!AC32+'Installment build'!AC32))</x:f>
        <x:v>112263.93446108307</x:v>
      </x:c>
      <x:c r="AD32" s="35" t="n">
        <x:f>IF('Assumptions'!$E$9=2,'Short-Term build'!AD32,IF('Assumptions'!$E$9=3,'Installment build'!AD32,'Short-Term build'!AD32+'Installment build'!AD32))</x:f>
        <x:v>37402.014550717766</x:v>
      </x:c>
      <x:c r="AE32" s="35" t="n">
        <x:f>IF('Assumptions'!$E$9=2,'Short-Term build'!AE32,IF('Assumptions'!$E$9=3,'Installment build'!AE32,'Short-Term build'!AE32+'Installment build'!AE32))</x:f>
        <x:v>5.955250041248898e-9</x:v>
      </x:c>
      <x:c r="AF32" s="35" t="n">
        <x:f>IF('Assumptions'!$E$9=2,'Short-Term build'!AF32,IF('Assumptions'!$E$9=3,'Installment build'!AF32,'Short-Term build'!AF32+'Installment build'!AF32))</x:f>
        <x:v>5.955250041248898e-9</x:v>
      </x:c>
      <x:c r="AG32" s="35" t="n">
        <x:f>IF('Assumptions'!$E$9=2,'Short-Term build'!AG32,IF('Assumptions'!$E$9=3,'Installment build'!AG32,'Short-Term build'!AG32+'Installment build'!AG32))</x:f>
        <x:v>5.955250041248898e-9</x:v>
      </x:c>
      <x:c r="AH32" s="35" t="n">
        <x:f>IF('Assumptions'!$E$9=2,'Short-Term build'!AH32,IF('Assumptions'!$E$9=3,'Installment build'!AH32,'Short-Term build'!AH32+'Installment build'!AH32))</x:f>
        <x:v>5.955250041248898e-9</x:v>
      </x:c>
      <x:c r="AI32" s="35" t="n">
        <x:f>IF('Assumptions'!$E$9=2,'Short-Term build'!AI32,IF('Assumptions'!$E$9=3,'Installment build'!AI32,'Short-Term build'!AI32+'Installment build'!AI32))</x:f>
        <x:v>5.955250041248898e-9</x:v>
      </x:c>
      <x:c r="AJ32" s="35" t="n">
        <x:f>IF('Assumptions'!$E$9=2,'Short-Term build'!AJ32,IF('Assumptions'!$E$9=3,'Installment build'!AJ32,'Short-Term build'!AJ32+'Installment build'!AJ32))</x:f>
        <x:v>5.955250041248898e-9</x:v>
      </x:c>
      <x:c r="AK32" s="35" t="n">
        <x:f>IF('Assumptions'!$E$9=2,'Short-Term build'!AK32,IF('Assumptions'!$E$9=3,'Installment build'!AK32,'Short-Term build'!AK32+'Installment build'!AK32))</x:f>
        <x:v>5.955250041248898e-9</x:v>
      </x:c>
      <x:c r="AL32" s="35" t="n">
        <x:f>IF('Assumptions'!$E$9=2,'Short-Term build'!AL32,IF('Assumptions'!$E$9=3,'Installment build'!AL32,'Short-Term build'!AL32+'Installment build'!AL32))</x:f>
        <x:v>5.955250041248898e-9</x:v>
      </x:c>
      <x:c r="AM32" s="35" t="n">
        <x:f>IF('Assumptions'!$E$9=2,'Short-Term build'!AM32,IF('Assumptions'!$E$9=3,'Installment build'!AM32,'Short-Term build'!AM32+'Installment build'!AM32))</x:f>
        <x:v>5.955250041248898e-9</x:v>
      </x:c>
      <x:c r="AN32" s="35" t="n">
        <x:f>IF('Assumptions'!$E$9=2,'Short-Term build'!AN32,IF('Assumptions'!$E$9=3,'Installment build'!AN32,'Short-Term build'!AN32+'Installment build'!AN32))</x:f>
        <x:v>5.955250041248898e-9</x:v>
      </x:c>
      <x:c r="AO32" s="35" t="n">
        <x:f>IF('Assumptions'!$E$9=2,'Short-Term build'!AO32,IF('Assumptions'!$E$9=3,'Installment build'!AO32,'Short-Term build'!AO32+'Installment build'!AO32))</x:f>
        <x:v>5.955250041248898e-9</x:v>
      </x:c>
      <x:c r="AP32" s="35" t="n">
        <x:f>IF('Assumptions'!$E$9=2,'Short-Term build'!AP32,IF('Assumptions'!$E$9=3,'Installment build'!AP32,'Short-Term build'!AP32+'Installment build'!AP32))</x:f>
        <x:v>5.955250041248898e-9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320769321.0373783</x:v>
      </x:c>
      <x:c r="F33" s="2"/>
      <x:c r="G33" s="35" t="n">
        <x:f>IF('Assumptions'!$E$9=2,'Short-Term build'!G33,IF('Assumptions'!$E$9=3,'Installment build'!G33,'Short-Term build'!G33+'Installment build'!G33))</x:f>
        <x:v>0</x:v>
      </x:c>
      <x:c r="H33" s="35" t="n">
        <x:f>IF('Assumptions'!$E$9=2,'Short-Term build'!H33,IF('Assumptions'!$E$9=3,'Installment build'!H33,'Short-Term build'!H33+'Installment build'!H33))</x:f>
        <x:v>2072821.056446176</x:v>
      </x:c>
      <x:c r="I33" s="35" t="n">
        <x:f>IF('Assumptions'!$E$9=2,'Short-Term build'!I33,IF('Assumptions'!$E$9=3,'Installment build'!I33,'Short-Term build'!I33+'Installment build'!I33))</x:f>
        <x:v>4011064.839489733</x:v>
      </x:c>
      <x:c r="J33" s="35" t="n">
        <x:f>IF('Assumptions'!$E$9=2,'Short-Term build'!J33,IF('Assumptions'!$E$9=3,'Installment build'!J33,'Short-Term build'!J33+'Installment build'!J33))</x:f>
        <x:v>5802879.919509713</x:v>
      </x:c>
      <x:c r="K33" s="35" t="n">
        <x:f>IF('Assumptions'!$E$9=2,'Short-Term build'!K33,IF('Assumptions'!$E$9=3,'Installment build'!K33,'Short-Term build'!K33+'Installment build'!K33))</x:f>
        <x:v>7444371.036515583</x:v>
      </x:c>
      <x:c r="L33" s="35" t="n">
        <x:f>IF('Assumptions'!$E$9=2,'Short-Term build'!L33,IF('Assumptions'!$E$9=3,'Installment build'!L33,'Short-Term build'!L33+'Installment build'!L33))</x:f>
        <x:v>8939767.766211402</x:v>
      </x:c>
      <x:c r="M33" s="35" t="n">
        <x:f>IF('Assumptions'!$E$9=2,'Short-Term build'!M33,IF('Assumptions'!$E$9=3,'Installment build'!M33,'Short-Term build'!M33+'Installment build'!M33))</x:f>
        <x:v>10298149.625748347</x:v>
      </x:c>
      <x:c r="N33" s="35" t="n">
        <x:f>IF('Assumptions'!$E$9=2,'Short-Term build'!N33,IF('Assumptions'!$E$9=3,'Installment build'!N33,'Short-Term build'!N33+'Installment build'!N33))</x:f>
        <x:v>11529081.087776372</x:v>
      </x:c>
      <x:c r="O33" s="35" t="n">
        <x:f>IF('Assumptions'!$E$9=2,'Short-Term build'!O33,IF('Assumptions'!$E$9=3,'Installment build'!O33,'Short-Term build'!O33+'Installment build'!O33))</x:f>
        <x:v>12639365.54362395</x:v>
      </x:c>
      <x:c r="P33" s="35" t="n">
        <x:f>IF('Assumptions'!$E$9=2,'Short-Term build'!P33,IF('Assumptions'!$E$9=3,'Installment build'!P33,'Short-Term build'!P33+'Installment build'!P33))</x:f>
        <x:v>13631714.608706705</x:v>
      </x:c>
      <x:c r="Q33" s="35" t="n">
        <x:f>IF('Assumptions'!$E$9=2,'Short-Term build'!Q33,IF('Assumptions'!$E$9=3,'Installment build'!Q33,'Short-Term build'!Q33+'Installment build'!Q33))</x:f>
        <x:v>14504910.080152808</x:v>
      </x:c>
      <x:c r="R33" s="35" t="n">
        <x:f>IF('Assumptions'!$E$9=2,'Short-Term build'!R33,IF('Assumptions'!$E$9=3,'Installment build'!R33,'Short-Term build'!R33+'Installment build'!R33))</x:f>
        <x:v>15254605.710142573</x:v>
      </x:c>
      <x:c r="S33" s="35" t="n">
        <x:f>IF('Assumptions'!$E$9=2,'Short-Term build'!S33,IF('Assumptions'!$E$9=3,'Installment build'!S33,'Short-Term build'!S33+'Installment build'!S33))</x:f>
        <x:v>15874151.82611211</x:v>
      </x:c>
      <x:c r="T33" s="35" t="n">
        <x:f>IF('Assumptions'!$E$9=2,'Short-Term build'!T33,IF('Assumptions'!$E$9=3,'Installment build'!T33,'Short-Term build'!T33+'Installment build'!T33))</x:f>
        <x:v>16355202.404654479</x:v>
      </x:c>
      <x:c r="U33" s="35" t="n">
        <x:f>IF('Assumptions'!$E$9=2,'Short-Term build'!U33,IF('Assumptions'!$E$9=3,'Installment build'!U33,'Short-Term build'!U33+'Installment build'!U33))</x:f>
        <x:v>16804874.55482152</x:v>
      </x:c>
      <x:c r="V33" s="35" t="n">
        <x:f>IF('Assumptions'!$E$9=2,'Short-Term build'!V33,IF('Assumptions'!$E$9=3,'Installment build'!V33,'Short-Term build'!V33+'Installment build'!V33))</x:f>
        <x:v>17221973.28594254</x:v>
      </x:c>
      <x:c r="W33" s="35" t="n">
        <x:f>IF('Assumptions'!$E$9=2,'Short-Term build'!W33,IF('Assumptions'!$E$9=3,'Installment build'!W33,'Short-Term build'!W33+'Installment build'!W33))</x:f>
        <x:v>17605140.150385085</x:v>
      </x:c>
      <x:c r="X33" s="35" t="n">
        <x:f>IF('Assumptions'!$E$9=2,'Short-Term build'!X33,IF('Assumptions'!$E$9=3,'Installment build'!X33,'Short-Term build'!X33+'Installment build'!X33))</x:f>
        <x:v>17952893.693955854</x:v>
      </x:c>
      <x:c r="Y33" s="35" t="n">
        <x:f>IF('Assumptions'!$E$9=2,'Short-Term build'!Y33,IF('Assumptions'!$E$9=3,'Installment build'!Y33,'Short-Term build'!Y33+'Installment build'!Y33))</x:f>
        <x:v>18263650.930727445</x:v>
      </x:c>
      <x:c r="Z33" s="35" t="n">
        <x:f>IF('Assumptions'!$E$9=2,'Short-Term build'!Z33,IF('Assumptions'!$E$9=3,'Installment build'!Z33,'Short-Term build'!Z33+'Installment build'!Z33))</x:f>
        <x:v>18535737.845788565</x:v>
      </x:c>
      <x:c r="AA33" s="35" t="n">
        <x:f>IF('Assumptions'!$E$9=2,'Short-Term build'!AA33,IF('Assumptions'!$E$9=3,'Installment build'!AA33,'Short-Term build'!AA33+'Installment build'!AA33))</x:f>
        <x:v>18767393.623249523</x:v>
      </x:c>
      <x:c r="AB33" s="35" t="n">
        <x:f>IF('Assumptions'!$E$9=2,'Short-Term build'!AB33,IF('Assumptions'!$E$9=3,'Installment build'!AB33,'Short-Term build'!AB33+'Installment build'!AB33))</x:f>
        <x:v>18956771.290277675</x:v>
      </x:c>
      <x:c r="AC33" s="35" t="n">
        <x:f>IF('Assumptions'!$E$9=2,'Short-Term build'!AC33,IF('Assumptions'!$E$9=3,'Installment build'!AC33,'Short-Term build'!AC33+'Installment build'!AC33))</x:f>
        <x:v>19101936.29473245</x:v>
      </x:c>
      <x:c r="AD33" s="35" t="n">
        <x:f>IF('Assumptions'!$E$9=2,'Short-Term build'!AD33,IF('Assumptions'!$E$9=3,'Installment build'!AD33,'Short-Term build'!AD33+'Installment build'!AD33))</x:f>
        <x:v>19200863.86240775</x:v>
      </x:c>
      <x:c r="AE33" s="35" t="n">
        <x:f>IF('Assumptions'!$E$9=2,'Short-Term build'!AE33,IF('Assumptions'!$E$9=3,'Installment build'!AE33,'Short-Term build'!AE33+'Installment build'!AE33))</x:f>
        <x:v>19251435.600391813</x:v>
      </x:c>
      <x:c r="AF33" s="35" t="n">
        <x:f>IF('Assumptions'!$E$9=2,'Short-Term build'!AF33,IF('Assumptions'!$E$9=3,'Installment build'!AF33,'Short-Term build'!AF33+'Installment build'!AF33))</x:f>
        <x:v>19251435.600391813</x:v>
      </x:c>
      <x:c r="AG33" s="35" t="n">
        <x:f>IF('Assumptions'!$E$9=2,'Short-Term build'!AG33,IF('Assumptions'!$E$9=3,'Installment build'!AG33,'Short-Term build'!AG33+'Installment build'!AG33))</x:f>
        <x:v>19251435.600391813</x:v>
      </x:c>
      <x:c r="AH33" s="35" t="n">
        <x:f>IF('Assumptions'!$E$9=2,'Short-Term build'!AH33,IF('Assumptions'!$E$9=3,'Installment build'!AH33,'Short-Term build'!AH33+'Installment build'!AH33))</x:f>
        <x:v>19251435.600391813</x:v>
      </x:c>
      <x:c r="AI33" s="35" t="n">
        <x:f>IF('Assumptions'!$E$9=2,'Short-Term build'!AI33,IF('Assumptions'!$E$9=3,'Installment build'!AI33,'Short-Term build'!AI33+'Installment build'!AI33))</x:f>
        <x:v>19251435.600391813</x:v>
      </x:c>
      <x:c r="AJ33" s="35" t="n">
        <x:f>IF('Assumptions'!$E$9=2,'Short-Term build'!AJ33,IF('Assumptions'!$E$9=3,'Installment build'!AJ33,'Short-Term build'!AJ33+'Installment build'!AJ33))</x:f>
        <x:v>19251435.600391813</x:v>
      </x:c>
      <x:c r="AK33" s="35" t="n">
        <x:f>IF('Assumptions'!$E$9=2,'Short-Term build'!AK33,IF('Assumptions'!$E$9=3,'Installment build'!AK33,'Short-Term build'!AK33+'Installment build'!AK33))</x:f>
        <x:v>19251435.600391813</x:v>
      </x:c>
      <x:c r="AL33" s="35" t="n">
        <x:f>IF('Assumptions'!$E$9=2,'Short-Term build'!AL33,IF('Assumptions'!$E$9=3,'Installment build'!AL33,'Short-Term build'!AL33+'Installment build'!AL33))</x:f>
        <x:v>19251435.600391813</x:v>
      </x:c>
      <x:c r="AM33" s="35" t="n">
        <x:f>IF('Assumptions'!$E$9=2,'Short-Term build'!AM33,IF('Assumptions'!$E$9=3,'Installment build'!AM33,'Short-Term build'!AM33+'Installment build'!AM33))</x:f>
        <x:v>19251435.600391813</x:v>
      </x:c>
      <x:c r="AN33" s="35" t="n">
        <x:f>IF('Assumptions'!$E$9=2,'Short-Term build'!AN33,IF('Assumptions'!$E$9=3,'Installment build'!AN33,'Short-Term build'!AN33+'Installment build'!AN33))</x:f>
        <x:v>19251435.600391813</x:v>
      </x:c>
      <x:c r="AO33" s="35" t="n">
        <x:f>IF('Assumptions'!$E$9=2,'Short-Term build'!AO33,IF('Assumptions'!$E$9=3,'Installment build'!AO33,'Short-Term build'!AO33+'Installment build'!AO33))</x:f>
        <x:v>19251435.600391813</x:v>
      </x:c>
      <x:c r="AP33" s="35" t="n">
        <x:f>IF('Assumptions'!$E$9=2,'Short-Term build'!AP33,IF('Assumptions'!$E$9=3,'Installment build'!AP33,'Short-Term build'!AP33+'Installment build'!AP33))</x:f>
        <x:v>19251435.600391813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1.0288204066455364e-7</x:v>
      </x:c>
      <x:c r="F34" s="2"/>
      <x:c r="G34" s="35" t="n">
        <x:f>IF('Assumptions'!$E$9=2,'Short-Term build'!G34,IF('Assumptions'!$E$9=3,'Installment build'!G34,'Short-Term build'!G34+'Installment build'!G34))</x:f>
        <x:v>517285613.3957957</x:v>
      </x:c>
      <x:c r="H34" s="35" t="n">
        <x:f>IF('Assumptions'!$E$9=2,'Short-Term build'!H34,IF('Assumptions'!$E$9=3,'Installment build'!H34,'Short-Term build'!H34+'Installment build'!H34))</x:f>
        <x:v>430271844.1663017</x:v>
      </x:c>
      <x:c r="I34" s="35" t="n">
        <x:f>IF('Assumptions'!$E$9=2,'Short-Term build'!I34,IF('Assumptions'!$E$9=3,'Installment build'!I34,'Short-Term build'!I34+'Installment build'!I34))</x:f>
        <x:v>360734876.68857104</x:v>
      </x:c>
      <x:c r="J34" s="35" t="n">
        <x:f>IF('Assumptions'!$E$9=2,'Short-Term build'!J34,IF('Assumptions'!$E$9=3,'Installment build'!J34,'Short-Term build'!J34+'Installment build'!J34))</x:f>
        <x:v>303141523.58638287</x:v>
      </x:c>
      <x:c r="K34" s="35" t="n">
        <x:f>IF('Assumptions'!$E$9=2,'Short-Term build'!K34,IF('Assumptions'!$E$9=3,'Installment build'!K34,'Short-Term build'!K34+'Installment build'!K34))</x:f>
        <x:v>254709505.6771562</x:v>
      </x:c>
      <x:c r="L34" s="35" t="n">
        <x:f>IF('Assumptions'!$E$9=2,'Short-Term build'!L34,IF('Assumptions'!$E$9=3,'Installment build'!L34,'Short-Term build'!L34+'Installment build'!L34))</x:f>
        <x:v>213660918.12118614</x:v>
      </x:c>
      <x:c r="M34" s="35" t="n">
        <x:f>IF('Assumptions'!$E$9=2,'Short-Term build'!M34,IF('Assumptions'!$E$9=3,'Installment build'!M34,'Short-Term build'!M34+'Installment build'!M34))</x:f>
        <x:v>178705738.3798824</x:v>
      </x:c>
      <x:c r="N34" s="35" t="n">
        <x:f>IF('Assumptions'!$E$9=2,'Short-Term build'!N34,IF('Assumptions'!$E$9=3,'Installment build'!N34,'Short-Term build'!N34+'Installment build'!N34))</x:f>
        <x:v>148872714.76456878</x:v>
      </x:c>
      <x:c r="O34" s="35" t="n">
        <x:f>IF('Assumptions'!$E$9=2,'Short-Term build'!O34,IF('Assumptions'!$E$9=3,'Installment build'!O34,'Short-Term build'!O34+'Installment build'!O34))</x:f>
        <x:v>123444043.84620777</x:v>
      </x:c>
      <x:c r="P34" s="35" t="n">
        <x:f>IF('Assumptions'!$E$9=2,'Short-Term build'!P34,IF('Assumptions'!$E$9=3,'Installment build'!P34,'Short-Term build'!P34+'Installment build'!P34))</x:f>
        <x:v>101913387.54497504</x:v>
      </x:c>
      <x:c r="Q34" s="35" t="n">
        <x:f>IF('Assumptions'!$E$9=2,'Short-Term build'!Q34,IF('Assumptions'!$E$9=3,'Installment build'!Q34,'Short-Term build'!Q34+'Installment build'!Q34))</x:f>
        <x:v>83945980.75288345</x:v>
      </x:c>
      <x:c r="R34" s="35" t="n">
        <x:f>IF('Assumptions'!$E$9=2,'Short-Term build'!R34,IF('Assumptions'!$E$9=3,'Installment build'!R34,'Short-Term build'!R34+'Installment build'!R34))</x:f>
        <x:v>69339934.03352192</x:v>
      </x:c>
      <x:c r="S34" s="35" t="n">
        <x:f>IF('Assumptions'!$E$9=2,'Short-Term build'!S34,IF('Assumptions'!$E$9=3,'Installment build'!S34,'Short-Term build'!S34+'Installment build'!S34))</x:f>
        <x:v>57991997.41749774</x:v>
      </x:c>
      <x:c r="T34" s="35" t="n">
        <x:f>IF('Assumptions'!$E$9=2,'Short-Term build'!T34,IF('Assumptions'!$E$9=3,'Installment build'!T34,'Short-Term build'!T34+'Installment build'!T34))</x:f>
        <x:v>47786419.175722666</x:v>
      </x:c>
      <x:c r="U34" s="35" t="n">
        <x:f>IF('Assumptions'!$E$9=2,'Short-Term build'!U34,IF('Assumptions'!$E$9=3,'Installment build'!U34,'Short-Term build'!U34+'Installment build'!U34))</x:f>
        <x:v>38674305.096466765</x:v>
      </x:c>
      <x:c r="V34" s="35" t="n">
        <x:f>IF('Assumptions'!$E$9=2,'Short-Term build'!V34,IF('Assumptions'!$E$9=3,'Installment build'!V34,'Short-Term build'!V34+'Installment build'!V34))</x:f>
        <x:v>30615909.333703708</x:v>
      </x:c>
      <x:c r="W34" s="35" t="n">
        <x:f>IF('Assumptions'!$E$9=2,'Short-Term build'!W34,IF('Assumptions'!$E$9=3,'Installment build'!W34,'Short-Term build'!W34+'Installment build'!W34))</x:f>
        <x:v>23576041.8220992</x:v>
      </x:c>
      <x:c r="X34" s="35" t="n">
        <x:f>IF('Assumptions'!$E$9=2,'Short-Term build'!X34,IF('Assumptions'!$E$9=3,'Installment build'!X34,'Short-Term build'!X34+'Installment build'!X34))</x:f>
        <x:v>17520655.473062363</x:v>
      </x:c>
      <x:c r="Y34" s="35" t="n">
        <x:f>IF('Assumptions'!$E$9=2,'Short-Term build'!Y34,IF('Assumptions'!$E$9=3,'Installment build'!Y34,'Short-Term build'!Y34+'Installment build'!Y34))</x:f>
        <x:v>12414934.21294689</x:v>
      </x:c>
      <x:c r="Z34" s="35" t="n">
        <x:f>IF('Assumptions'!$E$9=2,'Short-Term build'!Z34,IF('Assumptions'!$E$9=3,'Installment build'!Z34,'Short-Term build'!Z34+'Installment build'!Z34))</x:f>
        <x:v>8223286.906255459</x:v>
      </x:c>
      <x:c r="AA34" s="35" t="n">
        <x:f>IF('Assumptions'!$E$9=2,'Short-Term build'!AA34,IF('Assumptions'!$E$9=3,'Installment build'!AA34,'Short-Term build'!AA34+'Installment build'!AA34))</x:f>
        <x:v>4911340.110937186</x:v>
      </x:c>
      <x:c r="AB34" s="35" t="n">
        <x:f>IF('Assumptions'!$E$9=2,'Short-Term build'!AB34,IF('Assumptions'!$E$9=3,'Installment build'!AB34,'Short-Term build'!AB34+'Installment build'!AB34))</x:f>
        <x:v>2449408.940732215</x:v>
      </x:c>
      <x:c r="AC34" s="35" t="n">
        <x:f>IF('Assumptions'!$E$9=2,'Short-Term build'!AC34,IF('Assumptions'!$E$9=3,'Installment build'!AC34,'Short-Term build'!AC34+'Installment build'!AC34))</x:f>
        <x:v>816047.1132853588</x:v>
      </x:c>
      <x:c r="AD34" s="35" t="n">
        <x:f>IF('Assumptions'!$E$9=2,'Short-Term build'!AD34,IF('Assumptions'!$E$9=3,'Installment build'!AD34,'Short-Term build'!AD34+'Installment build'!AD34))</x:f>
        <x:v>1.0288204066455364e-7</x:v>
      </x:c>
      <x:c r="AE34" s="35" t="n">
        <x:f>IF('Assumptions'!$E$9=2,'Short-Term build'!AE34,IF('Assumptions'!$E$9=3,'Installment build'!AE34,'Short-Term build'!AE34+'Installment build'!AE34))</x:f>
        <x:v>1.0288204066455364e-7</x:v>
      </x:c>
      <x:c r="AF34" s="35" t="n">
        <x:f>IF('Assumptions'!$E$9=2,'Short-Term build'!AF34,IF('Assumptions'!$E$9=3,'Installment build'!AF34,'Short-Term build'!AF34+'Installment build'!AF34))</x:f>
        <x:v>1.0288204066455364e-7</x:v>
      </x:c>
      <x:c r="AG34" s="35" t="n">
        <x:f>IF('Assumptions'!$E$9=2,'Short-Term build'!AG34,IF('Assumptions'!$E$9=3,'Installment build'!AG34,'Short-Term build'!AG34+'Installment build'!AG34))</x:f>
        <x:v>1.0288204066455364e-7</x:v>
      </x:c>
      <x:c r="AH34" s="35" t="n">
        <x:f>IF('Assumptions'!$E$9=2,'Short-Term build'!AH34,IF('Assumptions'!$E$9=3,'Installment build'!AH34,'Short-Term build'!AH34+'Installment build'!AH34))</x:f>
        <x:v>1.0288204066455364e-7</x:v>
      </x:c>
      <x:c r="AI34" s="35" t="n">
        <x:f>IF('Assumptions'!$E$9=2,'Short-Term build'!AI34,IF('Assumptions'!$E$9=3,'Installment build'!AI34,'Short-Term build'!AI34+'Installment build'!AI34))</x:f>
        <x:v>1.0288204066455364e-7</x:v>
      </x:c>
      <x:c r="AJ34" s="35" t="n">
        <x:f>IF('Assumptions'!$E$9=2,'Short-Term build'!AJ34,IF('Assumptions'!$E$9=3,'Installment build'!AJ34,'Short-Term build'!AJ34+'Installment build'!AJ34))</x:f>
        <x:v>1.0288204066455364e-7</x:v>
      </x:c>
      <x:c r="AK34" s="35" t="n">
        <x:f>IF('Assumptions'!$E$9=2,'Short-Term build'!AK34,IF('Assumptions'!$E$9=3,'Installment build'!AK34,'Short-Term build'!AK34+'Installment build'!AK34))</x:f>
        <x:v>1.0288204066455364e-7</x:v>
      </x:c>
      <x:c r="AL34" s="35" t="n">
        <x:f>IF('Assumptions'!$E$9=2,'Short-Term build'!AL34,IF('Assumptions'!$E$9=3,'Installment build'!AL34,'Short-Term build'!AL34+'Installment build'!AL34))</x:f>
        <x:v>1.0288204066455364e-7</x:v>
      </x:c>
      <x:c r="AM34" s="35" t="n">
        <x:f>IF('Assumptions'!$E$9=2,'Short-Term build'!AM34,IF('Assumptions'!$E$9=3,'Installment build'!AM34,'Short-Term build'!AM34+'Installment build'!AM34))</x:f>
        <x:v>1.0288204066455364e-7</x:v>
      </x:c>
      <x:c r="AN34" s="35" t="n">
        <x:f>IF('Assumptions'!$E$9=2,'Short-Term build'!AN34,IF('Assumptions'!$E$9=3,'Installment build'!AN34,'Short-Term build'!AN34+'Installment build'!AN34))</x:f>
        <x:v>1.0288204066455364e-7</x:v>
      </x:c>
      <x:c r="AO34" s="35" t="n">
        <x:f>IF('Assumptions'!$E$9=2,'Short-Term build'!AO34,IF('Assumptions'!$E$9=3,'Installment build'!AO34,'Short-Term build'!AO34+'Installment build'!AO34))</x:f>
        <x:v>1.0288204066455364e-7</x:v>
      </x:c>
      <x:c r="AP34" s="35" t="n">
        <x:f>IF('Assumptions'!$E$9=2,'Short-Term build'!AP34,IF('Assumptions'!$E$9=3,'Installment build'!AP34,'Short-Term build'!AP34+'Installment build'!AP34))</x:f>
        <x:v>1.0288204066455364e-7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IF('Assumptions'!$E$9=2,'Short-Term build'!G35,IF('Assumptions'!$E$9=3,'Installment build'!G35,'Short-Term build'!G35+'Installment build'!G35))</x:f>
        <x:v>0</x:v>
      </x:c>
      <x:c r="H35" s="36" t="n">
        <x:f>IF('Assumptions'!$E$9=2,'Short-Term build'!H35,IF('Assumptions'!$E$9=3,'Installment build'!H35,'Short-Term build'!H35+'Installment build'!H35))</x:f>
        <x:v>0</x:v>
      </x:c>
      <x:c r="I35" s="36" t="n">
        <x:f>IF('Assumptions'!$E$9=2,'Short-Term build'!I35,IF('Assumptions'!$E$9=3,'Installment build'!I35,'Short-Term build'!I35+'Installment build'!I35))</x:f>
        <x:v>0</x:v>
      </x:c>
      <x:c r="J35" s="36" t="n">
        <x:f>IF('Assumptions'!$E$9=2,'Short-Term build'!J35,IF('Assumptions'!$E$9=3,'Installment build'!J35,'Short-Term build'!J35+'Installment build'!J35))</x:f>
        <x:v>0</x:v>
      </x:c>
      <x:c r="K35" s="36" t="n">
        <x:f>IF('Assumptions'!$E$9=2,'Short-Term build'!K35,IF('Assumptions'!$E$9=3,'Installment build'!K35,'Short-Term build'!K35+'Installment build'!K35))</x:f>
        <x:v>0</x:v>
      </x:c>
      <x:c r="L35" s="36" t="n">
        <x:f>IF('Assumptions'!$E$9=2,'Short-Term build'!L35,IF('Assumptions'!$E$9=3,'Installment build'!L35,'Short-Term build'!L35+'Installment build'!L35))</x:f>
        <x:v>0</x:v>
      </x:c>
      <x:c r="M35" s="36" t="n">
        <x:f>IF('Assumptions'!$E$9=2,'Short-Term build'!M35,IF('Assumptions'!$E$9=3,'Installment build'!M35,'Short-Term build'!M35+'Installment build'!M35))</x:f>
        <x:v>0</x:v>
      </x:c>
      <x:c r="N35" s="36" t="n">
        <x:f>IF('Assumptions'!$E$9=2,'Short-Term build'!N35,IF('Assumptions'!$E$9=3,'Installment build'!N35,'Short-Term build'!N35+'Installment build'!N35))</x:f>
        <x:v>0</x:v>
      </x:c>
      <x:c r="O35" s="36" t="n">
        <x:f>IF('Assumptions'!$E$9=2,'Short-Term build'!O35,IF('Assumptions'!$E$9=3,'Installment build'!O35,'Short-Term build'!O35+'Installment build'!O35))</x:f>
        <x:v>0</x:v>
      </x:c>
      <x:c r="P35" s="36" t="n">
        <x:f>IF('Assumptions'!$E$9=2,'Short-Term build'!P35,IF('Assumptions'!$E$9=3,'Installment build'!P35,'Short-Term build'!P35+'Installment build'!P35))</x:f>
        <x:v>0</x:v>
      </x:c>
      <x:c r="Q35" s="36" t="n">
        <x:f>IF('Assumptions'!$E$9=2,'Short-Term build'!Q35,IF('Assumptions'!$E$9=3,'Installment build'!Q35,'Short-Term build'!Q35+'Installment build'!Q35))</x:f>
        <x:v>0</x:v>
      </x:c>
      <x:c r="R35" s="36" t="n">
        <x:f>IF('Assumptions'!$E$9=2,'Short-Term build'!R35,IF('Assumptions'!$E$9=3,'Installment build'!R35,'Short-Term build'!R35+'Installment build'!R35))</x:f>
        <x:v>0</x:v>
      </x:c>
      <x:c r="S35" s="36" t="n">
        <x:f>IF('Assumptions'!$E$9=2,'Short-Term build'!S35,IF('Assumptions'!$E$9=3,'Installment build'!S35,'Short-Term build'!S35+'Installment build'!S35))</x:f>
        <x:v>0</x:v>
      </x:c>
      <x:c r="T35" s="36" t="n">
        <x:f>IF('Assumptions'!$E$9=2,'Short-Term build'!T35,IF('Assumptions'!$E$9=3,'Installment build'!T35,'Short-Term build'!T35+'Installment build'!T35))</x:f>
        <x:v>0</x:v>
      </x:c>
      <x:c r="U35" s="36" t="n">
        <x:f>IF('Assumptions'!$E$9=2,'Short-Term build'!U35,IF('Assumptions'!$E$9=3,'Installment build'!U35,'Short-Term build'!U35+'Installment build'!U35))</x:f>
        <x:v>0</x:v>
      </x:c>
      <x:c r="V35" s="36" t="n">
        <x:f>IF('Assumptions'!$E$9=2,'Short-Term build'!V35,IF('Assumptions'!$E$9=3,'Installment build'!V35,'Short-Term build'!V35+'Installment build'!V35))</x:f>
        <x:v>0</x:v>
      </x:c>
      <x:c r="W35" s="36" t="n">
        <x:f>IF('Assumptions'!$E$9=2,'Short-Term build'!W35,IF('Assumptions'!$E$9=3,'Installment build'!W35,'Short-Term build'!W35+'Installment build'!W35))</x:f>
        <x:v>0</x:v>
      </x:c>
      <x:c r="X35" s="36" t="n">
        <x:f>IF('Assumptions'!$E$9=2,'Short-Term build'!X35,IF('Assumptions'!$E$9=3,'Installment build'!X35,'Short-Term build'!X35+'Installment build'!X35))</x:f>
        <x:v>0</x:v>
      </x:c>
      <x:c r="Y35" s="36" t="n">
        <x:f>IF('Assumptions'!$E$9=2,'Short-Term build'!Y35,IF('Assumptions'!$E$9=3,'Installment build'!Y35,'Short-Term build'!Y35+'Installment build'!Y35))</x:f>
        <x:v>0</x:v>
      </x:c>
      <x:c r="Z35" s="36" t="n">
        <x:f>IF('Assumptions'!$E$9=2,'Short-Term build'!Z35,IF('Assumptions'!$E$9=3,'Installment build'!Z35,'Short-Term build'!Z35+'Installment build'!Z35))</x:f>
        <x:v>0</x:v>
      </x:c>
      <x:c r="AA35" s="36" t="n">
        <x:f>IF('Assumptions'!$E$9=2,'Short-Term build'!AA35,IF('Assumptions'!$E$9=3,'Installment build'!AA35,'Short-Term build'!AA35+'Installment build'!AA35))</x:f>
        <x:v>0</x:v>
      </x:c>
      <x:c r="AB35" s="36" t="n">
        <x:f>IF('Assumptions'!$E$9=2,'Short-Term build'!AB35,IF('Assumptions'!$E$9=3,'Installment build'!AB35,'Short-Term build'!AB35+'Installment build'!AB35))</x:f>
        <x:v>0</x:v>
      </x:c>
      <x:c r="AC35" s="36" t="n">
        <x:f>IF('Assumptions'!$E$9=2,'Short-Term build'!AC35,IF('Assumptions'!$E$9=3,'Installment build'!AC35,'Short-Term build'!AC35+'Installment build'!AC35))</x:f>
        <x:v>0</x:v>
      </x:c>
      <x:c r="AD35" s="36" t="n">
        <x:f>IF('Assumptions'!$E$9=2,'Short-Term build'!AD35,IF('Assumptions'!$E$9=3,'Installment build'!AD35,'Short-Term build'!AD35+'Installment build'!AD35))</x:f>
        <x:v>0</x:v>
      </x:c>
      <x:c r="AE35" s="36" t="n">
        <x:f>IF('Assumptions'!$E$9=2,'Short-Term build'!AE35,IF('Assumptions'!$E$9=3,'Installment build'!AE35,'Short-Term build'!AE35+'Installment build'!AE35))</x:f>
        <x:v>0</x:v>
      </x:c>
      <x:c r="AF35" s="36" t="n">
        <x:f>IF('Assumptions'!$E$9=2,'Short-Term build'!AF35,IF('Assumptions'!$E$9=3,'Installment build'!AF35,'Short-Term build'!AF35+'Installment build'!AF35))</x:f>
        <x:v>0</x:v>
      </x:c>
      <x:c r="AG35" s="36" t="n">
        <x:f>IF('Assumptions'!$E$9=2,'Short-Term build'!AG35,IF('Assumptions'!$E$9=3,'Installment build'!AG35,'Short-Term build'!AG35+'Installment build'!AG35))</x:f>
        <x:v>0</x:v>
      </x:c>
      <x:c r="AH35" s="36" t="n">
        <x:f>IF('Assumptions'!$E$9=2,'Short-Term build'!AH35,IF('Assumptions'!$E$9=3,'Installment build'!AH35,'Short-Term build'!AH35+'Installment build'!AH35))</x:f>
        <x:v>0</x:v>
      </x:c>
      <x:c r="AI35" s="36" t="n">
        <x:f>IF('Assumptions'!$E$9=2,'Short-Term build'!AI35,IF('Assumptions'!$E$9=3,'Installment build'!AI35,'Short-Term build'!AI35+'Installment build'!AI35))</x:f>
        <x:v>0</x:v>
      </x:c>
      <x:c r="AJ35" s="36" t="n">
        <x:f>IF('Assumptions'!$E$9=2,'Short-Term build'!AJ35,IF('Assumptions'!$E$9=3,'Installment build'!AJ35,'Short-Term build'!AJ35+'Installment build'!AJ35))</x:f>
        <x:v>0</x:v>
      </x:c>
      <x:c r="AK35" s="36" t="n">
        <x:f>IF('Assumptions'!$E$9=2,'Short-Term build'!AK35,IF('Assumptions'!$E$9=3,'Installment build'!AK35,'Short-Term build'!AK35+'Installment build'!AK35))</x:f>
        <x:v>0</x:v>
      </x:c>
      <x:c r="AL35" s="36" t="n">
        <x:f>IF('Assumptions'!$E$9=2,'Short-Term build'!AL35,IF('Assumptions'!$E$9=3,'Installment build'!AL35,'Short-Term build'!AL35+'Installment build'!AL35))</x:f>
        <x:v>0</x:v>
      </x:c>
      <x:c r="AM35" s="36" t="n">
        <x:f>IF('Assumptions'!$E$9=2,'Short-Term build'!AM35,IF('Assumptions'!$E$9=3,'Installment build'!AM35,'Short-Term build'!AM35+'Installment build'!AM35))</x:f>
        <x:v>0</x:v>
      </x:c>
      <x:c r="AN35" s="36" t="n">
        <x:f>IF('Assumptions'!$E$9=2,'Short-Term build'!AN35,IF('Assumptions'!$E$9=3,'Installment build'!AN35,'Short-Term build'!AN35+'Installment build'!AN35))</x:f>
        <x:v>0</x:v>
      </x:c>
      <x:c r="AO35" s="36" t="n">
        <x:f>IF('Assumptions'!$E$9=2,'Short-Term build'!AO35,IF('Assumptions'!$E$9=3,'Installment build'!AO35,'Short-Term build'!AO35+'Installment build'!AO35))</x:f>
        <x:v>0</x:v>
      </x:c>
      <x:c r="AP35" s="36" t="n">
        <x:f>IF('Assumptions'!$E$9=2,'Short-Term build'!AP35,IF('Assumptions'!$E$9=3,'Installment build'!AP35,'Short-Term build'!AP35+'Installment build'!AP35))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IF('Assumptions'!$E$9=2,'Short-Term build'!G36,IF('Assumptions'!$E$9=3,'Installment build'!G36,'Short-Term build'!G36+'Installment build'!G36))</x:f>
        <x:v>0</x:v>
      </x:c>
      <x:c r="H36" s="36" t="n">
        <x:f>IF('Assumptions'!$E$9=2,'Short-Term build'!H36,IF('Assumptions'!$E$9=3,'Installment build'!H36,'Short-Term build'!H36+'Installment build'!H36))</x:f>
        <x:v>0</x:v>
      </x:c>
      <x:c r="I36" s="36" t="n">
        <x:f>IF('Assumptions'!$E$9=2,'Short-Term build'!I36,IF('Assumptions'!$E$9=3,'Installment build'!I36,'Short-Term build'!I36+'Installment build'!I36))</x:f>
        <x:v>0</x:v>
      </x:c>
      <x:c r="J36" s="36" t="n">
        <x:f>IF('Assumptions'!$E$9=2,'Short-Term build'!J36,IF('Assumptions'!$E$9=3,'Installment build'!J36,'Short-Term build'!J36+'Installment build'!J36))</x:f>
        <x:v>0</x:v>
      </x:c>
      <x:c r="K36" s="36" t="n">
        <x:f>IF('Assumptions'!$E$9=2,'Short-Term build'!K36,IF('Assumptions'!$E$9=3,'Installment build'!K36,'Short-Term build'!K36+'Installment build'!K36))</x:f>
        <x:v>0</x:v>
      </x:c>
      <x:c r="L36" s="36" t="n">
        <x:f>IF('Assumptions'!$E$9=2,'Short-Term build'!L36,IF('Assumptions'!$E$9=3,'Installment build'!L36,'Short-Term build'!L36+'Installment build'!L36))</x:f>
        <x:v>0</x:v>
      </x:c>
      <x:c r="M36" s="36" t="n">
        <x:f>IF('Assumptions'!$E$9=2,'Short-Term build'!M36,IF('Assumptions'!$E$9=3,'Installment build'!M36,'Short-Term build'!M36+'Installment build'!M36))</x:f>
        <x:v>0</x:v>
      </x:c>
      <x:c r="N36" s="36" t="n">
        <x:f>IF('Assumptions'!$E$9=2,'Short-Term build'!N36,IF('Assumptions'!$E$9=3,'Installment build'!N36,'Short-Term build'!N36+'Installment build'!N36))</x:f>
        <x:v>0</x:v>
      </x:c>
      <x:c r="O36" s="36" t="n">
        <x:f>IF('Assumptions'!$E$9=2,'Short-Term build'!O36,IF('Assumptions'!$E$9=3,'Installment build'!O36,'Short-Term build'!O36+'Installment build'!O36))</x:f>
        <x:v>0</x:v>
      </x:c>
      <x:c r="P36" s="36" t="n">
        <x:f>IF('Assumptions'!$E$9=2,'Short-Term build'!P36,IF('Assumptions'!$E$9=3,'Installment build'!P36,'Short-Term build'!P36+'Installment build'!P36))</x:f>
        <x:v>0</x:v>
      </x:c>
      <x:c r="Q36" s="36" t="n">
        <x:f>IF('Assumptions'!$E$9=2,'Short-Term build'!Q36,IF('Assumptions'!$E$9=3,'Installment build'!Q36,'Short-Term build'!Q36+'Installment build'!Q36))</x:f>
        <x:v>0</x:v>
      </x:c>
      <x:c r="R36" s="36" t="n">
        <x:f>IF('Assumptions'!$E$9=2,'Short-Term build'!R36,IF('Assumptions'!$E$9=3,'Installment build'!R36,'Short-Term build'!R36+'Installment build'!R36))</x:f>
        <x:v>0</x:v>
      </x:c>
      <x:c r="S36" s="36" t="n">
        <x:f>IF('Assumptions'!$E$9=2,'Short-Term build'!S36,IF('Assumptions'!$E$9=3,'Installment build'!S36,'Short-Term build'!S36+'Installment build'!S36))</x:f>
        <x:v>0</x:v>
      </x:c>
      <x:c r="T36" s="36" t="n">
        <x:f>IF('Assumptions'!$E$9=2,'Short-Term build'!T36,IF('Assumptions'!$E$9=3,'Installment build'!T36,'Short-Term build'!T36+'Installment build'!T36))</x:f>
        <x:v>0</x:v>
      </x:c>
      <x:c r="U36" s="36" t="n">
        <x:f>IF('Assumptions'!$E$9=2,'Short-Term build'!U36,IF('Assumptions'!$E$9=3,'Installment build'!U36,'Short-Term build'!U36+'Installment build'!U36))</x:f>
        <x:v>0</x:v>
      </x:c>
      <x:c r="V36" s="36" t="n">
        <x:f>IF('Assumptions'!$E$9=2,'Short-Term build'!V36,IF('Assumptions'!$E$9=3,'Installment build'!V36,'Short-Term build'!V36+'Installment build'!V36))</x:f>
        <x:v>0</x:v>
      </x:c>
      <x:c r="W36" s="36" t="n">
        <x:f>IF('Assumptions'!$E$9=2,'Short-Term build'!W36,IF('Assumptions'!$E$9=3,'Installment build'!W36,'Short-Term build'!W36+'Installment build'!W36))</x:f>
        <x:v>0</x:v>
      </x:c>
      <x:c r="X36" s="36" t="n">
        <x:f>IF('Assumptions'!$E$9=2,'Short-Term build'!X36,IF('Assumptions'!$E$9=3,'Installment build'!X36,'Short-Term build'!X36+'Installment build'!X36))</x:f>
        <x:v>0</x:v>
      </x:c>
      <x:c r="Y36" s="36" t="n">
        <x:f>IF('Assumptions'!$E$9=2,'Short-Term build'!Y36,IF('Assumptions'!$E$9=3,'Installment build'!Y36,'Short-Term build'!Y36+'Installment build'!Y36))</x:f>
        <x:v>0</x:v>
      </x:c>
      <x:c r="Z36" s="36" t="n">
        <x:f>IF('Assumptions'!$E$9=2,'Short-Term build'!Z36,IF('Assumptions'!$E$9=3,'Installment build'!Z36,'Short-Term build'!Z36+'Installment build'!Z36))</x:f>
        <x:v>0</x:v>
      </x:c>
      <x:c r="AA36" s="36" t="n">
        <x:f>IF('Assumptions'!$E$9=2,'Short-Term build'!AA36,IF('Assumptions'!$E$9=3,'Installment build'!AA36,'Short-Term build'!AA36+'Installment build'!AA36))</x:f>
        <x:v>0</x:v>
      </x:c>
      <x:c r="AB36" s="36" t="n">
        <x:f>IF('Assumptions'!$E$9=2,'Short-Term build'!AB36,IF('Assumptions'!$E$9=3,'Installment build'!AB36,'Short-Term build'!AB36+'Installment build'!AB36))</x:f>
        <x:v>0</x:v>
      </x:c>
      <x:c r="AC36" s="36" t="n">
        <x:f>IF('Assumptions'!$E$9=2,'Short-Term build'!AC36,IF('Assumptions'!$E$9=3,'Installment build'!AC36,'Short-Term build'!AC36+'Installment build'!AC36))</x:f>
        <x:v>0</x:v>
      </x:c>
      <x:c r="AD36" s="36" t="n">
        <x:f>IF('Assumptions'!$E$9=2,'Short-Term build'!AD36,IF('Assumptions'!$E$9=3,'Installment build'!AD36,'Short-Term build'!AD36+'Installment build'!AD36))</x:f>
        <x:v>0</x:v>
      </x:c>
      <x:c r="AE36" s="36" t="n">
        <x:f>IF('Assumptions'!$E$9=2,'Short-Term build'!AE36,IF('Assumptions'!$E$9=3,'Installment build'!AE36,'Short-Term build'!AE36+'Installment build'!AE36))</x:f>
        <x:v>0</x:v>
      </x:c>
      <x:c r="AF36" s="36" t="n">
        <x:f>IF('Assumptions'!$E$9=2,'Short-Term build'!AF36,IF('Assumptions'!$E$9=3,'Installment build'!AF36,'Short-Term build'!AF36+'Installment build'!AF36))</x:f>
        <x:v>0</x:v>
      </x:c>
      <x:c r="AG36" s="36" t="n">
        <x:f>IF('Assumptions'!$E$9=2,'Short-Term build'!AG36,IF('Assumptions'!$E$9=3,'Installment build'!AG36,'Short-Term build'!AG36+'Installment build'!AG36))</x:f>
        <x:v>0</x:v>
      </x:c>
      <x:c r="AH36" s="36" t="n">
        <x:f>IF('Assumptions'!$E$9=2,'Short-Term build'!AH36,IF('Assumptions'!$E$9=3,'Installment build'!AH36,'Short-Term build'!AH36+'Installment build'!AH36))</x:f>
        <x:v>0</x:v>
      </x:c>
      <x:c r="AI36" s="36" t="n">
        <x:f>IF('Assumptions'!$E$9=2,'Short-Term build'!AI36,IF('Assumptions'!$E$9=3,'Installment build'!AI36,'Short-Term build'!AI36+'Installment build'!AI36))</x:f>
        <x:v>0</x:v>
      </x:c>
      <x:c r="AJ36" s="36" t="n">
        <x:f>IF('Assumptions'!$E$9=2,'Short-Term build'!AJ36,IF('Assumptions'!$E$9=3,'Installment build'!AJ36,'Short-Term build'!AJ36+'Installment build'!AJ36))</x:f>
        <x:v>0</x:v>
      </x:c>
      <x:c r="AK36" s="36" t="n">
        <x:f>IF('Assumptions'!$E$9=2,'Short-Term build'!AK36,IF('Assumptions'!$E$9=3,'Installment build'!AK36,'Short-Term build'!AK36+'Installment build'!AK36))</x:f>
        <x:v>0</x:v>
      </x:c>
      <x:c r="AL36" s="36" t="n">
        <x:f>IF('Assumptions'!$E$9=2,'Short-Term build'!AL36,IF('Assumptions'!$E$9=3,'Installment build'!AL36,'Short-Term build'!AL36+'Installment build'!AL36))</x:f>
        <x:v>0</x:v>
      </x:c>
      <x:c r="AM36" s="36" t="n">
        <x:f>IF('Assumptions'!$E$9=2,'Short-Term build'!AM36,IF('Assumptions'!$E$9=3,'Installment build'!AM36,'Short-Term build'!AM36+'Installment build'!AM36))</x:f>
        <x:v>0</x:v>
      </x:c>
      <x:c r="AN36" s="36" t="n">
        <x:f>IF('Assumptions'!$E$9=2,'Short-Term build'!AN36,IF('Assumptions'!$E$9=3,'Installment build'!AN36,'Short-Term build'!AN36+'Installment build'!AN36))</x:f>
        <x:v>0</x:v>
      </x:c>
      <x:c r="AO36" s="36" t="n">
        <x:f>IF('Assumptions'!$E$9=2,'Short-Term build'!AO36,IF('Assumptions'!$E$9=3,'Installment build'!AO36,'Short-Term build'!AO36+'Installment build'!AO36))</x:f>
        <x:v>0</x:v>
      </x:c>
      <x:c r="AP36" s="36" t="n">
        <x:f>IF('Assumptions'!$E$9=2,'Short-Term build'!AP36,IF('Assumptions'!$E$9=3,'Installment build'!AP36,'Short-Term build'!AP36+'Installment build'!AP36))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IF('Assumptions'!$E$9=2,'Short-Term build'!G37,IF('Assumptions'!$E$9=3,'Installment build'!G37,'Short-Term build'!G37+'Installment build'!G37))</x:f>
        <x:v>0</x:v>
      </x:c>
      <x:c r="H37" s="36" t="n">
        <x:f>IF('Assumptions'!$E$9=2,'Short-Term build'!H37,IF('Assumptions'!$E$9=3,'Installment build'!H37,'Short-Term build'!H37+'Installment build'!H37))</x:f>
        <x:v>0</x:v>
      </x:c>
      <x:c r="I37" s="36" t="n">
        <x:f>IF('Assumptions'!$E$9=2,'Short-Term build'!I37,IF('Assumptions'!$E$9=3,'Installment build'!I37,'Short-Term build'!I37+'Installment build'!I37))</x:f>
        <x:v>0</x:v>
      </x:c>
      <x:c r="J37" s="36" t="n">
        <x:f>IF('Assumptions'!$E$9=2,'Short-Term build'!J37,IF('Assumptions'!$E$9=3,'Installment build'!J37,'Short-Term build'!J37+'Installment build'!J37))</x:f>
        <x:v>0</x:v>
      </x:c>
      <x:c r="K37" s="36" t="n">
        <x:f>IF('Assumptions'!$E$9=2,'Short-Term build'!K37,IF('Assumptions'!$E$9=3,'Installment build'!K37,'Short-Term build'!K37+'Installment build'!K37))</x:f>
        <x:v>0</x:v>
      </x:c>
      <x:c r="L37" s="36" t="n">
        <x:f>IF('Assumptions'!$E$9=2,'Short-Term build'!L37,IF('Assumptions'!$E$9=3,'Installment build'!L37,'Short-Term build'!L37+'Installment build'!L37))</x:f>
        <x:v>0</x:v>
      </x:c>
      <x:c r="M37" s="36" t="n">
        <x:f>IF('Assumptions'!$E$9=2,'Short-Term build'!M37,IF('Assumptions'!$E$9=3,'Installment build'!M37,'Short-Term build'!M37+'Installment build'!M37))</x:f>
        <x:v>0</x:v>
      </x:c>
      <x:c r="N37" s="36" t="n">
        <x:f>IF('Assumptions'!$E$9=2,'Short-Term build'!N37,IF('Assumptions'!$E$9=3,'Installment build'!N37,'Short-Term build'!N37+'Installment build'!N37))</x:f>
        <x:v>0</x:v>
      </x:c>
      <x:c r="O37" s="36" t="n">
        <x:f>IF('Assumptions'!$E$9=2,'Short-Term build'!O37,IF('Assumptions'!$E$9=3,'Installment build'!O37,'Short-Term build'!O37+'Installment build'!O37))</x:f>
        <x:v>0</x:v>
      </x:c>
      <x:c r="P37" s="36" t="n">
        <x:f>IF('Assumptions'!$E$9=2,'Short-Term build'!P37,IF('Assumptions'!$E$9=3,'Installment build'!P37,'Short-Term build'!P37+'Installment build'!P37))</x:f>
        <x:v>0</x:v>
      </x:c>
      <x:c r="Q37" s="36" t="n">
        <x:f>IF('Assumptions'!$E$9=2,'Short-Term build'!Q37,IF('Assumptions'!$E$9=3,'Installment build'!Q37,'Short-Term build'!Q37+'Installment build'!Q37))</x:f>
        <x:v>0</x:v>
      </x:c>
      <x:c r="R37" s="36" t="n">
        <x:f>IF('Assumptions'!$E$9=2,'Short-Term build'!R37,IF('Assumptions'!$E$9=3,'Installment build'!R37,'Short-Term build'!R37+'Installment build'!R37))</x:f>
        <x:v>0</x:v>
      </x:c>
      <x:c r="S37" s="36" t="n">
        <x:f>IF('Assumptions'!$E$9=2,'Short-Term build'!S37,IF('Assumptions'!$E$9=3,'Installment build'!S37,'Short-Term build'!S37+'Installment build'!S37))</x:f>
        <x:v>0</x:v>
      </x:c>
      <x:c r="T37" s="36" t="n">
        <x:f>IF('Assumptions'!$E$9=2,'Short-Term build'!T37,IF('Assumptions'!$E$9=3,'Installment build'!T37,'Short-Term build'!T37+'Installment build'!T37))</x:f>
        <x:v>0</x:v>
      </x:c>
      <x:c r="U37" s="36" t="n">
        <x:f>IF('Assumptions'!$E$9=2,'Short-Term build'!U37,IF('Assumptions'!$E$9=3,'Installment build'!U37,'Short-Term build'!U37+'Installment build'!U37))</x:f>
        <x:v>0</x:v>
      </x:c>
      <x:c r="V37" s="36" t="n">
        <x:f>IF('Assumptions'!$E$9=2,'Short-Term build'!V37,IF('Assumptions'!$E$9=3,'Installment build'!V37,'Short-Term build'!V37+'Installment build'!V37))</x:f>
        <x:v>0</x:v>
      </x:c>
      <x:c r="W37" s="36" t="n">
        <x:f>IF('Assumptions'!$E$9=2,'Short-Term build'!W37,IF('Assumptions'!$E$9=3,'Installment build'!W37,'Short-Term build'!W37+'Installment build'!W37))</x:f>
        <x:v>0</x:v>
      </x:c>
      <x:c r="X37" s="36" t="n">
        <x:f>IF('Assumptions'!$E$9=2,'Short-Term build'!X37,IF('Assumptions'!$E$9=3,'Installment build'!X37,'Short-Term build'!X37+'Installment build'!X37))</x:f>
        <x:v>0</x:v>
      </x:c>
      <x:c r="Y37" s="36" t="n">
        <x:f>IF('Assumptions'!$E$9=2,'Short-Term build'!Y37,IF('Assumptions'!$E$9=3,'Installment build'!Y37,'Short-Term build'!Y37+'Installment build'!Y37))</x:f>
        <x:v>0</x:v>
      </x:c>
      <x:c r="Z37" s="36" t="n">
        <x:f>IF('Assumptions'!$E$9=2,'Short-Term build'!Z37,IF('Assumptions'!$E$9=3,'Installment build'!Z37,'Short-Term build'!Z37+'Installment build'!Z37))</x:f>
        <x:v>0</x:v>
      </x:c>
      <x:c r="AA37" s="36" t="n">
        <x:f>IF('Assumptions'!$E$9=2,'Short-Term build'!AA37,IF('Assumptions'!$E$9=3,'Installment build'!AA37,'Short-Term build'!AA37+'Installment build'!AA37))</x:f>
        <x:v>0</x:v>
      </x:c>
      <x:c r="AB37" s="36" t="n">
        <x:f>IF('Assumptions'!$E$9=2,'Short-Term build'!AB37,IF('Assumptions'!$E$9=3,'Installment build'!AB37,'Short-Term build'!AB37+'Installment build'!AB37))</x:f>
        <x:v>0</x:v>
      </x:c>
      <x:c r="AC37" s="36" t="n">
        <x:f>IF('Assumptions'!$E$9=2,'Short-Term build'!AC37,IF('Assumptions'!$E$9=3,'Installment build'!AC37,'Short-Term build'!AC37+'Installment build'!AC37))</x:f>
        <x:v>0</x:v>
      </x:c>
      <x:c r="AD37" s="36" t="n">
        <x:f>IF('Assumptions'!$E$9=2,'Short-Term build'!AD37,IF('Assumptions'!$E$9=3,'Installment build'!AD37,'Short-Term build'!AD37+'Installment build'!AD37))</x:f>
        <x:v>0</x:v>
      </x:c>
      <x:c r="AE37" s="36" t="n">
        <x:f>IF('Assumptions'!$E$9=2,'Short-Term build'!AE37,IF('Assumptions'!$E$9=3,'Installment build'!AE37,'Short-Term build'!AE37+'Installment build'!AE37))</x:f>
        <x:v>0</x:v>
      </x:c>
      <x:c r="AF37" s="36" t="n">
        <x:f>IF('Assumptions'!$E$9=2,'Short-Term build'!AF37,IF('Assumptions'!$E$9=3,'Installment build'!AF37,'Short-Term build'!AF37+'Installment build'!AF37))</x:f>
        <x:v>0</x:v>
      </x:c>
      <x:c r="AG37" s="36" t="n">
        <x:f>IF('Assumptions'!$E$9=2,'Short-Term build'!AG37,IF('Assumptions'!$E$9=3,'Installment build'!AG37,'Short-Term build'!AG37+'Installment build'!AG37))</x:f>
        <x:v>0</x:v>
      </x:c>
      <x:c r="AH37" s="36" t="n">
        <x:f>IF('Assumptions'!$E$9=2,'Short-Term build'!AH37,IF('Assumptions'!$E$9=3,'Installment build'!AH37,'Short-Term build'!AH37+'Installment build'!AH37))</x:f>
        <x:v>0</x:v>
      </x:c>
      <x:c r="AI37" s="36" t="n">
        <x:f>IF('Assumptions'!$E$9=2,'Short-Term build'!AI37,IF('Assumptions'!$E$9=3,'Installment build'!AI37,'Short-Term build'!AI37+'Installment build'!AI37))</x:f>
        <x:v>0</x:v>
      </x:c>
      <x:c r="AJ37" s="36" t="n">
        <x:f>IF('Assumptions'!$E$9=2,'Short-Term build'!AJ37,IF('Assumptions'!$E$9=3,'Installment build'!AJ37,'Short-Term build'!AJ37+'Installment build'!AJ37))</x:f>
        <x:v>0</x:v>
      </x:c>
      <x:c r="AK37" s="36" t="n">
        <x:f>IF('Assumptions'!$E$9=2,'Short-Term build'!AK37,IF('Assumptions'!$E$9=3,'Installment build'!AK37,'Short-Term build'!AK37+'Installment build'!AK37))</x:f>
        <x:v>0</x:v>
      </x:c>
      <x:c r="AL37" s="36" t="n">
        <x:f>IF('Assumptions'!$E$9=2,'Short-Term build'!AL37,IF('Assumptions'!$E$9=3,'Installment build'!AL37,'Short-Term build'!AL37+'Installment build'!AL37))</x:f>
        <x:v>0</x:v>
      </x:c>
      <x:c r="AM37" s="36" t="n">
        <x:f>IF('Assumptions'!$E$9=2,'Short-Term build'!AM37,IF('Assumptions'!$E$9=3,'Installment build'!AM37,'Short-Term build'!AM37+'Installment build'!AM37))</x:f>
        <x:v>0</x:v>
      </x:c>
      <x:c r="AN37" s="36" t="n">
        <x:f>IF('Assumptions'!$E$9=2,'Short-Term build'!AN37,IF('Assumptions'!$E$9=3,'Installment build'!AN37,'Short-Term build'!AN37+'Installment build'!AN37))</x:f>
        <x:v>0</x:v>
      </x:c>
      <x:c r="AO37" s="36" t="n">
        <x:f>IF('Assumptions'!$E$9=2,'Short-Term build'!AO37,IF('Assumptions'!$E$9=3,'Installment build'!AO37,'Short-Term build'!AO37+'Installment build'!AO37))</x:f>
        <x:v>0</x:v>
      </x:c>
      <x:c r="AP37" s="36" t="n">
        <x:f>IF('Assumptions'!$E$9=2,'Short-Term build'!AP37,IF('Assumptions'!$E$9=3,'Installment build'!AP37,'Short-Term build'!AP37+'Installment build'!AP37))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Opening reserve is carried forward, not expensed again. New originations receive a lifetime loss provision.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Existing loans earn in month 1; new originations earn from the next month. No recoveries or prepayments.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The build includes 36 months. Horizon totals use the selected export horizon; monthly columns remain editable.</x:v>
      </x:c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6" t="str">
        <x:v>Revenue by product (selected loan types)</x:v>
      </x:c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6"/>
      <x:c r="X46" s="6"/>
      <x:c r="Y46" s="6"/>
      <x:c r="Z46" s="6"/>
      <x:c r="AA46" s="6"/>
      <x:c r="AB46" s="6"/>
      <x:c r="AC46" s="6"/>
      <x:c r="AD46" s="6"/>
      <x:c r="AE46" s="6"/>
      <x:c r="AF46" s="6"/>
      <x:c r="AG46" s="6"/>
      <x:c r="AH46" s="6"/>
      <x:c r="AI46" s="6"/>
      <x:c r="AJ46" s="6"/>
      <x:c r="AK46" s="6"/>
      <x:c r="AL46" s="6"/>
      <x:c r="AM46" s="6"/>
      <x:c r="AN46" s="6"/>
      <x:c r="AO46" s="6"/>
      <x:c r="AP46" s="6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CreditFresh - Short-Term</x:v>
      </x:c>
      <x:c r="D47" s="2"/>
      <x:c r="E47" s="35" t="n">
        <x:f>SUMIFS(G47:AP47,$G$6:$AP$6,"&lt;="&amp;'Assumptions'!$E$7)</x:f>
        <x:v>178152279.96933886</x:v>
      </x:c>
      <x:c r="F47" s="35"/>
      <x:c r="G47" s="51" t="n">
        <x:f>IF('Assumptions'!$E$9=3,0,'CF Short-Term'!G24)</x:f>
        <x:v>16730222.578791663</x:v>
      </x:c>
      <x:c r="H47" s="51" t="n">
        <x:f>IF('Assumptions'!$E$9=3,0,'CF Short-Term'!H24)</x:f>
        <x:v>13458020.41780381</x:v>
      </x:c>
      <x:c r="I47" s="51" t="n">
        <x:f>IF('Assumptions'!$E$9=3,0,'CF Short-Term'!I24)</x:f>
        <x:v>11412861.26519679</x:v>
      </x:c>
      <x:c r="J47" s="51" t="n">
        <x:f>IF('Assumptions'!$E$9=3,0,'CF Short-Term'!J24)</x:f>
        <x:v>9944553.62272427</x:v>
      </x:c>
      <x:c r="K47" s="51" t="n">
        <x:f>IF('Assumptions'!$E$9=3,0,'CF Short-Term'!K24)</x:f>
        <x:v>8842181.932511153</x:v>
      </x:c>
      <x:c r="L47" s="51" t="n">
        <x:f>IF('Assumptions'!$E$9=3,0,'CF Short-Term'!L24)</x:f>
        <x:v>8000845.4451225465</x:v>
      </x:c>
      <x:c r="M47" s="51" t="n">
        <x:f>IF('Assumptions'!$E$9=3,0,'CF Short-Term'!M24)</x:f>
        <x:v>7357205.781582766</x:v>
      </x:c>
      <x:c r="N47" s="51" t="n">
        <x:f>IF('Assumptions'!$E$9=3,0,'CF Short-Term'!N24)</x:f>
        <x:v>6868693.617281237</x:v>
      </x:c>
      <x:c r="O47" s="51" t="n">
        <x:f>IF('Assumptions'!$E$9=3,0,'CF Short-Term'!O24)</x:f>
        <x:v>6504563.8112362</x:v>
      </x:c>
      <x:c r="P47" s="51" t="n">
        <x:f>IF('Assumptions'!$E$9=3,0,'CF Short-Term'!P24)</x:f>
        <x:v>6241460.146548812</x:v>
      </x:c>
      <x:c r="Q47" s="51" t="n">
        <x:f>IF('Assumptions'!$E$9=3,0,'CF Short-Term'!Q24)</x:f>
        <x:v>6061294.149554034</x:v>
      </x:c>
      <x:c r="R47" s="51" t="n">
        <x:f>IF('Assumptions'!$E$9=3,0,'CF Short-Term'!R24)</x:f>
        <x:v>5950287.81596942</x:v>
      </x:c>
      <x:c r="S47" s="51" t="n">
        <x:f>IF('Assumptions'!$E$9=3,0,'CF Short-Term'!S24)</x:f>
        <x:v>5898340.782084686</x:v>
      </x:c>
      <x:c r="T47" s="51" t="n">
        <x:f>IF('Assumptions'!$E$9=3,0,'CF Short-Term'!T24)</x:f>
        <x:v>5898340.782084686</x:v>
      </x:c>
      <x:c r="U47" s="51" t="n">
        <x:f>IF('Assumptions'!$E$9=3,0,'CF Short-Term'!U24)</x:f>
        <x:v>5898340.782084686</x:v>
      </x:c>
      <x:c r="V47" s="51" t="n">
        <x:f>IF('Assumptions'!$E$9=3,0,'CF Short-Term'!V24)</x:f>
        <x:v>5898340.782084686</x:v>
      </x:c>
      <x:c r="W47" s="51" t="n">
        <x:f>IF('Assumptions'!$E$9=3,0,'CF Short-Term'!W24)</x:f>
        <x:v>5898340.782084686</x:v>
      </x:c>
      <x:c r="X47" s="51" t="n">
        <x:f>IF('Assumptions'!$E$9=3,0,'CF Short-Term'!X24)</x:f>
        <x:v>5898340.782084686</x:v>
      </x:c>
      <x:c r="Y47" s="51" t="n">
        <x:f>IF('Assumptions'!$E$9=3,0,'CF Short-Term'!Y24)</x:f>
        <x:v>5898340.782084686</x:v>
      </x:c>
      <x:c r="Z47" s="51" t="n">
        <x:f>IF('Assumptions'!$E$9=3,0,'CF Short-Term'!Z24)</x:f>
        <x:v>5898340.782084686</x:v>
      </x:c>
      <x:c r="AA47" s="51" t="n">
        <x:f>IF('Assumptions'!$E$9=3,0,'CF Short-Term'!AA24)</x:f>
        <x:v>5898340.782084686</x:v>
      </x:c>
      <x:c r="AB47" s="51" t="n">
        <x:f>IF('Assumptions'!$E$9=3,0,'CF Short-Term'!AB24)</x:f>
        <x:v>5898340.782084686</x:v>
      </x:c>
      <x:c r="AC47" s="51" t="n">
        <x:f>IF('Assumptions'!$E$9=3,0,'CF Short-Term'!AC24)</x:f>
        <x:v>5898340.782084686</x:v>
      </x:c>
      <x:c r="AD47" s="51" t="n">
        <x:f>IF('Assumptions'!$E$9=3,0,'CF Short-Term'!AD24)</x:f>
        <x:v>5898340.782084686</x:v>
      </x:c>
      <x:c r="AE47" s="51" t="n">
        <x:f>IF('Assumptions'!$E$9=3,0,'CF Short-Term'!AE24)</x:f>
        <x:v>5898340.782084686</x:v>
      </x:c>
      <x:c r="AF47" s="51" t="n">
        <x:f>IF('Assumptions'!$E$9=3,0,'CF Short-Term'!AF24)</x:f>
        <x:v>5898340.782084686</x:v>
      </x:c>
      <x:c r="AG47" s="51" t="n">
        <x:f>IF('Assumptions'!$E$9=3,0,'CF Short-Term'!AG24)</x:f>
        <x:v>5898340.782084686</x:v>
      </x:c>
      <x:c r="AH47" s="51" t="n">
        <x:f>IF('Assumptions'!$E$9=3,0,'CF Short-Term'!AH24)</x:f>
        <x:v>5898340.782084686</x:v>
      </x:c>
      <x:c r="AI47" s="51" t="n">
        <x:f>IF('Assumptions'!$E$9=3,0,'CF Short-Term'!AI24)</x:f>
        <x:v>5898340.782084686</x:v>
      </x:c>
      <x:c r="AJ47" s="51" t="n">
        <x:f>IF('Assumptions'!$E$9=3,0,'CF Short-Term'!AJ24)</x:f>
        <x:v>5898340.782084686</x:v>
      </x:c>
      <x:c r="AK47" s="51" t="n">
        <x:f>IF('Assumptions'!$E$9=3,0,'CF Short-Term'!AK24)</x:f>
        <x:v>5898340.782084686</x:v>
      </x:c>
      <x:c r="AL47" s="51" t="n">
        <x:f>IF('Assumptions'!$E$9=3,0,'CF Short-Term'!AL24)</x:f>
        <x:v>5898340.782084686</x:v>
      </x:c>
      <x:c r="AM47" s="51" t="n">
        <x:f>IF('Assumptions'!$E$9=3,0,'CF Short-Term'!AM24)</x:f>
        <x:v>5898340.782084686</x:v>
      </x:c>
      <x:c r="AN47" s="51" t="n">
        <x:f>IF('Assumptions'!$E$9=3,0,'CF Short-Term'!AN24)</x:f>
        <x:v>5898340.782084686</x:v>
      </x:c>
      <x:c r="AO47" s="51" t="n">
        <x:f>IF('Assumptions'!$E$9=3,0,'CF Short-Term'!AO24)</x:f>
        <x:v>5898340.782084686</x:v>
      </x:c>
      <x:c r="AP47" s="51" t="n">
        <x:f>IF('Assumptions'!$E$9=3,0,'CF Short-Term'!AP24)</x:f>
        <x:v>5898340.782084686</x:v>
      </x:c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CreditFresh - Installment</x:v>
      </x:c>
      <x:c r="D48" s="2"/>
      <x:c r="E48" s="35" t="n">
        <x:f>SUMIFS(G48:AP48,$G$6:$AP$6,"&lt;="&amp;'Assumptions'!$E$7)</x:f>
        <x:v>245912467.31533775</x:v>
      </x:c>
      <x:c r="F48" s="35"/>
      <x:c r="G48" s="51" t="n">
        <x:f>IF('Assumptions'!$E$9=2,0,'CF Installment'!G24)</x:f>
        <x:v>13928992.334853142</x:v>
      </x:c>
      <x:c r="H48" s="51" t="n">
        <x:f>IF('Assumptions'!$E$9=2,0,'CF Installment'!H24)</x:f>
        <x:v>12628587.714260368</x:v>
      </x:c>
      <x:c r="I48" s="51" t="n">
        <x:f>IF('Assumptions'!$E$9=2,0,'CF Installment'!I24)</x:f>
        <x:v>11835519.740488967</x:v>
      </x:c>
      <x:c r="J48" s="51" t="n">
        <x:f>IF('Assumptions'!$E$9=2,0,'CF Installment'!J24)</x:f>
        <x:v>11271542.467476754</x:v>
      </x:c>
      <x:c r="K48" s="51" t="n">
        <x:f>IF('Assumptions'!$E$9=2,0,'CF Installment'!K24)</x:f>
        <x:v>10846529.79858181</x:v>
      </x:c>
      <x:c r="L48" s="51" t="n">
        <x:f>IF('Assumptions'!$E$9=2,0,'CF Installment'!L24)</x:f>
        <x:v>10517292.307196323</x:v>
      </x:c>
      <x:c r="M48" s="51" t="n">
        <x:f>IF('Assumptions'!$E$9=2,0,'CF Installment'!M24)</x:f>
        <x:v>10259279.236239888</x:v>
      </x:c>
      <x:c r="N48" s="51" t="n">
        <x:f>IF('Assumptions'!$E$9=2,0,'CF Installment'!N24)</x:f>
        <x:v>10056909.761062771</x:v>
      </x:c>
      <x:c r="O48" s="51" t="n">
        <x:f>IF('Assumptions'!$E$9=2,0,'CF Installment'!O24)</x:f>
        <x:v>9899406.093028942</x:v>
      </x:c>
      <x:c r="P48" s="51" t="n">
        <x:f>IF('Assumptions'!$E$9=2,0,'CF Installment'!P24)</x:f>
        <x:v>9778804.261204636</x:v>
      </x:c>
      <x:c r="Q48" s="51" t="n">
        <x:f>IF('Assumptions'!$E$9=2,0,'CF Installment'!Q24)</x:f>
        <x:v>9688934.212515658</x:v>
      </x:c>
      <x:c r="R48" s="51" t="n">
        <x:f>IF('Assumptions'!$E$9=2,0,'CF Installment'!R24)</x:f>
        <x:v>9624851.447297055</x:v>
      </x:c>
      <x:c r="S48" s="51" t="n">
        <x:f>IF('Assumptions'!$E$9=2,0,'CF Installment'!S24)</x:f>
        <x:v>9582489.340316506</x:v>
      </x:c>
      <x:c r="T48" s="51" t="n">
        <x:f>IF('Assumptions'!$E$9=2,0,'CF Installment'!T24)</x:f>
        <x:v>9558426.56659786</x:v>
      </x:c>
      <x:c r="U48" s="51" t="n">
        <x:f>IF('Assumptions'!$E$9=2,0,'CF Installment'!U24)</x:f>
        <x:v>9549718.049615996</x:v>
      </x:c>
      <x:c r="V48" s="51" t="n">
        <x:f>IF('Assumptions'!$E$9=2,0,'CF Installment'!V24)</x:f>
        <x:v>9553761.058942698</x:v>
      </x:c>
      <x:c r="W48" s="51" t="n">
        <x:f>IF('Assumptions'!$E$9=2,0,'CF Installment'!W24)</x:f>
        <x:v>9568178.46795289</x:v>
      </x:c>
      <x:c r="X48" s="51" t="n">
        <x:f>IF('Assumptions'!$E$9=2,0,'CF Installment'!X24)</x:f>
        <x:v>9590707.196268978</x:v>
      </x:c>
      <x:c r="Y48" s="51" t="n">
        <x:f>IF('Assumptions'!$E$9=2,0,'CF Installment'!Y24)</x:f>
        <x:v>9619087.188616214</x:v>
      </x:c>
      <x:c r="Z48" s="51" t="n">
        <x:f>IF('Assumptions'!$E$9=2,0,'CF Installment'!Z24)</x:f>
        <x:v>9650960.294680001</x:v>
      </x:c>
      <x:c r="AA48" s="51" t="n">
        <x:f>IF('Assumptions'!$E$9=2,0,'CF Installment'!AA24)</x:f>
        <x:v>9683810.142392123</x:v>
      </x:c>
      <x:c r="AB48" s="51" t="n">
        <x:f>IF('Assumptions'!$E$9=2,0,'CF Installment'!AB24)</x:f>
        <x:v>9714987.392933076</x:v>
      </x:c>
      <x:c r="AC48" s="51" t="n">
        <x:f>IF('Assumptions'!$E$9=2,0,'CF Installment'!AC24)</x:f>
        <x:v>9741835.201348526</x:v>
      </x:c>
      <x:c r="AD48" s="51" t="n">
        <x:f>IF('Assumptions'!$E$9=2,0,'CF Installment'!AD24)</x:f>
        <x:v>9761857.041466603</x:v>
      </x:c>
      <x:c r="AE48" s="51" t="n">
        <x:f>IF('Assumptions'!$E$9=2,0,'CF Installment'!AE24)</x:f>
        <x:v>9772831.78455955</x:v>
      </x:c>
      <x:c r="AF48" s="51" t="n">
        <x:f>IF('Assumptions'!$E$9=2,0,'CF Installment'!AF24)</x:f>
        <x:v>9772831.78455955</x:v>
      </x:c>
      <x:c r="AG48" s="51" t="n">
        <x:f>IF('Assumptions'!$E$9=2,0,'CF Installment'!AG24)</x:f>
        <x:v>9772831.78455955</x:v>
      </x:c>
      <x:c r="AH48" s="51" t="n">
        <x:f>IF('Assumptions'!$E$9=2,0,'CF Installment'!AH24)</x:f>
        <x:v>9772831.78455955</x:v>
      </x:c>
      <x:c r="AI48" s="51" t="n">
        <x:f>IF('Assumptions'!$E$9=2,0,'CF Installment'!AI24)</x:f>
        <x:v>9772831.78455955</x:v>
      </x:c>
      <x:c r="AJ48" s="51" t="n">
        <x:f>IF('Assumptions'!$E$9=2,0,'CF Installment'!AJ24)</x:f>
        <x:v>9772831.78455955</x:v>
      </x:c>
      <x:c r="AK48" s="51" t="n">
        <x:f>IF('Assumptions'!$E$9=2,0,'CF Installment'!AK24)</x:f>
        <x:v>9772831.78455955</x:v>
      </x:c>
      <x:c r="AL48" s="51" t="n">
        <x:f>IF('Assumptions'!$E$9=2,0,'CF Installment'!AL24)</x:f>
        <x:v>9772831.78455955</x:v>
      </x:c>
      <x:c r="AM48" s="51" t="n">
        <x:f>IF('Assumptions'!$E$9=2,0,'CF Installment'!AM24)</x:f>
        <x:v>9772831.78455955</x:v>
      </x:c>
      <x:c r="AN48" s="51" t="n">
        <x:f>IF('Assumptions'!$E$9=2,0,'CF Installment'!AN24)</x:f>
        <x:v>9772831.78455955</x:v>
      </x:c>
      <x:c r="AO48" s="51" t="n">
        <x:f>IF('Assumptions'!$E$9=2,0,'CF Installment'!AO24)</x:f>
        <x:v>9772831.78455955</x:v>
      </x:c>
      <x:c r="AP48" s="51" t="n">
        <x:f>IF('Assumptions'!$E$9=2,0,'CF Installment'!AP24)</x:f>
        <x:v>9772831.78455955</x:v>
      </x:c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8" t="str">
        <x:v>CreditFresh revenue</x:v>
      </x:c>
      <x:c r="D49" s="28"/>
      <x:c r="E49" s="45" t="n">
        <x:f>SUMIFS(G49:AP49,$G$6:$AP$6,"&lt;="&amp;'Assumptions'!$E$7)</x:f>
        <x:v>424064747.2846767</x:v>
      </x:c>
      <x:c r="F49" s="45"/>
      <x:c r="G49" s="45" t="n">
        <x:f>SUM(G47:G48)</x:f>
        <x:v>30659214.913644806</x:v>
      </x:c>
      <x:c r="H49" s="45" t="n">
        <x:f>SUM(H47:H48)</x:f>
        <x:v>26086608.13206418</x:v>
      </x:c>
      <x:c r="I49" s="45" t="n">
        <x:f>SUM(I47:I48)</x:f>
        <x:v>23248381.005685758</x:v>
      </x:c>
      <x:c r="J49" s="45" t="n">
        <x:f>SUM(J47:J48)</x:f>
        <x:v>21216096.090201024</x:v>
      </x:c>
      <x:c r="K49" s="45" t="n">
        <x:f>SUM(K47:K48)</x:f>
        <x:v>19688711.731092963</x:v>
      </x:c>
      <x:c r="L49" s="45" t="n">
        <x:f>SUM(L47:L48)</x:f>
        <x:v>18518137.75231887</x:v>
      </x:c>
      <x:c r="M49" s="45" t="n">
        <x:f>SUM(M47:M48)</x:f>
        <x:v>17616485.017822653</x:v>
      </x:c>
      <x:c r="N49" s="45" t="n">
        <x:f>SUM(N47:N48)</x:f>
        <x:v>16925603.378344007</x:v>
      </x:c>
      <x:c r="O49" s="45" t="n">
        <x:f>SUM(O47:O48)</x:f>
        <x:v>16403969.904265143</x:v>
      </x:c>
      <x:c r="P49" s="45" t="n">
        <x:f>SUM(P47:P48)</x:f>
        <x:v>16020264.407753449</x:v>
      </x:c>
      <x:c r="Q49" s="45" t="n">
        <x:f>SUM(Q47:Q48)</x:f>
        <x:v>15750228.362069692</x:v>
      </x:c>
      <x:c r="R49" s="45" t="n">
        <x:f>SUM(R47:R48)</x:f>
        <x:v>15575139.263266474</x:v>
      </x:c>
      <x:c r="S49" s="45" t="n">
        <x:f>SUM(S47:S48)</x:f>
        <x:v>15480830.122401193</x:v>
      </x:c>
      <x:c r="T49" s="45" t="n">
        <x:f>SUM(T47:T48)</x:f>
        <x:v>15456767.348682545</x:v>
      </x:c>
      <x:c r="U49" s="45" t="n">
        <x:f>SUM(U47:U48)</x:f>
        <x:v>15448058.831700683</x:v>
      </x:c>
      <x:c r="V49" s="45" t="n">
        <x:f>SUM(V47:V48)</x:f>
        <x:v>15452101.841027383</x:v>
      </x:c>
      <x:c r="W49" s="45" t="n">
        <x:f>SUM(W47:W48)</x:f>
        <x:v>15466519.250037577</x:v>
      </x:c>
      <x:c r="X49" s="45" t="n">
        <x:f>SUM(X47:X48)</x:f>
        <x:v>15489047.978353664</x:v>
      </x:c>
      <x:c r="Y49" s="45" t="n">
        <x:f>SUM(Y47:Y48)</x:f>
        <x:v>15517427.970700901</x:v>
      </x:c>
      <x:c r="Z49" s="45" t="n">
        <x:f>SUM(Z47:Z48)</x:f>
        <x:v>15549301.076764688</x:v>
      </x:c>
      <x:c r="AA49" s="45" t="n">
        <x:f>SUM(AA47:AA48)</x:f>
        <x:v>15582150.92447681</x:v>
      </x:c>
      <x:c r="AB49" s="45" t="n">
        <x:f>SUM(AB47:AB48)</x:f>
        <x:v>15613328.175017763</x:v>
      </x:c>
      <x:c r="AC49" s="45" t="n">
        <x:f>SUM(AC47:AC48)</x:f>
        <x:v>15640175.983433213</x:v>
      </x:c>
      <x:c r="AD49" s="45" t="n">
        <x:f>SUM(AD47:AD48)</x:f>
        <x:v>15660197.82355129</x:v>
      </x:c>
      <x:c r="AE49" s="45" t="n">
        <x:f>SUM(AE47:AE48)</x:f>
        <x:v>15671172.566644236</x:v>
      </x:c>
      <x:c r="AF49" s="45" t="n">
        <x:f>SUM(AF47:AF48)</x:f>
        <x:v>15671172.566644236</x:v>
      </x:c>
      <x:c r="AG49" s="45" t="n">
        <x:f>SUM(AG47:AG48)</x:f>
        <x:v>15671172.566644236</x:v>
      </x:c>
      <x:c r="AH49" s="45" t="n">
        <x:f>SUM(AH47:AH48)</x:f>
        <x:v>15671172.566644236</x:v>
      </x:c>
      <x:c r="AI49" s="45" t="n">
        <x:f>SUM(AI47:AI48)</x:f>
        <x:v>15671172.566644236</x:v>
      </x:c>
      <x:c r="AJ49" s="45" t="n">
        <x:f>SUM(AJ47:AJ48)</x:f>
        <x:v>15671172.566644236</x:v>
      </x:c>
      <x:c r="AK49" s="45" t="n">
        <x:f>SUM(AK47:AK48)</x:f>
        <x:v>15671172.566644236</x:v>
      </x:c>
      <x:c r="AL49" s="45" t="n">
        <x:f>SUM(AL47:AL48)</x:f>
        <x:v>15671172.566644236</x:v>
      </x:c>
      <x:c r="AM49" s="45" t="n">
        <x:f>SUM(AM47:AM48)</x:f>
        <x:v>15671172.566644236</x:v>
      </x:c>
      <x:c r="AN49" s="45" t="n">
        <x:f>SUM(AN47:AN48)</x:f>
        <x:v>15671172.566644236</x:v>
      </x:c>
      <x:c r="AO49" s="45" t="n">
        <x:f>SUM(AO47:AO48)</x:f>
        <x:v>15671172.566644236</x:v>
      </x:c>
      <x:c r="AP49" s="45" t="n">
        <x:f>SUM(AP47:AP48)</x:f>
        <x:v>15671172.566644236</x:v>
      </x:c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 t="str">
        <x:v>MoneyKey - Short-Term</x:v>
      </x:c>
      <x:c r="D50" s="2"/>
      <x:c r="E50" s="35" t="n">
        <x:f>SUMIFS(G50:AP50,$G$6:$AP$6,"&lt;="&amp;'Assumptions'!$E$7)</x:f>
        <x:v>42307844.46321194</x:v>
      </x:c>
      <x:c r="F50" s="35"/>
      <x:c r="G50" s="51" t="n">
        <x:f>IF('Assumptions'!$E$9=3,0,'MK Short-Term'!G24)</x:f>
        <x:v>4109425.618760618</x:v>
      </x:c>
      <x:c r="H50" s="51" t="n">
        <x:f>IF('Assumptions'!$E$9=3,0,'MK Short-Term'!H24)</x:f>
        <x:v>3247478.6790092364</x:v>
      </x:c>
      <x:c r="I50" s="51" t="n">
        <x:f>IF('Assumptions'!$E$9=3,0,'MK Short-Term'!I24)</x:f>
        <x:v>2711171.077042083</x:v>
      </x:c>
      <x:c r="J50" s="51" t="n">
        <x:f>IF('Assumptions'!$E$9=3,0,'MK Short-Term'!J24)</x:f>
        <x:v>2333342.6926202094</x:v>
      </x:c>
      <x:c r="K50" s="51" t="n">
        <x:f>IF('Assumptions'!$E$9=3,0,'MK Short-Term'!K24)</x:f>
        <x:v>2058111.7332733136</x:v>
      </x:c>
      <x:c r="L50" s="51" t="n">
        <x:f>IF('Assumptions'!$E$9=3,0,'MK Short-Term'!L24)</x:f>
        <x:v>1856396.09599556</x:v>
      </x:c>
      <x:c r="M50" s="51" t="n">
        <x:f>IF('Assumptions'!$E$9=3,0,'MK Short-Term'!M24)</x:f>
        <x:v>1709190.795449824</x:v>
      </x:c>
      <x:c r="N50" s="51" t="n">
        <x:f>IF('Assumptions'!$E$9=3,0,'MK Short-Term'!N24)</x:f>
        <x:v>1602548.0764177125</x:v>
      </x:c>
      <x:c r="O50" s="51" t="n">
        <x:f>IF('Assumptions'!$E$9=3,0,'MK Short-Term'!O24)</x:f>
        <x:v>1526028.6880592534</x:v>
      </x:c>
      <x:c r="P50" s="51" t="n">
        <x:f>IF('Assumptions'!$E$9=3,0,'MK Short-Term'!P24)</x:f>
        <x:v>1472110.7270327222</x:v>
      </x:c>
      <x:c r="Q50" s="51" t="n">
        <x:f>IF('Assumptions'!$E$9=3,0,'MK Short-Term'!Q24)</x:f>
        <x:v>1435648.2317632493</x:v>
      </x:c>
      <x:c r="R50" s="51" t="n">
        <x:f>IF('Assumptions'!$E$9=3,0,'MK Short-Term'!R24)</x:f>
        <x:v>1413258.1178252</x:v>
      </x:c>
      <x:c r="S50" s="51" t="n">
        <x:f>IF('Assumptions'!$E$9=3,0,'MK Short-Term'!S24)</x:f>
        <x:v>1402761.1608302481</x:v>
      </x:c>
      <x:c r="T50" s="51" t="n">
        <x:f>IF('Assumptions'!$E$9=3,0,'MK Short-Term'!T24)</x:f>
        <x:v>1402761.1608302481</x:v>
      </x:c>
      <x:c r="U50" s="51" t="n">
        <x:f>IF('Assumptions'!$E$9=3,0,'MK Short-Term'!U24)</x:f>
        <x:v>1402761.1608302481</x:v>
      </x:c>
      <x:c r="V50" s="51" t="n">
        <x:f>IF('Assumptions'!$E$9=3,0,'MK Short-Term'!V24)</x:f>
        <x:v>1402761.1608302481</x:v>
      </x:c>
      <x:c r="W50" s="51" t="n">
        <x:f>IF('Assumptions'!$E$9=3,0,'MK Short-Term'!W24)</x:f>
        <x:v>1402761.1608302481</x:v>
      </x:c>
      <x:c r="X50" s="51" t="n">
        <x:f>IF('Assumptions'!$E$9=3,0,'MK Short-Term'!X24)</x:f>
        <x:v>1402761.1608302481</x:v>
      </x:c>
      <x:c r="Y50" s="51" t="n">
        <x:f>IF('Assumptions'!$E$9=3,0,'MK Short-Term'!Y24)</x:f>
        <x:v>1402761.1608302481</x:v>
      </x:c>
      <x:c r="Z50" s="51" t="n">
        <x:f>IF('Assumptions'!$E$9=3,0,'MK Short-Term'!Z24)</x:f>
        <x:v>1402761.1608302481</x:v>
      </x:c>
      <x:c r="AA50" s="51" t="n">
        <x:f>IF('Assumptions'!$E$9=3,0,'MK Short-Term'!AA24)</x:f>
        <x:v>1402761.1608302481</x:v>
      </x:c>
      <x:c r="AB50" s="51" t="n">
        <x:f>IF('Assumptions'!$E$9=3,0,'MK Short-Term'!AB24)</x:f>
        <x:v>1402761.1608302481</x:v>
      </x:c>
      <x:c r="AC50" s="51" t="n">
        <x:f>IF('Assumptions'!$E$9=3,0,'MK Short-Term'!AC24)</x:f>
        <x:v>1402761.1608302481</x:v>
      </x:c>
      <x:c r="AD50" s="51" t="n">
        <x:f>IF('Assumptions'!$E$9=3,0,'MK Short-Term'!AD24)</x:f>
        <x:v>1402761.1608302481</x:v>
      </x:c>
      <x:c r="AE50" s="51" t="n">
        <x:f>IF('Assumptions'!$E$9=3,0,'MK Short-Term'!AE24)</x:f>
        <x:v>1402761.1608302481</x:v>
      </x:c>
      <x:c r="AF50" s="51" t="n">
        <x:f>IF('Assumptions'!$E$9=3,0,'MK Short-Term'!AF24)</x:f>
        <x:v>1402761.1608302481</x:v>
      </x:c>
      <x:c r="AG50" s="51" t="n">
        <x:f>IF('Assumptions'!$E$9=3,0,'MK Short-Term'!AG24)</x:f>
        <x:v>1402761.1608302481</x:v>
      </x:c>
      <x:c r="AH50" s="51" t="n">
        <x:f>IF('Assumptions'!$E$9=3,0,'MK Short-Term'!AH24)</x:f>
        <x:v>1402761.1608302481</x:v>
      </x:c>
      <x:c r="AI50" s="51" t="n">
        <x:f>IF('Assumptions'!$E$9=3,0,'MK Short-Term'!AI24)</x:f>
        <x:v>1402761.1608302481</x:v>
      </x:c>
      <x:c r="AJ50" s="51" t="n">
        <x:f>IF('Assumptions'!$E$9=3,0,'MK Short-Term'!AJ24)</x:f>
        <x:v>1402761.1608302481</x:v>
      </x:c>
      <x:c r="AK50" s="51" t="n">
        <x:f>IF('Assumptions'!$E$9=3,0,'MK Short-Term'!AK24)</x:f>
        <x:v>1402761.1608302481</x:v>
      </x:c>
      <x:c r="AL50" s="51" t="n">
        <x:f>IF('Assumptions'!$E$9=3,0,'MK Short-Term'!AL24)</x:f>
        <x:v>1402761.1608302481</x:v>
      </x:c>
      <x:c r="AM50" s="51" t="n">
        <x:f>IF('Assumptions'!$E$9=3,0,'MK Short-Term'!AM24)</x:f>
        <x:v>1402761.1608302481</x:v>
      </x:c>
      <x:c r="AN50" s="51" t="n">
        <x:f>IF('Assumptions'!$E$9=3,0,'MK Short-Term'!AN24)</x:f>
        <x:v>1402761.1608302481</x:v>
      </x:c>
      <x:c r="AO50" s="51" t="n">
        <x:f>IF('Assumptions'!$E$9=3,0,'MK Short-Term'!AO24)</x:f>
        <x:v>1402761.1608302481</x:v>
      </x:c>
      <x:c r="AP50" s="51" t="n">
        <x:f>IF('Assumptions'!$E$9=3,0,'MK Short-Term'!AP24)</x:f>
        <x:v>1402761.1608302481</x:v>
      </x:c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str">
        <x:v>MoneyKey - Installment</x:v>
      </x:c>
      <x:c r="D51" s="2"/>
      <x:c r="E51" s="35" t="n">
        <x:f>SUMIFS(G51:AP51,$G$6:$AP$6,"&lt;="&amp;'Assumptions'!$E$7)</x:f>
        <x:v>56793800.280371785</x:v>
      </x:c>
      <x:c r="F51" s="35"/>
      <x:c r="G51" s="51" t="n">
        <x:f>IF('Assumptions'!$E$9=2,0,'MK Installment'!G24)</x:f>
        <x:v>3450578.8264261535</x:v>
      </x:c>
      <x:c r="H51" s="51" t="n">
        <x:f>IF('Assumptions'!$E$9=2,0,'MK Installment'!H24)</x:f>
        <x:v>3098487.756897219</x:v>
      </x:c>
      <x:c r="I51" s="51" t="n">
        <x:f>IF('Assumptions'!$E$9=2,0,'MK Installment'!I24)</x:f>
        <x:v>2877262.9084250038</x:v>
      </x:c>
      <x:c r="J51" s="51" t="n">
        <x:f>IF('Assumptions'!$E$9=2,0,'MK Installment'!J24)</x:f>
        <x:v>2716500.8330638604</x:v>
      </x:c>
      <x:c r="K51" s="51" t="n">
        <x:f>IF('Assumptions'!$E$9=2,0,'MK Installment'!K24)</x:f>
        <x:v>2592670.2182117426</x:v>
      </x:c>
      <x:c r="L51" s="51" t="n">
        <x:f>IF('Assumptions'!$E$9=2,0,'MK Installment'!L24)</x:f>
        <x:v>2494034.724623896</x:v>
      </x:c>
      <x:c r="M51" s="51" t="n">
        <x:f>IF('Assumptions'!$E$9=2,0,'MK Installment'!M24)</x:f>
        <x:v>2413852.1790792323</x:v>
      </x:c>
      <x:c r="N51" s="51" t="n">
        <x:f>IF('Assumptions'!$E$9=2,0,'MK Installment'!N24)</x:f>
        <x:v>2348055.2891401653</x:v>
      </x:c>
      <x:c r="O51" s="51" t="n">
        <x:f>IF('Assumptions'!$E$9=2,0,'MK Installment'!O24)</x:f>
        <x:v>2294086.3120283983</x:v>
      </x:c>
      <x:c r="P51" s="51" t="n">
        <x:f>IF('Assumptions'!$E$9=2,0,'MK Installment'!P24)</x:f>
        <x:v>2250209.4666881226</x:v>
      </x:c>
      <x:c r="Q51" s="51" t="n">
        <x:f>IF('Assumptions'!$E$9=2,0,'MK Installment'!Q24)</x:f>
        <x:v>2215129.1887459033</x:v>
      </x:c>
      <x:c r="R51" s="51" t="n">
        <x:f>IF('Assumptions'!$E$9=2,0,'MK Installment'!R24)</x:f>
        <x:v>2187799.820420257</x:v>
      </x:c>
      <x:c r="S51" s="51" t="n">
        <x:f>IF('Assumptions'!$E$9=2,0,'MK Installment'!S24)</x:f>
        <x:v>2167332.2455810905</x:v>
      </x:c>
      <x:c r="T51" s="51" t="n">
        <x:f>IF('Assumptions'!$E$9=2,0,'MK Installment'!T24)</x:f>
        <x:v>2152939.720676429</x:v>
      </x:c>
      <x:c r="U51" s="51" t="n">
        <x:f>IF('Assumptions'!$E$9=2,0,'MK Installment'!U24)</x:f>
        <x:v>2143895.308319378</x:v>
      </x:c>
      <x:c r="V51" s="51" t="n">
        <x:f>IF('Assumptions'!$E$9=2,0,'MK Installment'!V24)</x:f>
        <x:v>2139490.041972578</x:v>
      </x:c>
      <x:c r="W51" s="51" t="n">
        <x:f>IF('Assumptions'!$E$9=2,0,'MK Installment'!W24)</x:f>
        <x:v>2138990.5452977377</x:v>
      </x:c>
      <x:c r="X51" s="51" t="n">
        <x:f>IF('Assumptions'!$E$9=2,0,'MK Installment'!X24)</x:f>
        <x:v>2141604.0219623926</x:v>
      </x:c>
      <x:c r="Y51" s="51" t="n">
        <x:f>IF('Assumptions'!$E$9=2,0,'MK Installment'!Y24)</x:f>
        <x:v>2146468.0479304604</x:v>
      </x:c>
      <x:c r="Z51" s="51" t="n">
        <x:f>IF('Assumptions'!$E$9=2,0,'MK Installment'!Z24)</x:f>
        <x:v>2152682.3703004667</x:v>
      </x:c>
      <x:c r="AA51" s="51" t="n">
        <x:f>IF('Assumptions'!$E$9=2,0,'MK Installment'!AA24)</x:f>
        <x:v>2159377.353952666</x:v>
      </x:c>
      <x:c r="AB51" s="51" t="n">
        <x:f>IF('Assumptions'!$E$9=2,0,'MK Installment'!AB24)</x:f>
        <x:v>2165783.123121645</x:v>
      </x:c>
      <x:c r="AC51" s="51" t="n">
        <x:f>IF('Assumptions'!$E$9=2,0,'MK Installment'!AC24)</x:f>
        <x:v>2171263.084930074</x:v>
      </x:c>
      <x:c r="AD51" s="51" t="n">
        <x:f>IF('Assumptions'!$E$9=2,0,'MK Installment'!AD24)</x:f>
        <x:v>2175306.892576929</x:v>
      </x:c>
      <x:c r="AE51" s="51" t="n">
        <x:f>IF('Assumptions'!$E$9=2,0,'MK Installment'!AE24)</x:f>
        <x:v>2177501.872917334</x:v>
      </x:c>
      <x:c r="AF51" s="51" t="n">
        <x:f>IF('Assumptions'!$E$9=2,0,'MK Installment'!AF24)</x:f>
        <x:v>2177501.872917334</x:v>
      </x:c>
      <x:c r="AG51" s="51" t="n">
        <x:f>IF('Assumptions'!$E$9=2,0,'MK Installment'!AG24)</x:f>
        <x:v>2177501.872917334</x:v>
      </x:c>
      <x:c r="AH51" s="51" t="n">
        <x:f>IF('Assumptions'!$E$9=2,0,'MK Installment'!AH24)</x:f>
        <x:v>2177501.872917334</x:v>
      </x:c>
      <x:c r="AI51" s="51" t="n">
        <x:f>IF('Assumptions'!$E$9=2,0,'MK Installment'!AI24)</x:f>
        <x:v>2177501.872917334</x:v>
      </x:c>
      <x:c r="AJ51" s="51" t="n">
        <x:f>IF('Assumptions'!$E$9=2,0,'MK Installment'!AJ24)</x:f>
        <x:v>2177501.872917334</x:v>
      </x:c>
      <x:c r="AK51" s="51" t="n">
        <x:f>IF('Assumptions'!$E$9=2,0,'MK Installment'!AK24)</x:f>
        <x:v>2177501.872917334</x:v>
      </x:c>
      <x:c r="AL51" s="51" t="n">
        <x:f>IF('Assumptions'!$E$9=2,0,'MK Installment'!AL24)</x:f>
        <x:v>2177501.872917334</x:v>
      </x:c>
      <x:c r="AM51" s="51" t="n">
        <x:f>IF('Assumptions'!$E$9=2,0,'MK Installment'!AM24)</x:f>
        <x:v>2177501.872917334</x:v>
      </x:c>
      <x:c r="AN51" s="51" t="n">
        <x:f>IF('Assumptions'!$E$9=2,0,'MK Installment'!AN24)</x:f>
        <x:v>2177501.872917334</x:v>
      </x:c>
      <x:c r="AO51" s="51" t="n">
        <x:f>IF('Assumptions'!$E$9=2,0,'MK Installment'!AO24)</x:f>
        <x:v>2177501.872917334</x:v>
      </x:c>
      <x:c r="AP51" s="51" t="n">
        <x:f>IF('Assumptions'!$E$9=2,0,'MK Installment'!AP24)</x:f>
        <x:v>2177501.872917334</x:v>
      </x:c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8" t="str">
        <x:v>MoneyKey revenue</x:v>
      </x:c>
      <x:c r="D52" s="28"/>
      <x:c r="E52" s="45" t="n">
        <x:f>SUMIFS(G52:AP52,$G$6:$AP$6,"&lt;="&amp;'Assumptions'!$E$7)</x:f>
        <x:v>99101644.74358375</x:v>
      </x:c>
      <x:c r="F52" s="45"/>
      <x:c r="G52" s="45" t="n">
        <x:f>SUM(G50:G51)</x:f>
        <x:v>7560004.445186771</x:v>
      </x:c>
      <x:c r="H52" s="45" t="n">
        <x:f>SUM(H50:H51)</x:f>
        <x:v>6345966.435906455</x:v>
      </x:c>
      <x:c r="I52" s="45" t="n">
        <x:f>SUM(I50:I51)</x:f>
        <x:v>5588433.985467087</x:v>
      </x:c>
      <x:c r="J52" s="45" t="n">
        <x:f>SUM(J50:J51)</x:f>
        <x:v>5049843.52568407</x:v>
      </x:c>
      <x:c r="K52" s="45" t="n">
        <x:f>SUM(K50:K51)</x:f>
        <x:v>4650781.951485056</x:v>
      </x:c>
      <x:c r="L52" s="45" t="n">
        <x:f>SUM(L50:L51)</x:f>
        <x:v>4350430.8206194565</x:v>
      </x:c>
      <x:c r="M52" s="45" t="n">
        <x:f>SUM(M50:M51)</x:f>
        <x:v>4123042.9745290563</x:v>
      </x:c>
      <x:c r="N52" s="45" t="n">
        <x:f>SUM(N50:N51)</x:f>
        <x:v>3950603.365557878</x:v>
      </x:c>
      <x:c r="O52" s="45" t="n">
        <x:f>SUM(O50:O51)</x:f>
        <x:v>3820115.0000876514</x:v>
      </x:c>
      <x:c r="P52" s="45" t="n">
        <x:f>SUM(P50:P51)</x:f>
        <x:v>3722320.1937208446</x:v>
      </x:c>
      <x:c r="Q52" s="45" t="n">
        <x:f>SUM(Q50:Q51)</x:f>
        <x:v>3650777.4205091526</x:v>
      </x:c>
      <x:c r="R52" s="45" t="n">
        <x:f>SUM(R50:R51)</x:f>
        <x:v>3601057.9382454567</x:v>
      </x:c>
      <x:c r="S52" s="45" t="n">
        <x:f>SUM(S50:S51)</x:f>
        <x:v>3570093.4064113386</x:v>
      </x:c>
      <x:c r="T52" s="45" t="n">
        <x:f>SUM(T50:T51)</x:f>
        <x:v>3555700.8815066773</x:v>
      </x:c>
      <x:c r="U52" s="45" t="n">
        <x:f>SUM(U50:U51)</x:f>
        <x:v>3546656.4691496263</x:v>
      </x:c>
      <x:c r="V52" s="45" t="n">
        <x:f>SUM(V50:V51)</x:f>
        <x:v>3542251.202802826</x:v>
      </x:c>
      <x:c r="W52" s="45" t="n">
        <x:f>SUM(W50:W51)</x:f>
        <x:v>3541751.706127986</x:v>
      </x:c>
      <x:c r="X52" s="45" t="n">
        <x:f>SUM(X50:X51)</x:f>
        <x:v>3544365.1827926408</x:v>
      </x:c>
      <x:c r="Y52" s="45" t="n">
        <x:f>SUM(Y50:Y51)</x:f>
        <x:v>3549229.2087607086</x:v>
      </x:c>
      <x:c r="Z52" s="45" t="n">
        <x:f>SUM(Z50:Z51)</x:f>
        <x:v>3555443.531130715</x:v>
      </x:c>
      <x:c r="AA52" s="45" t="n">
        <x:f>SUM(AA50:AA51)</x:f>
        <x:v>3562138.514782914</x:v>
      </x:c>
      <x:c r="AB52" s="45" t="n">
        <x:f>SUM(AB50:AB51)</x:f>
        <x:v>3568544.283951893</x:v>
      </x:c>
      <x:c r="AC52" s="45" t="n">
        <x:f>SUM(AC50:AC51)</x:f>
        <x:v>3574024.245760322</x:v>
      </x:c>
      <x:c r="AD52" s="45" t="n">
        <x:f>SUM(AD50:AD51)</x:f>
        <x:v>3578068.0534071773</x:v>
      </x:c>
      <x:c r="AE52" s="45" t="n">
        <x:f>SUM(AE50:AE51)</x:f>
        <x:v>3580263.033747582</x:v>
      </x:c>
      <x:c r="AF52" s="45" t="n">
        <x:f>SUM(AF50:AF51)</x:f>
        <x:v>3580263.033747582</x:v>
      </x:c>
      <x:c r="AG52" s="45" t="n">
        <x:f>SUM(AG50:AG51)</x:f>
        <x:v>3580263.033747582</x:v>
      </x:c>
      <x:c r="AH52" s="45" t="n">
        <x:f>SUM(AH50:AH51)</x:f>
        <x:v>3580263.033747582</x:v>
      </x:c>
      <x:c r="AI52" s="45" t="n">
        <x:f>SUM(AI50:AI51)</x:f>
        <x:v>3580263.033747582</x:v>
      </x:c>
      <x:c r="AJ52" s="45" t="n">
        <x:f>SUM(AJ50:AJ51)</x:f>
        <x:v>3580263.033747582</x:v>
      </x:c>
      <x:c r="AK52" s="45" t="n">
        <x:f>SUM(AK50:AK51)</x:f>
        <x:v>3580263.033747582</x:v>
      </x:c>
      <x:c r="AL52" s="45" t="n">
        <x:f>SUM(AL50:AL51)</x:f>
        <x:v>3580263.033747582</x:v>
      </x:c>
      <x:c r="AM52" s="45" t="n">
        <x:f>SUM(AM50:AM51)</x:f>
        <x:v>3580263.033747582</x:v>
      </x:c>
      <x:c r="AN52" s="45" t="n">
        <x:f>SUM(AN50:AN51)</x:f>
        <x:v>3580263.033747582</x:v>
      </x:c>
      <x:c r="AO52" s="45" t="n">
        <x:f>SUM(AO50:AO51)</x:f>
        <x:v>3580263.033747582</x:v>
      </x:c>
      <x:c r="AP52" s="45" t="n">
        <x:f>SUM(AP50:AP51)</x:f>
        <x:v>3580263.033747582</x:v>
      </x:c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8" t="str">
        <x:v>Total revenue</x:v>
      </x:c>
      <x:c r="D53" s="28"/>
      <x:c r="E53" s="45" t="n">
        <x:f>SUMIFS(G53:AP53,$G$6:$AP$6,"&lt;="&amp;'Assumptions'!$E$7)</x:f>
        <x:v>523166392.0282604</x:v>
      </x:c>
      <x:c r="F53" s="45"/>
      <x:c r="G53" s="45" t="n">
        <x:f>G49+G52</x:f>
        <x:v>38219219.35883158</x:v>
      </x:c>
      <x:c r="H53" s="45" t="n">
        <x:f>H49+H52</x:f>
        <x:v>32432574.567970634</x:v>
      </x:c>
      <x:c r="I53" s="45" t="n">
        <x:f>I49+I52</x:f>
        <x:v>28836814.991152845</x:v>
      </x:c>
      <x:c r="J53" s="45" t="n">
        <x:f>J49+J52</x:f>
        <x:v>26265939.615885094</x:v>
      </x:c>
      <x:c r="K53" s="45" t="n">
        <x:f>K49+K52</x:f>
        <x:v>24339493.68257802</x:v>
      </x:c>
      <x:c r="L53" s="45" t="n">
        <x:f>L49+L52</x:f>
        <x:v>22868568.572938327</x:v>
      </x:c>
      <x:c r="M53" s="45" t="n">
        <x:f>M49+M52</x:f>
        <x:v>21739527.99235171</x:v>
      </x:c>
      <x:c r="N53" s="45" t="n">
        <x:f>N49+N52</x:f>
        <x:v>20876206.743901886</x:v>
      </x:c>
      <x:c r="O53" s="45" t="n">
        <x:f>O49+O52</x:f>
        <x:v>20224084.904352795</x:v>
      </x:c>
      <x:c r="P53" s="45" t="n">
        <x:f>P49+P52</x:f>
        <x:v>19742584.601474293</x:v>
      </x:c>
      <x:c r="Q53" s="45" t="n">
        <x:f>Q49+Q52</x:f>
        <x:v>19401005.782578845</x:v>
      </x:c>
      <x:c r="R53" s="45" t="n">
        <x:f>R49+R52</x:f>
        <x:v>19176197.20151193</x:v>
      </x:c>
      <x:c r="S53" s="45" t="n">
        <x:f>S49+S52</x:f>
        <x:v>19050923.52881253</x:v>
      </x:c>
      <x:c r="T53" s="45" t="n">
        <x:f>T49+T52</x:f>
        <x:v>19012468.230189223</x:v>
      </x:c>
      <x:c r="U53" s="45" t="n">
        <x:f>U49+U52</x:f>
        <x:v>18994715.30085031</x:v>
      </x:c>
      <x:c r="V53" s="45" t="n">
        <x:f>V49+V52</x:f>
        <x:v>18994353.04383021</x:v>
      </x:c>
      <x:c r="W53" s="45" t="n">
        <x:f>W49+W52</x:f>
        <x:v>19008270.956165563</x:v>
      </x:c>
      <x:c r="X53" s="45" t="n">
        <x:f>X49+X52</x:f>
        <x:v>19033413.161146306</x:v>
      </x:c>
      <x:c r="Y53" s="45" t="n">
        <x:f>Y49+Y52</x:f>
        <x:v>19066657.17946161</x:v>
      </x:c>
      <x:c r="Z53" s="45" t="n">
        <x:f>Z49+Z52</x:f>
        <x:v>19104744.607895404</x:v>
      </x:c>
      <x:c r="AA53" s="45" t="n">
        <x:f>AA49+AA52</x:f>
        <x:v>19144289.439259723</x:v>
      </x:c>
      <x:c r="AB53" s="45" t="n">
        <x:f>AB49+AB52</x:f>
        <x:v>19181872.458969656</x:v>
      </x:c>
      <x:c r="AC53" s="45" t="n">
        <x:f>AC49+AC52</x:f>
        <x:v>19214200.229193535</x:v>
      </x:c>
      <x:c r="AD53" s="45" t="n">
        <x:f>AD49+AD52</x:f>
        <x:v>19238265.876958467</x:v>
      </x:c>
      <x:c r="AE53" s="45" t="n">
        <x:f>AE49+AE52</x:f>
        <x:v>19251435.60039182</x:v>
      </x:c>
      <x:c r="AF53" s="45" t="n">
        <x:f>AF49+AF52</x:f>
        <x:v>19251435.60039182</x:v>
      </x:c>
      <x:c r="AG53" s="45" t="n">
        <x:f>AG49+AG52</x:f>
        <x:v>19251435.60039182</x:v>
      </x:c>
      <x:c r="AH53" s="45" t="n">
        <x:f>AH49+AH52</x:f>
        <x:v>19251435.60039182</x:v>
      </x:c>
      <x:c r="AI53" s="45" t="n">
        <x:f>AI49+AI52</x:f>
        <x:v>19251435.60039182</x:v>
      </x:c>
      <x:c r="AJ53" s="45" t="n">
        <x:f>AJ49+AJ52</x:f>
        <x:v>19251435.60039182</x:v>
      </x:c>
      <x:c r="AK53" s="45" t="n">
        <x:f>AK49+AK52</x:f>
        <x:v>19251435.60039182</x:v>
      </x:c>
      <x:c r="AL53" s="45" t="n">
        <x:f>AL49+AL52</x:f>
        <x:v>19251435.60039182</x:v>
      </x:c>
      <x:c r="AM53" s="45" t="n">
        <x:f>AM49+AM52</x:f>
        <x:v>19251435.60039182</x:v>
      </x:c>
      <x:c r="AN53" s="45" t="n">
        <x:f>AN49+AN52</x:f>
        <x:v>19251435.60039182</x:v>
      </x:c>
      <x:c r="AO53" s="45" t="n">
        <x:f>AO49+AO52</x:f>
        <x:v>19251435.60039182</x:v>
      </x:c>
      <x:c r="AP53" s="45" t="n">
        <x:f>AP49+AP52</x:f>
        <x:v>19251435.60039182</x:v>
      </x:c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4" priority="1">
      <x:formula>ABS(G35)&gt;0.01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38DD5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17" hidden="0" customWidth="1"/>
    <x:col min="7" max="7" width="14" hidden="0" customWidth="1"/>
    <x:col min="8" max="8" width="75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Assumptions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Blue inputs; black formulas; green worksheet links. No external workbook links.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 t="str">
        <x:v>Curve source (1 manual, 2 historical)</x:v>
      </x:c>
      <x:c r="D6" s="2"/>
      <x:c r="E6" s="8" t="n">
        <x:v>1</x:v>
      </x:c>
      <x:c r="F6" s="2"/>
      <x:c r="G6" s="2"/>
      <x:c r="H6" s="2" t="str">
        <x:v>Source selector changes both product builds and all model results.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 t="str">
        <x:v>Forecast horizon (months)</x:v>
      </x:c>
      <x:c r="D7" s="2"/>
      <x:c r="E7" s="8" t="n">
        <x:v>24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Exported scenario</x:v>
      </x:c>
      <x:c r="D8" s="2"/>
      <x:c r="E8" s="8" t="str">
        <x:v>Base</x:v>
      </x:c>
      <x:c r="F8" s="2"/>
      <x:c r="G8" s="2"/>
      <x:c r="H8" s="2" t="str">
        <x:v>Scenario label describes exported inputs; edit individual blue cells to change the case.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View (1 combined, 2 short, 3 installment)</x:v>
      </x:c>
      <x:c r="D9" s="2"/>
      <x:c r="E9" s="8" t="n">
        <x:v>1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6"/>
      <x:c r="D10" s="6"/>
      <x:c r="E10" s="6" t="str">
        <x:v>Short-Term</x:v>
      </x:c>
      <x:c r="F10" s="6" t="str">
        <x:v>Installment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Monthly applications</x:v>
      </x:c>
      <x:c r="D11" s="2"/>
      <x:c r="E11" s="9" t="n">
        <x:v>30000</x:v>
      </x:c>
      <x:c r="F11" s="9" t="n">
        <x:v>12000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 t="str">
        <x:v>Monthly growth</x:v>
      </x:c>
      <x:c r="D12" s="2"/>
      <x:c r="E12" s="11" t="n">
        <x:v>0</x:v>
      </x:c>
      <x:c r="F12" s="11" t="n">
        <x:v>0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Approval rate</x:v>
      </x:c>
      <x:c r="D13" s="2"/>
      <x:c r="E13" s="11" t="n">
        <x:v>0.3</x:v>
      </x:c>
      <x:c r="F13" s="11" t="n">
        <x:v>0.45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Average loan size ($)</x:v>
      </x:c>
      <x:c r="D14" s="2"/>
      <x:c r="E14" s="9" t="n">
        <x:v>1500</x:v>
      </x:c>
      <x:c r="F14" s="9" t="n">
        <x:v>4000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Annual yield</x:v>
      </x:c>
      <x:c r="D15" s="2"/>
      <x:c r="E15" s="11" t="n">
        <x:v>1</x:v>
      </x:c>
      <x:c r="F15" s="11" t="n">
        <x:v>0.55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Loan term (months)</x:v>
      </x:c>
      <x:c r="D16" s="2"/>
      <x:c r="E16" s="17" t="n">
        <x:v>12</x:v>
      </x:c>
      <x:c r="F16" s="17" t="n">
        <x:v>24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 t="str">
        <x:v>Opening gross CLAB ($)</x:v>
      </x:c>
      <x:c r="D17" s="2"/>
      <x:c r="E17" s="13" t="n">
        <x:v>255600000</x:v>
      </x:c>
      <x:c r="F17" s="13" t="n">
        <x:v>383400000</x:v>
      </x:c>
      <x:c r="G17" s="2"/>
      <x:c r="H17" s="2" t="str">
        <x:v>Source: user-provided $639M end-Q2 CLAB. Treated as gross performing principal.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Age mix (0 even, 1 single)</x:v>
      </x:c>
      <x:c r="D18" s="2"/>
      <x:c r="E18" s="17" t="n">
        <x:v>0</x:v>
      </x:c>
      <x:c r="F18" s="17" t="n">
        <x:v>0</x:v>
      </x:c>
      <x:c r="G18" s="2"/>
      <x:c r="H18" s="2" t="str">
        <x:v>Initial 40% / 60% product split and even balance by active MOB are assumptions.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Single-cohort opening age</x:v>
      </x:c>
      <x:c r="D19" s="2"/>
      <x:c r="E19" s="17" t="n">
        <x:v>3</x:v>
      </x:c>
      <x:c r="F19" s="17" t="n">
        <x:v>6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Product credit assumptions below</x:v>
      </x:c>
      <x:c r="D20" s="2"/>
      <x:c r="E20" s="11"/>
      <x:c r="F20" s="11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/>
      <x:c r="D21" s="2"/>
      <x:c r="E21" s="10"/>
      <x:c r="F21" s="10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11"/>
      <x:c r="F22" s="11"/>
      <x:c r="G22" s="2"/>
      <x:c r="H22" s="2" t="str">
        <x:v>Product-specific curves below drive the four segment builds. Legacy loan-type risk inputs have been removed.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/>
      <x:c r="D23" s="2"/>
      <x:c r="E23" s="10"/>
      <x:c r="F23" s="10"/>
      <x:c r="G23" s="2"/>
      <x:c r="H23" s="2" t="str">
        <x:v>Curve-fitting calibration runs in Python; the fitted curve is rebuilt with Excel formulas below.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/>
      <x:c r="D24" s="2"/>
      <x:c r="E24" s="11"/>
      <x:c r="F24" s="11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/>
      <x:c r="D25" s="2"/>
      <x:c r="E25" s="14"/>
      <x:c r="F25" s="14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16"/>
      <x:c r="F26" s="16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Curve steepness</x:v>
      </x:c>
      <x:c r="D27" s="2"/>
      <x:c r="E27" s="10" t="n">
        <x:v>0.55</x:v>
      </x:c>
      <x:c r="F27" s="10" t="n">
        <x:v>0.55</x:v>
      </x:c>
      <x:c r="G27" s="2"/>
      <x:c r="H27" s="2" t="str">
        <x:v>Existing engine fixed shape. Yield is also the contractual amortization rate.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CreditFresh share of each loan type</x:v>
      </x:c>
      <x:c r="D29" s="2"/>
      <x:c r="E29" s="11" t="n">
        <x:v>0.8</x:v>
      </x:c>
      <x:c r="F29" s="2"/>
      <x:c r="G29" s="2"/>
      <x:c r="H29" s="2" t="str">
        <x:v>User assumption: 80% CreditFresh / 20% MoneyKey, editable. Applies to opening loans and new lending.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MoneyKey share of each loan type</x:v>
      </x:c>
      <x:c r="D30" s="2"/>
      <x:c r="E30" s="12" t="n">
        <x:f>1-E29</x:f>
        <x:v>0.19999999999999996</x:v>
      </x:c>
      <x:c r="F30" s="2"/>
      <x:c r="G30" s="2"/>
      <x:c r="H30" s="2" t="str">
        <x:v>Both products contain both loan types. Product risk differs; pricing and repayment terms are shared by loan type.</x:v>
      </x:c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23" customHeight="1">
      <x:c r="A32" s="1"/>
      <x:c r="B32" s="1"/>
      <x:c r="C32" s="6" t="str">
        <x:v>Seasonality</x:v>
      </x:c>
      <x:c r="D32" s="6"/>
      <x:c r="E32" s="6"/>
      <x:c r="F32" s="6"/>
      <x:c r="G32" s="2"/>
      <x:c r="H32" s="2" t="str">
        <x:v>Pattern repeats every 12 months. Growth compounds on the base application volume.</x:v>
      </x:c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Month 1</x:v>
      </x:c>
      <x:c r="D34" s="2"/>
      <x:c r="E34" s="18" t="n">
        <x:v>1</x:v>
      </x:c>
      <x:c r="F34" s="18" t="n">
        <x:v>1</x:v>
      </x:c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Month 2</x:v>
      </x:c>
      <x:c r="D35" s="2"/>
      <x:c r="E35" s="18" t="n">
        <x:v>1</x:v>
      </x:c>
      <x:c r="F35" s="18" t="n">
        <x:v>1</x:v>
      </x:c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Month 3</x:v>
      </x:c>
      <x:c r="D36" s="2"/>
      <x:c r="E36" s="18" t="n">
        <x:v>1</x:v>
      </x:c>
      <x:c r="F36" s="18" t="n">
        <x:v>1</x:v>
      </x:c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Month 4</x:v>
      </x:c>
      <x:c r="D37" s="2"/>
      <x:c r="E37" s="18" t="n">
        <x:v>1</x:v>
      </x:c>
      <x:c r="F37" s="18" t="n">
        <x:v>1</x:v>
      </x:c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 t="str">
        <x:v>Month 5</x:v>
      </x:c>
      <x:c r="D38" s="2"/>
      <x:c r="E38" s="18" t="n">
        <x:v>1</x:v>
      </x:c>
      <x:c r="F38" s="18" t="n">
        <x:v>1</x:v>
      </x:c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 t="str">
        <x:v>Month 6</x:v>
      </x:c>
      <x:c r="D39" s="2"/>
      <x:c r="E39" s="18" t="n">
        <x:v>1</x:v>
      </x:c>
      <x:c r="F39" s="18" t="n">
        <x:v>1</x:v>
      </x:c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Month 7</x:v>
      </x:c>
      <x:c r="D40" s="2"/>
      <x:c r="E40" s="18" t="n">
        <x:v>1</x:v>
      </x:c>
      <x:c r="F40" s="18" t="n">
        <x:v>1</x:v>
      </x:c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Month 8</x:v>
      </x:c>
      <x:c r="D41" s="2"/>
      <x:c r="E41" s="18" t="n">
        <x:v>1</x:v>
      </x:c>
      <x:c r="F41" s="18" t="n">
        <x:v>1</x:v>
      </x:c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 9</x:v>
      </x:c>
      <x:c r="D42" s="2"/>
      <x:c r="E42" s="18" t="n">
        <x:v>1</x:v>
      </x:c>
      <x:c r="F42" s="18" t="n">
        <x:v>1</x:v>
      </x:c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Month 10</x:v>
      </x:c>
      <x:c r="D43" s="2"/>
      <x:c r="E43" s="18" t="n">
        <x:v>1</x:v>
      </x:c>
      <x:c r="F43" s="18" t="n">
        <x:v>1</x:v>
      </x:c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Month 11</x:v>
      </x:c>
      <x:c r="D44" s="2"/>
      <x:c r="E44" s="18" t="n">
        <x:v>1</x:v>
      </x:c>
      <x:c r="F44" s="18" t="n">
        <x:v>1</x:v>
      </x:c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Month 12</x:v>
      </x:c>
      <x:c r="D45" s="2"/>
      <x:c r="E45" s="18" t="n">
        <x:v>1</x:v>
      </x:c>
      <x:c r="F45" s="18" t="n">
        <x:v>1</x:v>
      </x:c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6" t="str">
        <x:v>Product credit assumptions</x:v>
      </x:c>
      <x:c r="D50" s="6"/>
      <x:c r="E50" s="6"/>
      <x:c r="F50" s="6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 t="str">
        <x:v>CreditFresh</x:v>
      </x:c>
      <x:c r="F51" s="2" t="str">
        <x:v>MoneyKey</x:v>
      </x:c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38" customHeight="1">
      <x:c r="A52" s="1"/>
      <x:c r="B52" s="1"/>
      <x:c r="C52" s="2" t="str">
        <x:v>Manual lifetime PD</x:v>
      </x:c>
      <x:c r="D52" s="2"/>
      <x:c r="E52" s="11" t="n">
        <x:v>0.2</x:v>
      </x:c>
      <x:c r="F52" s="11" t="n">
        <x:v>0.36</x:v>
      </x:c>
      <x:c r="G52" s="2"/>
      <x:c r="H52" s="49" t="str">
        <x:v>Manual 20% / 36% are synthetic generator assumptions. Historical parameters are fitted from product vintage curves.</x:v>
      </x:c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38" customHeight="1">
      <x:c r="A53" s="1"/>
      <x:c r="B53" s="1"/>
      <x:c r="C53" s="2" t="str">
        <x:v>Manual midpoint</x:v>
      </x:c>
      <x:c r="D53" s="2"/>
      <x:c r="E53" s="10" t="n">
        <x:v>3</x:v>
      </x:c>
      <x:c r="F53" s="10" t="n">
        <x:v>5</x:v>
      </x:c>
      <x:c r="G53" s="2"/>
      <x:c r="H53" s="49" t="str">
        <x:v>Each product curve applies to both loan types. Segment balances are allocated before losses and revenue.</x:v>
      </x:c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str">
        <x:v>Historical lifetime PD</x:v>
      </x:c>
      <x:c r="D54" s="2"/>
      <x:c r="E54" s="11" t="n">
        <x:v>0.2</x:v>
      </x:c>
      <x:c r="F54" s="11" t="n">
        <x:v>0.36</x:v>
      </x:c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str">
        <x:v>Historical midpoint</x:v>
      </x:c>
      <x:c r="D55" s="2"/>
      <x:c r="E55" s="10" t="n">
        <x:v>3</x:v>
      </x:c>
      <x:c r="F55" s="10" t="n">
        <x:v>5</x:v>
      </x:c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str">
        <x:v>Product PD stress</x:v>
      </x:c>
      <x:c r="D56" s="2"/>
      <x:c r="E56" s="11" t="n">
        <x:v>0</x:v>
      </x:c>
      <x:c r="F56" s="11" t="n">
        <x:v>0</x:v>
      </x:c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str">
        <x:v>Applied product PD</x:v>
      </x:c>
      <x:c r="D58" s="2"/>
      <x:c r="E58" s="12" t="n">
        <x:f>MIN(0.99,MAX(0,IF($E$6=2,E54,E52)*(1+E56)))</x:f>
        <x:v>0.2</x:v>
      </x:c>
      <x:c r="F58" s="12" t="n">
        <x:f>MIN(0.99,MAX(0,IF($E$6=2,F54,F52)*(1+F56)))</x:f>
        <x:v>0.36</x:v>
      </x:c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str">
        <x:v>Applied product midpoint</x:v>
      </x:c>
      <x:c r="D59" s="2"/>
      <x:c r="E59" s="36" t="n">
        <x:f>IF($E$6=2,E55,E53)</x:f>
        <x:v>3</x:v>
      </x:c>
      <x:c r="F59" s="36" t="n">
        <x:f>IF($E$6=2,F55,F53)</x:f>
        <x:v>5</x:v>
      </x:c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dataValidations count="7">
    <x:dataValidation type="list" sqref="E6">
      <x:formula1>"1,2"</x:formula1>
    </x:dataValidation>
    <x:dataValidation type="list" sqref="E9">
      <x:formula1>"1,2,3"</x:formula1>
    </x:dataValidation>
    <x:dataValidation type="list" sqref="E18:F18">
      <x:formula1>"0,1"</x:formula1>
    </x:dataValidation>
    <x:dataValidation type="whole" operator="between" sqref="E7">
      <x:formula1>6</x:formula1>
      <x:formula2>36</x:formula2>
    </x:dataValidation>
    <x:dataValidation type="whole" operator="between" sqref="E16:F16">
      <x:formula1>1</x:formula1>
      <x:formula2>60</x:formula2>
    </x:dataValidation>
    <x:dataValidation type="whole" operator="between" sqref="E19:F19">
      <x:formula1>0</x:formula1>
      <x:formula2>59</x:formula2>
    </x:dataValidation>
    <x:dataValidation type="decimal" operator="between" sqref="E29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Short-Term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Loan-type totals from the two product segment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/>
      <x:c r="D6" s="2"/>
      <x:c r="E6" s="2"/>
      <x:c r="F6" s="2"/>
      <x:c r="G6" s="19" t="n">
        <x:v>1</x:v>
      </x:c>
      <x:c r="H6" s="19" t="n">
        <x:v>2</x:v>
      </x:c>
      <x:c r="I6" s="19" t="n">
        <x:v>3</x:v>
      </x:c>
      <x:c r="J6" s="19" t="n">
        <x:v>4</x:v>
      </x:c>
      <x:c r="K6" s="19" t="n">
        <x:v>5</x:v>
      </x:c>
      <x:c r="L6" s="19" t="n">
        <x:v>6</x:v>
      </x:c>
      <x:c r="M6" s="19" t="n">
        <x:v>7</x:v>
      </x:c>
      <x:c r="N6" s="19" t="n">
        <x:v>8</x:v>
      </x:c>
      <x:c r="O6" s="19" t="n">
        <x:v>9</x:v>
      </x:c>
      <x:c r="P6" s="19" t="n">
        <x:v>10</x:v>
      </x:c>
      <x:c r="Q6" s="19" t="n">
        <x:v>11</x:v>
      </x:c>
      <x:c r="R6" s="19" t="n">
        <x:v>12</x:v>
      </x:c>
      <x:c r="S6" s="19" t="n">
        <x:v>13</x:v>
      </x:c>
      <x:c r="T6" s="19" t="n">
        <x:v>14</x:v>
      </x:c>
      <x:c r="U6" s="19" t="n">
        <x:v>15</x:v>
      </x:c>
      <x:c r="V6" s="19" t="n">
        <x:v>16</x:v>
      </x:c>
      <x:c r="W6" s="19" t="n">
        <x:v>17</x:v>
      </x:c>
      <x:c r="X6" s="19" t="n">
        <x:v>18</x:v>
      </x:c>
      <x:c r="Y6" s="19" t="n">
        <x:v>19</x:v>
      </x:c>
      <x:c r="Z6" s="19" t="n">
        <x:v>20</x:v>
      </x:c>
      <x:c r="AA6" s="19" t="n">
        <x:v>21</x:v>
      </x:c>
      <x:c r="AB6" s="19" t="n">
        <x:v>22</x:v>
      </x:c>
      <x:c r="AC6" s="19" t="n">
        <x:v>23</x:v>
      </x:c>
      <x:c r="AD6" s="19" t="n">
        <x:v>24</x:v>
      </x:c>
      <x:c r="AE6" s="19" t="n">
        <x:v>25</x:v>
      </x:c>
      <x:c r="AF6" s="19" t="n">
        <x:v>26</x:v>
      </x:c>
      <x:c r="AG6" s="19" t="n">
        <x:v>27</x:v>
      </x:c>
      <x:c r="AH6" s="19" t="n">
        <x:v>28</x:v>
      </x:c>
      <x:c r="AI6" s="19" t="n">
        <x:v>29</x:v>
      </x:c>
      <x:c r="AJ6" s="19" t="n">
        <x:v>30</x:v>
      </x:c>
      <x:c r="AK6" s="19" t="n">
        <x:v>31</x:v>
      </x:c>
      <x:c r="AL6" s="19" t="n">
        <x:v>32</x:v>
      </x:c>
      <x:c r="AM6" s="19" t="n">
        <x:v>33</x:v>
      </x:c>
      <x:c r="AN6" s="19" t="n">
        <x:v>34</x:v>
      </x:c>
      <x:c r="AO6" s="19" t="n">
        <x:v>35</x:v>
      </x:c>
      <x:c r="AP6" s="19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720000</x:v>
      </x:c>
      <x:c r="F8" s="2"/>
      <x:c r="G8" s="37" t="n">
        <x:f>'CF Short-Term'!G8+'MK Short-Term'!G8</x:f>
        <x:v>30000</x:v>
      </x:c>
      <x:c r="H8" s="37" t="n">
        <x:f>'CF Short-Term'!H8+'MK Short-Term'!H8</x:f>
        <x:v>30000</x:v>
      </x:c>
      <x:c r="I8" s="37" t="n">
        <x:f>'CF Short-Term'!I8+'MK Short-Term'!I8</x:f>
        <x:v>30000</x:v>
      </x:c>
      <x:c r="J8" s="37" t="n">
        <x:f>'CF Short-Term'!J8+'MK Short-Term'!J8</x:f>
        <x:v>30000</x:v>
      </x:c>
      <x:c r="K8" s="37" t="n">
        <x:f>'CF Short-Term'!K8+'MK Short-Term'!K8</x:f>
        <x:v>30000</x:v>
      </x:c>
      <x:c r="L8" s="37" t="n">
        <x:f>'CF Short-Term'!L8+'MK Short-Term'!L8</x:f>
        <x:v>30000</x:v>
      </x:c>
      <x:c r="M8" s="37" t="n">
        <x:f>'CF Short-Term'!M8+'MK Short-Term'!M8</x:f>
        <x:v>30000</x:v>
      </x:c>
      <x:c r="N8" s="37" t="n">
        <x:f>'CF Short-Term'!N8+'MK Short-Term'!N8</x:f>
        <x:v>30000</x:v>
      </x:c>
      <x:c r="O8" s="37" t="n">
        <x:f>'CF Short-Term'!O8+'MK Short-Term'!O8</x:f>
        <x:v>30000</x:v>
      </x:c>
      <x:c r="P8" s="37" t="n">
        <x:f>'CF Short-Term'!P8+'MK Short-Term'!P8</x:f>
        <x:v>30000</x:v>
      </x:c>
      <x:c r="Q8" s="37" t="n">
        <x:f>'CF Short-Term'!Q8+'MK Short-Term'!Q8</x:f>
        <x:v>30000</x:v>
      </x:c>
      <x:c r="R8" s="37" t="n">
        <x:f>'CF Short-Term'!R8+'MK Short-Term'!R8</x:f>
        <x:v>30000</x:v>
      </x:c>
      <x:c r="S8" s="37" t="n">
        <x:f>'CF Short-Term'!S8+'MK Short-Term'!S8</x:f>
        <x:v>30000</x:v>
      </x:c>
      <x:c r="T8" s="37" t="n">
        <x:f>'CF Short-Term'!T8+'MK Short-Term'!T8</x:f>
        <x:v>30000</x:v>
      </x:c>
      <x:c r="U8" s="37" t="n">
        <x:f>'CF Short-Term'!U8+'MK Short-Term'!U8</x:f>
        <x:v>30000</x:v>
      </x:c>
      <x:c r="V8" s="37" t="n">
        <x:f>'CF Short-Term'!V8+'MK Short-Term'!V8</x:f>
        <x:v>30000</x:v>
      </x:c>
      <x:c r="W8" s="37" t="n">
        <x:f>'CF Short-Term'!W8+'MK Short-Term'!W8</x:f>
        <x:v>30000</x:v>
      </x:c>
      <x:c r="X8" s="37" t="n">
        <x:f>'CF Short-Term'!X8+'MK Short-Term'!X8</x:f>
        <x:v>30000</x:v>
      </x:c>
      <x:c r="Y8" s="37" t="n">
        <x:f>'CF Short-Term'!Y8+'MK Short-Term'!Y8</x:f>
        <x:v>30000</x:v>
      </x:c>
      <x:c r="Z8" s="37" t="n">
        <x:f>'CF Short-Term'!Z8+'MK Short-Term'!Z8</x:f>
        <x:v>30000</x:v>
      </x:c>
      <x:c r="AA8" s="37" t="n">
        <x:f>'CF Short-Term'!AA8+'MK Short-Term'!AA8</x:f>
        <x:v>30000</x:v>
      </x:c>
      <x:c r="AB8" s="37" t="n">
        <x:f>'CF Short-Term'!AB8+'MK Short-Term'!AB8</x:f>
        <x:v>30000</x:v>
      </x:c>
      <x:c r="AC8" s="37" t="n">
        <x:f>'CF Short-Term'!AC8+'MK Short-Term'!AC8</x:f>
        <x:v>30000</x:v>
      </x:c>
      <x:c r="AD8" s="37" t="n">
        <x:f>'CF Short-Term'!AD8+'MK Short-Term'!AD8</x:f>
        <x:v>30000</x:v>
      </x:c>
      <x:c r="AE8" s="37" t="n">
        <x:f>'CF Short-Term'!AE8+'MK Short-Term'!AE8</x:f>
        <x:v>30000</x:v>
      </x:c>
      <x:c r="AF8" s="37" t="n">
        <x:f>'CF Short-Term'!AF8+'MK Short-Term'!AF8</x:f>
        <x:v>30000</x:v>
      </x:c>
      <x:c r="AG8" s="37" t="n">
        <x:f>'CF Short-Term'!AG8+'MK Short-Term'!AG8</x:f>
        <x:v>30000</x:v>
      </x:c>
      <x:c r="AH8" s="37" t="n">
        <x:f>'CF Short-Term'!AH8+'MK Short-Term'!AH8</x:f>
        <x:v>30000</x:v>
      </x:c>
      <x:c r="AI8" s="37" t="n">
        <x:f>'CF Short-Term'!AI8+'MK Short-Term'!AI8</x:f>
        <x:v>30000</x:v>
      </x:c>
      <x:c r="AJ8" s="37" t="n">
        <x:f>'CF Short-Term'!AJ8+'MK Short-Term'!AJ8</x:f>
        <x:v>30000</x:v>
      </x:c>
      <x:c r="AK8" s="37" t="n">
        <x:f>'CF Short-Term'!AK8+'MK Short-Term'!AK8</x:f>
        <x:v>30000</x:v>
      </x:c>
      <x:c r="AL8" s="37" t="n">
        <x:f>'CF Short-Term'!AL8+'MK Short-Term'!AL8</x:f>
        <x:v>30000</x:v>
      </x:c>
      <x:c r="AM8" s="37" t="n">
        <x:f>'CF Short-Term'!AM8+'MK Short-Term'!AM8</x:f>
        <x:v>30000</x:v>
      </x:c>
      <x:c r="AN8" s="37" t="n">
        <x:f>'CF Short-Term'!AN8+'MK Short-Term'!AN8</x:f>
        <x:v>30000</x:v>
      </x:c>
      <x:c r="AO8" s="37" t="n">
        <x:f>'CF Short-Term'!AO8+'MK Short-Term'!AO8</x:f>
        <x:v>30000</x:v>
      </x:c>
      <x:c r="AP8" s="37" t="n">
        <x:f>'CF Short-Term'!AP8+'MK Short-Term'!AP8</x:f>
        <x:v>30000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'CF Short-Term'!G9</x:f>
        <x:v>0.3</x:v>
      </x:c>
      <x:c r="H9" s="12" t="n">
        <x:f>'CF Short-Term'!H9</x:f>
        <x:v>0.3</x:v>
      </x:c>
      <x:c r="I9" s="12" t="n">
        <x:f>'CF Short-Term'!I9</x:f>
        <x:v>0.3</x:v>
      </x:c>
      <x:c r="J9" s="12" t="n">
        <x:f>'CF Short-Term'!J9</x:f>
        <x:v>0.3</x:v>
      </x:c>
      <x:c r="K9" s="12" t="n">
        <x:f>'CF Short-Term'!K9</x:f>
        <x:v>0.3</x:v>
      </x:c>
      <x:c r="L9" s="12" t="n">
        <x:f>'CF Short-Term'!L9</x:f>
        <x:v>0.3</x:v>
      </x:c>
      <x:c r="M9" s="12" t="n">
        <x:f>'CF Short-Term'!M9</x:f>
        <x:v>0.3</x:v>
      </x:c>
      <x:c r="N9" s="12" t="n">
        <x:f>'CF Short-Term'!N9</x:f>
        <x:v>0.3</x:v>
      </x:c>
      <x:c r="O9" s="12" t="n">
        <x:f>'CF Short-Term'!O9</x:f>
        <x:v>0.3</x:v>
      </x:c>
      <x:c r="P9" s="12" t="n">
        <x:f>'CF Short-Term'!P9</x:f>
        <x:v>0.3</x:v>
      </x:c>
      <x:c r="Q9" s="12" t="n">
        <x:f>'CF Short-Term'!Q9</x:f>
        <x:v>0.3</x:v>
      </x:c>
      <x:c r="R9" s="12" t="n">
        <x:f>'CF Short-Term'!R9</x:f>
        <x:v>0.3</x:v>
      </x:c>
      <x:c r="S9" s="12" t="n">
        <x:f>'CF Short-Term'!S9</x:f>
        <x:v>0.3</x:v>
      </x:c>
      <x:c r="T9" s="12" t="n">
        <x:f>'CF Short-Term'!T9</x:f>
        <x:v>0.3</x:v>
      </x:c>
      <x:c r="U9" s="12" t="n">
        <x:f>'CF Short-Term'!U9</x:f>
        <x:v>0.3</x:v>
      </x:c>
      <x:c r="V9" s="12" t="n">
        <x:f>'CF Short-Term'!V9</x:f>
        <x:v>0.3</x:v>
      </x:c>
      <x:c r="W9" s="12" t="n">
        <x:f>'CF Short-Term'!W9</x:f>
        <x:v>0.3</x:v>
      </x:c>
      <x:c r="X9" s="12" t="n">
        <x:f>'CF Short-Term'!X9</x:f>
        <x:v>0.3</x:v>
      </x:c>
      <x:c r="Y9" s="12" t="n">
        <x:f>'CF Short-Term'!Y9</x:f>
        <x:v>0.3</x:v>
      </x:c>
      <x:c r="Z9" s="12" t="n">
        <x:f>'CF Short-Term'!Z9</x:f>
        <x:v>0.3</x:v>
      </x:c>
      <x:c r="AA9" s="12" t="n">
        <x:f>'CF Short-Term'!AA9</x:f>
        <x:v>0.3</x:v>
      </x:c>
      <x:c r="AB9" s="12" t="n">
        <x:f>'CF Short-Term'!AB9</x:f>
        <x:v>0.3</x:v>
      </x:c>
      <x:c r="AC9" s="12" t="n">
        <x:f>'CF Short-Term'!AC9</x:f>
        <x:v>0.3</x:v>
      </x:c>
      <x:c r="AD9" s="12" t="n">
        <x:f>'CF Short-Term'!AD9</x:f>
        <x:v>0.3</x:v>
      </x:c>
      <x:c r="AE9" s="12" t="n">
        <x:f>'CF Short-Term'!AE9</x:f>
        <x:v>0.3</x:v>
      </x:c>
      <x:c r="AF9" s="12" t="n">
        <x:f>'CF Short-Term'!AF9</x:f>
        <x:v>0.3</x:v>
      </x:c>
      <x:c r="AG9" s="12" t="n">
        <x:f>'CF Short-Term'!AG9</x:f>
        <x:v>0.3</x:v>
      </x:c>
      <x:c r="AH9" s="12" t="n">
        <x:f>'CF Short-Term'!AH9</x:f>
        <x:v>0.3</x:v>
      </x:c>
      <x:c r="AI9" s="12" t="n">
        <x:f>'CF Short-Term'!AI9</x:f>
        <x:v>0.3</x:v>
      </x:c>
      <x:c r="AJ9" s="12" t="n">
        <x:f>'CF Short-Term'!AJ9</x:f>
        <x:v>0.3</x:v>
      </x:c>
      <x:c r="AK9" s="12" t="n">
        <x:f>'CF Short-Term'!AK9</x:f>
        <x:v>0.3</x:v>
      </x:c>
      <x:c r="AL9" s="12" t="n">
        <x:f>'CF Short-Term'!AL9</x:f>
        <x:v>0.3</x:v>
      </x:c>
      <x:c r="AM9" s="12" t="n">
        <x:f>'CF Short-Term'!AM9</x:f>
        <x:v>0.3</x:v>
      </x:c>
      <x:c r="AN9" s="12" t="n">
        <x:f>'CF Short-Term'!AN9</x:f>
        <x:v>0.3</x:v>
      </x:c>
      <x:c r="AO9" s="12" t="n">
        <x:f>'CF Short-Term'!AO9</x:f>
        <x:v>0.3</x:v>
      </x:c>
      <x:c r="AP9" s="12" t="n">
        <x:f>'CF Short-Term'!AP9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'CF Short-Term'!G10</x:f>
        <x:v>1500</x:v>
      </x:c>
      <x:c r="H10" s="48" t="n">
        <x:f>'CF Short-Term'!H10</x:f>
        <x:v>1500</x:v>
      </x:c>
      <x:c r="I10" s="48" t="n">
        <x:f>'CF Short-Term'!I10</x:f>
        <x:v>1500</x:v>
      </x:c>
      <x:c r="J10" s="48" t="n">
        <x:f>'CF Short-Term'!J10</x:f>
        <x:v>1500</x:v>
      </x:c>
      <x:c r="K10" s="48" t="n">
        <x:f>'CF Short-Term'!K10</x:f>
        <x:v>1500</x:v>
      </x:c>
      <x:c r="L10" s="48" t="n">
        <x:f>'CF Short-Term'!L10</x:f>
        <x:v>1500</x:v>
      </x:c>
      <x:c r="M10" s="48" t="n">
        <x:f>'CF Short-Term'!M10</x:f>
        <x:v>1500</x:v>
      </x:c>
      <x:c r="N10" s="48" t="n">
        <x:f>'CF Short-Term'!N10</x:f>
        <x:v>1500</x:v>
      </x:c>
      <x:c r="O10" s="48" t="n">
        <x:f>'CF Short-Term'!O10</x:f>
        <x:v>1500</x:v>
      </x:c>
      <x:c r="P10" s="48" t="n">
        <x:f>'CF Short-Term'!P10</x:f>
        <x:v>1500</x:v>
      </x:c>
      <x:c r="Q10" s="48" t="n">
        <x:f>'CF Short-Term'!Q10</x:f>
        <x:v>1500</x:v>
      </x:c>
      <x:c r="R10" s="48" t="n">
        <x:f>'CF Short-Term'!R10</x:f>
        <x:v>1500</x:v>
      </x:c>
      <x:c r="S10" s="48" t="n">
        <x:f>'CF Short-Term'!S10</x:f>
        <x:v>1500</x:v>
      </x:c>
      <x:c r="T10" s="48" t="n">
        <x:f>'CF Short-Term'!T10</x:f>
        <x:v>1500</x:v>
      </x:c>
      <x:c r="U10" s="48" t="n">
        <x:f>'CF Short-Term'!U10</x:f>
        <x:v>1500</x:v>
      </x:c>
      <x:c r="V10" s="48" t="n">
        <x:f>'CF Short-Term'!V10</x:f>
        <x:v>1500</x:v>
      </x:c>
      <x:c r="W10" s="48" t="n">
        <x:f>'CF Short-Term'!W10</x:f>
        <x:v>1500</x:v>
      </x:c>
      <x:c r="X10" s="48" t="n">
        <x:f>'CF Short-Term'!X10</x:f>
        <x:v>1500</x:v>
      </x:c>
      <x:c r="Y10" s="48" t="n">
        <x:f>'CF Short-Term'!Y10</x:f>
        <x:v>1500</x:v>
      </x:c>
      <x:c r="Z10" s="48" t="n">
        <x:f>'CF Short-Term'!Z10</x:f>
        <x:v>1500</x:v>
      </x:c>
      <x:c r="AA10" s="48" t="n">
        <x:f>'CF Short-Term'!AA10</x:f>
        <x:v>1500</x:v>
      </x:c>
      <x:c r="AB10" s="48" t="n">
        <x:f>'CF Short-Term'!AB10</x:f>
        <x:v>1500</x:v>
      </x:c>
      <x:c r="AC10" s="48" t="n">
        <x:f>'CF Short-Term'!AC10</x:f>
        <x:v>1500</x:v>
      </x:c>
      <x:c r="AD10" s="48" t="n">
        <x:f>'CF Short-Term'!AD10</x:f>
        <x:v>1500</x:v>
      </x:c>
      <x:c r="AE10" s="48" t="n">
        <x:f>'CF Short-Term'!AE10</x:f>
        <x:v>1500</x:v>
      </x:c>
      <x:c r="AF10" s="48" t="n">
        <x:f>'CF Short-Term'!AF10</x:f>
        <x:v>1500</x:v>
      </x:c>
      <x:c r="AG10" s="48" t="n">
        <x:f>'CF Short-Term'!AG10</x:f>
        <x:v>1500</x:v>
      </x:c>
      <x:c r="AH10" s="48" t="n">
        <x:f>'CF Short-Term'!AH10</x:f>
        <x:v>1500</x:v>
      </x:c>
      <x:c r="AI10" s="48" t="n">
        <x:f>'CF Short-Term'!AI10</x:f>
        <x:v>1500</x:v>
      </x:c>
      <x:c r="AJ10" s="48" t="n">
        <x:f>'CF Short-Term'!AJ10</x:f>
        <x:v>1500</x:v>
      </x:c>
      <x:c r="AK10" s="48" t="n">
        <x:f>'CF Short-Term'!AK10</x:f>
        <x:v>1500</x:v>
      </x:c>
      <x:c r="AL10" s="48" t="n">
        <x:f>'CF Short-Term'!AL10</x:f>
        <x:v>1500</x:v>
      </x:c>
      <x:c r="AM10" s="48" t="n">
        <x:f>'CF Short-Term'!AM10</x:f>
        <x:v>1500</x:v>
      </x:c>
      <x:c r="AN10" s="48" t="n">
        <x:f>'CF Short-Term'!AN10</x:f>
        <x:v>1500</x:v>
      </x:c>
      <x:c r="AO10" s="48" t="n">
        <x:f>'CF Short-Term'!AO10</x:f>
        <x:v>1500</x:v>
      </x:c>
      <x:c r="AP10" s="48" t="n">
        <x:f>'CF Short-Term'!AP10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Originations</x:v>
      </x:c>
      <x:c r="D11" s="2"/>
      <x:c r="E11" s="35" t="n">
        <x:f>SUMIFS(G11:AP11,$G$6:$AP$6,"&lt;="&amp;'Assumptions'!$E$7)</x:f>
        <x:v>324000000</x:v>
      </x:c>
      <x:c r="F11" s="2"/>
      <x:c r="G11" s="35" t="n">
        <x:f>'CF Short-Term'!G11+'MK Short-Term'!G11</x:f>
        <x:v>13500000</x:v>
      </x:c>
      <x:c r="H11" s="35" t="n">
        <x:f>'CF Short-Term'!H11+'MK Short-Term'!H11</x:f>
        <x:v>13500000</x:v>
      </x:c>
      <x:c r="I11" s="35" t="n">
        <x:f>'CF Short-Term'!I11+'MK Short-Term'!I11</x:f>
        <x:v>13500000</x:v>
      </x:c>
      <x:c r="J11" s="35" t="n">
        <x:f>'CF Short-Term'!J11+'MK Short-Term'!J11</x:f>
        <x:v>13500000</x:v>
      </x:c>
      <x:c r="K11" s="35" t="n">
        <x:f>'CF Short-Term'!K11+'MK Short-Term'!K11</x:f>
        <x:v>13500000</x:v>
      </x:c>
      <x:c r="L11" s="35" t="n">
        <x:f>'CF Short-Term'!L11+'MK Short-Term'!L11</x:f>
        <x:v>13500000</x:v>
      </x:c>
      <x:c r="M11" s="35" t="n">
        <x:f>'CF Short-Term'!M11+'MK Short-Term'!M11</x:f>
        <x:v>13500000</x:v>
      </x:c>
      <x:c r="N11" s="35" t="n">
        <x:f>'CF Short-Term'!N11+'MK Short-Term'!N11</x:f>
        <x:v>13500000</x:v>
      </x:c>
      <x:c r="O11" s="35" t="n">
        <x:f>'CF Short-Term'!O11+'MK Short-Term'!O11</x:f>
        <x:v>13500000</x:v>
      </x:c>
      <x:c r="P11" s="35" t="n">
        <x:f>'CF Short-Term'!P11+'MK Short-Term'!P11</x:f>
        <x:v>13500000</x:v>
      </x:c>
      <x:c r="Q11" s="35" t="n">
        <x:f>'CF Short-Term'!Q11+'MK Short-Term'!Q11</x:f>
        <x:v>13500000</x:v>
      </x:c>
      <x:c r="R11" s="35" t="n">
        <x:f>'CF Short-Term'!R11+'MK Short-Term'!R11</x:f>
        <x:v>13500000</x:v>
      </x:c>
      <x:c r="S11" s="35" t="n">
        <x:f>'CF Short-Term'!S11+'MK Short-Term'!S11</x:f>
        <x:v>13500000</x:v>
      </x:c>
      <x:c r="T11" s="35" t="n">
        <x:f>'CF Short-Term'!T11+'MK Short-Term'!T11</x:f>
        <x:v>13500000</x:v>
      </x:c>
      <x:c r="U11" s="35" t="n">
        <x:f>'CF Short-Term'!U11+'MK Short-Term'!U11</x:f>
        <x:v>13500000</x:v>
      </x:c>
      <x:c r="V11" s="35" t="n">
        <x:f>'CF Short-Term'!V11+'MK Short-Term'!V11</x:f>
        <x:v>13500000</x:v>
      </x:c>
      <x:c r="W11" s="35" t="n">
        <x:f>'CF Short-Term'!W11+'MK Short-Term'!W11</x:f>
        <x:v>13500000</x:v>
      </x:c>
      <x:c r="X11" s="35" t="n">
        <x:f>'CF Short-Term'!X11+'MK Short-Term'!X11</x:f>
        <x:v>13500000</x:v>
      </x:c>
      <x:c r="Y11" s="35" t="n">
        <x:f>'CF Short-Term'!Y11+'MK Short-Term'!Y11</x:f>
        <x:v>13500000</x:v>
      </x:c>
      <x:c r="Z11" s="35" t="n">
        <x:f>'CF Short-Term'!Z11+'MK Short-Term'!Z11</x:f>
        <x:v>13500000</x:v>
      </x:c>
      <x:c r="AA11" s="35" t="n">
        <x:f>'CF Short-Term'!AA11+'MK Short-Term'!AA11</x:f>
        <x:v>13500000</x:v>
      </x:c>
      <x:c r="AB11" s="35" t="n">
        <x:f>'CF Short-Term'!AB11+'MK Short-Term'!AB11</x:f>
        <x:v>13500000</x:v>
      </x:c>
      <x:c r="AC11" s="35" t="n">
        <x:f>'CF Short-Term'!AC11+'MK Short-Term'!AC11</x:f>
        <x:v>13500000</x:v>
      </x:c>
      <x:c r="AD11" s="35" t="n">
        <x:f>'CF Short-Term'!AD11+'MK Short-Term'!AD11</x:f>
        <x:v>13500000</x:v>
      </x:c>
      <x:c r="AE11" s="35" t="n">
        <x:f>'CF Short-Term'!AE11+'MK Short-Term'!AE11</x:f>
        <x:v>13500000</x:v>
      </x:c>
      <x:c r="AF11" s="35" t="n">
        <x:f>'CF Short-Term'!AF11+'MK Short-Term'!AF11</x:f>
        <x:v>13500000</x:v>
      </x:c>
      <x:c r="AG11" s="35" t="n">
        <x:f>'CF Short-Term'!AG11+'MK Short-Term'!AG11</x:f>
        <x:v>13500000</x:v>
      </x:c>
      <x:c r="AH11" s="35" t="n">
        <x:f>'CF Short-Term'!AH11+'MK Short-Term'!AH11</x:f>
        <x:v>13500000</x:v>
      </x:c>
      <x:c r="AI11" s="35" t="n">
        <x:f>'CF Short-Term'!AI11+'MK Short-Term'!AI11</x:f>
        <x:v>13500000</x:v>
      </x:c>
      <x:c r="AJ11" s="35" t="n">
        <x:f>'CF Short-Term'!AJ11+'MK Short-Term'!AJ11</x:f>
        <x:v>13500000</x:v>
      </x:c>
      <x:c r="AK11" s="35" t="n">
        <x:f>'CF Short-Term'!AK11+'MK Short-Term'!AK11</x:f>
        <x:v>13500000</x:v>
      </x:c>
      <x:c r="AL11" s="35" t="n">
        <x:f>'CF Short-Term'!AL11+'MK Short-Term'!AL11</x:f>
        <x:v>13500000</x:v>
      </x:c>
      <x:c r="AM11" s="35" t="n">
        <x:f>'CF Short-Term'!AM11+'MK Short-Term'!AM11</x:f>
        <x:v>13500000</x:v>
      </x:c>
      <x:c r="AN11" s="35" t="n">
        <x:f>'CF Short-Term'!AN11+'MK Short-Term'!AN11</x:f>
        <x:v>13500000</x:v>
      </x:c>
      <x:c r="AO11" s="35" t="n">
        <x:f>'CF Short-Term'!AO11+'MK Short-Term'!AO11</x:f>
        <x:v>13500000</x:v>
      </x:c>
      <x:c r="AP11" s="35" t="n">
        <x:f>'CF Short-Term'!AP11+'MK Short-Term'!AP11</x:f>
        <x:v>13500000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255600000</x:v>
      </x:c>
      <x:c r="F13" s="2"/>
      <x:c r="G13" s="35" t="n">
        <x:f>'CF Short-Term'!G13+'MK Short-Term'!G13</x:f>
        <x:v>255600000</x:v>
      </x:c>
      <x:c r="H13" s="35" t="n">
        <x:f>'CF Short-Term'!H13+'MK Short-Term'!H13</x:f>
        <x:v>205173268.45341626</x:v>
      </x:c>
      <x:c r="I13" s="35" t="n">
        <x:f>'CF Short-Term'!I13+'MK Short-Term'!I13</x:f>
        <x:v>173554556.9963447</x:v>
      </x:c>
      <x:c r="J13" s="35" t="n">
        <x:f>'CF Short-Term'!J13+'MK Short-Term'!J13</x:f>
        <x:v>150881237.4012865</x:v>
      </x:c>
      <x:c r="K13" s="35" t="n">
        <x:f>'CF Short-Term'!K13+'MK Short-Term'!K13</x:f>
        <x:v>133939578.85036579</x:v>
      </x:c>
      <x:c r="L13" s="35" t="n">
        <x:f>'CF Short-Term'!L13+'MK Short-Term'!L13</x:f>
        <x:v>121118283.24538931</x:v>
      </x:c>
      <x:c r="M13" s="35" t="n">
        <x:f>'CF Short-Term'!M13+'MK Short-Term'!M13</x:f>
        <x:v>111419790.304549</x:v>
      </x:c>
      <x:c r="N13" s="35" t="n">
        <x:f>'CF Short-Term'!N13+'MK Short-Term'!N13</x:f>
        <x:v>104147852.31416385</x:v>
      </x:c>
      <x:c r="O13" s="35" t="n">
        <x:f>'CF Short-Term'!O13+'MK Short-Term'!O13</x:f>
        <x:v>98786147.4448029</x:v>
      </x:c>
      <x:c r="P13" s="35" t="n">
        <x:f>'CF Short-Term'!P13+'MK Short-Term'!P13</x:f>
        <x:v>94943755.25117274</x:v>
      </x:c>
      <x:c r="Q13" s="35" t="n">
        <x:f>'CF Short-Term'!Q13+'MK Short-Term'!Q13</x:f>
        <x:v>92326559.64190353</x:v>
      </x:c>
      <x:c r="R13" s="35" t="n">
        <x:f>'CF Short-Term'!R13+'MK Short-Term'!R13</x:f>
        <x:v>90718776.49858993</x:v>
      </x:c>
      <x:c r="S13" s="35" t="n">
        <x:f>'CF Short-Term'!S13+'MK Short-Term'!S13</x:f>
        <x:v>89967407.02438504</x:v>
      </x:c>
      <x:c r="T13" s="35" t="n">
        <x:f>'CF Short-Term'!T13+'MK Short-Term'!T13</x:f>
        <x:v>89967407.02438504</x:v>
      </x:c>
      <x:c r="U13" s="35" t="n">
        <x:f>'CF Short-Term'!U13+'MK Short-Term'!U13</x:f>
        <x:v>89967407.02438504</x:v>
      </x:c>
      <x:c r="V13" s="35" t="n">
        <x:f>'CF Short-Term'!V13+'MK Short-Term'!V13</x:f>
        <x:v>89967407.02438504</x:v>
      </x:c>
      <x:c r="W13" s="35" t="n">
        <x:f>'CF Short-Term'!W13+'MK Short-Term'!W13</x:f>
        <x:v>89967407.02438504</x:v>
      </x:c>
      <x:c r="X13" s="35" t="n">
        <x:f>'CF Short-Term'!X13+'MK Short-Term'!X13</x:f>
        <x:v>89967407.02438504</x:v>
      </x:c>
      <x:c r="Y13" s="35" t="n">
        <x:f>'CF Short-Term'!Y13+'MK Short-Term'!Y13</x:f>
        <x:v>89967407.02438504</x:v>
      </x:c>
      <x:c r="Z13" s="35" t="n">
        <x:f>'CF Short-Term'!Z13+'MK Short-Term'!Z13</x:f>
        <x:v>89967407.02438504</x:v>
      </x:c>
      <x:c r="AA13" s="35" t="n">
        <x:f>'CF Short-Term'!AA13+'MK Short-Term'!AA13</x:f>
        <x:v>89967407.02438504</x:v>
      </x:c>
      <x:c r="AB13" s="35" t="n">
        <x:f>'CF Short-Term'!AB13+'MK Short-Term'!AB13</x:f>
        <x:v>89967407.02438504</x:v>
      </x:c>
      <x:c r="AC13" s="35" t="n">
        <x:f>'CF Short-Term'!AC13+'MK Short-Term'!AC13</x:f>
        <x:v>89967407.02438504</x:v>
      </x:c>
      <x:c r="AD13" s="35" t="n">
        <x:f>'CF Short-Term'!AD13+'MK Short-Term'!AD13</x:f>
        <x:v>89967407.02438504</x:v>
      </x:c>
      <x:c r="AE13" s="35" t="n">
        <x:f>'CF Short-Term'!AE13+'MK Short-Term'!AE13</x:f>
        <x:v>89967407.02438504</x:v>
      </x:c>
      <x:c r="AF13" s="35" t="n">
        <x:f>'CF Short-Term'!AF13+'MK Short-Term'!AF13</x:f>
        <x:v>89967407.02438504</x:v>
      </x:c>
      <x:c r="AG13" s="35" t="n">
        <x:f>'CF Short-Term'!AG13+'MK Short-Term'!AG13</x:f>
        <x:v>89967407.02438504</x:v>
      </x:c>
      <x:c r="AH13" s="35" t="n">
        <x:f>'CF Short-Term'!AH13+'MK Short-Term'!AH13</x:f>
        <x:v>89967407.02438504</x:v>
      </x:c>
      <x:c r="AI13" s="35" t="n">
        <x:f>'CF Short-Term'!AI13+'MK Short-Term'!AI13</x:f>
        <x:v>89967407.02438504</x:v>
      </x:c>
      <x:c r="AJ13" s="35" t="n">
        <x:f>'CF Short-Term'!AJ13+'MK Short-Term'!AJ13</x:f>
        <x:v>89967407.02438504</x:v>
      </x:c>
      <x:c r="AK13" s="35" t="n">
        <x:f>'CF Short-Term'!AK13+'MK Short-Term'!AK13</x:f>
        <x:v>89967407.02438504</x:v>
      </x:c>
      <x:c r="AL13" s="35" t="n">
        <x:f>'CF Short-Term'!AL13+'MK Short-Term'!AL13</x:f>
        <x:v>89967407.02438504</x:v>
      </x:c>
      <x:c r="AM13" s="35" t="n">
        <x:f>'CF Short-Term'!AM13+'MK Short-Term'!AM13</x:f>
        <x:v>89967407.02438504</x:v>
      </x:c>
      <x:c r="AN13" s="35" t="n">
        <x:f>'CF Short-Term'!AN13+'MK Short-Term'!AN13</x:f>
        <x:v>89967407.02438504</x:v>
      </x:c>
      <x:c r="AO13" s="35" t="n">
        <x:f>'CF Short-Term'!AO13+'MK Short-Term'!AO13</x:f>
        <x:v>89967407.02438504</x:v>
      </x:c>
      <x:c r="AP13" s="35" t="n">
        <x:f>'CF Short-Term'!AP13+'MK Short-Term'!AP13</x:f>
        <x:v>89967407.02438504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422935395.4716207</x:v>
      </x:c>
      <x:c r="F14" s="2"/>
      <x:c r="G14" s="35" t="n">
        <x:f>'CF Short-Term'!G14+'MK Short-Term'!G14</x:f>
        <x:v>58402509.91721113</x:v>
      </x:c>
      <x:c r="H14" s="35" t="n">
        <x:f>'CF Short-Term'!H14+'MK Short-Term'!H14</x:f>
        <x:v>40411432.16541189</x:v>
      </x:c>
      <x:c r="I14" s="35" t="n">
        <x:f>'CF Short-Term'!I14+'MK Short-Term'!I14</x:f>
        <x:v>32107150.705579944</x:v>
      </x:c>
      <x:c r="J14" s="35" t="n">
        <x:f>'CF Short-Term'!J14+'MK Short-Term'!J14</x:f>
        <x:v>26895176.93376797</x:v>
      </x:c>
      <x:c r="K14" s="35" t="n">
        <x:f>'CF Short-Term'!K14+'MK Short-Term'!K14</x:f>
        <x:v>23185240.744024295</x:v>
      </x:c>
      <x:c r="L14" s="35" t="n">
        <x:f>'CF Short-Term'!L14+'MK Short-Term'!L14</x:f>
        <x:v>20367108.188868273</x:v>
      </x:c>
      <x:c r="M14" s="35" t="n">
        <x:f>'CF Short-Term'!M14+'MK Short-Term'!M14</x:f>
        <x:v>18148906.610227246</x:v>
      </x:c>
      <x:c r="N14" s="35" t="n">
        <x:f>'CF Short-Term'!N14+'MK Short-Term'!N14</x:f>
        <x:v>16368752.879584506</x:v>
      </x:c>
      <x:c r="O14" s="35" t="n">
        <x:f>'CF Short-Term'!O14+'MK Short-Term'!O14</x:f>
        <x:v>14923354.740372714</x:v>
      </x:c>
      <x:c r="P14" s="35" t="n">
        <x:f>'CF Short-Term'!P14+'MK Short-Term'!P14</x:f>
        <x:v>13736290.841074884</x:v>
      </x:c>
      <x:c r="Q14" s="35" t="n">
        <x:f>'CF Short-Term'!Q14+'MK Short-Term'!Q14</x:f>
        <x:v>12744532.077217469</x:v>
      </x:c>
      <x:c r="R14" s="35" t="n">
        <x:f>'CF Short-Term'!R14+'MK Short-Term'!R14</x:f>
        <x:v>11895144.181150407</x:v>
      </x:c>
      <x:c r="S14" s="35" t="n">
        <x:f>'CF Short-Term'!S14+'MK Short-Term'!S14</x:f>
        <x:v>11145816.290594172</x:v>
      </x:c>
      <x:c r="T14" s="35" t="n">
        <x:f>'CF Short-Term'!T14+'MK Short-Term'!T14</x:f>
        <x:v>11145816.290594172</x:v>
      </x:c>
      <x:c r="U14" s="35" t="n">
        <x:f>'CF Short-Term'!U14+'MK Short-Term'!U14</x:f>
        <x:v>11145816.290594172</x:v>
      </x:c>
      <x:c r="V14" s="35" t="n">
        <x:f>'CF Short-Term'!V14+'MK Short-Term'!V14</x:f>
        <x:v>11145816.290594172</x:v>
      </x:c>
      <x:c r="W14" s="35" t="n">
        <x:f>'CF Short-Term'!W14+'MK Short-Term'!W14</x:f>
        <x:v>11145816.290594172</x:v>
      </x:c>
      <x:c r="X14" s="35" t="n">
        <x:f>'CF Short-Term'!X14+'MK Short-Term'!X14</x:f>
        <x:v>11145816.290594172</x:v>
      </x:c>
      <x:c r="Y14" s="35" t="n">
        <x:f>'CF Short-Term'!Y14+'MK Short-Term'!Y14</x:f>
        <x:v>11145816.290594172</x:v>
      </x:c>
      <x:c r="Z14" s="35" t="n">
        <x:f>'CF Short-Term'!Z14+'MK Short-Term'!Z14</x:f>
        <x:v>11145816.290594172</x:v>
      </x:c>
      <x:c r="AA14" s="35" t="n">
        <x:f>'CF Short-Term'!AA14+'MK Short-Term'!AA14</x:f>
        <x:v>11145816.290594172</x:v>
      </x:c>
      <x:c r="AB14" s="35" t="n">
        <x:f>'CF Short-Term'!AB14+'MK Short-Term'!AB14</x:f>
        <x:v>11145816.290594172</x:v>
      </x:c>
      <x:c r="AC14" s="35" t="n">
        <x:f>'CF Short-Term'!AC14+'MK Short-Term'!AC14</x:f>
        <x:v>11145816.290594172</x:v>
      </x:c>
      <x:c r="AD14" s="35" t="n">
        <x:f>'CF Short-Term'!AD14+'MK Short-Term'!AD14</x:f>
        <x:v>11145816.290594172</x:v>
      </x:c>
      <x:c r="AE14" s="35" t="n">
        <x:f>'CF Short-Term'!AE14+'MK Short-Term'!AE14</x:f>
        <x:v>11145816.290594172</x:v>
      </x:c>
      <x:c r="AF14" s="35" t="n">
        <x:f>'CF Short-Term'!AF14+'MK Short-Term'!AF14</x:f>
        <x:v>11145816.290594172</x:v>
      </x:c>
      <x:c r="AG14" s="35" t="n">
        <x:f>'CF Short-Term'!AG14+'MK Short-Term'!AG14</x:f>
        <x:v>11145816.290594172</x:v>
      </x:c>
      <x:c r="AH14" s="35" t="n">
        <x:f>'CF Short-Term'!AH14+'MK Short-Term'!AH14</x:f>
        <x:v>11145816.290594172</x:v>
      </x:c>
      <x:c r="AI14" s="35" t="n">
        <x:f>'CF Short-Term'!AI14+'MK Short-Term'!AI14</x:f>
        <x:v>11145816.290594172</x:v>
      </x:c>
      <x:c r="AJ14" s="35" t="n">
        <x:f>'CF Short-Term'!AJ14+'MK Short-Term'!AJ14</x:f>
        <x:v>11145816.290594172</x:v>
      </x:c>
      <x:c r="AK14" s="35" t="n">
        <x:f>'CF Short-Term'!AK14+'MK Short-Term'!AK14</x:f>
        <x:v>11145816.290594172</x:v>
      </x:c>
      <x:c r="AL14" s="35" t="n">
        <x:f>'CF Short-Term'!AL14+'MK Short-Term'!AL14</x:f>
        <x:v>11145816.290594172</x:v>
      </x:c>
      <x:c r="AM14" s="35" t="n">
        <x:f>'CF Short-Term'!AM14+'MK Short-Term'!AM14</x:f>
        <x:v>11145816.290594172</x:v>
      </x:c>
      <x:c r="AN14" s="35" t="n">
        <x:f>'CF Short-Term'!AN14+'MK Short-Term'!AN14</x:f>
        <x:v>11145816.290594172</x:v>
      </x:c>
      <x:c r="AO14" s="35" t="n">
        <x:f>'CF Short-Term'!AO14+'MK Short-Term'!AO14</x:f>
        <x:v>11145816.290594172</x:v>
      </x:c>
      <x:c r="AP14" s="35" t="n">
        <x:f>'CF Short-Term'!AP14+'MK Short-Term'!AP14</x:f>
        <x:v>11145816.290594172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66697197.50399417</x:v>
      </x:c>
      <x:c r="F15" s="2"/>
      <x:c r="G15" s="35" t="n">
        <x:f>'CF Short-Term'!G15+'MK Short-Term'!G15</x:f>
        <x:v>5524221.629372626</x:v>
      </x:c>
      <x:c r="H15" s="35" t="n">
        <x:f>'CF Short-Term'!H15+'MK Short-Term'!H15</x:f>
        <x:v>4707279.2916596895</x:v>
      </x:c>
      <x:c r="I15" s="35" t="n">
        <x:f>'CF Short-Term'!I15+'MK Short-Term'!I15</x:f>
        <x:v>4066168.8894782225</x:v>
      </x:c>
      <x:c r="J15" s="35" t="n">
        <x:f>'CF Short-Term'!J15+'MK Short-Term'!J15</x:f>
        <x:v>3546481.61715276</x:v>
      </x:c>
      <x:c r="K15" s="35" t="n">
        <x:f>'CF Short-Term'!K15+'MK Short-Term'!K15</x:f>
        <x:v>3136054.8609521836</x:v>
      </x:c>
      <x:c r="L15" s="35" t="n">
        <x:f>'CF Short-Term'!L15+'MK Short-Term'!L15</x:f>
        <x:v>2831384.7519720374</x:v>
      </x:c>
      <x:c r="M15" s="35" t="n">
        <x:f>'CF Short-Term'!M15+'MK Short-Term'!M15</x:f>
        <x:v>2623031.3801579108</x:v>
      </x:c>
      <x:c r="N15" s="35" t="n">
        <x:f>'CF Short-Term'!N15+'MK Short-Term'!N15</x:f>
        <x:v>2492951.9897764456</x:v>
      </x:c>
      <x:c r="O15" s="35" t="n">
        <x:f>'CF Short-Term'!O15+'MK Short-Term'!O15</x:f>
        <x:v>2419037.4532574494</x:v>
      </x:c>
      <x:c r="P15" s="35" t="n">
        <x:f>'CF Short-Term'!P15+'MK Short-Term'!P15</x:f>
        <x:v>2380904.7681943253</x:v>
      </x:c>
      <x:c r="Q15" s="35" t="n">
        <x:f>'CF Short-Term'!Q15+'MK Short-Term'!Q15</x:f>
        <x:v>2363251.0660961317</x:v>
      </x:c>
      <x:c r="R15" s="35" t="n">
        <x:f>'CF Short-Term'!R15+'MK Short-Term'!R15</x:f>
        <x:v>2356225.293054488</x:v>
      </x:c>
      <x:c r="S15" s="35" t="n">
        <x:f>'CF Short-Term'!S15+'MK Short-Term'!S15</x:f>
        <x:v>2354183.7094058264</x:v>
      </x:c>
      <x:c r="T15" s="35" t="n">
        <x:f>'CF Short-Term'!T15+'MK Short-Term'!T15</x:f>
        <x:v>2354183.7094058264</x:v>
      </x:c>
      <x:c r="U15" s="35" t="n">
        <x:f>'CF Short-Term'!U15+'MK Short-Term'!U15</x:f>
        <x:v>2354183.7094058264</x:v>
      </x:c>
      <x:c r="V15" s="35" t="n">
        <x:f>'CF Short-Term'!V15+'MK Short-Term'!V15</x:f>
        <x:v>2354183.7094058264</x:v>
      </x:c>
      <x:c r="W15" s="35" t="n">
        <x:f>'CF Short-Term'!W15+'MK Short-Term'!W15</x:f>
        <x:v>2354183.7094058264</x:v>
      </x:c>
      <x:c r="X15" s="35" t="n">
        <x:f>'CF Short-Term'!X15+'MK Short-Term'!X15</x:f>
        <x:v>2354183.7094058264</x:v>
      </x:c>
      <x:c r="Y15" s="35" t="n">
        <x:f>'CF Short-Term'!Y15+'MK Short-Term'!Y15</x:f>
        <x:v>2354183.7094058264</x:v>
      </x:c>
      <x:c r="Z15" s="35" t="n">
        <x:f>'CF Short-Term'!Z15+'MK Short-Term'!Z15</x:f>
        <x:v>2354183.7094058264</x:v>
      </x:c>
      <x:c r="AA15" s="35" t="n">
        <x:f>'CF Short-Term'!AA15+'MK Short-Term'!AA15</x:f>
        <x:v>2354183.7094058264</x:v>
      </x:c>
      <x:c r="AB15" s="35" t="n">
        <x:f>'CF Short-Term'!AB15+'MK Short-Term'!AB15</x:f>
        <x:v>2354183.7094058264</x:v>
      </x:c>
      <x:c r="AC15" s="35" t="n">
        <x:f>'CF Short-Term'!AC15+'MK Short-Term'!AC15</x:f>
        <x:v>2354183.7094058264</x:v>
      </x:c>
      <x:c r="AD15" s="35" t="n">
        <x:f>'CF Short-Term'!AD15+'MK Short-Term'!AD15</x:f>
        <x:v>2354183.7094058264</x:v>
      </x:c>
      <x:c r="AE15" s="35" t="n">
        <x:f>'CF Short-Term'!AE15+'MK Short-Term'!AE15</x:f>
        <x:v>2354183.7094058264</x:v>
      </x:c>
      <x:c r="AF15" s="35" t="n">
        <x:f>'CF Short-Term'!AF15+'MK Short-Term'!AF15</x:f>
        <x:v>2354183.7094058264</x:v>
      </x:c>
      <x:c r="AG15" s="35" t="n">
        <x:f>'CF Short-Term'!AG15+'MK Short-Term'!AG15</x:f>
        <x:v>2354183.7094058264</x:v>
      </x:c>
      <x:c r="AH15" s="35" t="n">
        <x:f>'CF Short-Term'!AH15+'MK Short-Term'!AH15</x:f>
        <x:v>2354183.7094058264</x:v>
      </x:c>
      <x:c r="AI15" s="35" t="n">
        <x:f>'CF Short-Term'!AI15+'MK Short-Term'!AI15</x:f>
        <x:v>2354183.7094058264</x:v>
      </x:c>
      <x:c r="AJ15" s="35" t="n">
        <x:f>'CF Short-Term'!AJ15+'MK Short-Term'!AJ15</x:f>
        <x:v>2354183.7094058264</x:v>
      </x:c>
      <x:c r="AK15" s="35" t="n">
        <x:f>'CF Short-Term'!AK15+'MK Short-Term'!AK15</x:f>
        <x:v>2354183.7094058264</x:v>
      </x:c>
      <x:c r="AL15" s="35" t="n">
        <x:f>'CF Short-Term'!AL15+'MK Short-Term'!AL15</x:f>
        <x:v>2354183.7094058264</x:v>
      </x:c>
      <x:c r="AM15" s="35" t="n">
        <x:f>'CF Short-Term'!AM15+'MK Short-Term'!AM15</x:f>
        <x:v>2354183.7094058264</x:v>
      </x:c>
      <x:c r="AN15" s="35" t="n">
        <x:f>'CF Short-Term'!AN15+'MK Short-Term'!AN15</x:f>
        <x:v>2354183.7094058264</x:v>
      </x:c>
      <x:c r="AO15" s="35" t="n">
        <x:f>'CF Short-Term'!AO15+'MK Short-Term'!AO15</x:f>
        <x:v>2354183.7094058264</x:v>
      </x:c>
      <x:c r="AP15" s="35" t="n">
        <x:f>'CF Short-Term'!AP15+'MK Short-Term'!AP15</x:f>
        <x:v>2354183.7094058264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Ending gross CLAB</x:v>
      </x:c>
      <x:c r="D16" s="2"/>
      <x:c r="E16" s="35" t="n">
        <x:f>INDEX(G16:AP16,1,'Assumptions'!$E$7)</x:f>
        <x:v>89967407.02438504</x:v>
      </x:c>
      <x:c r="F16" s="2"/>
      <x:c r="G16" s="35" t="n">
        <x:f>'CF Short-Term'!G16+'MK Short-Term'!G16</x:f>
        <x:v>205173268.45341626</x:v>
      </x:c>
      <x:c r="H16" s="35" t="n">
        <x:f>'CF Short-Term'!H16+'MK Short-Term'!H16</x:f>
        <x:v>173554556.9963447</x:v>
      </x:c>
      <x:c r="I16" s="35" t="n">
        <x:f>'CF Short-Term'!I16+'MK Short-Term'!I16</x:f>
        <x:v>150881237.4012865</x:v>
      </x:c>
      <x:c r="J16" s="35" t="n">
        <x:f>'CF Short-Term'!J16+'MK Short-Term'!J16</x:f>
        <x:v>133939578.85036579</x:v>
      </x:c>
      <x:c r="K16" s="35" t="n">
        <x:f>'CF Short-Term'!K16+'MK Short-Term'!K16</x:f>
        <x:v>121118283.24538931</x:v>
      </x:c>
      <x:c r="L16" s="35" t="n">
        <x:f>'CF Short-Term'!L16+'MK Short-Term'!L16</x:f>
        <x:v>111419790.304549</x:v>
      </x:c>
      <x:c r="M16" s="35" t="n">
        <x:f>'CF Short-Term'!M16+'MK Short-Term'!M16</x:f>
        <x:v>104147852.31416385</x:v>
      </x:c>
      <x:c r="N16" s="35" t="n">
        <x:f>'CF Short-Term'!N16+'MK Short-Term'!N16</x:f>
        <x:v>98786147.4448029</x:v>
      </x:c>
      <x:c r="O16" s="35" t="n">
        <x:f>'CF Short-Term'!O16+'MK Short-Term'!O16</x:f>
        <x:v>94943755.25117274</x:v>
      </x:c>
      <x:c r="P16" s="35" t="n">
        <x:f>'CF Short-Term'!P16+'MK Short-Term'!P16</x:f>
        <x:v>92326559.64190353</x:v>
      </x:c>
      <x:c r="Q16" s="35" t="n">
        <x:f>'CF Short-Term'!Q16+'MK Short-Term'!Q16</x:f>
        <x:v>90718776.49858993</x:v>
      </x:c>
      <x:c r="R16" s="35" t="n">
        <x:f>'CF Short-Term'!R16+'MK Short-Term'!R16</x:f>
        <x:v>89967407.02438504</x:v>
      </x:c>
      <x:c r="S16" s="35" t="n">
        <x:f>'CF Short-Term'!S16+'MK Short-Term'!S16</x:f>
        <x:v>89967407.02438504</x:v>
      </x:c>
      <x:c r="T16" s="35" t="n">
        <x:f>'CF Short-Term'!T16+'MK Short-Term'!T16</x:f>
        <x:v>89967407.02438504</x:v>
      </x:c>
      <x:c r="U16" s="35" t="n">
        <x:f>'CF Short-Term'!U16+'MK Short-Term'!U16</x:f>
        <x:v>89967407.02438504</x:v>
      </x:c>
      <x:c r="V16" s="35" t="n">
        <x:f>'CF Short-Term'!V16+'MK Short-Term'!V16</x:f>
        <x:v>89967407.02438504</x:v>
      </x:c>
      <x:c r="W16" s="35" t="n">
        <x:f>'CF Short-Term'!W16+'MK Short-Term'!W16</x:f>
        <x:v>89967407.02438504</x:v>
      </x:c>
      <x:c r="X16" s="35" t="n">
        <x:f>'CF Short-Term'!X16+'MK Short-Term'!X16</x:f>
        <x:v>89967407.02438504</x:v>
      </x:c>
      <x:c r="Y16" s="35" t="n">
        <x:f>'CF Short-Term'!Y16+'MK Short-Term'!Y16</x:f>
        <x:v>89967407.02438504</x:v>
      </x:c>
      <x:c r="Z16" s="35" t="n">
        <x:f>'CF Short-Term'!Z16+'MK Short-Term'!Z16</x:f>
        <x:v>89967407.02438504</x:v>
      </x:c>
      <x:c r="AA16" s="35" t="n">
        <x:f>'CF Short-Term'!AA16+'MK Short-Term'!AA16</x:f>
        <x:v>89967407.02438504</x:v>
      </x:c>
      <x:c r="AB16" s="35" t="n">
        <x:f>'CF Short-Term'!AB16+'MK Short-Term'!AB16</x:f>
        <x:v>89967407.02438504</x:v>
      </x:c>
      <x:c r="AC16" s="35" t="n">
        <x:f>'CF Short-Term'!AC16+'MK Short-Term'!AC16</x:f>
        <x:v>89967407.02438504</x:v>
      </x:c>
      <x:c r="AD16" s="35" t="n">
        <x:f>'CF Short-Term'!AD16+'MK Short-Term'!AD16</x:f>
        <x:v>89967407.02438504</x:v>
      </x:c>
      <x:c r="AE16" s="35" t="n">
        <x:f>'CF Short-Term'!AE16+'MK Short-Term'!AE16</x:f>
        <x:v>89967407.02438504</x:v>
      </x:c>
      <x:c r="AF16" s="35" t="n">
        <x:f>'CF Short-Term'!AF16+'MK Short-Term'!AF16</x:f>
        <x:v>89967407.02438504</x:v>
      </x:c>
      <x:c r="AG16" s="35" t="n">
        <x:f>'CF Short-Term'!AG16+'MK Short-Term'!AG16</x:f>
        <x:v>89967407.02438504</x:v>
      </x:c>
      <x:c r="AH16" s="35" t="n">
        <x:f>'CF Short-Term'!AH16+'MK Short-Term'!AH16</x:f>
        <x:v>89967407.02438504</x:v>
      </x:c>
      <x:c r="AI16" s="35" t="n">
        <x:f>'CF Short-Term'!AI16+'MK Short-Term'!AI16</x:f>
        <x:v>89967407.02438504</x:v>
      </x:c>
      <x:c r="AJ16" s="35" t="n">
        <x:f>'CF Short-Term'!AJ16+'MK Short-Term'!AJ16</x:f>
        <x:v>89967407.02438504</x:v>
      </x:c>
      <x:c r="AK16" s="35" t="n">
        <x:f>'CF Short-Term'!AK16+'MK Short-Term'!AK16</x:f>
        <x:v>89967407.02438504</x:v>
      </x:c>
      <x:c r="AL16" s="35" t="n">
        <x:f>'CF Short-Term'!AL16+'MK Short-Term'!AL16</x:f>
        <x:v>89967407.02438504</x:v>
      </x:c>
      <x:c r="AM16" s="35" t="n">
        <x:f>'CF Short-Term'!AM16+'MK Short-Term'!AM16</x:f>
        <x:v>89967407.02438504</x:v>
      </x:c>
      <x:c r="AN16" s="35" t="n">
        <x:f>'CF Short-Term'!AN16+'MK Short-Term'!AN16</x:f>
        <x:v>89967407.02438504</x:v>
      </x:c>
      <x:c r="AO16" s="35" t="n">
        <x:f>'CF Short-Term'!AO16+'MK Short-Term'!AO16</x:f>
        <x:v>89967407.02438504</x:v>
      </x:c>
      <x:c r="AP16" s="35" t="n">
        <x:f>'CF Short-Term'!AP16+'MK Short-Term'!AP16</x:f>
        <x:v>89967407.02438504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20056321.843417507</x:v>
      </x:c>
      <x:c r="F18" s="2"/>
      <x:c r="G18" s="35" t="n">
        <x:f>'CF Short-Term'!G18+'MK Short-Term'!G18</x:f>
        <x:v>20056321.843417507</x:v>
      </x:c>
      <x:c r="H18" s="35" t="n">
        <x:f>'CF Short-Term'!H18+'MK Short-Term'!H18</x:f>
        <x:v>16886283.92345071</x:v>
      </x:c>
      <x:c r="I18" s="35" t="n">
        <x:f>'CF Short-Term'!I18+'MK Short-Term'!I18</x:f>
        <x:v>14533188.341196846</x:v>
      </x:c>
      <x:c r="J18" s="35" t="n">
        <x:f>'CF Short-Term'!J18+'MK Short-Term'!J18</x:f>
        <x:v>12821203.161124451</x:v>
      </x:c>
      <x:c r="K18" s="35" t="n">
        <x:f>'CF Short-Term'!K18+'MK Short-Term'!K18</x:f>
        <x:v>11628905.253377518</x:v>
      </x:c>
      <x:c r="L18" s="35" t="n">
        <x:f>'CF Short-Term'!L18+'MK Short-Term'!L18</x:f>
        <x:v>10847034.10183116</x:v>
      </x:c>
      <x:c r="M18" s="35" t="n">
        <x:f>'CF Short-Term'!M18+'MK Short-Term'!M18</x:f>
        <x:v>10369833.05926495</x:v>
      </x:c>
      <x:c r="N18" s="35" t="n">
        <x:f>'CF Short-Term'!N18+'MK Short-Term'!N18</x:f>
        <x:v>10100985.388512867</x:v>
      </x:c>
      <x:c r="O18" s="35" t="n">
        <x:f>'CF Short-Term'!O18+'MK Short-Term'!O18</x:f>
        <x:v>9962217.108142246</x:v>
      </x:c>
      <x:c r="P18" s="35" t="n">
        <x:f>'CF Short-Term'!P18+'MK Short-Term'!P18</x:f>
        <x:v>9897363.364290623</x:v>
      </x:c>
      <x:c r="Q18" s="35" t="n">
        <x:f>'CF Short-Term'!Q18+'MK Short-Term'!Q18</x:f>
        <x:v>9870642.305502124</x:v>
      </x:c>
      <x:c r="R18" s="35" t="n">
        <x:f>'CF Short-Term'!R18+'MK Short-Term'!R18</x:f>
        <x:v>9861574.94881182</x:v>
      </x:c>
      <x:c r="S18" s="35" t="n">
        <x:f>'CF Short-Term'!S18+'MK Short-Term'!S18</x:f>
        <x:v>9859533.365163159</x:v>
      </x:c>
      <x:c r="T18" s="35" t="n">
        <x:f>'CF Short-Term'!T18+'MK Short-Term'!T18</x:f>
        <x:v>9859533.365163157</x:v>
      </x:c>
      <x:c r="U18" s="35" t="n">
        <x:f>'CF Short-Term'!U18+'MK Short-Term'!U18</x:f>
        <x:v>9859533.365163157</x:v>
      </x:c>
      <x:c r="V18" s="35" t="n">
        <x:f>'CF Short-Term'!V18+'MK Short-Term'!V18</x:f>
        <x:v>9859533.365163157</x:v>
      </x:c>
      <x:c r="W18" s="35" t="n">
        <x:f>'CF Short-Term'!W18+'MK Short-Term'!W18</x:f>
        <x:v>9859533.365163157</x:v>
      </x:c>
      <x:c r="X18" s="35" t="n">
        <x:f>'CF Short-Term'!X18+'MK Short-Term'!X18</x:f>
        <x:v>9859533.365163157</x:v>
      </x:c>
      <x:c r="Y18" s="35" t="n">
        <x:f>'CF Short-Term'!Y18+'MK Short-Term'!Y18</x:f>
        <x:v>9859533.365163157</x:v>
      </x:c>
      <x:c r="Z18" s="35" t="n">
        <x:f>'CF Short-Term'!Z18+'MK Short-Term'!Z18</x:f>
        <x:v>9859533.365163157</x:v>
      </x:c>
      <x:c r="AA18" s="35" t="n">
        <x:f>'CF Short-Term'!AA18+'MK Short-Term'!AA18</x:f>
        <x:v>9859533.365163157</x:v>
      </x:c>
      <x:c r="AB18" s="35" t="n">
        <x:f>'CF Short-Term'!AB18+'MK Short-Term'!AB18</x:f>
        <x:v>9859533.365163157</x:v>
      </x:c>
      <x:c r="AC18" s="35" t="n">
        <x:f>'CF Short-Term'!AC18+'MK Short-Term'!AC18</x:f>
        <x:v>9859533.365163157</x:v>
      </x:c>
      <x:c r="AD18" s="35" t="n">
        <x:f>'CF Short-Term'!AD18+'MK Short-Term'!AD18</x:f>
        <x:v>9859533.365163157</x:v>
      </x:c>
      <x:c r="AE18" s="35" t="n">
        <x:f>'CF Short-Term'!AE18+'MK Short-Term'!AE18</x:f>
        <x:v>9859533.365163157</x:v>
      </x:c>
      <x:c r="AF18" s="35" t="n">
        <x:f>'CF Short-Term'!AF18+'MK Short-Term'!AF18</x:f>
        <x:v>9859533.365163157</x:v>
      </x:c>
      <x:c r="AG18" s="35" t="n">
        <x:f>'CF Short-Term'!AG18+'MK Short-Term'!AG18</x:f>
        <x:v>9859533.365163157</x:v>
      </x:c>
      <x:c r="AH18" s="35" t="n">
        <x:f>'CF Short-Term'!AH18+'MK Short-Term'!AH18</x:f>
        <x:v>9859533.365163157</x:v>
      </x:c>
      <x:c r="AI18" s="35" t="n">
        <x:f>'CF Short-Term'!AI18+'MK Short-Term'!AI18</x:f>
        <x:v>9859533.365163157</x:v>
      </x:c>
      <x:c r="AJ18" s="35" t="n">
        <x:f>'CF Short-Term'!AJ18+'MK Short-Term'!AJ18</x:f>
        <x:v>9859533.365163157</x:v>
      </x:c>
      <x:c r="AK18" s="35" t="n">
        <x:f>'CF Short-Term'!AK18+'MK Short-Term'!AK18</x:f>
        <x:v>9859533.365163157</x:v>
      </x:c>
      <x:c r="AL18" s="35" t="n">
        <x:f>'CF Short-Term'!AL18+'MK Short-Term'!AL18</x:f>
        <x:v>9859533.365163157</x:v>
      </x:c>
      <x:c r="AM18" s="35" t="n">
        <x:f>'CF Short-Term'!AM18+'MK Short-Term'!AM18</x:f>
        <x:v>9859533.365163157</x:v>
      </x:c>
      <x:c r="AN18" s="35" t="n">
        <x:f>'CF Short-Term'!AN18+'MK Short-Term'!AN18</x:f>
        <x:v>9859533.365163157</x:v>
      </x:c>
      <x:c r="AO18" s="35" t="n">
        <x:f>'CF Short-Term'!AO18+'MK Short-Term'!AO18</x:f>
        <x:v>9859533.365163157</x:v>
      </x:c>
      <x:c r="AP18" s="35" t="n">
        <x:f>'CF Short-Term'!AP18+'MK Short-Term'!AP18</x:f>
        <x:v>9859533.365163157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56500409.025739804</x:v>
      </x:c>
      <x:c r="F19" s="2"/>
      <x:c r="G19" s="35" t="n">
        <x:f>'CF Short-Term'!G19+'MK Short-Term'!G19</x:f>
        <x:v>2354183.7094058264</x:v>
      </x:c>
      <x:c r="H19" s="35" t="n">
        <x:f>'CF Short-Term'!H19+'MK Short-Term'!H19</x:f>
        <x:v>2354183.7094058264</x:v>
      </x:c>
      <x:c r="I19" s="35" t="n">
        <x:f>'CF Short-Term'!I19+'MK Short-Term'!I19</x:f>
        <x:v>2354183.7094058264</x:v>
      </x:c>
      <x:c r="J19" s="35" t="n">
        <x:f>'CF Short-Term'!J19+'MK Short-Term'!J19</x:f>
        <x:v>2354183.7094058264</x:v>
      </x:c>
      <x:c r="K19" s="35" t="n">
        <x:f>'CF Short-Term'!K19+'MK Short-Term'!K19</x:f>
        <x:v>2354183.7094058264</x:v>
      </x:c>
      <x:c r="L19" s="35" t="n">
        <x:f>'CF Short-Term'!L19+'MK Short-Term'!L19</x:f>
        <x:v>2354183.7094058264</x:v>
      </x:c>
      <x:c r="M19" s="35" t="n">
        <x:f>'CF Short-Term'!M19+'MK Short-Term'!M19</x:f>
        <x:v>2354183.7094058264</x:v>
      </x:c>
      <x:c r="N19" s="35" t="n">
        <x:f>'CF Short-Term'!N19+'MK Short-Term'!N19</x:f>
        <x:v>2354183.7094058264</x:v>
      </x:c>
      <x:c r="O19" s="35" t="n">
        <x:f>'CF Short-Term'!O19+'MK Short-Term'!O19</x:f>
        <x:v>2354183.7094058264</x:v>
      </x:c>
      <x:c r="P19" s="35" t="n">
        <x:f>'CF Short-Term'!P19+'MK Short-Term'!P19</x:f>
        <x:v>2354183.7094058264</x:v>
      </x:c>
      <x:c r="Q19" s="35" t="n">
        <x:f>'CF Short-Term'!Q19+'MK Short-Term'!Q19</x:f>
        <x:v>2354183.7094058264</x:v>
      </x:c>
      <x:c r="R19" s="35" t="n">
        <x:f>'CF Short-Term'!R19+'MK Short-Term'!R19</x:f>
        <x:v>2354183.7094058264</x:v>
      </x:c>
      <x:c r="S19" s="35" t="n">
        <x:f>'CF Short-Term'!S19+'MK Short-Term'!S19</x:f>
        <x:v>2354183.7094058264</x:v>
      </x:c>
      <x:c r="T19" s="35" t="n">
        <x:f>'CF Short-Term'!T19+'MK Short-Term'!T19</x:f>
        <x:v>2354183.7094058264</x:v>
      </x:c>
      <x:c r="U19" s="35" t="n">
        <x:f>'CF Short-Term'!U19+'MK Short-Term'!U19</x:f>
        <x:v>2354183.7094058264</x:v>
      </x:c>
      <x:c r="V19" s="35" t="n">
        <x:f>'CF Short-Term'!V19+'MK Short-Term'!V19</x:f>
        <x:v>2354183.7094058264</x:v>
      </x:c>
      <x:c r="W19" s="35" t="n">
        <x:f>'CF Short-Term'!W19+'MK Short-Term'!W19</x:f>
        <x:v>2354183.7094058264</x:v>
      </x:c>
      <x:c r="X19" s="35" t="n">
        <x:f>'CF Short-Term'!X19+'MK Short-Term'!X19</x:f>
        <x:v>2354183.7094058264</x:v>
      </x:c>
      <x:c r="Y19" s="35" t="n">
        <x:f>'CF Short-Term'!Y19+'MK Short-Term'!Y19</x:f>
        <x:v>2354183.7094058264</x:v>
      </x:c>
      <x:c r="Z19" s="35" t="n">
        <x:f>'CF Short-Term'!Z19+'MK Short-Term'!Z19</x:f>
        <x:v>2354183.7094058264</x:v>
      </x:c>
      <x:c r="AA19" s="35" t="n">
        <x:f>'CF Short-Term'!AA19+'MK Short-Term'!AA19</x:f>
        <x:v>2354183.7094058264</x:v>
      </x:c>
      <x:c r="AB19" s="35" t="n">
        <x:f>'CF Short-Term'!AB19+'MK Short-Term'!AB19</x:f>
        <x:v>2354183.7094058264</x:v>
      </x:c>
      <x:c r="AC19" s="35" t="n">
        <x:f>'CF Short-Term'!AC19+'MK Short-Term'!AC19</x:f>
        <x:v>2354183.7094058264</x:v>
      </x:c>
      <x:c r="AD19" s="35" t="n">
        <x:f>'CF Short-Term'!AD19+'MK Short-Term'!AD19</x:f>
        <x:v>2354183.7094058264</x:v>
      </x:c>
      <x:c r="AE19" s="35" t="n">
        <x:f>'CF Short-Term'!AE19+'MK Short-Term'!AE19</x:f>
        <x:v>2354183.7094058264</x:v>
      </x:c>
      <x:c r="AF19" s="35" t="n">
        <x:f>'CF Short-Term'!AF19+'MK Short-Term'!AF19</x:f>
        <x:v>2354183.7094058264</x:v>
      </x:c>
      <x:c r="AG19" s="35" t="n">
        <x:f>'CF Short-Term'!AG19+'MK Short-Term'!AG19</x:f>
        <x:v>2354183.7094058264</x:v>
      </x:c>
      <x:c r="AH19" s="35" t="n">
        <x:f>'CF Short-Term'!AH19+'MK Short-Term'!AH19</x:f>
        <x:v>2354183.7094058264</x:v>
      </x:c>
      <x:c r="AI19" s="35" t="n">
        <x:f>'CF Short-Term'!AI19+'MK Short-Term'!AI19</x:f>
        <x:v>2354183.7094058264</x:v>
      </x:c>
      <x:c r="AJ19" s="35" t="n">
        <x:f>'CF Short-Term'!AJ19+'MK Short-Term'!AJ19</x:f>
        <x:v>2354183.7094058264</x:v>
      </x:c>
      <x:c r="AK19" s="35" t="n">
        <x:f>'CF Short-Term'!AK19+'MK Short-Term'!AK19</x:f>
        <x:v>2354183.7094058264</x:v>
      </x:c>
      <x:c r="AL19" s="35" t="n">
        <x:f>'CF Short-Term'!AL19+'MK Short-Term'!AL19</x:f>
        <x:v>2354183.7094058264</x:v>
      </x:c>
      <x:c r="AM19" s="35" t="n">
        <x:f>'CF Short-Term'!AM19+'MK Short-Term'!AM19</x:f>
        <x:v>2354183.7094058264</x:v>
      </x:c>
      <x:c r="AN19" s="35" t="n">
        <x:f>'CF Short-Term'!AN19+'MK Short-Term'!AN19</x:f>
        <x:v>2354183.7094058264</x:v>
      </x:c>
      <x:c r="AO19" s="35" t="n">
        <x:f>'CF Short-Term'!AO19+'MK Short-Term'!AO19</x:f>
        <x:v>2354183.7094058264</x:v>
      </x:c>
      <x:c r="AP19" s="35" t="n">
        <x:f>'CF Short-Term'!AP19+'MK Short-Term'!AP19</x:f>
        <x:v>2354183.7094058264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Ending reserve</x:v>
      </x:c>
      <x:c r="D20" s="2"/>
      <x:c r="E20" s="35" t="n">
        <x:f>INDEX(G20:AP20,1,'Assumptions'!$E$7)</x:f>
        <x:v>9859533.365163157</x:v>
      </x:c>
      <x:c r="F20" s="2"/>
      <x:c r="G20" s="35" t="n">
        <x:f>'CF Short-Term'!G20+'MK Short-Term'!G20</x:f>
        <x:v>16886283.92345071</x:v>
      </x:c>
      <x:c r="H20" s="35" t="n">
        <x:f>'CF Short-Term'!H20+'MK Short-Term'!H20</x:f>
        <x:v>14533188.341196846</x:v>
      </x:c>
      <x:c r="I20" s="35" t="n">
        <x:f>'CF Short-Term'!I20+'MK Short-Term'!I20</x:f>
        <x:v>12821203.161124451</x:v>
      </x:c>
      <x:c r="J20" s="35" t="n">
        <x:f>'CF Short-Term'!J20+'MK Short-Term'!J20</x:f>
        <x:v>11628905.253377518</x:v>
      </x:c>
      <x:c r="K20" s="35" t="n">
        <x:f>'CF Short-Term'!K20+'MK Short-Term'!K20</x:f>
        <x:v>10847034.10183116</x:v>
      </x:c>
      <x:c r="L20" s="35" t="n">
        <x:f>'CF Short-Term'!L20+'MK Short-Term'!L20</x:f>
        <x:v>10369833.05926495</x:v>
      </x:c>
      <x:c r="M20" s="35" t="n">
        <x:f>'CF Short-Term'!M20+'MK Short-Term'!M20</x:f>
        <x:v>10100985.388512867</x:v>
      </x:c>
      <x:c r="N20" s="35" t="n">
        <x:f>'CF Short-Term'!N20+'MK Short-Term'!N20</x:f>
        <x:v>9962217.108142246</x:v>
      </x:c>
      <x:c r="O20" s="35" t="n">
        <x:f>'CF Short-Term'!O20+'MK Short-Term'!O20</x:f>
        <x:v>9897363.364290623</x:v>
      </x:c>
      <x:c r="P20" s="35" t="n">
        <x:f>'CF Short-Term'!P20+'MK Short-Term'!P20</x:f>
        <x:v>9870642.305502124</x:v>
      </x:c>
      <x:c r="Q20" s="35" t="n">
        <x:f>'CF Short-Term'!Q20+'MK Short-Term'!Q20</x:f>
        <x:v>9861574.94881182</x:v>
      </x:c>
      <x:c r="R20" s="35" t="n">
        <x:f>'CF Short-Term'!R20+'MK Short-Term'!R20</x:f>
        <x:v>9859533.365163159</x:v>
      </x:c>
      <x:c r="S20" s="35" t="n">
        <x:f>'CF Short-Term'!S20+'MK Short-Term'!S20</x:f>
        <x:v>9859533.365163157</x:v>
      </x:c>
      <x:c r="T20" s="35" t="n">
        <x:f>'CF Short-Term'!T20+'MK Short-Term'!T20</x:f>
        <x:v>9859533.365163157</x:v>
      </x:c>
      <x:c r="U20" s="35" t="n">
        <x:f>'CF Short-Term'!U20+'MK Short-Term'!U20</x:f>
        <x:v>9859533.365163157</x:v>
      </x:c>
      <x:c r="V20" s="35" t="n">
        <x:f>'CF Short-Term'!V20+'MK Short-Term'!V20</x:f>
        <x:v>9859533.365163157</x:v>
      </x:c>
      <x:c r="W20" s="35" t="n">
        <x:f>'CF Short-Term'!W20+'MK Short-Term'!W20</x:f>
        <x:v>9859533.365163157</x:v>
      </x:c>
      <x:c r="X20" s="35" t="n">
        <x:f>'CF Short-Term'!X20+'MK Short-Term'!X20</x:f>
        <x:v>9859533.365163157</x:v>
      </x:c>
      <x:c r="Y20" s="35" t="n">
        <x:f>'CF Short-Term'!Y20+'MK Short-Term'!Y20</x:f>
        <x:v>9859533.365163157</x:v>
      </x:c>
      <x:c r="Z20" s="35" t="n">
        <x:f>'CF Short-Term'!Z20+'MK Short-Term'!Z20</x:f>
        <x:v>9859533.365163157</x:v>
      </x:c>
      <x:c r="AA20" s="35" t="n">
        <x:f>'CF Short-Term'!AA20+'MK Short-Term'!AA20</x:f>
        <x:v>9859533.365163157</x:v>
      </x:c>
      <x:c r="AB20" s="35" t="n">
        <x:f>'CF Short-Term'!AB20+'MK Short-Term'!AB20</x:f>
        <x:v>9859533.365163157</x:v>
      </x:c>
      <x:c r="AC20" s="35" t="n">
        <x:f>'CF Short-Term'!AC20+'MK Short-Term'!AC20</x:f>
        <x:v>9859533.365163157</x:v>
      </x:c>
      <x:c r="AD20" s="35" t="n">
        <x:f>'CF Short-Term'!AD20+'MK Short-Term'!AD20</x:f>
        <x:v>9859533.365163157</x:v>
      </x:c>
      <x:c r="AE20" s="35" t="n">
        <x:f>'CF Short-Term'!AE20+'MK Short-Term'!AE20</x:f>
        <x:v>9859533.365163157</x:v>
      </x:c>
      <x:c r="AF20" s="35" t="n">
        <x:f>'CF Short-Term'!AF20+'MK Short-Term'!AF20</x:f>
        <x:v>9859533.365163157</x:v>
      </x:c>
      <x:c r="AG20" s="35" t="n">
        <x:f>'CF Short-Term'!AG20+'MK Short-Term'!AG20</x:f>
        <x:v>9859533.365163157</x:v>
      </x:c>
      <x:c r="AH20" s="35" t="n">
        <x:f>'CF Short-Term'!AH20+'MK Short-Term'!AH20</x:f>
        <x:v>9859533.365163157</x:v>
      </x:c>
      <x:c r="AI20" s="35" t="n">
        <x:f>'CF Short-Term'!AI20+'MK Short-Term'!AI20</x:f>
        <x:v>9859533.365163157</x:v>
      </x:c>
      <x:c r="AJ20" s="35" t="n">
        <x:f>'CF Short-Term'!AJ20+'MK Short-Term'!AJ20</x:f>
        <x:v>9859533.365163157</x:v>
      </x:c>
      <x:c r="AK20" s="35" t="n">
        <x:f>'CF Short-Term'!AK20+'MK Short-Term'!AK20</x:f>
        <x:v>9859533.365163157</x:v>
      </x:c>
      <x:c r="AL20" s="35" t="n">
        <x:f>'CF Short-Term'!AL20+'MK Short-Term'!AL20</x:f>
        <x:v>9859533.365163157</x:v>
      </x:c>
      <x:c r="AM20" s="35" t="n">
        <x:f>'CF Short-Term'!AM20+'MK Short-Term'!AM20</x:f>
        <x:v>9859533.365163157</x:v>
      </x:c>
      <x:c r="AN20" s="35" t="n">
        <x:f>'CF Short-Term'!AN20+'MK Short-Term'!AN20</x:f>
        <x:v>9859533.365163157</x:v>
      </x:c>
      <x:c r="AO20" s="35" t="n">
        <x:f>'CF Short-Term'!AO20+'MK Short-Term'!AO20</x:f>
        <x:v>9859533.365163157</x:v>
      </x:c>
      <x:c r="AP20" s="35" t="n">
        <x:f>'CF Short-Term'!AP20+'MK Short-Term'!AP20</x:f>
        <x:v>9859533.365163157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 t="str">
        <x:v>Net CLAB</x:v>
      </x:c>
      <x:c r="D21" s="2"/>
      <x:c r="E21" s="35" t="n">
        <x:f>INDEX(G21:AP21,1,'Assumptions'!$E$7)</x:f>
        <x:v>80107873.65922189</x:v>
      </x:c>
      <x:c r="F21" s="2"/>
      <x:c r="G21" s="35" t="n">
        <x:f>'CF Short-Term'!G21+'MK Short-Term'!G21</x:f>
        <x:v>188286984.52996558</x:v>
      </x:c>
      <x:c r="H21" s="35" t="n">
        <x:f>'CF Short-Term'!H21+'MK Short-Term'!H21</x:f>
        <x:v>159021368.65514785</x:v>
      </x:c>
      <x:c r="I21" s="35" t="n">
        <x:f>'CF Short-Term'!I21+'MK Short-Term'!I21</x:f>
        <x:v>138060034.24016207</x:v>
      </x:c>
      <x:c r="J21" s="35" t="n">
        <x:f>'CF Short-Term'!J21+'MK Short-Term'!J21</x:f>
        <x:v>122310673.59698826</x:v>
      </x:c>
      <x:c r="K21" s="35" t="n">
        <x:f>'CF Short-Term'!K21+'MK Short-Term'!K21</x:f>
        <x:v>110271249.14355814</x:v>
      </x:c>
      <x:c r="L21" s="35" t="n">
        <x:f>'CF Short-Term'!L21+'MK Short-Term'!L21</x:f>
        <x:v>101049957.24528405</x:v>
      </x:c>
      <x:c r="M21" s="35" t="n">
        <x:f>'CF Short-Term'!M21+'MK Short-Term'!M21</x:f>
        <x:v>94046866.92565097</x:v>
      </x:c>
      <x:c r="N21" s="35" t="n">
        <x:f>'CF Short-Term'!N21+'MK Short-Term'!N21</x:f>
        <x:v>88823930.33666064</x:v>
      </x:c>
      <x:c r="O21" s="35" t="n">
        <x:f>'CF Short-Term'!O21+'MK Short-Term'!O21</x:f>
        <x:v>85046391.88688211</x:v>
      </x:c>
      <x:c r="P21" s="35" t="n">
        <x:f>'CF Short-Term'!P21+'MK Short-Term'!P21</x:f>
        <x:v>82455917.3364014</x:v>
      </x:c>
      <x:c r="Q21" s="35" t="n">
        <x:f>'CF Short-Term'!Q21+'MK Short-Term'!Q21</x:f>
        <x:v>80857201.54977812</x:v>
      </x:c>
      <x:c r="R21" s="35" t="n">
        <x:f>'CF Short-Term'!R21+'MK Short-Term'!R21</x:f>
        <x:v>80107873.65922189</x:v>
      </x:c>
      <x:c r="S21" s="35" t="n">
        <x:f>'CF Short-Term'!S21+'MK Short-Term'!S21</x:f>
        <x:v>80107873.65922189</x:v>
      </x:c>
      <x:c r="T21" s="35" t="n">
        <x:f>'CF Short-Term'!T21+'MK Short-Term'!T21</x:f>
        <x:v>80107873.65922189</x:v>
      </x:c>
      <x:c r="U21" s="35" t="n">
        <x:f>'CF Short-Term'!U21+'MK Short-Term'!U21</x:f>
        <x:v>80107873.65922189</x:v>
      </x:c>
      <x:c r="V21" s="35" t="n">
        <x:f>'CF Short-Term'!V21+'MK Short-Term'!V21</x:f>
        <x:v>80107873.65922189</x:v>
      </x:c>
      <x:c r="W21" s="35" t="n">
        <x:f>'CF Short-Term'!W21+'MK Short-Term'!W21</x:f>
        <x:v>80107873.65922189</x:v>
      </x:c>
      <x:c r="X21" s="35" t="n">
        <x:f>'CF Short-Term'!X21+'MK Short-Term'!X21</x:f>
        <x:v>80107873.65922189</x:v>
      </x:c>
      <x:c r="Y21" s="35" t="n">
        <x:f>'CF Short-Term'!Y21+'MK Short-Term'!Y21</x:f>
        <x:v>80107873.65922189</x:v>
      </x:c>
      <x:c r="Z21" s="35" t="n">
        <x:f>'CF Short-Term'!Z21+'MK Short-Term'!Z21</x:f>
        <x:v>80107873.65922189</x:v>
      </x:c>
      <x:c r="AA21" s="35" t="n">
        <x:f>'CF Short-Term'!AA21+'MK Short-Term'!AA21</x:f>
        <x:v>80107873.65922189</x:v>
      </x:c>
      <x:c r="AB21" s="35" t="n">
        <x:f>'CF Short-Term'!AB21+'MK Short-Term'!AB21</x:f>
        <x:v>80107873.65922189</x:v>
      </x:c>
      <x:c r="AC21" s="35" t="n">
        <x:f>'CF Short-Term'!AC21+'MK Short-Term'!AC21</x:f>
        <x:v>80107873.65922189</x:v>
      </x:c>
      <x:c r="AD21" s="35" t="n">
        <x:f>'CF Short-Term'!AD21+'MK Short-Term'!AD21</x:f>
        <x:v>80107873.65922189</x:v>
      </x:c>
      <x:c r="AE21" s="35" t="n">
        <x:f>'CF Short-Term'!AE21+'MK Short-Term'!AE21</x:f>
        <x:v>80107873.65922189</x:v>
      </x:c>
      <x:c r="AF21" s="35" t="n">
        <x:f>'CF Short-Term'!AF21+'MK Short-Term'!AF21</x:f>
        <x:v>80107873.65922189</x:v>
      </x:c>
      <x:c r="AG21" s="35" t="n">
        <x:f>'CF Short-Term'!AG21+'MK Short-Term'!AG21</x:f>
        <x:v>80107873.65922189</x:v>
      </x:c>
      <x:c r="AH21" s="35" t="n">
        <x:f>'CF Short-Term'!AH21+'MK Short-Term'!AH21</x:f>
        <x:v>80107873.65922189</x:v>
      </x:c>
      <x:c r="AI21" s="35" t="n">
        <x:f>'CF Short-Term'!AI21+'MK Short-Term'!AI21</x:f>
        <x:v>80107873.65922189</x:v>
      </x:c>
      <x:c r="AJ21" s="35" t="n">
        <x:f>'CF Short-Term'!AJ21+'MK Short-Term'!AJ21</x:f>
        <x:v>80107873.65922189</x:v>
      </x:c>
      <x:c r="AK21" s="35" t="n">
        <x:f>'CF Short-Term'!AK21+'MK Short-Term'!AK21</x:f>
        <x:v>80107873.65922189</x:v>
      </x:c>
      <x:c r="AL21" s="35" t="n">
        <x:f>'CF Short-Term'!AL21+'MK Short-Term'!AL21</x:f>
        <x:v>80107873.65922189</x:v>
      </x:c>
      <x:c r="AM21" s="35" t="n">
        <x:f>'CF Short-Term'!AM21+'MK Short-Term'!AM21</x:f>
        <x:v>80107873.65922189</x:v>
      </x:c>
      <x:c r="AN21" s="35" t="n">
        <x:f>'CF Short-Term'!AN21+'MK Short-Term'!AN21</x:f>
        <x:v>80107873.65922189</x:v>
      </x:c>
      <x:c r="AO21" s="35" t="n">
        <x:f>'CF Short-Term'!AO21+'MK Short-Term'!AO21</x:f>
        <x:v>80107873.65922189</x:v>
      </x:c>
      <x:c r="AP21" s="35" t="n">
        <x:f>'CF Short-Term'!AP21+'MK Short-Term'!AP21</x:f>
        <x:v>80107873.65922189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'CF Short-Term'!G23</x:f>
        <x:v>1</x:v>
      </x:c>
      <x:c r="H23" s="12" t="n">
        <x:f>'CF Short-Term'!H23</x:f>
        <x:v>1</x:v>
      </x:c>
      <x:c r="I23" s="12" t="n">
        <x:f>'CF Short-Term'!I23</x:f>
        <x:v>1</x:v>
      </x:c>
      <x:c r="J23" s="12" t="n">
        <x:f>'CF Short-Term'!J23</x:f>
        <x:v>1</x:v>
      </x:c>
      <x:c r="K23" s="12" t="n">
        <x:f>'CF Short-Term'!K23</x:f>
        <x:v>1</x:v>
      </x:c>
      <x:c r="L23" s="12" t="n">
        <x:f>'CF Short-Term'!L23</x:f>
        <x:v>1</x:v>
      </x:c>
      <x:c r="M23" s="12" t="n">
        <x:f>'CF Short-Term'!M23</x:f>
        <x:v>1</x:v>
      </x:c>
      <x:c r="N23" s="12" t="n">
        <x:f>'CF Short-Term'!N23</x:f>
        <x:v>1</x:v>
      </x:c>
      <x:c r="O23" s="12" t="n">
        <x:f>'CF Short-Term'!O23</x:f>
        <x:v>1</x:v>
      </x:c>
      <x:c r="P23" s="12" t="n">
        <x:f>'CF Short-Term'!P23</x:f>
        <x:v>1</x:v>
      </x:c>
      <x:c r="Q23" s="12" t="n">
        <x:f>'CF Short-Term'!Q23</x:f>
        <x:v>1</x:v>
      </x:c>
      <x:c r="R23" s="12" t="n">
        <x:f>'CF Short-Term'!R23</x:f>
        <x:v>1</x:v>
      </x:c>
      <x:c r="S23" s="12" t="n">
        <x:f>'CF Short-Term'!S23</x:f>
        <x:v>1</x:v>
      </x:c>
      <x:c r="T23" s="12" t="n">
        <x:f>'CF Short-Term'!T23</x:f>
        <x:v>1</x:v>
      </x:c>
      <x:c r="U23" s="12" t="n">
        <x:f>'CF Short-Term'!U23</x:f>
        <x:v>1</x:v>
      </x:c>
      <x:c r="V23" s="12" t="n">
        <x:f>'CF Short-Term'!V23</x:f>
        <x:v>1</x:v>
      </x:c>
      <x:c r="W23" s="12" t="n">
        <x:f>'CF Short-Term'!W23</x:f>
        <x:v>1</x:v>
      </x:c>
      <x:c r="X23" s="12" t="n">
        <x:f>'CF Short-Term'!X23</x:f>
        <x:v>1</x:v>
      </x:c>
      <x:c r="Y23" s="12" t="n">
        <x:f>'CF Short-Term'!Y23</x:f>
        <x:v>1</x:v>
      </x:c>
      <x:c r="Z23" s="12" t="n">
        <x:f>'CF Short-Term'!Z23</x:f>
        <x:v>1</x:v>
      </x:c>
      <x:c r="AA23" s="12" t="n">
        <x:f>'CF Short-Term'!AA23</x:f>
        <x:v>1</x:v>
      </x:c>
      <x:c r="AB23" s="12" t="n">
        <x:f>'CF Short-Term'!AB23</x:f>
        <x:v>1</x:v>
      </x:c>
      <x:c r="AC23" s="12" t="n">
        <x:f>'CF Short-Term'!AC23</x:f>
        <x:v>1</x:v>
      </x:c>
      <x:c r="AD23" s="12" t="n">
        <x:f>'CF Short-Term'!AD23</x:f>
        <x:v>1</x:v>
      </x:c>
      <x:c r="AE23" s="12" t="n">
        <x:f>'CF Short-Term'!AE23</x:f>
        <x:v>1</x:v>
      </x:c>
      <x:c r="AF23" s="12" t="n">
        <x:f>'CF Short-Term'!AF23</x:f>
        <x:v>1</x:v>
      </x:c>
      <x:c r="AG23" s="12" t="n">
        <x:f>'CF Short-Term'!AG23</x:f>
        <x:v>1</x:v>
      </x:c>
      <x:c r="AH23" s="12" t="n">
        <x:f>'CF Short-Term'!AH23</x:f>
        <x:v>1</x:v>
      </x:c>
      <x:c r="AI23" s="12" t="n">
        <x:f>'CF Short-Term'!AI23</x:f>
        <x:v>1</x:v>
      </x:c>
      <x:c r="AJ23" s="12" t="n">
        <x:f>'CF Short-Term'!AJ23</x:f>
        <x:v>1</x:v>
      </x:c>
      <x:c r="AK23" s="12" t="n">
        <x:f>'CF Short-Term'!AK23</x:f>
        <x:v>1</x:v>
      </x:c>
      <x:c r="AL23" s="12" t="n">
        <x:f>'CF Short-Term'!AL23</x:f>
        <x:v>1</x:v>
      </x:c>
      <x:c r="AM23" s="12" t="n">
        <x:f>'CF Short-Term'!AM23</x:f>
        <x:v>1</x:v>
      </x:c>
      <x:c r="AN23" s="12" t="n">
        <x:f>'CF Short-Term'!AN23</x:f>
        <x:v>1</x:v>
      </x:c>
      <x:c r="AO23" s="12" t="n">
        <x:f>'CF Short-Term'!AO23</x:f>
        <x:v>1</x:v>
      </x:c>
      <x:c r="AP23" s="12" t="n">
        <x:f>'CF Short-Term'!AP23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 t="str">
        <x:v>Revenue</x:v>
      </x:c>
      <x:c r="D24" s="2"/>
      <x:c r="E24" s="35" t="n">
        <x:f>SUMIFS(G24:AP24,$G$6:$AP$6,"&lt;="&amp;'Assumptions'!$E$7)</x:f>
        <x:v>220460124.4325509</x:v>
      </x:c>
      <x:c r="F24" s="2"/>
      <x:c r="G24" s="35" t="n">
        <x:f>'CF Short-Term'!G24+'MK Short-Term'!G24</x:f>
        <x:v>20839648.197552282</x:v>
      </x:c>
      <x:c r="H24" s="35" t="n">
        <x:f>'CF Short-Term'!H24+'MK Short-Term'!H24</x:f>
        <x:v>16705499.096813047</x:v>
      </x:c>
      <x:c r="I24" s="35" t="n">
        <x:f>'CF Short-Term'!I24+'MK Short-Term'!I24</x:f>
        <x:v>14124032.342238873</x:v>
      </x:c>
      <x:c r="J24" s="35" t="n">
        <x:f>'CF Short-Term'!J24+'MK Short-Term'!J24</x:f>
        <x:v>12277896.315344479</x:v>
      </x:c>
      <x:c r="K24" s="35" t="n">
        <x:f>'CF Short-Term'!K24+'MK Short-Term'!K24</x:f>
        <x:v>10900293.665784467</x:v>
      </x:c>
      <x:c r="L24" s="35" t="n">
        <x:f>'CF Short-Term'!L24+'MK Short-Term'!L24</x:f>
        <x:v>9857241.541118106</x:v>
      </x:c>
      <x:c r="M24" s="35" t="n">
        <x:f>'CF Short-Term'!M24+'MK Short-Term'!M24</x:f>
        <x:v>9066396.57703259</x:v>
      </x:c>
      <x:c r="N24" s="35" t="n">
        <x:f>'CF Short-Term'!N24+'MK Short-Term'!N24</x:f>
        <x:v>8471241.69369895</x:v>
      </x:c>
      <x:c r="O24" s="35" t="n">
        <x:f>'CF Short-Term'!O24+'MK Short-Term'!O24</x:f>
        <x:v>8030592.499295454</x:v>
      </x:c>
      <x:c r="P24" s="35" t="n">
        <x:f>'CF Short-Term'!P24+'MK Short-Term'!P24</x:f>
        <x:v>7713570.873581534</x:v>
      </x:c>
      <x:c r="Q24" s="35" t="n">
        <x:f>'CF Short-Term'!Q24+'MK Short-Term'!Q24</x:f>
        <x:v>7496942.381317283</x:v>
      </x:c>
      <x:c r="R24" s="35" t="n">
        <x:f>'CF Short-Term'!R24+'MK Short-Term'!R24</x:f>
        <x:v>7363545.9337946195</x:v>
      </x:c>
      <x:c r="S24" s="35" t="n">
        <x:f>'CF Short-Term'!S24+'MK Short-Term'!S24</x:f>
        <x:v>7301101.942914934</x:v>
      </x:c>
      <x:c r="T24" s="35" t="n">
        <x:f>'CF Short-Term'!T24+'MK Short-Term'!T24</x:f>
        <x:v>7301101.942914934</x:v>
      </x:c>
      <x:c r="U24" s="35" t="n">
        <x:f>'CF Short-Term'!U24+'MK Short-Term'!U24</x:f>
        <x:v>7301101.942914934</x:v>
      </x:c>
      <x:c r="V24" s="35" t="n">
        <x:f>'CF Short-Term'!V24+'MK Short-Term'!V24</x:f>
        <x:v>7301101.942914934</x:v>
      </x:c>
      <x:c r="W24" s="35" t="n">
        <x:f>'CF Short-Term'!W24+'MK Short-Term'!W24</x:f>
        <x:v>7301101.942914934</x:v>
      </x:c>
      <x:c r="X24" s="35" t="n">
        <x:f>'CF Short-Term'!X24+'MK Short-Term'!X24</x:f>
        <x:v>7301101.942914934</x:v>
      </x:c>
      <x:c r="Y24" s="35" t="n">
        <x:f>'CF Short-Term'!Y24+'MK Short-Term'!Y24</x:f>
        <x:v>7301101.942914934</x:v>
      </x:c>
      <x:c r="Z24" s="35" t="n">
        <x:f>'CF Short-Term'!Z24+'MK Short-Term'!Z24</x:f>
        <x:v>7301101.942914934</x:v>
      </x:c>
      <x:c r="AA24" s="35" t="n">
        <x:f>'CF Short-Term'!AA24+'MK Short-Term'!AA24</x:f>
        <x:v>7301101.942914934</x:v>
      </x:c>
      <x:c r="AB24" s="35" t="n">
        <x:f>'CF Short-Term'!AB24+'MK Short-Term'!AB24</x:f>
        <x:v>7301101.942914934</x:v>
      </x:c>
      <x:c r="AC24" s="35" t="n">
        <x:f>'CF Short-Term'!AC24+'MK Short-Term'!AC24</x:f>
        <x:v>7301101.942914934</x:v>
      </x:c>
      <x:c r="AD24" s="35" t="n">
        <x:f>'CF Short-Term'!AD24+'MK Short-Term'!AD24</x:f>
        <x:v>7301101.942914934</x:v>
      </x:c>
      <x:c r="AE24" s="35" t="n">
        <x:f>'CF Short-Term'!AE24+'MK Short-Term'!AE24</x:f>
        <x:v>7301101.942914934</x:v>
      </x:c>
      <x:c r="AF24" s="35" t="n">
        <x:f>'CF Short-Term'!AF24+'MK Short-Term'!AF24</x:f>
        <x:v>7301101.942914934</x:v>
      </x:c>
      <x:c r="AG24" s="35" t="n">
        <x:f>'CF Short-Term'!AG24+'MK Short-Term'!AG24</x:f>
        <x:v>7301101.942914934</x:v>
      </x:c>
      <x:c r="AH24" s="35" t="n">
        <x:f>'CF Short-Term'!AH24+'MK Short-Term'!AH24</x:f>
        <x:v>7301101.942914934</x:v>
      </x:c>
      <x:c r="AI24" s="35" t="n">
        <x:f>'CF Short-Term'!AI24+'MK Short-Term'!AI24</x:f>
        <x:v>7301101.942914934</x:v>
      </x:c>
      <x:c r="AJ24" s="35" t="n">
        <x:f>'CF Short-Term'!AJ24+'MK Short-Term'!AJ24</x:f>
        <x:v>7301101.942914934</x:v>
      </x:c>
      <x:c r="AK24" s="35" t="n">
        <x:f>'CF Short-Term'!AK24+'MK Short-Term'!AK24</x:f>
        <x:v>7301101.942914934</x:v>
      </x:c>
      <x:c r="AL24" s="35" t="n">
        <x:f>'CF Short-Term'!AL24+'MK Short-Term'!AL24</x:f>
        <x:v>7301101.942914934</x:v>
      </x:c>
      <x:c r="AM24" s="35" t="n">
        <x:f>'CF Short-Term'!AM24+'MK Short-Term'!AM24</x:f>
        <x:v>7301101.942914934</x:v>
      </x:c>
      <x:c r="AN24" s="35" t="n">
        <x:f>'CF Short-Term'!AN24+'MK Short-Term'!AN24</x:f>
        <x:v>7301101.942914934</x:v>
      </x:c>
      <x:c r="AO24" s="35" t="n">
        <x:f>'CF Short-Term'!AO24+'MK Short-Term'!AO24</x:f>
        <x:v>7301101.942914934</x:v>
      </x:c>
      <x:c r="AP24" s="35" t="n">
        <x:f>'CF Short-Term'!AP24+'MK Short-Term'!AP24</x:f>
        <x:v>7301101.942914934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 t="str">
        <x:v>Net revenue</x:v>
      </x:c>
      <x:c r="D25" s="2"/>
      <x:c r="E25" s="35" t="n">
        <x:f>SUMIFS(G25:AP25,$G$6:$AP$6,"&lt;="&amp;'Assumptions'!$E$7)</x:f>
        <x:v>163959715.40681097</x:v>
      </x:c>
      <x:c r="F25" s="2"/>
      <x:c r="G25" s="35" t="n">
        <x:f>'CF Short-Term'!G25+'MK Short-Term'!G25</x:f>
        <x:v>18485464.488146454</x:v>
      </x:c>
      <x:c r="H25" s="35" t="n">
        <x:f>'CF Short-Term'!H25+'MK Short-Term'!H25</x:f>
        <x:v>14351315.38740722</x:v>
      </x:c>
      <x:c r="I25" s="35" t="n">
        <x:f>'CF Short-Term'!I25+'MK Short-Term'!I25</x:f>
        <x:v>11769848.632833047</x:v>
      </x:c>
      <x:c r="J25" s="35" t="n">
        <x:f>'CF Short-Term'!J25+'MK Short-Term'!J25</x:f>
        <x:v>9923712.605938654</x:v>
      </x:c>
      <x:c r="K25" s="35" t="n">
        <x:f>'CF Short-Term'!K25+'MK Short-Term'!K25</x:f>
        <x:v>8546109.95637864</x:v>
      </x:c>
      <x:c r="L25" s="35" t="n">
        <x:f>'CF Short-Term'!L25+'MK Short-Term'!L25</x:f>
        <x:v>7503057.83171228</x:v>
      </x:c>
      <x:c r="M25" s="35" t="n">
        <x:f>'CF Short-Term'!M25+'MK Short-Term'!M25</x:f>
        <x:v>6712212.867626764</x:v>
      </x:c>
      <x:c r="N25" s="35" t="n">
        <x:f>'CF Short-Term'!N25+'MK Short-Term'!N25</x:f>
        <x:v>6117057.984293123</x:v>
      </x:c>
      <x:c r="O25" s="35" t="n">
        <x:f>'CF Short-Term'!O25+'MK Short-Term'!O25</x:f>
        <x:v>5676408.789889627</x:v>
      </x:c>
      <x:c r="P25" s="35" t="n">
        <x:f>'CF Short-Term'!P25+'MK Short-Term'!P25</x:f>
        <x:v>5359387.164175708</x:v>
      </x:c>
      <x:c r="Q25" s="35" t="n">
        <x:f>'CF Short-Term'!Q25+'MK Short-Term'!Q25</x:f>
        <x:v>5142758.671911457</x:v>
      </x:c>
      <x:c r="R25" s="35" t="n">
        <x:f>'CF Short-Term'!R25+'MK Short-Term'!R25</x:f>
        <x:v>5009362.224388793</x:v>
      </x:c>
      <x:c r="S25" s="35" t="n">
        <x:f>'CF Short-Term'!S25+'MK Short-Term'!S25</x:f>
        <x:v>4946918.2335091075</x:v>
      </x:c>
      <x:c r="T25" s="35" t="n">
        <x:f>'CF Short-Term'!T25+'MK Short-Term'!T25</x:f>
        <x:v>4946918.2335091075</x:v>
      </x:c>
      <x:c r="U25" s="35" t="n">
        <x:f>'CF Short-Term'!U25+'MK Short-Term'!U25</x:f>
        <x:v>4946918.2335091075</x:v>
      </x:c>
      <x:c r="V25" s="35" t="n">
        <x:f>'CF Short-Term'!V25+'MK Short-Term'!V25</x:f>
        <x:v>4946918.2335091075</x:v>
      </x:c>
      <x:c r="W25" s="35" t="n">
        <x:f>'CF Short-Term'!W25+'MK Short-Term'!W25</x:f>
        <x:v>4946918.2335091075</x:v>
      </x:c>
      <x:c r="X25" s="35" t="n">
        <x:f>'CF Short-Term'!X25+'MK Short-Term'!X25</x:f>
        <x:v>4946918.2335091075</x:v>
      </x:c>
      <x:c r="Y25" s="35" t="n">
        <x:f>'CF Short-Term'!Y25+'MK Short-Term'!Y25</x:f>
        <x:v>4946918.2335091075</x:v>
      </x:c>
      <x:c r="Z25" s="35" t="n">
        <x:f>'CF Short-Term'!Z25+'MK Short-Term'!Z25</x:f>
        <x:v>4946918.2335091075</x:v>
      </x:c>
      <x:c r="AA25" s="35" t="n">
        <x:f>'CF Short-Term'!AA25+'MK Short-Term'!AA25</x:f>
        <x:v>4946918.2335091075</x:v>
      </x:c>
      <x:c r="AB25" s="35" t="n">
        <x:f>'CF Short-Term'!AB25+'MK Short-Term'!AB25</x:f>
        <x:v>4946918.2335091075</x:v>
      </x:c>
      <x:c r="AC25" s="35" t="n">
        <x:f>'CF Short-Term'!AC25+'MK Short-Term'!AC25</x:f>
        <x:v>4946918.2335091075</x:v>
      </x:c>
      <x:c r="AD25" s="35" t="n">
        <x:f>'CF Short-Term'!AD25+'MK Short-Term'!AD25</x:f>
        <x:v>4946918.2335091075</x:v>
      </x:c>
      <x:c r="AE25" s="35" t="n">
        <x:f>'CF Short-Term'!AE25+'MK Short-Term'!AE25</x:f>
        <x:v>4946918.2335091075</x:v>
      </x:c>
      <x:c r="AF25" s="35" t="n">
        <x:f>'CF Short-Term'!AF25+'MK Short-Term'!AF25</x:f>
        <x:v>4946918.2335091075</x:v>
      </x:c>
      <x:c r="AG25" s="35" t="n">
        <x:f>'CF Short-Term'!AG25+'MK Short-Term'!AG25</x:f>
        <x:v>4946918.2335091075</x:v>
      </x:c>
      <x:c r="AH25" s="35" t="n">
        <x:f>'CF Short-Term'!AH25+'MK Short-Term'!AH25</x:f>
        <x:v>4946918.2335091075</x:v>
      </x:c>
      <x:c r="AI25" s="35" t="n">
        <x:f>'CF Short-Term'!AI25+'MK Short-Term'!AI25</x:f>
        <x:v>4946918.2335091075</x:v>
      </x:c>
      <x:c r="AJ25" s="35" t="n">
        <x:f>'CF Short-Term'!AJ25+'MK Short-Term'!AJ25</x:f>
        <x:v>4946918.2335091075</x:v>
      </x:c>
      <x:c r="AK25" s="35" t="n">
        <x:f>'CF Short-Term'!AK25+'MK Short-Term'!AK25</x:f>
        <x:v>4946918.2335091075</x:v>
      </x:c>
      <x:c r="AL25" s="35" t="n">
        <x:f>'CF Short-Term'!AL25+'MK Short-Term'!AL25</x:f>
        <x:v>4946918.2335091075</x:v>
      </x:c>
      <x:c r="AM25" s="35" t="n">
        <x:f>'CF Short-Term'!AM25+'MK Short-Term'!AM25</x:f>
        <x:v>4946918.2335091075</x:v>
      </x:c>
      <x:c r="AN25" s="35" t="n">
        <x:f>'CF Short-Term'!AN25+'MK Short-Term'!AN25</x:f>
        <x:v>4946918.2335091075</x:v>
      </x:c>
      <x:c r="AO25" s="35" t="n">
        <x:f>'CF Short-Term'!AO25+'MK Short-Term'!AO25</x:f>
        <x:v>4946918.2335091075</x:v>
      </x:c>
      <x:c r="AP25" s="35" t="n">
        <x:f>'CF Short-Term'!AP25+'MK Short-Term'!AP25</x:f>
        <x:v>4946918.2335091075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20056321.843417507</x:v>
      </x:c>
      <x:c r="F27" s="2"/>
      <x:c r="G27" s="35" t="n">
        <x:f>'CF Short-Term'!G27+'MK Short-Term'!G27</x:f>
        <x:v>5524221.629372626</x:v>
      </x:c>
      <x:c r="H27" s="35" t="n">
        <x:f>'CF Short-Term'!H27+'MK Short-Term'!H27</x:f>
        <x:v>4438051.992379944</x:v>
      </x:c>
      <x:c r="I27" s="35" t="n">
        <x:f>'CF Short-Term'!I27+'MK Short-Term'!I27</x:f>
        <x:v>3453213.0963868788</x:v>
      </x:c>
      <x:c r="J27" s="35" t="n">
        <x:f>'CF Short-Term'!J27+'MK Short-Term'!J27</x:f>
        <x:v>2543531.016699246</x:v>
      </x:c>
      <x:c r="K27" s="35" t="n">
        <x:f>'CF Short-Term'!K27+'MK Short-Term'!K27</x:f>
        <x:v>1745959.3453049185</x:v>
      </x:c>
      <x:c r="L27" s="35" t="n">
        <x:f>'CF Short-Term'!L27+'MK Short-Term'!L27</x:f>
        <x:v>1105975.6301618805</x:v>
      </x:c>
      <x:c r="M27" s="35" t="n">
        <x:f>'CF Short-Term'!M27+'MK Short-Term'!M27</x:f>
        <x:v>642648.1059454852</x:v>
      </x:c>
      <x:c r="N27" s="35" t="n">
        <x:f>'CF Short-Term'!N27+'MK Short-Term'!N27</x:f>
        <x:v>340770.89030639763</x:v>
      </x:c>
      <x:c r="O27" s="35" t="n">
        <x:f>'CF Short-Term'!O27+'MK Short-Term'!O27</x:f>
        <x:v>163318.12069095322</x:v>
      </x:c>
      <x:c r="P27" s="35" t="n">
        <x:f>'CF Short-Term'!P27+'MK Short-Term'!P27</x:f>
        <x:v>69007.6790870259</x:v>
      </x:c>
      <x:c r="Q27" s="35" t="n">
        <x:f>'CF Short-Term'!Q27+'MK Short-Term'!Q27</x:f>
        <x:v>24049.24327234463</x:v>
      </x:c>
      <x:c r="R27" s="35" t="n">
        <x:f>'CF Short-Term'!R27+'MK Short-Term'!R27</x:f>
        <x:v>5575.093809806012</x:v>
      </x:c>
      <x:c r="S27" s="35" t="n">
        <x:f>'CF Short-Term'!S27+'MK Short-Term'!S27</x:f>
        <x:v>0</x:v>
      </x:c>
      <x:c r="T27" s="35" t="n">
        <x:f>'CF Short-Term'!T27+'MK Short-Term'!T27</x:f>
        <x:v>0</x:v>
      </x:c>
      <x:c r="U27" s="35" t="n">
        <x:f>'CF Short-Term'!U27+'MK Short-Term'!U27</x:f>
        <x:v>0</x:v>
      </x:c>
      <x:c r="V27" s="35" t="n">
        <x:f>'CF Short-Term'!V27+'MK Short-Term'!V27</x:f>
        <x:v>0</x:v>
      </x:c>
      <x:c r="W27" s="35" t="n">
        <x:f>'CF Short-Term'!W27+'MK Short-Term'!W27</x:f>
        <x:v>0</x:v>
      </x:c>
      <x:c r="X27" s="35" t="n">
        <x:f>'CF Short-Term'!X27+'MK Short-Term'!X27</x:f>
        <x:v>0</x:v>
      </x:c>
      <x:c r="Y27" s="35" t="n">
        <x:f>'CF Short-Term'!Y27+'MK Short-Term'!Y27</x:f>
        <x:v>0</x:v>
      </x:c>
      <x:c r="Z27" s="35" t="n">
        <x:f>'CF Short-Term'!Z27+'MK Short-Term'!Z27</x:f>
        <x:v>0</x:v>
      </x:c>
      <x:c r="AA27" s="35" t="n">
        <x:f>'CF Short-Term'!AA27+'MK Short-Term'!AA27</x:f>
        <x:v>0</x:v>
      </x:c>
      <x:c r="AB27" s="35" t="n">
        <x:f>'CF Short-Term'!AB27+'MK Short-Term'!AB27</x:f>
        <x:v>0</x:v>
      </x:c>
      <x:c r="AC27" s="35" t="n">
        <x:f>'CF Short-Term'!AC27+'MK Short-Term'!AC27</x:f>
        <x:v>0</x:v>
      </x:c>
      <x:c r="AD27" s="35" t="n">
        <x:f>'CF Short-Term'!AD27+'MK Short-Term'!AD27</x:f>
        <x:v>0</x:v>
      </x:c>
      <x:c r="AE27" s="35" t="n">
        <x:f>'CF Short-Term'!AE27+'MK Short-Term'!AE27</x:f>
        <x:v>0</x:v>
      </x:c>
      <x:c r="AF27" s="35" t="n">
        <x:f>'CF Short-Term'!AF27+'MK Short-Term'!AF27</x:f>
        <x:v>0</x:v>
      </x:c>
      <x:c r="AG27" s="35" t="n">
        <x:f>'CF Short-Term'!AG27+'MK Short-Term'!AG27</x:f>
        <x:v>0</x:v>
      </x:c>
      <x:c r="AH27" s="35" t="n">
        <x:f>'CF Short-Term'!AH27+'MK Short-Term'!AH27</x:f>
        <x:v>0</x:v>
      </x:c>
      <x:c r="AI27" s="35" t="n">
        <x:f>'CF Short-Term'!AI27+'MK Short-Term'!AI27</x:f>
        <x:v>0</x:v>
      </x:c>
      <x:c r="AJ27" s="35" t="n">
        <x:f>'CF Short-Term'!AJ27+'MK Short-Term'!AJ27</x:f>
        <x:v>0</x:v>
      </x:c>
      <x:c r="AK27" s="35" t="n">
        <x:f>'CF Short-Term'!AK27+'MK Short-Term'!AK27</x:f>
        <x:v>0</x:v>
      </x:c>
      <x:c r="AL27" s="35" t="n">
        <x:f>'CF Short-Term'!AL27+'MK Short-Term'!AL27</x:f>
        <x:v>0</x:v>
      </x:c>
      <x:c r="AM27" s="35" t="n">
        <x:f>'CF Short-Term'!AM27+'MK Short-Term'!AM27</x:f>
        <x:v>0</x:v>
      </x:c>
      <x:c r="AN27" s="35" t="n">
        <x:f>'CF Short-Term'!AN27+'MK Short-Term'!AN27</x:f>
        <x:v>0</x:v>
      </x:c>
      <x:c r="AO27" s="35" t="n">
        <x:f>'CF Short-Term'!AO27+'MK Short-Term'!AO27</x:f>
        <x:v>0</x:v>
      </x:c>
      <x:c r="AP27" s="35" t="n">
        <x:f>'CF Short-Term'!AP27+'MK Short-Term'!AP27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46640875.66057666</x:v>
      </x:c>
      <x:c r="F28" s="2"/>
      <x:c r="G28" s="35" t="n">
        <x:f>'CF Short-Term'!G28+'MK Short-Term'!G28</x:f>
        <x:v>0</x:v>
      </x:c>
      <x:c r="H28" s="35" t="n">
        <x:f>'CF Short-Term'!H28+'MK Short-Term'!H28</x:f>
        <x:v>269227.29927974596</x:v>
      </x:c>
      <x:c r="I28" s="35" t="n">
        <x:f>'CF Short-Term'!I28+'MK Short-Term'!I28</x:f>
        <x:v>612955.7930913437</x:v>
      </x:c>
      <x:c r="J28" s="35" t="n">
        <x:f>'CF Short-Term'!J28+'MK Short-Term'!J28</x:f>
        <x:v>1002950.6004535134</x:v>
      </x:c>
      <x:c r="K28" s="35" t="n">
        <x:f>'CF Short-Term'!K28+'MK Short-Term'!K28</x:f>
        <x:v>1390095.5156472654</x:v>
      </x:c>
      <x:c r="L28" s="35" t="n">
        <x:f>'CF Short-Term'!L28+'MK Short-Term'!L28</x:f>
        <x:v>1725409.121810157</x:v>
      </x:c>
      <x:c r="M28" s="35" t="n">
        <x:f>'CF Short-Term'!M28+'MK Short-Term'!M28</x:f>
        <x:v>1980383.2742124256</x:v>
      </x:c>
      <x:c r="N28" s="35" t="n">
        <x:f>'CF Short-Term'!N28+'MK Short-Term'!N28</x:f>
        <x:v>2152181.0994700477</x:v>
      </x:c>
      <x:c r="O28" s="35" t="n">
        <x:f>'CF Short-Term'!O28+'MK Short-Term'!O28</x:f>
        <x:v>2255719.332566496</x:v>
      </x:c>
      <x:c r="P28" s="35" t="n">
        <x:f>'CF Short-Term'!P28+'MK Short-Term'!P28</x:f>
        <x:v>2311897.089107299</x:v>
      </x:c>
      <x:c r="Q28" s="35" t="n">
        <x:f>'CF Short-Term'!Q28+'MK Short-Term'!Q28</x:f>
        <x:v>2339201.822823787</x:v>
      </x:c>
      <x:c r="R28" s="35" t="n">
        <x:f>'CF Short-Term'!R28+'MK Short-Term'!R28</x:f>
        <x:v>2350650.199244682</x:v>
      </x:c>
      <x:c r="S28" s="35" t="n">
        <x:f>'CF Short-Term'!S28+'MK Short-Term'!S28</x:f>
        <x:v>2354183.7094058264</x:v>
      </x:c>
      <x:c r="T28" s="35" t="n">
        <x:f>'CF Short-Term'!T28+'MK Short-Term'!T28</x:f>
        <x:v>2354183.7094058264</x:v>
      </x:c>
      <x:c r="U28" s="35" t="n">
        <x:f>'CF Short-Term'!U28+'MK Short-Term'!U28</x:f>
        <x:v>2354183.7094058264</x:v>
      </x:c>
      <x:c r="V28" s="35" t="n">
        <x:f>'CF Short-Term'!V28+'MK Short-Term'!V28</x:f>
        <x:v>2354183.7094058264</x:v>
      </x:c>
      <x:c r="W28" s="35" t="n">
        <x:f>'CF Short-Term'!W28+'MK Short-Term'!W28</x:f>
        <x:v>2354183.7094058264</x:v>
      </x:c>
      <x:c r="X28" s="35" t="n">
        <x:f>'CF Short-Term'!X28+'MK Short-Term'!X28</x:f>
        <x:v>2354183.7094058264</x:v>
      </x:c>
      <x:c r="Y28" s="35" t="n">
        <x:f>'CF Short-Term'!Y28+'MK Short-Term'!Y28</x:f>
        <x:v>2354183.7094058264</x:v>
      </x:c>
      <x:c r="Z28" s="35" t="n">
        <x:f>'CF Short-Term'!Z28+'MK Short-Term'!Z28</x:f>
        <x:v>2354183.7094058264</x:v>
      </x:c>
      <x:c r="AA28" s="35" t="n">
        <x:f>'CF Short-Term'!AA28+'MK Short-Term'!AA28</x:f>
        <x:v>2354183.7094058264</x:v>
      </x:c>
      <x:c r="AB28" s="35" t="n">
        <x:f>'CF Short-Term'!AB28+'MK Short-Term'!AB28</x:f>
        <x:v>2354183.7094058264</x:v>
      </x:c>
      <x:c r="AC28" s="35" t="n">
        <x:f>'CF Short-Term'!AC28+'MK Short-Term'!AC28</x:f>
        <x:v>2354183.7094058264</x:v>
      </x:c>
      <x:c r="AD28" s="35" t="n">
        <x:f>'CF Short-Term'!AD28+'MK Short-Term'!AD28</x:f>
        <x:v>2354183.7094058264</x:v>
      </x:c>
      <x:c r="AE28" s="35" t="n">
        <x:f>'CF Short-Term'!AE28+'MK Short-Term'!AE28</x:f>
        <x:v>2354183.7094058264</x:v>
      </x:c>
      <x:c r="AF28" s="35" t="n">
        <x:f>'CF Short-Term'!AF28+'MK Short-Term'!AF28</x:f>
        <x:v>2354183.7094058264</x:v>
      </x:c>
      <x:c r="AG28" s="35" t="n">
        <x:f>'CF Short-Term'!AG28+'MK Short-Term'!AG28</x:f>
        <x:v>2354183.7094058264</x:v>
      </x:c>
      <x:c r="AH28" s="35" t="n">
        <x:f>'CF Short-Term'!AH28+'MK Short-Term'!AH28</x:f>
        <x:v>2354183.7094058264</x:v>
      </x:c>
      <x:c r="AI28" s="35" t="n">
        <x:f>'CF Short-Term'!AI28+'MK Short-Term'!AI28</x:f>
        <x:v>2354183.7094058264</x:v>
      </x:c>
      <x:c r="AJ28" s="35" t="n">
        <x:f>'CF Short-Term'!AJ28+'MK Short-Term'!AJ28</x:f>
        <x:v>2354183.7094058264</x:v>
      </x:c>
      <x:c r="AK28" s="35" t="n">
        <x:f>'CF Short-Term'!AK28+'MK Short-Term'!AK28</x:f>
        <x:v>2354183.7094058264</x:v>
      </x:c>
      <x:c r="AL28" s="35" t="n">
        <x:f>'CF Short-Term'!AL28+'MK Short-Term'!AL28</x:f>
        <x:v>2354183.7094058264</x:v>
      </x:c>
      <x:c r="AM28" s="35" t="n">
        <x:f>'CF Short-Term'!AM28+'MK Short-Term'!AM28</x:f>
        <x:v>2354183.7094058264</x:v>
      </x:c>
      <x:c r="AN28" s="35" t="n">
        <x:f>'CF Short-Term'!AN28+'MK Short-Term'!AN28</x:f>
        <x:v>2354183.7094058264</x:v>
      </x:c>
      <x:c r="AO28" s="35" t="n">
        <x:f>'CF Short-Term'!AO28+'MK Short-Term'!AO28</x:f>
        <x:v>2354183.7094058264</x:v>
      </x:c>
      <x:c r="AP28" s="35" t="n">
        <x:f>'CF Short-Term'!AP28+'MK Short-Term'!AP28</x:f>
        <x:v>2354183.7094058264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235543678.1565825</x:v>
      </x:c>
      <x:c r="F29" s="2"/>
      <x:c r="G29" s="35" t="n">
        <x:f>'CF Short-Term'!G29+'MK Short-Term'!G29</x:f>
        <x:v>58402509.91721113</x:v>
      </x:c>
      <x:c r="H29" s="35" t="n">
        <x:f>'CF Short-Term'!H29+'MK Short-Term'!H29</x:f>
        <x:v>39727898.2102601</x:v>
      </x:c>
      <x:c r="I29" s="35" t="n">
        <x:f>'CF Short-Term'!I29+'MK Short-Term'!I29</x:f>
        <x:v>30703407.312469523</x:v>
      </x:c>
      <x:c r="J29" s="35" t="n">
        <x:f>'CF Short-Term'!J29+'MK Short-Term'!J29</x:f>
        <x:v>24737704.64353897</x:v>
      </x:c>
      <x:c r="K29" s="35" t="n">
        <x:f>'CF Short-Term'!K29+'MK Short-Term'!K29</x:f>
        <x:v>20241802.519162297</x:v>
      </x:c>
      <x:c r="L29" s="35" t="n">
        <x:f>'CF Short-Term'!L29+'MK Short-Term'!L29</x:f>
        <x:v>16603353.784872096</x:v>
      </x:c>
      <x:c r="M29" s="35" t="n">
        <x:f>'CF Short-Term'!M29+'MK Short-Term'!M29</x:f>
        <x:v>13524761.703102622</x:v>
      </x:c>
      <x:c r="N29" s="35" t="n">
        <x:f>'CF Short-Term'!N29+'MK Short-Term'!N29</x:f>
        <x:v>10835740.889968589</x:v>
      </x:c>
      <x:c r="O29" s="35" t="n">
        <x:f>'CF Short-Term'!O29+'MK Short-Term'!O29</x:f>
        <x:v>8423268.602226036</x:v>
      </x:c>
      <x:c r="P29" s="35" t="n">
        <x:f>'CF Short-Term'!P29+'MK Short-Term'!P29</x:f>
        <x:v>6200946.813687934</x:v>
      </x:c>
      <x:c r="Q29" s="35" t="n">
        <x:f>'CF Short-Term'!Q29+'MK Short-Term'!Q29</x:f>
        <x:v>4096042.2127950103</x:v>
      </x:c>
      <x:c r="R29" s="35" t="n">
        <x:f>'CF Short-Term'!R29+'MK Short-Term'!R29</x:f>
        <x:v>2046241.5472881747</x:v>
      </x:c>
      <x:c r="S29" s="35" t="n">
        <x:f>'CF Short-Term'!S29+'MK Short-Term'!S29</x:f>
        <x:v>0</x:v>
      </x:c>
      <x:c r="T29" s="35" t="n">
        <x:f>'CF Short-Term'!T29+'MK Short-Term'!T29</x:f>
        <x:v>0</x:v>
      </x:c>
      <x:c r="U29" s="35" t="n">
        <x:f>'CF Short-Term'!U29+'MK Short-Term'!U29</x:f>
        <x:v>0</x:v>
      </x:c>
      <x:c r="V29" s="35" t="n">
        <x:f>'CF Short-Term'!V29+'MK Short-Term'!V29</x:f>
        <x:v>0</x:v>
      </x:c>
      <x:c r="W29" s="35" t="n">
        <x:f>'CF Short-Term'!W29+'MK Short-Term'!W29</x:f>
        <x:v>0</x:v>
      </x:c>
      <x:c r="X29" s="35" t="n">
        <x:f>'CF Short-Term'!X29+'MK Short-Term'!X29</x:f>
        <x:v>0</x:v>
      </x:c>
      <x:c r="Y29" s="35" t="n">
        <x:f>'CF Short-Term'!Y29+'MK Short-Term'!Y29</x:f>
        <x:v>0</x:v>
      </x:c>
      <x:c r="Z29" s="35" t="n">
        <x:f>'CF Short-Term'!Z29+'MK Short-Term'!Z29</x:f>
        <x:v>0</x:v>
      </x:c>
      <x:c r="AA29" s="35" t="n">
        <x:f>'CF Short-Term'!AA29+'MK Short-Term'!AA29</x:f>
        <x:v>0</x:v>
      </x:c>
      <x:c r="AB29" s="35" t="n">
        <x:f>'CF Short-Term'!AB29+'MK Short-Term'!AB29</x:f>
        <x:v>0</x:v>
      </x:c>
      <x:c r="AC29" s="35" t="n">
        <x:f>'CF Short-Term'!AC29+'MK Short-Term'!AC29</x:f>
        <x:v>0</x:v>
      </x:c>
      <x:c r="AD29" s="35" t="n">
        <x:f>'CF Short-Term'!AD29+'MK Short-Term'!AD29</x:f>
        <x:v>0</x:v>
      </x:c>
      <x:c r="AE29" s="35" t="n">
        <x:f>'CF Short-Term'!AE29+'MK Short-Term'!AE29</x:f>
        <x:v>0</x:v>
      </x:c>
      <x:c r="AF29" s="35" t="n">
        <x:f>'CF Short-Term'!AF29+'MK Short-Term'!AF29</x:f>
        <x:v>0</x:v>
      </x:c>
      <x:c r="AG29" s="35" t="n">
        <x:f>'CF Short-Term'!AG29+'MK Short-Term'!AG29</x:f>
        <x:v>0</x:v>
      </x:c>
      <x:c r="AH29" s="35" t="n">
        <x:f>'CF Short-Term'!AH29+'MK Short-Term'!AH29</x:f>
        <x:v>0</x:v>
      </x:c>
      <x:c r="AI29" s="35" t="n">
        <x:f>'CF Short-Term'!AI29+'MK Short-Term'!AI29</x:f>
        <x:v>0</x:v>
      </x:c>
      <x:c r="AJ29" s="35" t="n">
        <x:f>'CF Short-Term'!AJ29+'MK Short-Term'!AJ29</x:f>
        <x:v>0</x:v>
      </x:c>
      <x:c r="AK29" s="35" t="n">
        <x:f>'CF Short-Term'!AK29+'MK Short-Term'!AK29</x:f>
        <x:v>0</x:v>
      </x:c>
      <x:c r="AL29" s="35" t="n">
        <x:f>'CF Short-Term'!AL29+'MK Short-Term'!AL29</x:f>
        <x:v>0</x:v>
      </x:c>
      <x:c r="AM29" s="35" t="n">
        <x:f>'CF Short-Term'!AM29+'MK Short-Term'!AM29</x:f>
        <x:v>0</x:v>
      </x:c>
      <x:c r="AN29" s="35" t="n">
        <x:f>'CF Short-Term'!AN29+'MK Short-Term'!AN29</x:f>
        <x:v>0</x:v>
      </x:c>
      <x:c r="AO29" s="35" t="n">
        <x:f>'CF Short-Term'!AO29+'MK Short-Term'!AO29</x:f>
        <x:v>0</x:v>
      </x:c>
      <x:c r="AP29" s="35" t="n">
        <x:f>'CF Short-Term'!AP29+'MK Short-Term'!AP29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187391717.3150383</x:v>
      </x:c>
      <x:c r="F30" s="2"/>
      <x:c r="G30" s="35" t="n">
        <x:f>'CF Short-Term'!G30+'MK Short-Term'!G30</x:f>
        <x:v>0</x:v>
      </x:c>
      <x:c r="H30" s="35" t="n">
        <x:f>'CF Short-Term'!H30+'MK Short-Term'!H30</x:f>
        <x:v>683533.9551517887</x:v>
      </x:c>
      <x:c r="I30" s="35" t="n">
        <x:f>'CF Short-Term'!I30+'MK Short-Term'!I30</x:f>
        <x:v>1403743.3931104238</x:v>
      </x:c>
      <x:c r="J30" s="35" t="n">
        <x:f>'CF Short-Term'!J30+'MK Short-Term'!J30</x:f>
        <x:v>2157472.290229002</x:v>
      </x:c>
      <x:c r="K30" s="35" t="n">
        <x:f>'CF Short-Term'!K30+'MK Short-Term'!K30</x:f>
        <x:v>2943438.224861999</x:v>
      </x:c>
      <x:c r="L30" s="35" t="n">
        <x:f>'CF Short-Term'!L30+'MK Short-Term'!L30</x:f>
        <x:v>3763754.403996176</x:v>
      </x:c>
      <x:c r="M30" s="35" t="n">
        <x:f>'CF Short-Term'!M30+'MK Short-Term'!M30</x:f>
        <x:v>4624144.907124623</x:v>
      </x:c>
      <x:c r="N30" s="35" t="n">
        <x:f>'CF Short-Term'!N30+'MK Short-Term'!N30</x:f>
        <x:v>5533011.989615916</x:v>
      </x:c>
      <x:c r="O30" s="35" t="n">
        <x:f>'CF Short-Term'!O30+'MK Short-Term'!O30</x:f>
        <x:v>6500086.138146677</x:v>
      </x:c>
      <x:c r="P30" s="35" t="n">
        <x:f>'CF Short-Term'!P30+'MK Short-Term'!P30</x:f>
        <x:v>7535344.02738695</x:v>
      </x:c>
      <x:c r="Q30" s="35" t="n">
        <x:f>'CF Short-Term'!Q30+'MK Short-Term'!Q30</x:f>
        <x:v>8648489.86442246</x:v>
      </x:c>
      <x:c r="R30" s="35" t="n">
        <x:f>'CF Short-Term'!R30+'MK Short-Term'!R30</x:f>
        <x:v>9848902.63386223</x:v>
      </x:c>
      <x:c r="S30" s="35" t="n">
        <x:f>'CF Short-Term'!S30+'MK Short-Term'!S30</x:f>
        <x:v>11145816.290594172</x:v>
      </x:c>
      <x:c r="T30" s="35" t="n">
        <x:f>'CF Short-Term'!T30+'MK Short-Term'!T30</x:f>
        <x:v>11145816.290594172</x:v>
      </x:c>
      <x:c r="U30" s="35" t="n">
        <x:f>'CF Short-Term'!U30+'MK Short-Term'!U30</x:f>
        <x:v>11145816.290594172</x:v>
      </x:c>
      <x:c r="V30" s="35" t="n">
        <x:f>'CF Short-Term'!V30+'MK Short-Term'!V30</x:f>
        <x:v>11145816.290594172</x:v>
      </x:c>
      <x:c r="W30" s="35" t="n">
        <x:f>'CF Short-Term'!W30+'MK Short-Term'!W30</x:f>
        <x:v>11145816.290594172</x:v>
      </x:c>
      <x:c r="X30" s="35" t="n">
        <x:f>'CF Short-Term'!X30+'MK Short-Term'!X30</x:f>
        <x:v>11145816.290594172</x:v>
      </x:c>
      <x:c r="Y30" s="35" t="n">
        <x:f>'CF Short-Term'!Y30+'MK Short-Term'!Y30</x:f>
        <x:v>11145816.290594172</x:v>
      </x:c>
      <x:c r="Z30" s="35" t="n">
        <x:f>'CF Short-Term'!Z30+'MK Short-Term'!Z30</x:f>
        <x:v>11145816.290594172</x:v>
      </x:c>
      <x:c r="AA30" s="35" t="n">
        <x:f>'CF Short-Term'!AA30+'MK Short-Term'!AA30</x:f>
        <x:v>11145816.290594172</x:v>
      </x:c>
      <x:c r="AB30" s="35" t="n">
        <x:f>'CF Short-Term'!AB30+'MK Short-Term'!AB30</x:f>
        <x:v>11145816.290594172</x:v>
      </x:c>
      <x:c r="AC30" s="35" t="n">
        <x:f>'CF Short-Term'!AC30+'MK Short-Term'!AC30</x:f>
        <x:v>11145816.290594172</x:v>
      </x:c>
      <x:c r="AD30" s="35" t="n">
        <x:f>'CF Short-Term'!AD30+'MK Short-Term'!AD30</x:f>
        <x:v>11145816.290594172</x:v>
      </x:c>
      <x:c r="AE30" s="35" t="n">
        <x:f>'CF Short-Term'!AE30+'MK Short-Term'!AE30</x:f>
        <x:v>11145816.290594172</x:v>
      </x:c>
      <x:c r="AF30" s="35" t="n">
        <x:f>'CF Short-Term'!AF30+'MK Short-Term'!AF30</x:f>
        <x:v>11145816.290594172</x:v>
      </x:c>
      <x:c r="AG30" s="35" t="n">
        <x:f>'CF Short-Term'!AG30+'MK Short-Term'!AG30</x:f>
        <x:v>11145816.290594172</x:v>
      </x:c>
      <x:c r="AH30" s="35" t="n">
        <x:f>'CF Short-Term'!AH30+'MK Short-Term'!AH30</x:f>
        <x:v>11145816.290594172</x:v>
      </x:c>
      <x:c r="AI30" s="35" t="n">
        <x:f>'CF Short-Term'!AI30+'MK Short-Term'!AI30</x:f>
        <x:v>11145816.290594172</x:v>
      </x:c>
      <x:c r="AJ30" s="35" t="n">
        <x:f>'CF Short-Term'!AJ30+'MK Short-Term'!AJ30</x:f>
        <x:v>11145816.290594172</x:v>
      </x:c>
      <x:c r="AK30" s="35" t="n">
        <x:f>'CF Short-Term'!AK30+'MK Short-Term'!AK30</x:f>
        <x:v>11145816.290594172</x:v>
      </x:c>
      <x:c r="AL30" s="35" t="n">
        <x:f>'CF Short-Term'!AL30+'MK Short-Term'!AL30</x:f>
        <x:v>11145816.290594172</x:v>
      </x:c>
      <x:c r="AM30" s="35" t="n">
        <x:f>'CF Short-Term'!AM30+'MK Short-Term'!AM30</x:f>
        <x:v>11145816.290594172</x:v>
      </x:c>
      <x:c r="AN30" s="35" t="n">
        <x:f>'CF Short-Term'!AN30+'MK Short-Term'!AN30</x:f>
        <x:v>11145816.290594172</x:v>
      </x:c>
      <x:c r="AO30" s="35" t="n">
        <x:f>'CF Short-Term'!AO30+'MK Short-Term'!AO30</x:f>
        <x:v>11145816.290594172</x:v>
      </x:c>
      <x:c r="AP30" s="35" t="n">
        <x:f>'CF Short-Term'!AP30+'MK Short-Term'!AP30</x:f>
        <x:v>11145816.290594172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79874791.15316372</x:v>
      </x:c>
      <x:c r="F32" s="2"/>
      <x:c r="G32" s="35" t="n">
        <x:f>'CF Short-Term'!G32+'MK Short-Term'!G32</x:f>
        <x:v>20839648.197552282</x:v>
      </x:c>
      <x:c r="H32" s="35" t="n">
        <x:f>'CF Short-Term'!H32+'MK Short-Term'!H32</x:f>
        <x:v>15602934.705086358</x:v>
      </x:c>
      <x:c r="I32" s="35" t="n">
        <x:f>'CF Short-Term'!I32+'MK Short-Term'!I32</x:f>
        <x:v>12004508.762865776</x:v>
      </x:c>
      <x:c r="J32" s="35" t="n">
        <x:f>'CF Short-Term'!J32+'MK Short-Term'!J32</x:f>
        <x:v>9233930.56876838</x:v>
      </x:c>
      <x:c r="K32" s="35" t="n">
        <x:f>'CF Short-Term'!K32+'MK Short-Term'!K32</x:f>
        <x:v>7026958.569698057</x:v>
      </x:c>
      <x:c r="L32" s="35" t="n">
        <x:f>'CF Short-Term'!L32+'MK Short-Term'!L32</x:f>
        <x:v>5247977.057254376</x:v>
      </x:c>
      <x:c r="M32" s="35" t="n">
        <x:f>'CF Short-Term'!M32+'MK Short-Term'!M32</x:f>
        <x:v>3810810.2330195773</x:v>
      </x:c>
      <x:c r="N32" s="35" t="n">
        <x:f>'CF Short-Term'!N32+'MK Short-Term'!N32</x:f>
        <x:v>2655349.1835688255</x:v>
      </x:c>
      <x:c r="O32" s="35" t="n">
        <x:f>'CF Short-Term'!O32+'MK Short-Term'!O32</x:f>
        <x:v>1738760.9326805302</x:v>
      </x:c>
      <x:c r="P32" s="35" t="n">
        <x:f>'CF Short-Term'!P32+'MK Short-Term'!P32</x:f>
        <x:v>1031071.2425711085</x:v>
      </x:c>
      <x:c r="Q32" s="35" t="n">
        <x:f>'CF Short-Term'!Q32+'MK Short-Term'!Q32</x:f>
        <x:v>512321.571157752</x:v>
      </x:c>
      <x:c r="R32" s="35" t="n">
        <x:f>'CF Short-Term'!R32+'MK Short-Term'!R32</x:f>
        <x:v>170520.128940684</x:v>
      </x:c>
      <x:c r="S32" s="35" t="n">
        <x:f>'CF Short-Term'!S32+'MK Short-Term'!S32</x:f>
        <x:v>2.7551626165707903e-9</x:v>
      </x:c>
      <x:c r="T32" s="35" t="n">
        <x:f>'CF Short-Term'!T32+'MK Short-Term'!T32</x:f>
        <x:v>2.7551626165707903e-9</x:v>
      </x:c>
      <x:c r="U32" s="35" t="n">
        <x:f>'CF Short-Term'!U32+'MK Short-Term'!U32</x:f>
        <x:v>2.7551626165707903e-9</x:v>
      </x:c>
      <x:c r="V32" s="35" t="n">
        <x:f>'CF Short-Term'!V32+'MK Short-Term'!V32</x:f>
        <x:v>2.7551626165707903e-9</x:v>
      </x:c>
      <x:c r="W32" s="35" t="n">
        <x:f>'CF Short-Term'!W32+'MK Short-Term'!W32</x:f>
        <x:v>2.7551626165707903e-9</x:v>
      </x:c>
      <x:c r="X32" s="35" t="n">
        <x:f>'CF Short-Term'!X32+'MK Short-Term'!X32</x:f>
        <x:v>2.7551626165707903e-9</x:v>
      </x:c>
      <x:c r="Y32" s="35" t="n">
        <x:f>'CF Short-Term'!Y32+'MK Short-Term'!Y32</x:f>
        <x:v>2.7551626165707903e-9</x:v>
      </x:c>
      <x:c r="Z32" s="35" t="n">
        <x:f>'CF Short-Term'!Z32+'MK Short-Term'!Z32</x:f>
        <x:v>2.7551626165707903e-9</x:v>
      </x:c>
      <x:c r="AA32" s="35" t="n">
        <x:f>'CF Short-Term'!AA32+'MK Short-Term'!AA32</x:f>
        <x:v>2.7551626165707903e-9</x:v>
      </x:c>
      <x:c r="AB32" s="35" t="n">
        <x:f>'CF Short-Term'!AB32+'MK Short-Term'!AB32</x:f>
        <x:v>2.7551626165707903e-9</x:v>
      </x:c>
      <x:c r="AC32" s="35" t="n">
        <x:f>'CF Short-Term'!AC32+'MK Short-Term'!AC32</x:f>
        <x:v>2.7551626165707903e-9</x:v>
      </x:c>
      <x:c r="AD32" s="35" t="n">
        <x:f>'CF Short-Term'!AD32+'MK Short-Term'!AD32</x:f>
        <x:v>2.7551626165707903e-9</x:v>
      </x:c>
      <x:c r="AE32" s="35" t="n">
        <x:f>'CF Short-Term'!AE32+'MK Short-Term'!AE32</x:f>
        <x:v>2.7551626165707903e-9</x:v>
      </x:c>
      <x:c r="AF32" s="35" t="n">
        <x:f>'CF Short-Term'!AF32+'MK Short-Term'!AF32</x:f>
        <x:v>2.7551626165707903e-9</x:v>
      </x:c>
      <x:c r="AG32" s="35" t="n">
        <x:f>'CF Short-Term'!AG32+'MK Short-Term'!AG32</x:f>
        <x:v>2.7551626165707903e-9</x:v>
      </x:c>
      <x:c r="AH32" s="35" t="n">
        <x:f>'CF Short-Term'!AH32+'MK Short-Term'!AH32</x:f>
        <x:v>2.7551626165707903e-9</x:v>
      </x:c>
      <x:c r="AI32" s="35" t="n">
        <x:f>'CF Short-Term'!AI32+'MK Short-Term'!AI32</x:f>
        <x:v>2.7551626165707903e-9</x:v>
      </x:c>
      <x:c r="AJ32" s="35" t="n">
        <x:f>'CF Short-Term'!AJ32+'MK Short-Term'!AJ32</x:f>
        <x:v>2.7551626165707903e-9</x:v>
      </x:c>
      <x:c r="AK32" s="35" t="n">
        <x:f>'CF Short-Term'!AK32+'MK Short-Term'!AK32</x:f>
        <x:v>2.7551626165707903e-9</x:v>
      </x:c>
      <x:c r="AL32" s="35" t="n">
        <x:f>'CF Short-Term'!AL32+'MK Short-Term'!AL32</x:f>
        <x:v>2.7551626165707903e-9</x:v>
      </x:c>
      <x:c r="AM32" s="35" t="n">
        <x:f>'CF Short-Term'!AM32+'MK Short-Term'!AM32</x:f>
        <x:v>2.7551626165707903e-9</x:v>
      </x:c>
      <x:c r="AN32" s="35" t="n">
        <x:f>'CF Short-Term'!AN32+'MK Short-Term'!AN32</x:f>
        <x:v>2.7551626165707903e-9</x:v>
      </x:c>
      <x:c r="AO32" s="35" t="n">
        <x:f>'CF Short-Term'!AO32+'MK Short-Term'!AO32</x:f>
        <x:v>2.7551626165707903e-9</x:v>
      </x:c>
      <x:c r="AP32" s="35" t="n">
        <x:f>'CF Short-Term'!AP32+'MK Short-Term'!AP32</x:f>
        <x:v>2.7551626165707903e-9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140585333.27938715</x:v>
      </x:c>
      <x:c r="F33" s="2"/>
      <x:c r="G33" s="35" t="n">
        <x:f>'CF Short-Term'!G33+'MK Short-Term'!G33</x:f>
        <x:v>0</x:v>
      </x:c>
      <x:c r="H33" s="35" t="n">
        <x:f>'CF Short-Term'!H33+'MK Short-Term'!H33</x:f>
        <x:v>1102564.3917266894</x:v>
      </x:c>
      <x:c r="I33" s="35" t="n">
        <x:f>'CF Short-Term'!I33+'MK Short-Term'!I33</x:f>
        <x:v>2119523.579373097</x:v>
      </x:c>
      <x:c r="J33" s="35" t="n">
        <x:f>'CF Short-Term'!J33+'MK Short-Term'!J33</x:f>
        <x:v>3043965.7465760997</x:v>
      </x:c>
      <x:c r="K33" s="35" t="n">
        <x:f>'CF Short-Term'!K33+'MK Short-Term'!K33</x:f>
        <x:v>3873335.0960864094</x:v>
      </x:c>
      <x:c r="L33" s="35" t="n">
        <x:f>'CF Short-Term'!L33+'MK Short-Term'!L33</x:f>
        <x:v>4609264.483863731</x:v>
      </x:c>
      <x:c r="M33" s="35" t="n">
        <x:f>'CF Short-Term'!M33+'MK Short-Term'!M33</x:f>
        <x:v>5255586.344013013</x:v>
      </x:c>
      <x:c r="N33" s="35" t="n">
        <x:f>'CF Short-Term'!N33+'MK Short-Term'!N33</x:f>
        <x:v>5815892.510130124</x:v>
      </x:c>
      <x:c r="O33" s="35" t="n">
        <x:f>'CF Short-Term'!O33+'MK Short-Term'!O33</x:f>
        <x:v>6291831.566614923</x:v>
      </x:c>
      <x:c r="P33" s="35" t="n">
        <x:f>'CF Short-Term'!P33+'MK Short-Term'!P33</x:f>
        <x:v>6682499.631010426</x:v>
      </x:c>
      <x:c r="Q33" s="35" t="n">
        <x:f>'CF Short-Term'!Q33+'MK Short-Term'!Q33</x:f>
        <x:v>6984620.8101595305</x:v>
      </x:c>
      <x:c r="R33" s="35" t="n">
        <x:f>'CF Short-Term'!R33+'MK Short-Term'!R33</x:f>
        <x:v>7193025.804853935</x:v>
      </x:c>
      <x:c r="S33" s="35" t="n">
        <x:f>'CF Short-Term'!S33+'MK Short-Term'!S33</x:f>
        <x:v>7301101.942914931</x:v>
      </x:c>
      <x:c r="T33" s="35" t="n">
        <x:f>'CF Short-Term'!T33+'MK Short-Term'!T33</x:f>
        <x:v>7301101.942914931</x:v>
      </x:c>
      <x:c r="U33" s="35" t="n">
        <x:f>'CF Short-Term'!U33+'MK Short-Term'!U33</x:f>
        <x:v>7301101.942914931</x:v>
      </x:c>
      <x:c r="V33" s="35" t="n">
        <x:f>'CF Short-Term'!V33+'MK Short-Term'!V33</x:f>
        <x:v>7301101.942914931</x:v>
      </x:c>
      <x:c r="W33" s="35" t="n">
        <x:f>'CF Short-Term'!W33+'MK Short-Term'!W33</x:f>
        <x:v>7301101.942914931</x:v>
      </x:c>
      <x:c r="X33" s="35" t="n">
        <x:f>'CF Short-Term'!X33+'MK Short-Term'!X33</x:f>
        <x:v>7301101.942914931</x:v>
      </x:c>
      <x:c r="Y33" s="35" t="n">
        <x:f>'CF Short-Term'!Y33+'MK Short-Term'!Y33</x:f>
        <x:v>7301101.942914931</x:v>
      </x:c>
      <x:c r="Z33" s="35" t="n">
        <x:f>'CF Short-Term'!Z33+'MK Short-Term'!Z33</x:f>
        <x:v>7301101.942914931</x:v>
      </x:c>
      <x:c r="AA33" s="35" t="n">
        <x:f>'CF Short-Term'!AA33+'MK Short-Term'!AA33</x:f>
        <x:v>7301101.942914931</x:v>
      </x:c>
      <x:c r="AB33" s="35" t="n">
        <x:f>'CF Short-Term'!AB33+'MK Short-Term'!AB33</x:f>
        <x:v>7301101.942914931</x:v>
      </x:c>
      <x:c r="AC33" s="35" t="n">
        <x:f>'CF Short-Term'!AC33+'MK Short-Term'!AC33</x:f>
        <x:v>7301101.942914931</x:v>
      </x:c>
      <x:c r="AD33" s="35" t="n">
        <x:f>'CF Short-Term'!AD33+'MK Short-Term'!AD33</x:f>
        <x:v>7301101.942914931</x:v>
      </x:c>
      <x:c r="AE33" s="35" t="n">
        <x:f>'CF Short-Term'!AE33+'MK Short-Term'!AE33</x:f>
        <x:v>7301101.942914931</x:v>
      </x:c>
      <x:c r="AF33" s="35" t="n">
        <x:f>'CF Short-Term'!AF33+'MK Short-Term'!AF33</x:f>
        <x:v>7301101.942914931</x:v>
      </x:c>
      <x:c r="AG33" s="35" t="n">
        <x:f>'CF Short-Term'!AG33+'MK Short-Term'!AG33</x:f>
        <x:v>7301101.942914931</x:v>
      </x:c>
      <x:c r="AH33" s="35" t="n">
        <x:f>'CF Short-Term'!AH33+'MK Short-Term'!AH33</x:f>
        <x:v>7301101.942914931</x:v>
      </x:c>
      <x:c r="AI33" s="35" t="n">
        <x:f>'CF Short-Term'!AI33+'MK Short-Term'!AI33</x:f>
        <x:v>7301101.942914931</x:v>
      </x:c>
      <x:c r="AJ33" s="35" t="n">
        <x:f>'CF Short-Term'!AJ33+'MK Short-Term'!AJ33</x:f>
        <x:v>7301101.942914931</x:v>
      </x:c>
      <x:c r="AK33" s="35" t="n">
        <x:f>'CF Short-Term'!AK33+'MK Short-Term'!AK33</x:f>
        <x:v>7301101.942914931</x:v>
      </x:c>
      <x:c r="AL33" s="35" t="n">
        <x:f>'CF Short-Term'!AL33+'MK Short-Term'!AL33</x:f>
        <x:v>7301101.942914931</x:v>
      </x:c>
      <x:c r="AM33" s="35" t="n">
        <x:f>'CF Short-Term'!AM33+'MK Short-Term'!AM33</x:f>
        <x:v>7301101.942914931</x:v>
      </x:c>
      <x:c r="AN33" s="35" t="n">
        <x:f>'CF Short-Term'!AN33+'MK Short-Term'!AN33</x:f>
        <x:v>7301101.942914931</x:v>
      </x:c>
      <x:c r="AO33" s="35" t="n">
        <x:f>'CF Short-Term'!AO33+'MK Short-Term'!AO33</x:f>
        <x:v>7301101.942914931</x:v>
      </x:c>
      <x:c r="AP33" s="35" t="n">
        <x:f>'CF Short-Term'!AP33+'MK Short-Term'!AP33</x:f>
        <x:v>7301101.942914931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3.306195139884949e-8</x:v>
      </x:c>
      <x:c r="F34" s="2"/>
      <x:c r="G34" s="35" t="n">
        <x:f>'CF Short-Term'!G34+'MK Short-Term'!G34</x:f>
        <x:v>191673268.45341626</x:v>
      </x:c>
      <x:c r="H34" s="35" t="n">
        <x:f>'CF Short-Term'!H34+'MK Short-Term'!H34</x:f>
        <x:v>147507318.2507762</x:v>
      </x:c>
      <x:c r="I34" s="35" t="n">
        <x:f>'CF Short-Term'!I34+'MK Short-Term'!I34</x:f>
        <x:v>113350697.84191981</x:v>
      </x:c>
      <x:c r="J34" s="35" t="n">
        <x:f>'CF Short-Term'!J34+'MK Short-Term'!J34</x:f>
        <x:v>86069462.1816816</x:v>
      </x:c>
      <x:c r="K34" s="35" t="n">
        <x:f>'CF Short-Term'!K34+'MK Short-Term'!K34</x:f>
        <x:v>64081700.31721439</x:v>
      </x:c>
      <x:c r="L34" s="35" t="n">
        <x:f>'CF Short-Term'!L34+'MK Short-Term'!L34</x:f>
        <x:v>46372370.90218042</x:v>
      </x:c>
      <x:c r="M34" s="35" t="n">
        <x:f>'CF Short-Term'!M34+'MK Short-Term'!M34</x:f>
        <x:v>32204961.093132302</x:v>
      </x:c>
      <x:c r="N34" s="35" t="n">
        <x:f>'CF Short-Term'!N34+'MK Short-Term'!N34</x:f>
        <x:v>21028449.312857315</x:v>
      </x:c>
      <x:c r="O34" s="35" t="n">
        <x:f>'CF Short-Term'!O34+'MK Short-Term'!O34</x:f>
        <x:v>12441862.589940328</x:v>
      </x:c>
      <x:c r="P34" s="35" t="n">
        <x:f>'CF Short-Term'!P34+'MK Short-Term'!P34</x:f>
        <x:v>6171908.0971653685</x:v>
      </x:c>
      <x:c r="Q34" s="35" t="n">
        <x:f>'CF Short-Term'!Q34+'MK Short-Term'!Q34</x:f>
        <x:v>2051816.6410980136</x:v>
      </x:c>
      <x:c r="R34" s="35" t="n">
        <x:f>'CF Short-Term'!R34+'MK Short-Term'!R34</x:f>
        <x:v>3.306195139884949e-8</x:v>
      </x:c>
      <x:c r="S34" s="35" t="n">
        <x:f>'CF Short-Term'!S34+'MK Short-Term'!S34</x:f>
        <x:v>3.306195139884949e-8</x:v>
      </x:c>
      <x:c r="T34" s="35" t="n">
        <x:f>'CF Short-Term'!T34+'MK Short-Term'!T34</x:f>
        <x:v>3.306195139884949e-8</x:v>
      </x:c>
      <x:c r="U34" s="35" t="n">
        <x:f>'CF Short-Term'!U34+'MK Short-Term'!U34</x:f>
        <x:v>3.306195139884949e-8</x:v>
      </x:c>
      <x:c r="V34" s="35" t="n">
        <x:f>'CF Short-Term'!V34+'MK Short-Term'!V34</x:f>
        <x:v>3.306195139884949e-8</x:v>
      </x:c>
      <x:c r="W34" s="35" t="n">
        <x:f>'CF Short-Term'!W34+'MK Short-Term'!W34</x:f>
        <x:v>3.306195139884949e-8</x:v>
      </x:c>
      <x:c r="X34" s="35" t="n">
        <x:f>'CF Short-Term'!X34+'MK Short-Term'!X34</x:f>
        <x:v>3.306195139884949e-8</x:v>
      </x:c>
      <x:c r="Y34" s="35" t="n">
        <x:f>'CF Short-Term'!Y34+'MK Short-Term'!Y34</x:f>
        <x:v>3.306195139884949e-8</x:v>
      </x:c>
      <x:c r="Z34" s="35" t="n">
        <x:f>'CF Short-Term'!Z34+'MK Short-Term'!Z34</x:f>
        <x:v>3.306195139884949e-8</x:v>
      </x:c>
      <x:c r="AA34" s="35" t="n">
        <x:f>'CF Short-Term'!AA34+'MK Short-Term'!AA34</x:f>
        <x:v>3.306195139884949e-8</x:v>
      </x:c>
      <x:c r="AB34" s="35" t="n">
        <x:f>'CF Short-Term'!AB34+'MK Short-Term'!AB34</x:f>
        <x:v>3.306195139884949e-8</x:v>
      </x:c>
      <x:c r="AC34" s="35" t="n">
        <x:f>'CF Short-Term'!AC34+'MK Short-Term'!AC34</x:f>
        <x:v>3.306195139884949e-8</x:v>
      </x:c>
      <x:c r="AD34" s="35" t="n">
        <x:f>'CF Short-Term'!AD34+'MK Short-Term'!AD34</x:f>
        <x:v>3.306195139884949e-8</x:v>
      </x:c>
      <x:c r="AE34" s="35" t="n">
        <x:f>'CF Short-Term'!AE34+'MK Short-Term'!AE34</x:f>
        <x:v>3.306195139884949e-8</x:v>
      </x:c>
      <x:c r="AF34" s="35" t="n">
        <x:f>'CF Short-Term'!AF34+'MK Short-Term'!AF34</x:f>
        <x:v>3.306195139884949e-8</x:v>
      </x:c>
      <x:c r="AG34" s="35" t="n">
        <x:f>'CF Short-Term'!AG34+'MK Short-Term'!AG34</x:f>
        <x:v>3.306195139884949e-8</x:v>
      </x:c>
      <x:c r="AH34" s="35" t="n">
        <x:f>'CF Short-Term'!AH34+'MK Short-Term'!AH34</x:f>
        <x:v>3.306195139884949e-8</x:v>
      </x:c>
      <x:c r="AI34" s="35" t="n">
        <x:f>'CF Short-Term'!AI34+'MK Short-Term'!AI34</x:f>
        <x:v>3.306195139884949e-8</x:v>
      </x:c>
      <x:c r="AJ34" s="35" t="n">
        <x:f>'CF Short-Term'!AJ34+'MK Short-Term'!AJ34</x:f>
        <x:v>3.306195139884949e-8</x:v>
      </x:c>
      <x:c r="AK34" s="35" t="n">
        <x:f>'CF Short-Term'!AK34+'MK Short-Term'!AK34</x:f>
        <x:v>3.306195139884949e-8</x:v>
      </x:c>
      <x:c r="AL34" s="35" t="n">
        <x:f>'CF Short-Term'!AL34+'MK Short-Term'!AL34</x:f>
        <x:v>3.306195139884949e-8</x:v>
      </x:c>
      <x:c r="AM34" s="35" t="n">
        <x:f>'CF Short-Term'!AM34+'MK Short-Term'!AM34</x:f>
        <x:v>3.306195139884949e-8</x:v>
      </x:c>
      <x:c r="AN34" s="35" t="n">
        <x:f>'CF Short-Term'!AN34+'MK Short-Term'!AN34</x:f>
        <x:v>3.306195139884949e-8</x:v>
      </x:c>
      <x:c r="AO34" s="35" t="n">
        <x:f>'CF Short-Term'!AO34+'MK Short-Term'!AO34</x:f>
        <x:v>3.306195139884949e-8</x:v>
      </x:c>
      <x:c r="AP34" s="35" t="n">
        <x:f>'CF Short-Term'!AP34+'MK Short-Term'!AP34</x:f>
        <x:v>3.306195139884949e-8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'CF Short-Term'!G35+'MK Short-Term'!G35</x:f>
        <x:v>0</x:v>
      </x:c>
      <x:c r="H35" s="36" t="n">
        <x:f>'CF Short-Term'!H35+'MK Short-Term'!H35</x:f>
        <x:v>0</x:v>
      </x:c>
      <x:c r="I35" s="36" t="n">
        <x:f>'CF Short-Term'!I35+'MK Short-Term'!I35</x:f>
        <x:v>0</x:v>
      </x:c>
      <x:c r="J35" s="36" t="n">
        <x:f>'CF Short-Term'!J35+'MK Short-Term'!J35</x:f>
        <x:v>0</x:v>
      </x:c>
      <x:c r="K35" s="36" t="n">
        <x:f>'CF Short-Term'!K35+'MK Short-Term'!K35</x:f>
        <x:v>0</x:v>
      </x:c>
      <x:c r="L35" s="36" t="n">
        <x:f>'CF Short-Term'!L35+'MK Short-Term'!L35</x:f>
        <x:v>0</x:v>
      </x:c>
      <x:c r="M35" s="36" t="n">
        <x:f>'CF Short-Term'!M35+'MK Short-Term'!M35</x:f>
        <x:v>0</x:v>
      </x:c>
      <x:c r="N35" s="36" t="n">
        <x:f>'CF Short-Term'!N35+'MK Short-Term'!N35</x:f>
        <x:v>0</x:v>
      </x:c>
      <x:c r="O35" s="36" t="n">
        <x:f>'CF Short-Term'!O35+'MK Short-Term'!O35</x:f>
        <x:v>0</x:v>
      </x:c>
      <x:c r="P35" s="36" t="n">
        <x:f>'CF Short-Term'!P35+'MK Short-Term'!P35</x:f>
        <x:v>0</x:v>
      </x:c>
      <x:c r="Q35" s="36" t="n">
        <x:f>'CF Short-Term'!Q35+'MK Short-Term'!Q35</x:f>
        <x:v>0</x:v>
      </x:c>
      <x:c r="R35" s="36" t="n">
        <x:f>'CF Short-Term'!R35+'MK Short-Term'!R35</x:f>
        <x:v>0</x:v>
      </x:c>
      <x:c r="S35" s="36" t="n">
        <x:f>'CF Short-Term'!S35+'MK Short-Term'!S35</x:f>
        <x:v>0</x:v>
      </x:c>
      <x:c r="T35" s="36" t="n">
        <x:f>'CF Short-Term'!T35+'MK Short-Term'!T35</x:f>
        <x:v>0</x:v>
      </x:c>
      <x:c r="U35" s="36" t="n">
        <x:f>'CF Short-Term'!U35+'MK Short-Term'!U35</x:f>
        <x:v>0</x:v>
      </x:c>
      <x:c r="V35" s="36" t="n">
        <x:f>'CF Short-Term'!V35+'MK Short-Term'!V35</x:f>
        <x:v>0</x:v>
      </x:c>
      <x:c r="W35" s="36" t="n">
        <x:f>'CF Short-Term'!W35+'MK Short-Term'!W35</x:f>
        <x:v>0</x:v>
      </x:c>
      <x:c r="X35" s="36" t="n">
        <x:f>'CF Short-Term'!X35+'MK Short-Term'!X35</x:f>
        <x:v>0</x:v>
      </x:c>
      <x:c r="Y35" s="36" t="n">
        <x:f>'CF Short-Term'!Y35+'MK Short-Term'!Y35</x:f>
        <x:v>0</x:v>
      </x:c>
      <x:c r="Z35" s="36" t="n">
        <x:f>'CF Short-Term'!Z35+'MK Short-Term'!Z35</x:f>
        <x:v>0</x:v>
      </x:c>
      <x:c r="AA35" s="36" t="n">
        <x:f>'CF Short-Term'!AA35+'MK Short-Term'!AA35</x:f>
        <x:v>0</x:v>
      </x:c>
      <x:c r="AB35" s="36" t="n">
        <x:f>'CF Short-Term'!AB35+'MK Short-Term'!AB35</x:f>
        <x:v>0</x:v>
      </x:c>
      <x:c r="AC35" s="36" t="n">
        <x:f>'CF Short-Term'!AC35+'MK Short-Term'!AC35</x:f>
        <x:v>0</x:v>
      </x:c>
      <x:c r="AD35" s="36" t="n">
        <x:f>'CF Short-Term'!AD35+'MK Short-Term'!AD35</x:f>
        <x:v>0</x:v>
      </x:c>
      <x:c r="AE35" s="36" t="n">
        <x:f>'CF Short-Term'!AE35+'MK Short-Term'!AE35</x:f>
        <x:v>0</x:v>
      </x:c>
      <x:c r="AF35" s="36" t="n">
        <x:f>'CF Short-Term'!AF35+'MK Short-Term'!AF35</x:f>
        <x:v>0</x:v>
      </x:c>
      <x:c r="AG35" s="36" t="n">
        <x:f>'CF Short-Term'!AG35+'MK Short-Term'!AG35</x:f>
        <x:v>0</x:v>
      </x:c>
      <x:c r="AH35" s="36" t="n">
        <x:f>'CF Short-Term'!AH35+'MK Short-Term'!AH35</x:f>
        <x:v>0</x:v>
      </x:c>
      <x:c r="AI35" s="36" t="n">
        <x:f>'CF Short-Term'!AI35+'MK Short-Term'!AI35</x:f>
        <x:v>0</x:v>
      </x:c>
      <x:c r="AJ35" s="36" t="n">
        <x:f>'CF Short-Term'!AJ35+'MK Short-Term'!AJ35</x:f>
        <x:v>0</x:v>
      </x:c>
      <x:c r="AK35" s="36" t="n">
        <x:f>'CF Short-Term'!AK35+'MK Short-Term'!AK35</x:f>
        <x:v>0</x:v>
      </x:c>
      <x:c r="AL35" s="36" t="n">
        <x:f>'CF Short-Term'!AL35+'MK Short-Term'!AL35</x:f>
        <x:v>0</x:v>
      </x:c>
      <x:c r="AM35" s="36" t="n">
        <x:f>'CF Short-Term'!AM35+'MK Short-Term'!AM35</x:f>
        <x:v>0</x:v>
      </x:c>
      <x:c r="AN35" s="36" t="n">
        <x:f>'CF Short-Term'!AN35+'MK Short-Term'!AN35</x:f>
        <x:v>0</x:v>
      </x:c>
      <x:c r="AO35" s="36" t="n">
        <x:f>'CF Short-Term'!AO35+'MK Short-Term'!AO35</x:f>
        <x:v>0</x:v>
      </x:c>
      <x:c r="AP35" s="36" t="n">
        <x:f>'CF Short-Term'!AP35+'MK Short-Term'!AP35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'CF Short-Term'!G36+'MK Short-Term'!G36</x:f>
        <x:v>0</x:v>
      </x:c>
      <x:c r="H36" s="36" t="n">
        <x:f>'CF Short-Term'!H36+'MK Short-Term'!H36</x:f>
        <x:v>0</x:v>
      </x:c>
      <x:c r="I36" s="36" t="n">
        <x:f>'CF Short-Term'!I36+'MK Short-Term'!I36</x:f>
        <x:v>0</x:v>
      </x:c>
      <x:c r="J36" s="36" t="n">
        <x:f>'CF Short-Term'!J36+'MK Short-Term'!J36</x:f>
        <x:v>0</x:v>
      </x:c>
      <x:c r="K36" s="36" t="n">
        <x:f>'CF Short-Term'!K36+'MK Short-Term'!K36</x:f>
        <x:v>0</x:v>
      </x:c>
      <x:c r="L36" s="36" t="n">
        <x:f>'CF Short-Term'!L36+'MK Short-Term'!L36</x:f>
        <x:v>0</x:v>
      </x:c>
      <x:c r="M36" s="36" t="n">
        <x:f>'CF Short-Term'!M36+'MK Short-Term'!M36</x:f>
        <x:v>0</x:v>
      </x:c>
      <x:c r="N36" s="36" t="n">
        <x:f>'CF Short-Term'!N36+'MK Short-Term'!N36</x:f>
        <x:v>0</x:v>
      </x:c>
      <x:c r="O36" s="36" t="n">
        <x:f>'CF Short-Term'!O36+'MK Short-Term'!O36</x:f>
        <x:v>0</x:v>
      </x:c>
      <x:c r="P36" s="36" t="n">
        <x:f>'CF Short-Term'!P36+'MK Short-Term'!P36</x:f>
        <x:v>0</x:v>
      </x:c>
      <x:c r="Q36" s="36" t="n">
        <x:f>'CF Short-Term'!Q36+'MK Short-Term'!Q36</x:f>
        <x:v>0</x:v>
      </x:c>
      <x:c r="R36" s="36" t="n">
        <x:f>'CF Short-Term'!R36+'MK Short-Term'!R36</x:f>
        <x:v>0</x:v>
      </x:c>
      <x:c r="S36" s="36" t="n">
        <x:f>'CF Short-Term'!S36+'MK Short-Term'!S36</x:f>
        <x:v>0</x:v>
      </x:c>
      <x:c r="T36" s="36" t="n">
        <x:f>'CF Short-Term'!T36+'MK Short-Term'!T36</x:f>
        <x:v>0</x:v>
      </x:c>
      <x:c r="U36" s="36" t="n">
        <x:f>'CF Short-Term'!U36+'MK Short-Term'!U36</x:f>
        <x:v>0</x:v>
      </x:c>
      <x:c r="V36" s="36" t="n">
        <x:f>'CF Short-Term'!V36+'MK Short-Term'!V36</x:f>
        <x:v>0</x:v>
      </x:c>
      <x:c r="W36" s="36" t="n">
        <x:f>'CF Short-Term'!W36+'MK Short-Term'!W36</x:f>
        <x:v>0</x:v>
      </x:c>
      <x:c r="X36" s="36" t="n">
        <x:f>'CF Short-Term'!X36+'MK Short-Term'!X36</x:f>
        <x:v>0</x:v>
      </x:c>
      <x:c r="Y36" s="36" t="n">
        <x:f>'CF Short-Term'!Y36+'MK Short-Term'!Y36</x:f>
        <x:v>0</x:v>
      </x:c>
      <x:c r="Z36" s="36" t="n">
        <x:f>'CF Short-Term'!Z36+'MK Short-Term'!Z36</x:f>
        <x:v>0</x:v>
      </x:c>
      <x:c r="AA36" s="36" t="n">
        <x:f>'CF Short-Term'!AA36+'MK Short-Term'!AA36</x:f>
        <x:v>0</x:v>
      </x:c>
      <x:c r="AB36" s="36" t="n">
        <x:f>'CF Short-Term'!AB36+'MK Short-Term'!AB36</x:f>
        <x:v>0</x:v>
      </x:c>
      <x:c r="AC36" s="36" t="n">
        <x:f>'CF Short-Term'!AC36+'MK Short-Term'!AC36</x:f>
        <x:v>0</x:v>
      </x:c>
      <x:c r="AD36" s="36" t="n">
        <x:f>'CF Short-Term'!AD36+'MK Short-Term'!AD36</x:f>
        <x:v>0</x:v>
      </x:c>
      <x:c r="AE36" s="36" t="n">
        <x:f>'CF Short-Term'!AE36+'MK Short-Term'!AE36</x:f>
        <x:v>0</x:v>
      </x:c>
      <x:c r="AF36" s="36" t="n">
        <x:f>'CF Short-Term'!AF36+'MK Short-Term'!AF36</x:f>
        <x:v>0</x:v>
      </x:c>
      <x:c r="AG36" s="36" t="n">
        <x:f>'CF Short-Term'!AG36+'MK Short-Term'!AG36</x:f>
        <x:v>0</x:v>
      </x:c>
      <x:c r="AH36" s="36" t="n">
        <x:f>'CF Short-Term'!AH36+'MK Short-Term'!AH36</x:f>
        <x:v>0</x:v>
      </x:c>
      <x:c r="AI36" s="36" t="n">
        <x:f>'CF Short-Term'!AI36+'MK Short-Term'!AI36</x:f>
        <x:v>0</x:v>
      </x:c>
      <x:c r="AJ36" s="36" t="n">
        <x:f>'CF Short-Term'!AJ36+'MK Short-Term'!AJ36</x:f>
        <x:v>0</x:v>
      </x:c>
      <x:c r="AK36" s="36" t="n">
        <x:f>'CF Short-Term'!AK36+'MK Short-Term'!AK36</x:f>
        <x:v>0</x:v>
      </x:c>
      <x:c r="AL36" s="36" t="n">
        <x:f>'CF Short-Term'!AL36+'MK Short-Term'!AL36</x:f>
        <x:v>0</x:v>
      </x:c>
      <x:c r="AM36" s="36" t="n">
        <x:f>'CF Short-Term'!AM36+'MK Short-Term'!AM36</x:f>
        <x:v>0</x:v>
      </x:c>
      <x:c r="AN36" s="36" t="n">
        <x:f>'CF Short-Term'!AN36+'MK Short-Term'!AN36</x:f>
        <x:v>0</x:v>
      </x:c>
      <x:c r="AO36" s="36" t="n">
        <x:f>'CF Short-Term'!AO36+'MK Short-Term'!AO36</x:f>
        <x:v>0</x:v>
      </x:c>
      <x:c r="AP36" s="36" t="n">
        <x:f>'CF Short-Term'!AP36+'MK Short-Term'!AP36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'CF Short-Term'!G37+'MK Short-Term'!G37</x:f>
        <x:v>0</x:v>
      </x:c>
      <x:c r="H37" s="36" t="n">
        <x:f>'CF Short-Term'!H37+'MK Short-Term'!H37</x:f>
        <x:v>0</x:v>
      </x:c>
      <x:c r="I37" s="36" t="n">
        <x:f>'CF Short-Term'!I37+'MK Short-Term'!I37</x:f>
        <x:v>0</x:v>
      </x:c>
      <x:c r="J37" s="36" t="n">
        <x:f>'CF Short-Term'!J37+'MK Short-Term'!J37</x:f>
        <x:v>0</x:v>
      </x:c>
      <x:c r="K37" s="36" t="n">
        <x:f>'CF Short-Term'!K37+'MK Short-Term'!K37</x:f>
        <x:v>0</x:v>
      </x:c>
      <x:c r="L37" s="36" t="n">
        <x:f>'CF Short-Term'!L37+'MK Short-Term'!L37</x:f>
        <x:v>0</x:v>
      </x:c>
      <x:c r="M37" s="36" t="n">
        <x:f>'CF Short-Term'!M37+'MK Short-Term'!M37</x:f>
        <x:v>0</x:v>
      </x:c>
      <x:c r="N37" s="36" t="n">
        <x:f>'CF Short-Term'!N37+'MK Short-Term'!N37</x:f>
        <x:v>0</x:v>
      </x:c>
      <x:c r="O37" s="36" t="n">
        <x:f>'CF Short-Term'!O37+'MK Short-Term'!O37</x:f>
        <x:v>0</x:v>
      </x:c>
      <x:c r="P37" s="36" t="n">
        <x:f>'CF Short-Term'!P37+'MK Short-Term'!P37</x:f>
        <x:v>0</x:v>
      </x:c>
      <x:c r="Q37" s="36" t="n">
        <x:f>'CF Short-Term'!Q37+'MK Short-Term'!Q37</x:f>
        <x:v>0</x:v>
      </x:c>
      <x:c r="R37" s="36" t="n">
        <x:f>'CF Short-Term'!R37+'MK Short-Term'!R37</x:f>
        <x:v>0</x:v>
      </x:c>
      <x:c r="S37" s="36" t="n">
        <x:f>'CF Short-Term'!S37+'MK Short-Term'!S37</x:f>
        <x:v>0</x:v>
      </x:c>
      <x:c r="T37" s="36" t="n">
        <x:f>'CF Short-Term'!T37+'MK Short-Term'!T37</x:f>
        <x:v>0</x:v>
      </x:c>
      <x:c r="U37" s="36" t="n">
        <x:f>'CF Short-Term'!U37+'MK Short-Term'!U37</x:f>
        <x:v>0</x:v>
      </x:c>
      <x:c r="V37" s="36" t="n">
        <x:f>'CF Short-Term'!V37+'MK Short-Term'!V37</x:f>
        <x:v>0</x:v>
      </x:c>
      <x:c r="W37" s="36" t="n">
        <x:f>'CF Short-Term'!W37+'MK Short-Term'!W37</x:f>
        <x:v>0</x:v>
      </x:c>
      <x:c r="X37" s="36" t="n">
        <x:f>'CF Short-Term'!X37+'MK Short-Term'!X37</x:f>
        <x:v>0</x:v>
      </x:c>
      <x:c r="Y37" s="36" t="n">
        <x:f>'CF Short-Term'!Y37+'MK Short-Term'!Y37</x:f>
        <x:v>0</x:v>
      </x:c>
      <x:c r="Z37" s="36" t="n">
        <x:f>'CF Short-Term'!Z37+'MK Short-Term'!Z37</x:f>
        <x:v>0</x:v>
      </x:c>
      <x:c r="AA37" s="36" t="n">
        <x:f>'CF Short-Term'!AA37+'MK Short-Term'!AA37</x:f>
        <x:v>0</x:v>
      </x:c>
      <x:c r="AB37" s="36" t="n">
        <x:f>'CF Short-Term'!AB37+'MK Short-Term'!AB37</x:f>
        <x:v>0</x:v>
      </x:c>
      <x:c r="AC37" s="36" t="n">
        <x:f>'CF Short-Term'!AC37+'MK Short-Term'!AC37</x:f>
        <x:v>0</x:v>
      </x:c>
      <x:c r="AD37" s="36" t="n">
        <x:f>'CF Short-Term'!AD37+'MK Short-Term'!AD37</x:f>
        <x:v>0</x:v>
      </x:c>
      <x:c r="AE37" s="36" t="n">
        <x:f>'CF Short-Term'!AE37+'MK Short-Term'!AE37</x:f>
        <x:v>0</x:v>
      </x:c>
      <x:c r="AF37" s="36" t="n">
        <x:f>'CF Short-Term'!AF37+'MK Short-Term'!AF37</x:f>
        <x:v>0</x:v>
      </x:c>
      <x:c r="AG37" s="36" t="n">
        <x:f>'CF Short-Term'!AG37+'MK Short-Term'!AG37</x:f>
        <x:v>0</x:v>
      </x:c>
      <x:c r="AH37" s="36" t="n">
        <x:f>'CF Short-Term'!AH37+'MK Short-Term'!AH37</x:f>
        <x:v>0</x:v>
      </x:c>
      <x:c r="AI37" s="36" t="n">
        <x:f>'CF Short-Term'!AI37+'MK Short-Term'!AI37</x:f>
        <x:v>0</x:v>
      </x:c>
      <x:c r="AJ37" s="36" t="n">
        <x:f>'CF Short-Term'!AJ37+'MK Short-Term'!AJ37</x:f>
        <x:v>0</x:v>
      </x:c>
      <x:c r="AK37" s="36" t="n">
        <x:f>'CF Short-Term'!AK37+'MK Short-Term'!AK37</x:f>
        <x:v>0</x:v>
      </x:c>
      <x:c r="AL37" s="36" t="n">
        <x:f>'CF Short-Term'!AL37+'MK Short-Term'!AL37</x:f>
        <x:v>0</x:v>
      </x:c>
      <x:c r="AM37" s="36" t="n">
        <x:f>'CF Short-Term'!AM37+'MK Short-Term'!AM37</x:f>
        <x:v>0</x:v>
      </x:c>
      <x:c r="AN37" s="36" t="n">
        <x:f>'CF Short-Term'!AN37+'MK Short-Term'!AN37</x:f>
        <x:v>0</x:v>
      </x:c>
      <x:c r="AO37" s="36" t="n">
        <x:f>'CF Short-Term'!AO37+'MK Short-Term'!AO37</x:f>
        <x:v>0</x:v>
      </x:c>
      <x:c r="AP37" s="36" t="n">
        <x:f>'CF Short-Term'!AP37+'MK Short-Term'!AP37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Installment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Loan-type totals from the two product segment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/>
      <x:c r="D6" s="2"/>
      <x:c r="E6" s="2"/>
      <x:c r="F6" s="2"/>
      <x:c r="G6" s="19" t="n">
        <x:v>1</x:v>
      </x:c>
      <x:c r="H6" s="19" t="n">
        <x:v>2</x:v>
      </x:c>
      <x:c r="I6" s="19" t="n">
        <x:v>3</x:v>
      </x:c>
      <x:c r="J6" s="19" t="n">
        <x:v>4</x:v>
      </x:c>
      <x:c r="K6" s="19" t="n">
        <x:v>5</x:v>
      </x:c>
      <x:c r="L6" s="19" t="n">
        <x:v>6</x:v>
      </x:c>
      <x:c r="M6" s="19" t="n">
        <x:v>7</x:v>
      </x:c>
      <x:c r="N6" s="19" t="n">
        <x:v>8</x:v>
      </x:c>
      <x:c r="O6" s="19" t="n">
        <x:v>9</x:v>
      </x:c>
      <x:c r="P6" s="19" t="n">
        <x:v>10</x:v>
      </x:c>
      <x:c r="Q6" s="19" t="n">
        <x:v>11</x:v>
      </x:c>
      <x:c r="R6" s="19" t="n">
        <x:v>12</x:v>
      </x:c>
      <x:c r="S6" s="19" t="n">
        <x:v>13</x:v>
      </x:c>
      <x:c r="T6" s="19" t="n">
        <x:v>14</x:v>
      </x:c>
      <x:c r="U6" s="19" t="n">
        <x:v>15</x:v>
      </x:c>
      <x:c r="V6" s="19" t="n">
        <x:v>16</x:v>
      </x:c>
      <x:c r="W6" s="19" t="n">
        <x:v>17</x:v>
      </x:c>
      <x:c r="X6" s="19" t="n">
        <x:v>18</x:v>
      </x:c>
      <x:c r="Y6" s="19" t="n">
        <x:v>19</x:v>
      </x:c>
      <x:c r="Z6" s="19" t="n">
        <x:v>20</x:v>
      </x:c>
      <x:c r="AA6" s="19" t="n">
        <x:v>21</x:v>
      </x:c>
      <x:c r="AB6" s="19" t="n">
        <x:v>22</x:v>
      </x:c>
      <x:c r="AC6" s="19" t="n">
        <x:v>23</x:v>
      </x:c>
      <x:c r="AD6" s="19" t="n">
        <x:v>24</x:v>
      </x:c>
      <x:c r="AE6" s="19" t="n">
        <x:v>25</x:v>
      </x:c>
      <x:c r="AF6" s="19" t="n">
        <x:v>26</x:v>
      </x:c>
      <x:c r="AG6" s="19" t="n">
        <x:v>27</x:v>
      </x:c>
      <x:c r="AH6" s="19" t="n">
        <x:v>28</x:v>
      </x:c>
      <x:c r="AI6" s="19" t="n">
        <x:v>29</x:v>
      </x:c>
      <x:c r="AJ6" s="19" t="n">
        <x:v>30</x:v>
      </x:c>
      <x:c r="AK6" s="19" t="n">
        <x:v>31</x:v>
      </x:c>
      <x:c r="AL6" s="19" t="n">
        <x:v>32</x:v>
      </x:c>
      <x:c r="AM6" s="19" t="n">
        <x:v>33</x:v>
      </x:c>
      <x:c r="AN6" s="19" t="n">
        <x:v>34</x:v>
      </x:c>
      <x:c r="AO6" s="19" t="n">
        <x:v>35</x:v>
      </x:c>
      <x:c r="AP6" s="19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288000</x:v>
      </x:c>
      <x:c r="F8" s="2"/>
      <x:c r="G8" s="37" t="n">
        <x:f>'CF Installment'!G8+'MK Installment'!G8</x:f>
        <x:v>12000</x:v>
      </x:c>
      <x:c r="H8" s="37" t="n">
        <x:f>'CF Installment'!H8+'MK Installment'!H8</x:f>
        <x:v>12000</x:v>
      </x:c>
      <x:c r="I8" s="37" t="n">
        <x:f>'CF Installment'!I8+'MK Installment'!I8</x:f>
        <x:v>12000</x:v>
      </x:c>
      <x:c r="J8" s="37" t="n">
        <x:f>'CF Installment'!J8+'MK Installment'!J8</x:f>
        <x:v>12000</x:v>
      </x:c>
      <x:c r="K8" s="37" t="n">
        <x:f>'CF Installment'!K8+'MK Installment'!K8</x:f>
        <x:v>12000</x:v>
      </x:c>
      <x:c r="L8" s="37" t="n">
        <x:f>'CF Installment'!L8+'MK Installment'!L8</x:f>
        <x:v>12000</x:v>
      </x:c>
      <x:c r="M8" s="37" t="n">
        <x:f>'CF Installment'!M8+'MK Installment'!M8</x:f>
        <x:v>12000</x:v>
      </x:c>
      <x:c r="N8" s="37" t="n">
        <x:f>'CF Installment'!N8+'MK Installment'!N8</x:f>
        <x:v>12000</x:v>
      </x:c>
      <x:c r="O8" s="37" t="n">
        <x:f>'CF Installment'!O8+'MK Installment'!O8</x:f>
        <x:v>12000</x:v>
      </x:c>
      <x:c r="P8" s="37" t="n">
        <x:f>'CF Installment'!P8+'MK Installment'!P8</x:f>
        <x:v>12000</x:v>
      </x:c>
      <x:c r="Q8" s="37" t="n">
        <x:f>'CF Installment'!Q8+'MK Installment'!Q8</x:f>
        <x:v>12000</x:v>
      </x:c>
      <x:c r="R8" s="37" t="n">
        <x:f>'CF Installment'!R8+'MK Installment'!R8</x:f>
        <x:v>12000</x:v>
      </x:c>
      <x:c r="S8" s="37" t="n">
        <x:f>'CF Installment'!S8+'MK Installment'!S8</x:f>
        <x:v>12000</x:v>
      </x:c>
      <x:c r="T8" s="37" t="n">
        <x:f>'CF Installment'!T8+'MK Installment'!T8</x:f>
        <x:v>12000</x:v>
      </x:c>
      <x:c r="U8" s="37" t="n">
        <x:f>'CF Installment'!U8+'MK Installment'!U8</x:f>
        <x:v>12000</x:v>
      </x:c>
      <x:c r="V8" s="37" t="n">
        <x:f>'CF Installment'!V8+'MK Installment'!V8</x:f>
        <x:v>12000</x:v>
      </x:c>
      <x:c r="W8" s="37" t="n">
        <x:f>'CF Installment'!W8+'MK Installment'!W8</x:f>
        <x:v>12000</x:v>
      </x:c>
      <x:c r="X8" s="37" t="n">
        <x:f>'CF Installment'!X8+'MK Installment'!X8</x:f>
        <x:v>12000</x:v>
      </x:c>
      <x:c r="Y8" s="37" t="n">
        <x:f>'CF Installment'!Y8+'MK Installment'!Y8</x:f>
        <x:v>12000</x:v>
      </x:c>
      <x:c r="Z8" s="37" t="n">
        <x:f>'CF Installment'!Z8+'MK Installment'!Z8</x:f>
        <x:v>12000</x:v>
      </x:c>
      <x:c r="AA8" s="37" t="n">
        <x:f>'CF Installment'!AA8+'MK Installment'!AA8</x:f>
        <x:v>12000</x:v>
      </x:c>
      <x:c r="AB8" s="37" t="n">
        <x:f>'CF Installment'!AB8+'MK Installment'!AB8</x:f>
        <x:v>12000</x:v>
      </x:c>
      <x:c r="AC8" s="37" t="n">
        <x:f>'CF Installment'!AC8+'MK Installment'!AC8</x:f>
        <x:v>12000</x:v>
      </x:c>
      <x:c r="AD8" s="37" t="n">
        <x:f>'CF Installment'!AD8+'MK Installment'!AD8</x:f>
        <x:v>12000</x:v>
      </x:c>
      <x:c r="AE8" s="37" t="n">
        <x:f>'CF Installment'!AE8+'MK Installment'!AE8</x:f>
        <x:v>12000</x:v>
      </x:c>
      <x:c r="AF8" s="37" t="n">
        <x:f>'CF Installment'!AF8+'MK Installment'!AF8</x:f>
        <x:v>12000</x:v>
      </x:c>
      <x:c r="AG8" s="37" t="n">
        <x:f>'CF Installment'!AG8+'MK Installment'!AG8</x:f>
        <x:v>12000</x:v>
      </x:c>
      <x:c r="AH8" s="37" t="n">
        <x:f>'CF Installment'!AH8+'MK Installment'!AH8</x:f>
        <x:v>12000</x:v>
      </x:c>
      <x:c r="AI8" s="37" t="n">
        <x:f>'CF Installment'!AI8+'MK Installment'!AI8</x:f>
        <x:v>12000</x:v>
      </x:c>
      <x:c r="AJ8" s="37" t="n">
        <x:f>'CF Installment'!AJ8+'MK Installment'!AJ8</x:f>
        <x:v>12000</x:v>
      </x:c>
      <x:c r="AK8" s="37" t="n">
        <x:f>'CF Installment'!AK8+'MK Installment'!AK8</x:f>
        <x:v>12000</x:v>
      </x:c>
      <x:c r="AL8" s="37" t="n">
        <x:f>'CF Installment'!AL8+'MK Installment'!AL8</x:f>
        <x:v>12000</x:v>
      </x:c>
      <x:c r="AM8" s="37" t="n">
        <x:f>'CF Installment'!AM8+'MK Installment'!AM8</x:f>
        <x:v>12000</x:v>
      </x:c>
      <x:c r="AN8" s="37" t="n">
        <x:f>'CF Installment'!AN8+'MK Installment'!AN8</x:f>
        <x:v>12000</x:v>
      </x:c>
      <x:c r="AO8" s="37" t="n">
        <x:f>'CF Installment'!AO8+'MK Installment'!AO8</x:f>
        <x:v>12000</x:v>
      </x:c>
      <x:c r="AP8" s="37" t="n">
        <x:f>'CF Installment'!AP8+'MK Installment'!AP8</x:f>
        <x:v>12000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'CF Installment'!G9</x:f>
        <x:v>0.45</x:v>
      </x:c>
      <x:c r="H9" s="12" t="n">
        <x:f>'CF Installment'!H9</x:f>
        <x:v>0.45</x:v>
      </x:c>
      <x:c r="I9" s="12" t="n">
        <x:f>'CF Installment'!I9</x:f>
        <x:v>0.45</x:v>
      </x:c>
      <x:c r="J9" s="12" t="n">
        <x:f>'CF Installment'!J9</x:f>
        <x:v>0.45</x:v>
      </x:c>
      <x:c r="K9" s="12" t="n">
        <x:f>'CF Installment'!K9</x:f>
        <x:v>0.45</x:v>
      </x:c>
      <x:c r="L9" s="12" t="n">
        <x:f>'CF Installment'!L9</x:f>
        <x:v>0.45</x:v>
      </x:c>
      <x:c r="M9" s="12" t="n">
        <x:f>'CF Installment'!M9</x:f>
        <x:v>0.45</x:v>
      </x:c>
      <x:c r="N9" s="12" t="n">
        <x:f>'CF Installment'!N9</x:f>
        <x:v>0.45</x:v>
      </x:c>
      <x:c r="O9" s="12" t="n">
        <x:f>'CF Installment'!O9</x:f>
        <x:v>0.45</x:v>
      </x:c>
      <x:c r="P9" s="12" t="n">
        <x:f>'CF Installment'!P9</x:f>
        <x:v>0.45</x:v>
      </x:c>
      <x:c r="Q9" s="12" t="n">
        <x:f>'CF Installment'!Q9</x:f>
        <x:v>0.45</x:v>
      </x:c>
      <x:c r="R9" s="12" t="n">
        <x:f>'CF Installment'!R9</x:f>
        <x:v>0.45</x:v>
      </x:c>
      <x:c r="S9" s="12" t="n">
        <x:f>'CF Installment'!S9</x:f>
        <x:v>0.45</x:v>
      </x:c>
      <x:c r="T9" s="12" t="n">
        <x:f>'CF Installment'!T9</x:f>
        <x:v>0.45</x:v>
      </x:c>
      <x:c r="U9" s="12" t="n">
        <x:f>'CF Installment'!U9</x:f>
        <x:v>0.45</x:v>
      </x:c>
      <x:c r="V9" s="12" t="n">
        <x:f>'CF Installment'!V9</x:f>
        <x:v>0.45</x:v>
      </x:c>
      <x:c r="W9" s="12" t="n">
        <x:f>'CF Installment'!W9</x:f>
        <x:v>0.45</x:v>
      </x:c>
      <x:c r="X9" s="12" t="n">
        <x:f>'CF Installment'!X9</x:f>
        <x:v>0.45</x:v>
      </x:c>
      <x:c r="Y9" s="12" t="n">
        <x:f>'CF Installment'!Y9</x:f>
        <x:v>0.45</x:v>
      </x:c>
      <x:c r="Z9" s="12" t="n">
        <x:f>'CF Installment'!Z9</x:f>
        <x:v>0.45</x:v>
      </x:c>
      <x:c r="AA9" s="12" t="n">
        <x:f>'CF Installment'!AA9</x:f>
        <x:v>0.45</x:v>
      </x:c>
      <x:c r="AB9" s="12" t="n">
        <x:f>'CF Installment'!AB9</x:f>
        <x:v>0.45</x:v>
      </x:c>
      <x:c r="AC9" s="12" t="n">
        <x:f>'CF Installment'!AC9</x:f>
        <x:v>0.45</x:v>
      </x:c>
      <x:c r="AD9" s="12" t="n">
        <x:f>'CF Installment'!AD9</x:f>
        <x:v>0.45</x:v>
      </x:c>
      <x:c r="AE9" s="12" t="n">
        <x:f>'CF Installment'!AE9</x:f>
        <x:v>0.45</x:v>
      </x:c>
      <x:c r="AF9" s="12" t="n">
        <x:f>'CF Installment'!AF9</x:f>
        <x:v>0.45</x:v>
      </x:c>
      <x:c r="AG9" s="12" t="n">
        <x:f>'CF Installment'!AG9</x:f>
        <x:v>0.45</x:v>
      </x:c>
      <x:c r="AH9" s="12" t="n">
        <x:f>'CF Installment'!AH9</x:f>
        <x:v>0.45</x:v>
      </x:c>
      <x:c r="AI9" s="12" t="n">
        <x:f>'CF Installment'!AI9</x:f>
        <x:v>0.45</x:v>
      </x:c>
      <x:c r="AJ9" s="12" t="n">
        <x:f>'CF Installment'!AJ9</x:f>
        <x:v>0.45</x:v>
      </x:c>
      <x:c r="AK9" s="12" t="n">
        <x:f>'CF Installment'!AK9</x:f>
        <x:v>0.45</x:v>
      </x:c>
      <x:c r="AL9" s="12" t="n">
        <x:f>'CF Installment'!AL9</x:f>
        <x:v>0.45</x:v>
      </x:c>
      <x:c r="AM9" s="12" t="n">
        <x:f>'CF Installment'!AM9</x:f>
        <x:v>0.45</x:v>
      </x:c>
      <x:c r="AN9" s="12" t="n">
        <x:f>'CF Installment'!AN9</x:f>
        <x:v>0.45</x:v>
      </x:c>
      <x:c r="AO9" s="12" t="n">
        <x:f>'CF Installment'!AO9</x:f>
        <x:v>0.45</x:v>
      </x:c>
      <x:c r="AP9" s="12" t="n">
        <x:f>'CF Installment'!AP9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'CF Installment'!G10</x:f>
        <x:v>4000</x:v>
      </x:c>
      <x:c r="H10" s="48" t="n">
        <x:f>'CF Installment'!H10</x:f>
        <x:v>4000</x:v>
      </x:c>
      <x:c r="I10" s="48" t="n">
        <x:f>'CF Installment'!I10</x:f>
        <x:v>4000</x:v>
      </x:c>
      <x:c r="J10" s="48" t="n">
        <x:f>'CF Installment'!J10</x:f>
        <x:v>4000</x:v>
      </x:c>
      <x:c r="K10" s="48" t="n">
        <x:f>'CF Installment'!K10</x:f>
        <x:v>4000</x:v>
      </x:c>
      <x:c r="L10" s="48" t="n">
        <x:f>'CF Installment'!L10</x:f>
        <x:v>4000</x:v>
      </x:c>
      <x:c r="M10" s="48" t="n">
        <x:f>'CF Installment'!M10</x:f>
        <x:v>4000</x:v>
      </x:c>
      <x:c r="N10" s="48" t="n">
        <x:f>'CF Installment'!N10</x:f>
        <x:v>4000</x:v>
      </x:c>
      <x:c r="O10" s="48" t="n">
        <x:f>'CF Installment'!O10</x:f>
        <x:v>4000</x:v>
      </x:c>
      <x:c r="P10" s="48" t="n">
        <x:f>'CF Installment'!P10</x:f>
        <x:v>4000</x:v>
      </x:c>
      <x:c r="Q10" s="48" t="n">
        <x:f>'CF Installment'!Q10</x:f>
        <x:v>4000</x:v>
      </x:c>
      <x:c r="R10" s="48" t="n">
        <x:f>'CF Installment'!R10</x:f>
        <x:v>4000</x:v>
      </x:c>
      <x:c r="S10" s="48" t="n">
        <x:f>'CF Installment'!S10</x:f>
        <x:v>4000</x:v>
      </x:c>
      <x:c r="T10" s="48" t="n">
        <x:f>'CF Installment'!T10</x:f>
        <x:v>4000</x:v>
      </x:c>
      <x:c r="U10" s="48" t="n">
        <x:f>'CF Installment'!U10</x:f>
        <x:v>4000</x:v>
      </x:c>
      <x:c r="V10" s="48" t="n">
        <x:f>'CF Installment'!V10</x:f>
        <x:v>4000</x:v>
      </x:c>
      <x:c r="W10" s="48" t="n">
        <x:f>'CF Installment'!W10</x:f>
        <x:v>4000</x:v>
      </x:c>
      <x:c r="X10" s="48" t="n">
        <x:f>'CF Installment'!X10</x:f>
        <x:v>4000</x:v>
      </x:c>
      <x:c r="Y10" s="48" t="n">
        <x:f>'CF Installment'!Y10</x:f>
        <x:v>4000</x:v>
      </x:c>
      <x:c r="Z10" s="48" t="n">
        <x:f>'CF Installment'!Z10</x:f>
        <x:v>4000</x:v>
      </x:c>
      <x:c r="AA10" s="48" t="n">
        <x:f>'CF Installment'!AA10</x:f>
        <x:v>4000</x:v>
      </x:c>
      <x:c r="AB10" s="48" t="n">
        <x:f>'CF Installment'!AB10</x:f>
        <x:v>4000</x:v>
      </x:c>
      <x:c r="AC10" s="48" t="n">
        <x:f>'CF Installment'!AC10</x:f>
        <x:v>4000</x:v>
      </x:c>
      <x:c r="AD10" s="48" t="n">
        <x:f>'CF Installment'!AD10</x:f>
        <x:v>4000</x:v>
      </x:c>
      <x:c r="AE10" s="48" t="n">
        <x:f>'CF Installment'!AE10</x:f>
        <x:v>4000</x:v>
      </x:c>
      <x:c r="AF10" s="48" t="n">
        <x:f>'CF Installment'!AF10</x:f>
        <x:v>4000</x:v>
      </x:c>
      <x:c r="AG10" s="48" t="n">
        <x:f>'CF Installment'!AG10</x:f>
        <x:v>4000</x:v>
      </x:c>
      <x:c r="AH10" s="48" t="n">
        <x:f>'CF Installment'!AH10</x:f>
        <x:v>4000</x:v>
      </x:c>
      <x:c r="AI10" s="48" t="n">
        <x:f>'CF Installment'!AI10</x:f>
        <x:v>4000</x:v>
      </x:c>
      <x:c r="AJ10" s="48" t="n">
        <x:f>'CF Installment'!AJ10</x:f>
        <x:v>4000</x:v>
      </x:c>
      <x:c r="AK10" s="48" t="n">
        <x:f>'CF Installment'!AK10</x:f>
        <x:v>4000</x:v>
      </x:c>
      <x:c r="AL10" s="48" t="n">
        <x:f>'CF Installment'!AL10</x:f>
        <x:v>4000</x:v>
      </x:c>
      <x:c r="AM10" s="48" t="n">
        <x:f>'CF Installment'!AM10</x:f>
        <x:v>4000</x:v>
      </x:c>
      <x:c r="AN10" s="48" t="n">
        <x:f>'CF Installment'!AN10</x:f>
        <x:v>4000</x:v>
      </x:c>
      <x:c r="AO10" s="48" t="n">
        <x:f>'CF Installment'!AO10</x:f>
        <x:v>4000</x:v>
      </x:c>
      <x:c r="AP10" s="48" t="n">
        <x:f>'CF Installment'!AP10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Originations</x:v>
      </x:c>
      <x:c r="D11" s="2"/>
      <x:c r="E11" s="35" t="n">
        <x:f>SUMIFS(G11:AP11,$G$6:$AP$6,"&lt;="&amp;'Assumptions'!$E$7)</x:f>
        <x:v>518400000</x:v>
      </x:c>
      <x:c r="F11" s="2"/>
      <x:c r="G11" s="35" t="n">
        <x:f>'CF Installment'!G11+'MK Installment'!G11</x:f>
        <x:v>21600000</x:v>
      </x:c>
      <x:c r="H11" s="35" t="n">
        <x:f>'CF Installment'!H11+'MK Installment'!H11</x:f>
        <x:v>21600000</x:v>
      </x:c>
      <x:c r="I11" s="35" t="n">
        <x:f>'CF Installment'!I11+'MK Installment'!I11</x:f>
        <x:v>21600000</x:v>
      </x:c>
      <x:c r="J11" s="35" t="n">
        <x:f>'CF Installment'!J11+'MK Installment'!J11</x:f>
        <x:v>21600000</x:v>
      </x:c>
      <x:c r="K11" s="35" t="n">
        <x:f>'CF Installment'!K11+'MK Installment'!K11</x:f>
        <x:v>21600000</x:v>
      </x:c>
      <x:c r="L11" s="35" t="n">
        <x:f>'CF Installment'!L11+'MK Installment'!L11</x:f>
        <x:v>21600000</x:v>
      </x:c>
      <x:c r="M11" s="35" t="n">
        <x:f>'CF Installment'!M11+'MK Installment'!M11</x:f>
        <x:v>21600000</x:v>
      </x:c>
      <x:c r="N11" s="35" t="n">
        <x:f>'CF Installment'!N11+'MK Installment'!N11</x:f>
        <x:v>21600000</x:v>
      </x:c>
      <x:c r="O11" s="35" t="n">
        <x:f>'CF Installment'!O11+'MK Installment'!O11</x:f>
        <x:v>21600000</x:v>
      </x:c>
      <x:c r="P11" s="35" t="n">
        <x:f>'CF Installment'!P11+'MK Installment'!P11</x:f>
        <x:v>21600000</x:v>
      </x:c>
      <x:c r="Q11" s="35" t="n">
        <x:f>'CF Installment'!Q11+'MK Installment'!Q11</x:f>
        <x:v>21600000</x:v>
      </x:c>
      <x:c r="R11" s="35" t="n">
        <x:f>'CF Installment'!R11+'MK Installment'!R11</x:f>
        <x:v>21600000</x:v>
      </x:c>
      <x:c r="S11" s="35" t="n">
        <x:f>'CF Installment'!S11+'MK Installment'!S11</x:f>
        <x:v>21600000</x:v>
      </x:c>
      <x:c r="T11" s="35" t="n">
        <x:f>'CF Installment'!T11+'MK Installment'!T11</x:f>
        <x:v>21600000</x:v>
      </x:c>
      <x:c r="U11" s="35" t="n">
        <x:f>'CF Installment'!U11+'MK Installment'!U11</x:f>
        <x:v>21600000</x:v>
      </x:c>
      <x:c r="V11" s="35" t="n">
        <x:f>'CF Installment'!V11+'MK Installment'!V11</x:f>
        <x:v>21600000</x:v>
      </x:c>
      <x:c r="W11" s="35" t="n">
        <x:f>'CF Installment'!W11+'MK Installment'!W11</x:f>
        <x:v>21600000</x:v>
      </x:c>
      <x:c r="X11" s="35" t="n">
        <x:f>'CF Installment'!X11+'MK Installment'!X11</x:f>
        <x:v>21600000</x:v>
      </x:c>
      <x:c r="Y11" s="35" t="n">
        <x:f>'CF Installment'!Y11+'MK Installment'!Y11</x:f>
        <x:v>21600000</x:v>
      </x:c>
      <x:c r="Z11" s="35" t="n">
        <x:f>'CF Installment'!Z11+'MK Installment'!Z11</x:f>
        <x:v>21600000</x:v>
      </x:c>
      <x:c r="AA11" s="35" t="n">
        <x:f>'CF Installment'!AA11+'MK Installment'!AA11</x:f>
        <x:v>21600000</x:v>
      </x:c>
      <x:c r="AB11" s="35" t="n">
        <x:f>'CF Installment'!AB11+'MK Installment'!AB11</x:f>
        <x:v>21600000</x:v>
      </x:c>
      <x:c r="AC11" s="35" t="n">
        <x:f>'CF Installment'!AC11+'MK Installment'!AC11</x:f>
        <x:v>21600000</x:v>
      </x:c>
      <x:c r="AD11" s="35" t="n">
        <x:f>'CF Installment'!AD11+'MK Installment'!AD11</x:f>
        <x:v>21600000</x:v>
      </x:c>
      <x:c r="AE11" s="35" t="n">
        <x:f>'CF Installment'!AE11+'MK Installment'!AE11</x:f>
        <x:v>21600000</x:v>
      </x:c>
      <x:c r="AF11" s="35" t="n">
        <x:f>'CF Installment'!AF11+'MK Installment'!AF11</x:f>
        <x:v>21600000</x:v>
      </x:c>
      <x:c r="AG11" s="35" t="n">
        <x:f>'CF Installment'!AG11+'MK Installment'!AG11</x:f>
        <x:v>21600000</x:v>
      </x:c>
      <x:c r="AH11" s="35" t="n">
        <x:f>'CF Installment'!AH11+'MK Installment'!AH11</x:f>
        <x:v>21600000</x:v>
      </x:c>
      <x:c r="AI11" s="35" t="n">
        <x:f>'CF Installment'!AI11+'MK Installment'!AI11</x:f>
        <x:v>21600000</x:v>
      </x:c>
      <x:c r="AJ11" s="35" t="n">
        <x:f>'CF Installment'!AJ11+'MK Installment'!AJ11</x:f>
        <x:v>21600000</x:v>
      </x:c>
      <x:c r="AK11" s="35" t="n">
        <x:f>'CF Installment'!AK11+'MK Installment'!AK11</x:f>
        <x:v>21600000</x:v>
      </x:c>
      <x:c r="AL11" s="35" t="n">
        <x:f>'CF Installment'!AL11+'MK Installment'!AL11</x:f>
        <x:v>21600000</x:v>
      </x:c>
      <x:c r="AM11" s="35" t="n">
        <x:f>'CF Installment'!AM11+'MK Installment'!AM11</x:f>
        <x:v>21600000</x:v>
      </x:c>
      <x:c r="AN11" s="35" t="n">
        <x:f>'CF Installment'!AN11+'MK Installment'!AN11</x:f>
        <x:v>21600000</x:v>
      </x:c>
      <x:c r="AO11" s="35" t="n">
        <x:f>'CF Installment'!AO11+'MK Installment'!AO11</x:f>
        <x:v>21600000</x:v>
      </x:c>
      <x:c r="AP11" s="35" t="n">
        <x:f>'CF Installment'!AP11+'MK Installment'!AP11</x:f>
        <x:v>21600000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383400000</x:v>
      </x:c>
      <x:c r="F13" s="2"/>
      <x:c r="G13" s="35" t="n">
        <x:f>'CF Installment'!G13+'MK Installment'!G13</x:f>
        <x:v>383400000</x:v>
      </x:c>
      <x:c r="H13" s="35" t="n">
        <x:f>'CF Installment'!H13+'MK Installment'!H13</x:f>
        <x:v>347212344.9423794</x:v>
      </x:c>
      <x:c r="I13" s="35" t="n">
        <x:f>'CF Installment'!I13+'MK Installment'!I13</x:f>
        <x:v>325031445.8711297</x:v>
      </x:c>
      <x:c r="J13" s="35" t="n">
        <x:f>'CF Installment'!J13+'MK Installment'!J13</x:f>
        <x:v>309240905.94902694</x:v>
      </x:c>
      <x:c r="K13" s="35" t="n">
        <x:f>'CF Installment'!K13+'MK Installment'!K13</x:f>
        <x:v>297337070.4189646</x:v>
      </x:c>
      <x:c r="L13" s="35" t="n">
        <x:f>'CF Installment'!L13+'MK Installment'!L13</x:f>
        <x:v>288092171.41851664</x:v>
      </x:c>
      <x:c r="M13" s="35" t="n">
        <x:f>'CF Installment'!M13+'MK Installment'!M13</x:f>
        <x:v>280799509.38512</x:v>
      </x:c>
      <x:c r="N13" s="35" t="n">
        <x:f>'CF Installment'!N13+'MK Installment'!N13</x:f>
        <x:v>275017424.5212202</x:v>
      </x:c>
      <x:c r="O13" s="35" t="n">
        <x:f>'CF Installment'!O13+'MK Installment'!O13</x:f>
        <x:v>270452082.78974503</x:v>
      </x:c>
      <x:c r="P13" s="35" t="n">
        <x:f>'CF Installment'!P13+'MK Installment'!P13</x:f>
        <x:v>266894895.42517483</x:v>
      </x:c>
      <x:c r="Q13" s="35" t="n">
        <x:f>'CF Installment'!Q13+'MK Installment'!Q13</x:f>
        <x:v>264187836.07600874</x:v>
      </x:c>
      <x:c r="R13" s="35" t="n">
        <x:f>'CF Installment'!R13+'MK Installment'!R13</x:f>
        <x:v>262204561.66805932</x:v>
      </x:c>
      <x:c r="S13" s="35" t="n">
        <x:f>'CF Installment'!S13+'MK Installment'!S13</x:f>
        <x:v>260840080.79060534</x:v>
      </x:c>
      <x:c r="T13" s="35" t="n">
        <x:f>'CF Installment'!T13+'MK Installment'!T13</x:f>
        <x:v>260004596.21449268</x:v>
      </x:c>
      <x:c r="U13" s="35" t="n">
        <x:f>'CF Installment'!U13+'MK Installment'!U13</x:f>
        <x:v>259619206.14887983</x:v>
      </x:c>
      <x:c r="V13" s="35" t="n">
        <x:f>'CF Installment'!V13+'MK Installment'!V13</x:f>
        <x:v>259612360.25846192</x:v>
      </x:c>
      <x:c r="W13" s="35" t="n">
        <x:f>'CF Installment'!W13+'MK Installment'!W13</x:f>
        <x:v>259916592.37319586</x:v>
      </x:c>
      <x:c r="X13" s="35" t="n">
        <x:f>'CF Installment'!X13+'MK Installment'!X13</x:f>
        <x:v>260465451.52713344</x:v>
      </x:c>
      <x:c r="Y13" s="35" t="n">
        <x:f>'CF Installment'!Y13+'MK Installment'!Y13</x:f>
        <x:v>261190933.66984442</x:v>
      </x:c>
      <x:c r="Z13" s="35" t="n">
        <x:f>'CF Installment'!Z13+'MK Installment'!Z13</x:f>
        <x:v>262022013.40396196</x:v>
      </x:c>
      <x:c r="AA13" s="35" t="n">
        <x:f>'CF Installment'!AA13+'MK Installment'!AA13</x:f>
        <x:v>262884850.49038208</x:v>
      </x:c>
      <x:c r="AB13" s="35" t="n">
        <x:f>'CF Installment'!AB13+'MK Installment'!AB13</x:f>
        <x:v>263704863.3427822</x:v>
      </x:c>
      <x:c r="AC13" s="35" t="n">
        <x:f>'CF Installment'!AC13+'MK Installment'!AC13</x:f>
        <x:v>264410205.46749732</x:v>
      </x:c>
      <x:c r="AD13" s="35" t="n">
        <x:f>'CF Installment'!AD13+'MK Installment'!AD13</x:f>
        <x:v>264935277.7820279</x:v>
      </x:c>
      <x:c r="AE13" s="35" t="n">
        <x:f>'CF Installment'!AE13+'MK Installment'!AE13</x:f>
        <x:v>265222618.31487483</x:v>
      </x:c>
      <x:c r="AF13" s="35" t="n">
        <x:f>'CF Installment'!AF13+'MK Installment'!AF13</x:f>
        <x:v>265222618.31487483</x:v>
      </x:c>
      <x:c r="AG13" s="35" t="n">
        <x:f>'CF Installment'!AG13+'MK Installment'!AG13</x:f>
        <x:v>265222618.31487483</x:v>
      </x:c>
      <x:c r="AH13" s="35" t="n">
        <x:f>'CF Installment'!AH13+'MK Installment'!AH13</x:f>
        <x:v>265222618.31487483</x:v>
      </x:c>
      <x:c r="AI13" s="35" t="n">
        <x:f>'CF Installment'!AI13+'MK Installment'!AI13</x:f>
        <x:v>265222618.31487483</x:v>
      </x:c>
      <x:c r="AJ13" s="35" t="n">
        <x:f>'CF Installment'!AJ13+'MK Installment'!AJ13</x:f>
        <x:v>265222618.31487483</x:v>
      </x:c>
      <x:c r="AK13" s="35" t="n">
        <x:f>'CF Installment'!AK13+'MK Installment'!AK13</x:f>
        <x:v>265222618.31487483</x:v>
      </x:c>
      <x:c r="AL13" s="35" t="n">
        <x:f>'CF Installment'!AL13+'MK Installment'!AL13</x:f>
        <x:v>265222618.31487483</x:v>
      </x:c>
      <x:c r="AM13" s="35" t="n">
        <x:f>'CF Installment'!AM13+'MK Installment'!AM13</x:f>
        <x:v>265222618.31487483</x:v>
      </x:c>
      <x:c r="AN13" s="35" t="n">
        <x:f>'CF Installment'!AN13+'MK Installment'!AN13</x:f>
        <x:v>265222618.31487483</x:v>
      </x:c>
      <x:c r="AO13" s="35" t="n">
        <x:f>'CF Installment'!AO13+'MK Installment'!AO13</x:f>
        <x:v>265222618.31487483</x:v>
      </x:c>
      <x:c r="AP13" s="35" t="n">
        <x:f>'CF Installment'!AP13+'MK Installment'!AP13</x:f>
        <x:v>265222618.31487483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531601085.6569054</x:v>
      </x:c>
      <x:c r="F14" s="2"/>
      <x:c r="G14" s="35" t="n">
        <x:f>'CF Installment'!G14+'MK Installment'!G14</x:f>
        <x:v>53578298.57644155</x:v>
      </x:c>
      <x:c r="H14" s="35" t="n">
        <x:f>'CF Installment'!H14+'MK Installment'!H14</x:f>
        <x:v>39704746.22685393</x:v>
      </x:c>
      <x:c r="I14" s="35" t="n">
        <x:f>'CF Installment'!I14+'MK Installment'!I14</x:f>
        <x:v>33365260.936368763</x:v>
      </x:c>
      <x:c r="J14" s="35" t="n">
        <x:f>'CF Installment'!J14+'MK Installment'!J14</x:f>
        <x:v>29456601.592830528</x:v>
      </x:c>
      <x:c r="K14" s="35" t="n">
        <x:f>'CF Installment'!K14+'MK Installment'!K14</x:f>
        <x:v>26726738.038797256</x:v>
      </x:c>
      <x:c r="L14" s="35" t="n">
        <x:f>'CF Installment'!L14+'MK Installment'!L14</x:f>
        <x:v>24683989.49095751</x:v>
      </x:c>
      <x:c r="M14" s="35" t="n">
        <x:f>'CF Installment'!M14+'MK Installment'!M14</x:f>
        <x:v>23087260.903924216</x:v>
      </x:c>
      <x:c r="N14" s="35" t="n">
        <x:f>'CF Installment'!N14+'MK Installment'!N14</x:f>
        <x:v>21801700.12377357</x:v>
      </x:c>
      <x:c r="O14" s="35" t="n">
        <x:f>'CF Installment'!O14+'MK Installment'!O14</x:f>
        <x:v>20744938.8669853</x:v>
      </x:c>
      <x:c r="P14" s="35" t="n">
        <x:f>'CF Installment'!P14+'MK Installment'!P14</x:f>
        <x:v>19863372.53256053</x:v>
      </x:c>
      <x:c r="Q14" s="35" t="n">
        <x:f>'CF Installment'!Q14+'MK Installment'!Q14</x:f>
        <x:v>19120457.995829254</x:v>
      </x:c>
      <x:c r="R14" s="35" t="n">
        <x:f>'CF Installment'!R14+'MK Installment'!R14</x:f>
        <x:v>18490492.323226914</x:v>
      </x:c>
      <x:c r="S14" s="35" t="n">
        <x:f>'CF Installment'!S14+'MK Installment'!S14</x:f>
        <x:v>17955147.4778185</x:v>
      </x:c>
      <x:c r="T14" s="35" t="n">
        <x:f>'CF Installment'!T14+'MK Installment'!T14</x:f>
        <x:v>17501512.846195582</x:v>
      </x:c>
      <x:c r="U14" s="35" t="n">
        <x:f>'CF Installment'!U14+'MK Installment'!U14</x:f>
        <x:v>17121022.096491672</x:v>
      </x:c>
      <x:c r="V14" s="35" t="n">
        <x:f>'CF Installment'!V14+'MK Installment'!V14</x:f>
        <x:v>16808886.19222831</x:v>
      </x:c>
      <x:c r="W14" s="35" t="n">
        <x:f>'CF Installment'!W14+'MK Installment'!W14</x:f>
        <x:v>16563690.580152992</x:v>
      </x:c>
      <x:c r="X14" s="35" t="n">
        <x:f>'CF Installment'!X14+'MK Installment'!X14</x:f>
        <x:v>16386765.637021821</x:v>
      </x:c>
      <x:c r="Y14" s="35" t="n">
        <x:f>'CF Installment'!Y14+'MK Installment'!Y14</x:f>
        <x:v>16281009.938874587</x:v>
      </x:c>
      <x:c r="Z14" s="35" t="n">
        <x:f>'CF Installment'!Z14+'MK Installment'!Z14</x:f>
        <x:v>16249171.291009929</x:v>
      </x:c>
      <x:c r="AA14" s="35" t="n">
        <x:f>'CF Installment'!AA14+'MK Installment'!AA14</x:f>
        <x:v>16291954.759285904</x:v>
      </x:c>
      <x:c r="AB14" s="35" t="n">
        <x:f>'CF Installment'!AB14+'MK Installment'!AB14</x:f>
        <x:v>16406605.791878365</x:v>
      </x:c>
      <x:c r="AC14" s="35" t="n">
        <x:f>'CF Installment'!AC14+'MK Installment'!AC14</x:f>
        <x:v>16586866.64586884</x:v>
      </x:c>
      <x:c r="AD14" s="35" t="n">
        <x:f>'CF Installment'!AD14+'MK Installment'!AD14</x:f>
        <x:v>16824594.79152952</x:v>
      </x:c>
      <x:c r="AE14" s="35" t="n">
        <x:f>'CF Installment'!AE14+'MK Installment'!AE14</x:f>
        <x:v>17111934.211893503</x:v>
      </x:c>
      <x:c r="AF14" s="35" t="n">
        <x:f>'CF Installment'!AF14+'MK Installment'!AF14</x:f>
        <x:v>17111934.211893503</x:v>
      </x:c>
      <x:c r="AG14" s="35" t="n">
        <x:f>'CF Installment'!AG14+'MK Installment'!AG14</x:f>
        <x:v>17111934.211893503</x:v>
      </x:c>
      <x:c r="AH14" s="35" t="n">
        <x:f>'CF Installment'!AH14+'MK Installment'!AH14</x:f>
        <x:v>17111934.211893503</x:v>
      </x:c>
      <x:c r="AI14" s="35" t="n">
        <x:f>'CF Installment'!AI14+'MK Installment'!AI14</x:f>
        <x:v>17111934.211893503</x:v>
      </x:c>
      <x:c r="AJ14" s="35" t="n">
        <x:f>'CF Installment'!AJ14+'MK Installment'!AJ14</x:f>
        <x:v>17111934.211893503</x:v>
      </x:c>
      <x:c r="AK14" s="35" t="n">
        <x:f>'CF Installment'!AK14+'MK Installment'!AK14</x:f>
        <x:v>17111934.211893503</x:v>
      </x:c>
      <x:c r="AL14" s="35" t="n">
        <x:f>'CF Installment'!AL14+'MK Installment'!AL14</x:f>
        <x:v>17111934.211893503</x:v>
      </x:c>
      <x:c r="AM14" s="35" t="n">
        <x:f>'CF Installment'!AM14+'MK Installment'!AM14</x:f>
        <x:v>17111934.211893503</x:v>
      </x:c>
      <x:c r="AN14" s="35" t="n">
        <x:f>'CF Installment'!AN14+'MK Installment'!AN14</x:f>
        <x:v>17111934.211893503</x:v>
      </x:c>
      <x:c r="AO14" s="35" t="n">
        <x:f>'CF Installment'!AO14+'MK Installment'!AO14</x:f>
        <x:v>17111934.211893503</x:v>
      </x:c>
      <x:c r="AP14" s="35" t="n">
        <x:f>'CF Installment'!AP14+'MK Installment'!AP14</x:f>
        <x:v>17111934.211893503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104976296.0282198</x:v>
      </x:c>
      <x:c r="F15" s="2"/>
      <x:c r="G15" s="35" t="n">
        <x:f>'CF Installment'!G15+'MK Installment'!G15</x:f>
        <x:v>4209356.481179002</x:v>
      </x:c>
      <x:c r="H15" s="35" t="n">
        <x:f>'CF Installment'!H15+'MK Installment'!H15</x:f>
        <x:v>4076152.844395783</x:v>
      </x:c>
      <x:c r="I15" s="35" t="n">
        <x:f>'CF Installment'!I15+'MK Installment'!I15</x:f>
        <x:v>4025278.9857339812</x:v>
      </x:c>
      <x:c r="J15" s="35" t="n">
        <x:f>'CF Installment'!J15+'MK Installment'!J15</x:f>
        <x:v>4047233.9372317754</x:v>
      </x:c>
      <x:c r="K15" s="35" t="n">
        <x:f>'CF Installment'!K15+'MK Installment'!K15</x:f>
        <x:v>4118160.961650748</x:v>
      </x:c>
      <x:c r="L15" s="35" t="n">
        <x:f>'CF Installment'!L15+'MK Installment'!L15</x:f>
        <x:v>4208672.542439124</x:v>
      </x:c>
      <x:c r="M15" s="35" t="n">
        <x:f>'CF Installment'!M15+'MK Installment'!M15</x:f>
        <x:v>4294823.959975551</x:v>
      </x:c>
      <x:c r="N15" s="35" t="n">
        <x:f>'CF Installment'!N15+'MK Installment'!N15</x:f>
        <x:v>4363641.607701626</x:v>
      </x:c>
      <x:c r="O15" s="35" t="n">
        <x:f>'CF Installment'!O15+'MK Installment'!O15</x:f>
        <x:v>4412248.49758487</x:v>
      </x:c>
      <x:c r="P15" s="35" t="n">
        <x:f>'CF Installment'!P15+'MK Installment'!P15</x:f>
        <x:v>4443686.816605563</x:v>
      </x:c>
      <x:c r="Q15" s="35" t="n">
        <x:f>'CF Installment'!Q15+'MK Installment'!Q15</x:f>
        <x:v>4462816.41212018</x:v>
      </x:c>
      <x:c r="R15" s="35" t="n">
        <x:f>'CF Installment'!R15+'MK Installment'!R15</x:f>
        <x:v>4473988.5542270765</x:v>
      </x:c>
      <x:c r="S15" s="35" t="n">
        <x:f>'CF Installment'!S15+'MK Installment'!S15</x:f>
        <x:v>4480337.098294139</x:v>
      </x:c>
      <x:c r="T15" s="35" t="n">
        <x:f>'CF Installment'!T15+'MK Installment'!T15</x:f>
        <x:v>4483877.2194173075</x:v>
      </x:c>
      <x:c r="U15" s="35" t="n">
        <x:f>'CF Installment'!U15+'MK Installment'!U15</x:f>
        <x:v>4485823.793926255</x:v>
      </x:c>
      <x:c r="V15" s="35" t="n">
        <x:f>'CF Installment'!V15+'MK Installment'!V15</x:f>
        <x:v>4486881.693037748</x:v>
      </x:c>
      <x:c r="W15" s="35" t="n">
        <x:f>'CF Installment'!W15+'MK Installment'!W15</x:f>
        <x:v>4487450.265909453</x:v>
      </x:c>
      <x:c r="X15" s="35" t="n">
        <x:f>'CF Installment'!X15+'MK Installment'!X15</x:f>
        <x:v>4487752.220267199</x:v>
      </x:c>
      <x:c r="Y15" s="35" t="n">
        <x:f>'CF Installment'!Y15+'MK Installment'!Y15</x:f>
        <x:v>4487910.327007896</x:v>
      </x:c>
      <x:c r="Z15" s="35" t="n">
        <x:f>'CF Installment'!Z15+'MK Installment'!Z15</x:f>
        <x:v>4487991.62256996</x:v>
      </x:c>
      <x:c r="AA15" s="35" t="n">
        <x:f>'CF Installment'!AA15+'MK Installment'!AA15</x:f>
        <x:v>4488032.38831395</x:v>
      </x:c>
      <x:c r="AB15" s="35" t="n">
        <x:f>'CF Installment'!AB15+'MK Installment'!AB15</x:f>
        <x:v>4488052.083406491</x:v>
      </x:c>
      <x:c r="AC15" s="35" t="n">
        <x:f>'CF Installment'!AC15+'MK Installment'!AC15</x:f>
        <x:v>4488061.039600583</x:v>
      </x:c>
      <x:c r="AD15" s="35" t="n">
        <x:f>'CF Installment'!AD15+'MK Installment'!AD15</x:f>
        <x:v>4488064.675623557</x:v>
      </x:c>
      <x:c r="AE15" s="35" t="n">
        <x:f>'CF Installment'!AE15+'MK Installment'!AE15</x:f>
        <x:v>4488065.7881064955</x:v>
      </x:c>
      <x:c r="AF15" s="35" t="n">
        <x:f>'CF Installment'!AF15+'MK Installment'!AF15</x:f>
        <x:v>4488065.7881064955</x:v>
      </x:c>
      <x:c r="AG15" s="35" t="n">
        <x:f>'CF Installment'!AG15+'MK Installment'!AG15</x:f>
        <x:v>4488065.7881064955</x:v>
      </x:c>
      <x:c r="AH15" s="35" t="n">
        <x:f>'CF Installment'!AH15+'MK Installment'!AH15</x:f>
        <x:v>4488065.7881064955</x:v>
      </x:c>
      <x:c r="AI15" s="35" t="n">
        <x:f>'CF Installment'!AI15+'MK Installment'!AI15</x:f>
        <x:v>4488065.7881064955</x:v>
      </x:c>
      <x:c r="AJ15" s="35" t="n">
        <x:f>'CF Installment'!AJ15+'MK Installment'!AJ15</x:f>
        <x:v>4488065.7881064955</x:v>
      </x:c>
      <x:c r="AK15" s="35" t="n">
        <x:f>'CF Installment'!AK15+'MK Installment'!AK15</x:f>
        <x:v>4488065.7881064955</x:v>
      </x:c>
      <x:c r="AL15" s="35" t="n">
        <x:f>'CF Installment'!AL15+'MK Installment'!AL15</x:f>
        <x:v>4488065.7881064955</x:v>
      </x:c>
      <x:c r="AM15" s="35" t="n">
        <x:f>'CF Installment'!AM15+'MK Installment'!AM15</x:f>
        <x:v>4488065.7881064955</x:v>
      </x:c>
      <x:c r="AN15" s="35" t="n">
        <x:f>'CF Installment'!AN15+'MK Installment'!AN15</x:f>
        <x:v>4488065.7881064955</x:v>
      </x:c>
      <x:c r="AO15" s="35" t="n">
        <x:f>'CF Installment'!AO15+'MK Installment'!AO15</x:f>
        <x:v>4488065.7881064955</x:v>
      </x:c>
      <x:c r="AP15" s="35" t="n">
        <x:f>'CF Installment'!AP15+'MK Installment'!AP15</x:f>
        <x:v>4488065.7881064955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Ending gross CLAB</x:v>
      </x:c>
      <x:c r="D16" s="2"/>
      <x:c r="E16" s="35" t="n">
        <x:f>INDEX(G16:AP16,1,'Assumptions'!$E$7)</x:f>
        <x:v>265222618.31487483</x:v>
      </x:c>
      <x:c r="F16" s="2"/>
      <x:c r="G16" s="35" t="n">
        <x:f>'CF Installment'!G16+'MK Installment'!G16</x:f>
        <x:v>347212344.9423794</x:v>
      </x:c>
      <x:c r="H16" s="35" t="n">
        <x:f>'CF Installment'!H16+'MK Installment'!H16</x:f>
        <x:v>325031445.8711297</x:v>
      </x:c>
      <x:c r="I16" s="35" t="n">
        <x:f>'CF Installment'!I16+'MK Installment'!I16</x:f>
        <x:v>309240905.94902694</x:v>
      </x:c>
      <x:c r="J16" s="35" t="n">
        <x:f>'CF Installment'!J16+'MK Installment'!J16</x:f>
        <x:v>297337070.4189646</x:v>
      </x:c>
      <x:c r="K16" s="35" t="n">
        <x:f>'CF Installment'!K16+'MK Installment'!K16</x:f>
        <x:v>288092171.41851664</x:v>
      </x:c>
      <x:c r="L16" s="35" t="n">
        <x:f>'CF Installment'!L16+'MK Installment'!L16</x:f>
        <x:v>280799509.38512</x:v>
      </x:c>
      <x:c r="M16" s="35" t="n">
        <x:f>'CF Installment'!M16+'MK Installment'!M16</x:f>
        <x:v>275017424.5212202</x:v>
      </x:c>
      <x:c r="N16" s="35" t="n">
        <x:f>'CF Installment'!N16+'MK Installment'!N16</x:f>
        <x:v>270452082.78974503</x:v>
      </x:c>
      <x:c r="O16" s="35" t="n">
        <x:f>'CF Installment'!O16+'MK Installment'!O16</x:f>
        <x:v>266894895.42517483</x:v>
      </x:c>
      <x:c r="P16" s="35" t="n">
        <x:f>'CF Installment'!P16+'MK Installment'!P16</x:f>
        <x:v>264187836.07600874</x:v>
      </x:c>
      <x:c r="Q16" s="35" t="n">
        <x:f>'CF Installment'!Q16+'MK Installment'!Q16</x:f>
        <x:v>262204561.66805932</x:v>
      </x:c>
      <x:c r="R16" s="35" t="n">
        <x:f>'CF Installment'!R16+'MK Installment'!R16</x:f>
        <x:v>260840080.79060534</x:v>
      </x:c>
      <x:c r="S16" s="35" t="n">
        <x:f>'CF Installment'!S16+'MK Installment'!S16</x:f>
        <x:v>260004596.21449268</x:v>
      </x:c>
      <x:c r="T16" s="35" t="n">
        <x:f>'CF Installment'!T16+'MK Installment'!T16</x:f>
        <x:v>259619206.14887983</x:v>
      </x:c>
      <x:c r="U16" s="35" t="n">
        <x:f>'CF Installment'!U16+'MK Installment'!U16</x:f>
        <x:v>259612360.25846192</x:v>
      </x:c>
      <x:c r="V16" s="35" t="n">
        <x:f>'CF Installment'!V16+'MK Installment'!V16</x:f>
        <x:v>259916592.37319586</x:v>
      </x:c>
      <x:c r="W16" s="35" t="n">
        <x:f>'CF Installment'!W16+'MK Installment'!W16</x:f>
        <x:v>260465451.52713344</x:v>
      </x:c>
      <x:c r="X16" s="35" t="n">
        <x:f>'CF Installment'!X16+'MK Installment'!X16</x:f>
        <x:v>261190933.66984442</x:v>
      </x:c>
      <x:c r="Y16" s="35" t="n">
        <x:f>'CF Installment'!Y16+'MK Installment'!Y16</x:f>
        <x:v>262022013.40396196</x:v>
      </x:c>
      <x:c r="Z16" s="35" t="n">
        <x:f>'CF Installment'!Z16+'MK Installment'!Z16</x:f>
        <x:v>262884850.49038208</x:v>
      </x:c>
      <x:c r="AA16" s="35" t="n">
        <x:f>'CF Installment'!AA16+'MK Installment'!AA16</x:f>
        <x:v>263704863.3427822</x:v>
      </x:c>
      <x:c r="AB16" s="35" t="n">
        <x:f>'CF Installment'!AB16+'MK Installment'!AB16</x:f>
        <x:v>264410205.46749732</x:v>
      </x:c>
      <x:c r="AC16" s="35" t="n">
        <x:f>'CF Installment'!AC16+'MK Installment'!AC16</x:f>
        <x:v>264935277.7820279</x:v>
      </x:c>
      <x:c r="AD16" s="35" t="n">
        <x:f>'CF Installment'!AD16+'MK Installment'!AD16</x:f>
        <x:v>265222618.31487483</x:v>
      </x:c>
      <x:c r="AE16" s="35" t="n">
        <x:f>'CF Installment'!AE16+'MK Installment'!AE16</x:f>
        <x:v>265222618.31487483</x:v>
      </x:c>
      <x:c r="AF16" s="35" t="n">
        <x:f>'CF Installment'!AF16+'MK Installment'!AF16</x:f>
        <x:v>265222618.31487483</x:v>
      </x:c>
      <x:c r="AG16" s="35" t="n">
        <x:f>'CF Installment'!AG16+'MK Installment'!AG16</x:f>
        <x:v>265222618.31487483</x:v>
      </x:c>
      <x:c r="AH16" s="35" t="n">
        <x:f>'CF Installment'!AH16+'MK Installment'!AH16</x:f>
        <x:v>265222618.31487483</x:v>
      </x:c>
      <x:c r="AI16" s="35" t="n">
        <x:f>'CF Installment'!AI16+'MK Installment'!AI16</x:f>
        <x:v>265222618.31487483</x:v>
      </x:c>
      <x:c r="AJ16" s="35" t="n">
        <x:f>'CF Installment'!AJ16+'MK Installment'!AJ16</x:f>
        <x:v>265222618.31487483</x:v>
      </x:c>
      <x:c r="AK16" s="35" t="n">
        <x:f>'CF Installment'!AK16+'MK Installment'!AK16</x:f>
        <x:v>265222618.31487483</x:v>
      </x:c>
      <x:c r="AL16" s="35" t="n">
        <x:f>'CF Installment'!AL16+'MK Installment'!AL16</x:f>
        <x:v>265222618.31487483</x:v>
      </x:c>
      <x:c r="AM16" s="35" t="n">
        <x:f>'CF Installment'!AM16+'MK Installment'!AM16</x:f>
        <x:v>265222618.31487483</x:v>
      </x:c>
      <x:c r="AN16" s="35" t="n">
        <x:f>'CF Installment'!AN16+'MK Installment'!AN16</x:f>
        <x:v>265222618.31487483</x:v>
      </x:c>
      <x:c r="AO16" s="35" t="n">
        <x:f>'CF Installment'!AO16+'MK Installment'!AO16</x:f>
        <x:v>265222618.31487483</x:v>
      </x:c>
      <x:c r="AP16" s="35" t="n">
        <x:f>'CF Installment'!AP16+'MK Installment'!AP16</x:f>
        <x:v>265222618.31487483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18239232.601268336</x:v>
      </x:c>
      <x:c r="F18" s="2"/>
      <x:c r="G18" s="35" t="n">
        <x:f>'CF Installment'!G18+'MK Installment'!G18</x:f>
        <x:v>18239232.601268336</x:v>
      </x:c>
      <x:c r="H18" s="35" t="n">
        <x:f>'CF Installment'!H18+'MK Installment'!H18</x:f>
        <x:v>18517941.90819583</x:v>
      </x:c>
      <x:c r="I18" s="35" t="n">
        <x:f>'CF Installment'!I18+'MK Installment'!I18</x:f>
        <x:v>18929854.851906545</x:v>
      </x:c>
      <x:c r="J18" s="35" t="n">
        <x:f>'CF Installment'!J18+'MK Installment'!J18</x:f>
        <x:v>19392641.65427906</x:v>
      </x:c>
      <x:c r="K18" s="35" t="n">
        <x:f>'CF Installment'!K18+'MK Installment'!K18</x:f>
        <x:v>19833473.505153783</x:v>
      </x:c>
      <x:c r="L18" s="35" t="n">
        <x:f>'CF Installment'!L18+'MK Installment'!L18</x:f>
        <x:v>20203378.331609532</x:v>
      </x:c>
      <x:c r="M18" s="35" t="n">
        <x:f>'CF Installment'!M18+'MK Installment'!M18</x:f>
        <x:v>20482771.577276908</x:v>
      </x:c>
      <x:c r="N18" s="35" t="n">
        <x:f>'CF Installment'!N18+'MK Installment'!N18</x:f>
        <x:v>20676013.40540785</x:v>
      </x:c>
      <x:c r="O18" s="35" t="n">
        <x:f>'CF Installment'!O18+'MK Installment'!O18</x:f>
        <x:v>20800437.58581272</x:v>
      </x:c>
      <x:c r="P18" s="35" t="n">
        <x:f>'CF Installment'!P18+'MK Installment'!P18</x:f>
        <x:v>20876254.876334347</x:v>
      </x:c>
      <x:c r="Q18" s="35" t="n">
        <x:f>'CF Installment'!Q18+'MK Installment'!Q18</x:f>
        <x:v>20920633.847835276</x:v>
      </x:c>
      <x:c r="R18" s="35" t="n">
        <x:f>'CF Installment'!R18+'MK Installment'!R18</x:f>
        <x:v>20945883.223821595</x:v>
      </x:c>
      <x:c r="S18" s="35" t="n">
        <x:f>'CF Installment'!S18+'MK Installment'!S18</x:f>
        <x:v>20959960.457701012</x:v>
      </x:c>
      <x:c r="T18" s="35" t="n">
        <x:f>'CF Installment'!T18+'MK Installment'!T18</x:f>
        <x:v>20967689.14751337</x:v>
      </x:c>
      <x:c r="U18" s="35" t="n">
        <x:f>'CF Installment'!U18+'MK Installment'!U18</x:f>
        <x:v>20971877.716202557</x:v>
      </x:c>
      <x:c r="V18" s="35" t="n">
        <x:f>'CF Installment'!V18+'MK Installment'!V18</x:f>
        <x:v>20974119.7103828</x:v>
      </x:c>
      <x:c r="W18" s="35" t="n">
        <x:f>'CF Installment'!W18+'MK Installment'!W18</x:f>
        <x:v>20975303.80545155</x:v>
      </x:c>
      <x:c r="X18" s="35" t="n">
        <x:f>'CF Installment'!X18+'MK Installment'!X18</x:f>
        <x:v>20975919.327648595</x:v>
      </x:c>
      <x:c r="Y18" s="35" t="n">
        <x:f>'CF Installment'!Y18+'MK Installment'!Y18</x:f>
        <x:v>20976232.89548789</x:v>
      </x:c>
      <x:c r="Z18" s="35" t="n">
        <x:f>'CF Installment'!Z18+'MK Installment'!Z18</x:f>
        <x:v>20976388.35658649</x:v>
      </x:c>
      <x:c r="AA18" s="35" t="n">
        <x:f>'CF Installment'!AA18+'MK Installment'!AA18</x:f>
        <x:v>20976462.522123024</x:v>
      </x:c>
      <x:c r="AB18" s="35" t="n">
        <x:f>'CF Installment'!AB18+'MK Installment'!AB18</x:f>
        <x:v>20976495.921915572</x:v>
      </x:c>
      <x:c r="AC18" s="35" t="n">
        <x:f>'CF Installment'!AC18+'MK Installment'!AC18</x:f>
        <x:v>20976509.626615576</x:v>
      </x:c>
      <x:c r="AD18" s="35" t="n">
        <x:f>'CF Installment'!AD18+'MK Installment'!AD18</x:f>
        <x:v>20976514.37512149</x:v>
      </x:c>
      <x:c r="AE18" s="35" t="n">
        <x:f>'CF Installment'!AE18+'MK Installment'!AE18</x:f>
        <x:v>20976515.487604428</x:v>
      </x:c>
      <x:c r="AF18" s="35" t="n">
        <x:f>'CF Installment'!AF18+'MK Installment'!AF18</x:f>
        <x:v>20976515.48760443</x:v>
      </x:c>
      <x:c r="AG18" s="35" t="n">
        <x:f>'CF Installment'!AG18+'MK Installment'!AG18</x:f>
        <x:v>20976515.48760443</x:v>
      </x:c>
      <x:c r="AH18" s="35" t="n">
        <x:f>'CF Installment'!AH18+'MK Installment'!AH18</x:f>
        <x:v>20976515.48760443</x:v>
      </x:c>
      <x:c r="AI18" s="35" t="n">
        <x:f>'CF Installment'!AI18+'MK Installment'!AI18</x:f>
        <x:v>20976515.48760443</x:v>
      </x:c>
      <x:c r="AJ18" s="35" t="n">
        <x:f>'CF Installment'!AJ18+'MK Installment'!AJ18</x:f>
        <x:v>20976515.48760443</x:v>
      </x:c>
      <x:c r="AK18" s="35" t="n">
        <x:f>'CF Installment'!AK18+'MK Installment'!AK18</x:f>
        <x:v>20976515.48760443</x:v>
      </x:c>
      <x:c r="AL18" s="35" t="n">
        <x:f>'CF Installment'!AL18+'MK Installment'!AL18</x:f>
        <x:v>20976515.48760443</x:v>
      </x:c>
      <x:c r="AM18" s="35" t="n">
        <x:f>'CF Installment'!AM18+'MK Installment'!AM18</x:f>
        <x:v>20976515.48760443</x:v>
      </x:c>
      <x:c r="AN18" s="35" t="n">
        <x:f>'CF Installment'!AN18+'MK Installment'!AN18</x:f>
        <x:v>20976515.48760443</x:v>
      </x:c>
      <x:c r="AO18" s="35" t="n">
        <x:f>'CF Installment'!AO18+'MK Installment'!AO18</x:f>
        <x:v>20976515.48760443</x:v>
      </x:c>
      <x:c r="AP18" s="35" t="n">
        <x:f>'CF Installment'!AP18+'MK Installment'!AP18</x:f>
        <x:v>20976515.48760443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107713578.91455594</x:v>
      </x:c>
      <x:c r="F19" s="2"/>
      <x:c r="G19" s="35" t="n">
        <x:f>'CF Installment'!G19+'MK Installment'!G19</x:f>
        <x:v>4488065.788106496</x:v>
      </x:c>
      <x:c r="H19" s="35" t="n">
        <x:f>'CF Installment'!H19+'MK Installment'!H19</x:f>
        <x:v>4488065.788106496</x:v>
      </x:c>
      <x:c r="I19" s="35" t="n">
        <x:f>'CF Installment'!I19+'MK Installment'!I19</x:f>
        <x:v>4488065.788106496</x:v>
      </x:c>
      <x:c r="J19" s="35" t="n">
        <x:f>'CF Installment'!J19+'MK Installment'!J19</x:f>
        <x:v>4488065.788106496</x:v>
      </x:c>
      <x:c r="K19" s="35" t="n">
        <x:f>'CF Installment'!K19+'MK Installment'!K19</x:f>
        <x:v>4488065.788106496</x:v>
      </x:c>
      <x:c r="L19" s="35" t="n">
        <x:f>'CF Installment'!L19+'MK Installment'!L19</x:f>
        <x:v>4488065.788106496</x:v>
      </x:c>
      <x:c r="M19" s="35" t="n">
        <x:f>'CF Installment'!M19+'MK Installment'!M19</x:f>
        <x:v>4488065.788106496</x:v>
      </x:c>
      <x:c r="N19" s="35" t="n">
        <x:f>'CF Installment'!N19+'MK Installment'!N19</x:f>
        <x:v>4488065.788106496</x:v>
      </x:c>
      <x:c r="O19" s="35" t="n">
        <x:f>'CF Installment'!O19+'MK Installment'!O19</x:f>
        <x:v>4488065.788106496</x:v>
      </x:c>
      <x:c r="P19" s="35" t="n">
        <x:f>'CF Installment'!P19+'MK Installment'!P19</x:f>
        <x:v>4488065.788106496</x:v>
      </x:c>
      <x:c r="Q19" s="35" t="n">
        <x:f>'CF Installment'!Q19+'MK Installment'!Q19</x:f>
        <x:v>4488065.788106496</x:v>
      </x:c>
      <x:c r="R19" s="35" t="n">
        <x:f>'CF Installment'!R19+'MK Installment'!R19</x:f>
        <x:v>4488065.788106496</x:v>
      </x:c>
      <x:c r="S19" s="35" t="n">
        <x:f>'CF Installment'!S19+'MK Installment'!S19</x:f>
        <x:v>4488065.788106496</x:v>
      </x:c>
      <x:c r="T19" s="35" t="n">
        <x:f>'CF Installment'!T19+'MK Installment'!T19</x:f>
        <x:v>4488065.788106496</x:v>
      </x:c>
      <x:c r="U19" s="35" t="n">
        <x:f>'CF Installment'!U19+'MK Installment'!U19</x:f>
        <x:v>4488065.788106496</x:v>
      </x:c>
      <x:c r="V19" s="35" t="n">
        <x:f>'CF Installment'!V19+'MK Installment'!V19</x:f>
        <x:v>4488065.788106496</x:v>
      </x:c>
      <x:c r="W19" s="35" t="n">
        <x:f>'CF Installment'!W19+'MK Installment'!W19</x:f>
        <x:v>4488065.788106496</x:v>
      </x:c>
      <x:c r="X19" s="35" t="n">
        <x:f>'CF Installment'!X19+'MK Installment'!X19</x:f>
        <x:v>4488065.788106496</x:v>
      </x:c>
      <x:c r="Y19" s="35" t="n">
        <x:f>'CF Installment'!Y19+'MK Installment'!Y19</x:f>
        <x:v>4488065.788106496</x:v>
      </x:c>
      <x:c r="Z19" s="35" t="n">
        <x:f>'CF Installment'!Z19+'MK Installment'!Z19</x:f>
        <x:v>4488065.788106496</x:v>
      </x:c>
      <x:c r="AA19" s="35" t="n">
        <x:f>'CF Installment'!AA19+'MK Installment'!AA19</x:f>
        <x:v>4488065.788106496</x:v>
      </x:c>
      <x:c r="AB19" s="35" t="n">
        <x:f>'CF Installment'!AB19+'MK Installment'!AB19</x:f>
        <x:v>4488065.788106496</x:v>
      </x:c>
      <x:c r="AC19" s="35" t="n">
        <x:f>'CF Installment'!AC19+'MK Installment'!AC19</x:f>
        <x:v>4488065.788106496</x:v>
      </x:c>
      <x:c r="AD19" s="35" t="n">
        <x:f>'CF Installment'!AD19+'MK Installment'!AD19</x:f>
        <x:v>4488065.788106496</x:v>
      </x:c>
      <x:c r="AE19" s="35" t="n">
        <x:f>'CF Installment'!AE19+'MK Installment'!AE19</x:f>
        <x:v>4488065.788106496</x:v>
      </x:c>
      <x:c r="AF19" s="35" t="n">
        <x:f>'CF Installment'!AF19+'MK Installment'!AF19</x:f>
        <x:v>4488065.788106496</x:v>
      </x:c>
      <x:c r="AG19" s="35" t="n">
        <x:f>'CF Installment'!AG19+'MK Installment'!AG19</x:f>
        <x:v>4488065.788106496</x:v>
      </x:c>
      <x:c r="AH19" s="35" t="n">
        <x:f>'CF Installment'!AH19+'MK Installment'!AH19</x:f>
        <x:v>4488065.788106496</x:v>
      </x:c>
      <x:c r="AI19" s="35" t="n">
        <x:f>'CF Installment'!AI19+'MK Installment'!AI19</x:f>
        <x:v>4488065.788106496</x:v>
      </x:c>
      <x:c r="AJ19" s="35" t="n">
        <x:f>'CF Installment'!AJ19+'MK Installment'!AJ19</x:f>
        <x:v>4488065.788106496</x:v>
      </x:c>
      <x:c r="AK19" s="35" t="n">
        <x:f>'CF Installment'!AK19+'MK Installment'!AK19</x:f>
        <x:v>4488065.788106496</x:v>
      </x:c>
      <x:c r="AL19" s="35" t="n">
        <x:f>'CF Installment'!AL19+'MK Installment'!AL19</x:f>
        <x:v>4488065.788106496</x:v>
      </x:c>
      <x:c r="AM19" s="35" t="n">
        <x:f>'CF Installment'!AM19+'MK Installment'!AM19</x:f>
        <x:v>4488065.788106496</x:v>
      </x:c>
      <x:c r="AN19" s="35" t="n">
        <x:f>'CF Installment'!AN19+'MK Installment'!AN19</x:f>
        <x:v>4488065.788106496</x:v>
      </x:c>
      <x:c r="AO19" s="35" t="n">
        <x:f>'CF Installment'!AO19+'MK Installment'!AO19</x:f>
        <x:v>4488065.788106496</x:v>
      </x:c>
      <x:c r="AP19" s="35" t="n">
        <x:f>'CF Installment'!AP19+'MK Installment'!AP19</x:f>
        <x:v>4488065.788106496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Ending reserve</x:v>
      </x:c>
      <x:c r="D20" s="2"/>
      <x:c r="E20" s="35" t="n">
        <x:f>INDEX(G20:AP20,1,'Assumptions'!$E$7)</x:f>
        <x:v>20976515.487604428</x:v>
      </x:c>
      <x:c r="F20" s="2"/>
      <x:c r="G20" s="35" t="n">
        <x:f>'CF Installment'!G20+'MK Installment'!G20</x:f>
        <x:v>18517941.90819583</x:v>
      </x:c>
      <x:c r="H20" s="35" t="n">
        <x:f>'CF Installment'!H20+'MK Installment'!H20</x:f>
        <x:v>18929854.851906545</x:v>
      </x:c>
      <x:c r="I20" s="35" t="n">
        <x:f>'CF Installment'!I20+'MK Installment'!I20</x:f>
        <x:v>19392641.65427906</x:v>
      </x:c>
      <x:c r="J20" s="35" t="n">
        <x:f>'CF Installment'!J20+'MK Installment'!J20</x:f>
        <x:v>19833473.505153783</x:v>
      </x:c>
      <x:c r="K20" s="35" t="n">
        <x:f>'CF Installment'!K20+'MK Installment'!K20</x:f>
        <x:v>20203378.331609532</x:v>
      </x:c>
      <x:c r="L20" s="35" t="n">
        <x:f>'CF Installment'!L20+'MK Installment'!L20</x:f>
        <x:v>20482771.577276908</x:v>
      </x:c>
      <x:c r="M20" s="35" t="n">
        <x:f>'CF Installment'!M20+'MK Installment'!M20</x:f>
        <x:v>20676013.40540785</x:v>
      </x:c>
      <x:c r="N20" s="35" t="n">
        <x:f>'CF Installment'!N20+'MK Installment'!N20</x:f>
        <x:v>20800437.58581272</x:v>
      </x:c>
      <x:c r="O20" s="35" t="n">
        <x:f>'CF Installment'!O20+'MK Installment'!O20</x:f>
        <x:v>20876254.876334347</x:v>
      </x:c>
      <x:c r="P20" s="35" t="n">
        <x:f>'CF Installment'!P20+'MK Installment'!P20</x:f>
        <x:v>20920633.847835276</x:v>
      </x:c>
      <x:c r="Q20" s="35" t="n">
        <x:f>'CF Installment'!Q20+'MK Installment'!Q20</x:f>
        <x:v>20945883.223821595</x:v>
      </x:c>
      <x:c r="R20" s="35" t="n">
        <x:f>'CF Installment'!R20+'MK Installment'!R20</x:f>
        <x:v>20959960.457701012</x:v>
      </x:c>
      <x:c r="S20" s="35" t="n">
        <x:f>'CF Installment'!S20+'MK Installment'!S20</x:f>
        <x:v>20967689.14751337</x:v>
      </x:c>
      <x:c r="T20" s="35" t="n">
        <x:f>'CF Installment'!T20+'MK Installment'!T20</x:f>
        <x:v>20971877.716202557</x:v>
      </x:c>
      <x:c r="U20" s="35" t="n">
        <x:f>'CF Installment'!U20+'MK Installment'!U20</x:f>
        <x:v>20974119.7103828</x:v>
      </x:c>
      <x:c r="V20" s="35" t="n">
        <x:f>'CF Installment'!V20+'MK Installment'!V20</x:f>
        <x:v>20975303.80545155</x:v>
      </x:c>
      <x:c r="W20" s="35" t="n">
        <x:f>'CF Installment'!W20+'MK Installment'!W20</x:f>
        <x:v>20975919.327648595</x:v>
      </x:c>
      <x:c r="X20" s="35" t="n">
        <x:f>'CF Installment'!X20+'MK Installment'!X20</x:f>
        <x:v>20976232.89548789</x:v>
      </x:c>
      <x:c r="Y20" s="35" t="n">
        <x:f>'CF Installment'!Y20+'MK Installment'!Y20</x:f>
        <x:v>20976388.35658649</x:v>
      </x:c>
      <x:c r="Z20" s="35" t="n">
        <x:f>'CF Installment'!Z20+'MK Installment'!Z20</x:f>
        <x:v>20976462.522123024</x:v>
      </x:c>
      <x:c r="AA20" s="35" t="n">
        <x:f>'CF Installment'!AA20+'MK Installment'!AA20</x:f>
        <x:v>20976495.921915572</x:v>
      </x:c>
      <x:c r="AB20" s="35" t="n">
        <x:f>'CF Installment'!AB20+'MK Installment'!AB20</x:f>
        <x:v>20976509.626615576</x:v>
      </x:c>
      <x:c r="AC20" s="35" t="n">
        <x:f>'CF Installment'!AC20+'MK Installment'!AC20</x:f>
        <x:v>20976514.37512149</x:v>
      </x:c>
      <x:c r="AD20" s="35" t="n">
        <x:f>'CF Installment'!AD20+'MK Installment'!AD20</x:f>
        <x:v>20976515.487604428</x:v>
      </x:c>
      <x:c r="AE20" s="35" t="n">
        <x:f>'CF Installment'!AE20+'MK Installment'!AE20</x:f>
        <x:v>20976515.48760443</x:v>
      </x:c>
      <x:c r="AF20" s="35" t="n">
        <x:f>'CF Installment'!AF20+'MK Installment'!AF20</x:f>
        <x:v>20976515.48760443</x:v>
      </x:c>
      <x:c r="AG20" s="35" t="n">
        <x:f>'CF Installment'!AG20+'MK Installment'!AG20</x:f>
        <x:v>20976515.48760443</x:v>
      </x:c>
      <x:c r="AH20" s="35" t="n">
        <x:f>'CF Installment'!AH20+'MK Installment'!AH20</x:f>
        <x:v>20976515.48760443</x:v>
      </x:c>
      <x:c r="AI20" s="35" t="n">
        <x:f>'CF Installment'!AI20+'MK Installment'!AI20</x:f>
        <x:v>20976515.48760443</x:v>
      </x:c>
      <x:c r="AJ20" s="35" t="n">
        <x:f>'CF Installment'!AJ20+'MK Installment'!AJ20</x:f>
        <x:v>20976515.48760443</x:v>
      </x:c>
      <x:c r="AK20" s="35" t="n">
        <x:f>'CF Installment'!AK20+'MK Installment'!AK20</x:f>
        <x:v>20976515.48760443</x:v>
      </x:c>
      <x:c r="AL20" s="35" t="n">
        <x:f>'CF Installment'!AL20+'MK Installment'!AL20</x:f>
        <x:v>20976515.48760443</x:v>
      </x:c>
      <x:c r="AM20" s="35" t="n">
        <x:f>'CF Installment'!AM20+'MK Installment'!AM20</x:f>
        <x:v>20976515.48760443</x:v>
      </x:c>
      <x:c r="AN20" s="35" t="n">
        <x:f>'CF Installment'!AN20+'MK Installment'!AN20</x:f>
        <x:v>20976515.48760443</x:v>
      </x:c>
      <x:c r="AO20" s="35" t="n">
        <x:f>'CF Installment'!AO20+'MK Installment'!AO20</x:f>
        <x:v>20976515.48760443</x:v>
      </x:c>
      <x:c r="AP20" s="35" t="n">
        <x:f>'CF Installment'!AP20+'MK Installment'!AP20</x:f>
        <x:v>20976515.48760443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 t="str">
        <x:v>Net CLAB</x:v>
      </x:c>
      <x:c r="D21" s="2"/>
      <x:c r="E21" s="35" t="n">
        <x:f>INDEX(G21:AP21,1,'Assumptions'!$E$7)</x:f>
        <x:v>244246102.8272704</x:v>
      </x:c>
      <x:c r="F21" s="2"/>
      <x:c r="G21" s="35" t="n">
        <x:f>'CF Installment'!G21+'MK Installment'!G21</x:f>
        <x:v>328694403.03418356</x:v>
      </x:c>
      <x:c r="H21" s="35" t="n">
        <x:f>'CF Installment'!H21+'MK Installment'!H21</x:f>
        <x:v>306101591.01922315</x:v>
      </x:c>
      <x:c r="I21" s="35" t="n">
        <x:f>'CF Installment'!I21+'MK Installment'!I21</x:f>
        <x:v>289848264.2947479</x:v>
      </x:c>
      <x:c r="J21" s="35" t="n">
        <x:f>'CF Installment'!J21+'MK Installment'!J21</x:f>
        <x:v>277503596.91381085</x:v>
      </x:c>
      <x:c r="K21" s="35" t="n">
        <x:f>'CF Installment'!K21+'MK Installment'!K21</x:f>
        <x:v>267888793.0869071</x:v>
      </x:c>
      <x:c r="L21" s="35" t="n">
        <x:f>'CF Installment'!L21+'MK Installment'!L21</x:f>
        <x:v>260316737.80784306</x:v>
      </x:c>
      <x:c r="M21" s="35" t="n">
        <x:f>'CF Installment'!M21+'MK Installment'!M21</x:f>
        <x:v>254341411.11581236</x:v>
      </x:c>
      <x:c r="N21" s="35" t="n">
        <x:f>'CF Installment'!N21+'MK Installment'!N21</x:f>
        <x:v>249651645.2039323</x:v>
      </x:c>
      <x:c r="O21" s="35" t="n">
        <x:f>'CF Installment'!O21+'MK Installment'!O21</x:f>
        <x:v>246018640.54884052</x:v>
      </x:c>
      <x:c r="P21" s="35" t="n">
        <x:f>'CF Installment'!P21+'MK Installment'!P21</x:f>
        <x:v>243267202.2281735</x:v>
      </x:c>
      <x:c r="Q21" s="35" t="n">
        <x:f>'CF Installment'!Q21+'MK Installment'!Q21</x:f>
        <x:v>241258678.4442377</x:v>
      </x:c>
      <x:c r="R21" s="35" t="n">
        <x:f>'CF Installment'!R21+'MK Installment'!R21</x:f>
        <x:v>239880120.33290434</x:v>
      </x:c>
      <x:c r="S21" s="35" t="n">
        <x:f>'CF Installment'!S21+'MK Installment'!S21</x:f>
        <x:v>239036907.06697932</x:v>
      </x:c>
      <x:c r="T21" s="35" t="n">
        <x:f>'CF Installment'!T21+'MK Installment'!T21</x:f>
        <x:v>238647328.43267724</x:v>
      </x:c>
      <x:c r="U21" s="35" t="n">
        <x:f>'CF Installment'!U21+'MK Installment'!U21</x:f>
        <x:v>238638240.54807913</x:v>
      </x:c>
      <x:c r="V21" s="35" t="n">
        <x:f>'CF Installment'!V21+'MK Installment'!V21</x:f>
        <x:v>238941288.5677443</x:v>
      </x:c>
      <x:c r="W21" s="35" t="n">
        <x:f>'CF Installment'!W21+'MK Installment'!W21</x:f>
        <x:v>239489532.19948485</x:v>
      </x:c>
      <x:c r="X21" s="35" t="n">
        <x:f>'CF Installment'!X21+'MK Installment'!X21</x:f>
        <x:v>240214700.77435654</x:v>
      </x:c>
      <x:c r="Y21" s="35" t="n">
        <x:f>'CF Installment'!Y21+'MK Installment'!Y21</x:f>
        <x:v>241045625.04737544</x:v>
      </x:c>
      <x:c r="Z21" s="35" t="n">
        <x:f>'CF Installment'!Z21+'MK Installment'!Z21</x:f>
        <x:v>241908387.96825904</x:v>
      </x:c>
      <x:c r="AA21" s="35" t="n">
        <x:f>'CF Installment'!AA21+'MK Installment'!AA21</x:f>
        <x:v>242728367.4208666</x:v>
      </x:c>
      <x:c r="AB21" s="35" t="n">
        <x:f>'CF Installment'!AB21+'MK Installment'!AB21</x:f>
        <x:v>243433695.84088176</x:v>
      </x:c>
      <x:c r="AC21" s="35" t="n">
        <x:f>'CF Installment'!AC21+'MK Installment'!AC21</x:f>
        <x:v>243958763.40690637</x:v>
      </x:c>
      <x:c r="AD21" s="35" t="n">
        <x:f>'CF Installment'!AD21+'MK Installment'!AD21</x:f>
        <x:v>244246102.8272704</x:v>
      </x:c>
      <x:c r="AE21" s="35" t="n">
        <x:f>'CF Installment'!AE21+'MK Installment'!AE21</x:f>
        <x:v>244246102.8272704</x:v>
      </x:c>
      <x:c r="AF21" s="35" t="n">
        <x:f>'CF Installment'!AF21+'MK Installment'!AF21</x:f>
        <x:v>244246102.8272704</x:v>
      </x:c>
      <x:c r="AG21" s="35" t="n">
        <x:f>'CF Installment'!AG21+'MK Installment'!AG21</x:f>
        <x:v>244246102.8272704</x:v>
      </x:c>
      <x:c r="AH21" s="35" t="n">
        <x:f>'CF Installment'!AH21+'MK Installment'!AH21</x:f>
        <x:v>244246102.8272704</x:v>
      </x:c>
      <x:c r="AI21" s="35" t="n">
        <x:f>'CF Installment'!AI21+'MK Installment'!AI21</x:f>
        <x:v>244246102.8272704</x:v>
      </x:c>
      <x:c r="AJ21" s="35" t="n">
        <x:f>'CF Installment'!AJ21+'MK Installment'!AJ21</x:f>
        <x:v>244246102.8272704</x:v>
      </x:c>
      <x:c r="AK21" s="35" t="n">
        <x:f>'CF Installment'!AK21+'MK Installment'!AK21</x:f>
        <x:v>244246102.8272704</x:v>
      </x:c>
      <x:c r="AL21" s="35" t="n">
        <x:f>'CF Installment'!AL21+'MK Installment'!AL21</x:f>
        <x:v>244246102.8272704</x:v>
      </x:c>
      <x:c r="AM21" s="35" t="n">
        <x:f>'CF Installment'!AM21+'MK Installment'!AM21</x:f>
        <x:v>244246102.8272704</x:v>
      </x:c>
      <x:c r="AN21" s="35" t="n">
        <x:f>'CF Installment'!AN21+'MK Installment'!AN21</x:f>
        <x:v>244246102.8272704</x:v>
      </x:c>
      <x:c r="AO21" s="35" t="n">
        <x:f>'CF Installment'!AO21+'MK Installment'!AO21</x:f>
        <x:v>244246102.8272704</x:v>
      </x:c>
      <x:c r="AP21" s="35" t="n">
        <x:f>'CF Installment'!AP21+'MK Installment'!AP21</x:f>
        <x:v>244246102.8272704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'CF Installment'!G23</x:f>
        <x:v>0.55</x:v>
      </x:c>
      <x:c r="H23" s="12" t="n">
        <x:f>'CF Installment'!H23</x:f>
        <x:v>0.55</x:v>
      </x:c>
      <x:c r="I23" s="12" t="n">
        <x:f>'CF Installment'!I23</x:f>
        <x:v>0.55</x:v>
      </x:c>
      <x:c r="J23" s="12" t="n">
        <x:f>'CF Installment'!J23</x:f>
        <x:v>0.55</x:v>
      </x:c>
      <x:c r="K23" s="12" t="n">
        <x:f>'CF Installment'!K23</x:f>
        <x:v>0.55</x:v>
      </x:c>
      <x:c r="L23" s="12" t="n">
        <x:f>'CF Installment'!L23</x:f>
        <x:v>0.55</x:v>
      </x:c>
      <x:c r="M23" s="12" t="n">
        <x:f>'CF Installment'!M23</x:f>
        <x:v>0.55</x:v>
      </x:c>
      <x:c r="N23" s="12" t="n">
        <x:f>'CF Installment'!N23</x:f>
        <x:v>0.55</x:v>
      </x:c>
      <x:c r="O23" s="12" t="n">
        <x:f>'CF Installment'!O23</x:f>
        <x:v>0.55</x:v>
      </x:c>
      <x:c r="P23" s="12" t="n">
        <x:f>'CF Installment'!P23</x:f>
        <x:v>0.55</x:v>
      </x:c>
      <x:c r="Q23" s="12" t="n">
        <x:f>'CF Installment'!Q23</x:f>
        <x:v>0.55</x:v>
      </x:c>
      <x:c r="R23" s="12" t="n">
        <x:f>'CF Installment'!R23</x:f>
        <x:v>0.55</x:v>
      </x:c>
      <x:c r="S23" s="12" t="n">
        <x:f>'CF Installment'!S23</x:f>
        <x:v>0.55</x:v>
      </x:c>
      <x:c r="T23" s="12" t="n">
        <x:f>'CF Installment'!T23</x:f>
        <x:v>0.55</x:v>
      </x:c>
      <x:c r="U23" s="12" t="n">
        <x:f>'CF Installment'!U23</x:f>
        <x:v>0.55</x:v>
      </x:c>
      <x:c r="V23" s="12" t="n">
        <x:f>'CF Installment'!V23</x:f>
        <x:v>0.55</x:v>
      </x:c>
      <x:c r="W23" s="12" t="n">
        <x:f>'CF Installment'!W23</x:f>
        <x:v>0.55</x:v>
      </x:c>
      <x:c r="X23" s="12" t="n">
        <x:f>'CF Installment'!X23</x:f>
        <x:v>0.55</x:v>
      </x:c>
      <x:c r="Y23" s="12" t="n">
        <x:f>'CF Installment'!Y23</x:f>
        <x:v>0.55</x:v>
      </x:c>
      <x:c r="Z23" s="12" t="n">
        <x:f>'CF Installment'!Z23</x:f>
        <x:v>0.55</x:v>
      </x:c>
      <x:c r="AA23" s="12" t="n">
        <x:f>'CF Installment'!AA23</x:f>
        <x:v>0.55</x:v>
      </x:c>
      <x:c r="AB23" s="12" t="n">
        <x:f>'CF Installment'!AB23</x:f>
        <x:v>0.55</x:v>
      </x:c>
      <x:c r="AC23" s="12" t="n">
        <x:f>'CF Installment'!AC23</x:f>
        <x:v>0.55</x:v>
      </x:c>
      <x:c r="AD23" s="12" t="n">
        <x:f>'CF Installment'!AD23</x:f>
        <x:v>0.55</x:v>
      </x:c>
      <x:c r="AE23" s="12" t="n">
        <x:f>'CF Installment'!AE23</x:f>
        <x:v>0.55</x:v>
      </x:c>
      <x:c r="AF23" s="12" t="n">
        <x:f>'CF Installment'!AF23</x:f>
        <x:v>0.55</x:v>
      </x:c>
      <x:c r="AG23" s="12" t="n">
        <x:f>'CF Installment'!AG23</x:f>
        <x:v>0.55</x:v>
      </x:c>
      <x:c r="AH23" s="12" t="n">
        <x:f>'CF Installment'!AH23</x:f>
        <x:v>0.55</x:v>
      </x:c>
      <x:c r="AI23" s="12" t="n">
        <x:f>'CF Installment'!AI23</x:f>
        <x:v>0.55</x:v>
      </x:c>
      <x:c r="AJ23" s="12" t="n">
        <x:f>'CF Installment'!AJ23</x:f>
        <x:v>0.55</x:v>
      </x:c>
      <x:c r="AK23" s="12" t="n">
        <x:f>'CF Installment'!AK23</x:f>
        <x:v>0.55</x:v>
      </x:c>
      <x:c r="AL23" s="12" t="n">
        <x:f>'CF Installment'!AL23</x:f>
        <x:v>0.55</x:v>
      </x:c>
      <x:c r="AM23" s="12" t="n">
        <x:f>'CF Installment'!AM23</x:f>
        <x:v>0.55</x:v>
      </x:c>
      <x:c r="AN23" s="12" t="n">
        <x:f>'CF Installment'!AN23</x:f>
        <x:v>0.55</x:v>
      </x:c>
      <x:c r="AO23" s="12" t="n">
        <x:f>'CF Installment'!AO23</x:f>
        <x:v>0.55</x:v>
      </x:c>
      <x:c r="AP23" s="12" t="n">
        <x:f>'CF Installment'!AP23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 t="str">
        <x:v>Revenue</x:v>
      </x:c>
      <x:c r="D24" s="2"/>
      <x:c r="E24" s="35" t="n">
        <x:f>SUMIFS(G24:AP24,$G$6:$AP$6,"&lt;="&amp;'Assumptions'!$E$7)</x:f>
        <x:v>302706267.5957096</x:v>
      </x:c>
      <x:c r="F24" s="2"/>
      <x:c r="G24" s="35" t="n">
        <x:f>'CF Installment'!G24+'MK Installment'!G24</x:f>
        <x:v>17379571.161279295</x:v>
      </x:c>
      <x:c r="H24" s="35" t="n">
        <x:f>'CF Installment'!H24+'MK Installment'!H24</x:f>
        <x:v>15727075.471157586</x:v>
      </x:c>
      <x:c r="I24" s="35" t="n">
        <x:f>'CF Installment'!I24+'MK Installment'!I24</x:f>
        <x:v>14712782.64891397</x:v>
      </x:c>
      <x:c r="J24" s="35" t="n">
        <x:f>'CF Installment'!J24+'MK Installment'!J24</x:f>
        <x:v>13988043.300540615</x:v>
      </x:c>
      <x:c r="K24" s="35" t="n">
        <x:f>'CF Installment'!K24+'MK Installment'!K24</x:f>
        <x:v>13439200.016793553</x:v>
      </x:c>
      <x:c r="L24" s="35" t="n">
        <x:f>'CF Installment'!L24+'MK Installment'!L24</x:f>
        <x:v>13011327.031820219</x:v>
      </x:c>
      <x:c r="M24" s="35" t="n">
        <x:f>'CF Installment'!M24+'MK Installment'!M24</x:f>
        <x:v>12673131.41531912</x:v>
      </x:c>
      <x:c r="N24" s="35" t="n">
        <x:f>'CF Installment'!N24+'MK Installment'!N24</x:f>
        <x:v>12404965.050202936</x:v>
      </x:c>
      <x:c r="O24" s="35" t="n">
        <x:f>'CF Installment'!O24+'MK Installment'!O24</x:f>
        <x:v>12193492.40505734</x:v>
      </x:c>
      <x:c r="P24" s="35" t="n">
        <x:f>'CF Installment'!P24+'MK Installment'!P24</x:f>
        <x:v>12029013.727892758</x:v>
      </x:c>
      <x:c r="Q24" s="35" t="n">
        <x:f>'CF Installment'!Q24+'MK Installment'!Q24</x:f>
        <x:v>11904063.40126156</x:v>
      </x:c>
      <x:c r="R24" s="35" t="n">
        <x:f>'CF Installment'!R24+'MK Installment'!R24</x:f>
        <x:v>11812651.267717313</x:v>
      </x:c>
      <x:c r="S24" s="35" t="n">
        <x:f>'CF Installment'!S24+'MK Installment'!S24</x:f>
        <x:v>11749821.585897597</x:v>
      </x:c>
      <x:c r="T24" s="35" t="n">
        <x:f>'CF Installment'!T24+'MK Installment'!T24</x:f>
        <x:v>11711366.28727429</x:v>
      </x:c>
      <x:c r="U24" s="35" t="n">
        <x:f>'CF Installment'!U24+'MK Installment'!U24</x:f>
        <x:v>11693613.357935375</x:v>
      </x:c>
      <x:c r="V24" s="35" t="n">
        <x:f>'CF Installment'!V24+'MK Installment'!V24</x:f>
        <x:v>11693251.100915276</x:v>
      </x:c>
      <x:c r="W24" s="35" t="n">
        <x:f>'CF Installment'!W24+'MK Installment'!W24</x:f>
        <x:v>11707169.013250628</x:v>
      </x:c>
      <x:c r="X24" s="35" t="n">
        <x:f>'CF Installment'!X24+'MK Installment'!X24</x:f>
        <x:v>11732311.21823137</x:v>
      </x:c>
      <x:c r="Y24" s="35" t="n">
        <x:f>'CF Installment'!Y24+'MK Installment'!Y24</x:f>
        <x:v>11765555.236546675</x:v>
      </x:c>
      <x:c r="Z24" s="35" t="n">
        <x:f>'CF Installment'!Z24+'MK Installment'!Z24</x:f>
        <x:v>11803642.664980467</x:v>
      </x:c>
      <x:c r="AA24" s="35" t="n">
        <x:f>'CF Installment'!AA24+'MK Installment'!AA24</x:f>
        <x:v>11843187.49634479</x:v>
      </x:c>
      <x:c r="AB24" s="35" t="n">
        <x:f>'CF Installment'!AB24+'MK Installment'!AB24</x:f>
        <x:v>11880770.516054722</x:v>
      </x:c>
      <x:c r="AC24" s="35" t="n">
        <x:f>'CF Installment'!AC24+'MK Installment'!AC24</x:f>
        <x:v>11913098.2862786</x:v>
      </x:c>
      <x:c r="AD24" s="35" t="n">
        <x:f>'CF Installment'!AD24+'MK Installment'!AD24</x:f>
        <x:v>11937163.934043532</x:v>
      </x:c>
      <x:c r="AE24" s="35" t="n">
        <x:f>'CF Installment'!AE24+'MK Installment'!AE24</x:f>
        <x:v>11950333.657476883</x:v>
      </x:c>
      <x:c r="AF24" s="35" t="n">
        <x:f>'CF Installment'!AF24+'MK Installment'!AF24</x:f>
        <x:v>11950333.657476883</x:v>
      </x:c>
      <x:c r="AG24" s="35" t="n">
        <x:f>'CF Installment'!AG24+'MK Installment'!AG24</x:f>
        <x:v>11950333.657476883</x:v>
      </x:c>
      <x:c r="AH24" s="35" t="n">
        <x:f>'CF Installment'!AH24+'MK Installment'!AH24</x:f>
        <x:v>11950333.657476883</x:v>
      </x:c>
      <x:c r="AI24" s="35" t="n">
        <x:f>'CF Installment'!AI24+'MK Installment'!AI24</x:f>
        <x:v>11950333.657476883</x:v>
      </x:c>
      <x:c r="AJ24" s="35" t="n">
        <x:f>'CF Installment'!AJ24+'MK Installment'!AJ24</x:f>
        <x:v>11950333.657476883</x:v>
      </x:c>
      <x:c r="AK24" s="35" t="n">
        <x:f>'CF Installment'!AK24+'MK Installment'!AK24</x:f>
        <x:v>11950333.657476883</x:v>
      </x:c>
      <x:c r="AL24" s="35" t="n">
        <x:f>'CF Installment'!AL24+'MK Installment'!AL24</x:f>
        <x:v>11950333.657476883</x:v>
      </x:c>
      <x:c r="AM24" s="35" t="n">
        <x:f>'CF Installment'!AM24+'MK Installment'!AM24</x:f>
        <x:v>11950333.657476883</x:v>
      </x:c>
      <x:c r="AN24" s="35" t="n">
        <x:f>'CF Installment'!AN24+'MK Installment'!AN24</x:f>
        <x:v>11950333.657476883</x:v>
      </x:c>
      <x:c r="AO24" s="35" t="n">
        <x:f>'CF Installment'!AO24+'MK Installment'!AO24</x:f>
        <x:v>11950333.657476883</x:v>
      </x:c>
      <x:c r="AP24" s="35" t="n">
        <x:f>'CF Installment'!AP24+'MK Installment'!AP24</x:f>
        <x:v>11950333.657476883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 t="str">
        <x:v>Net revenue</x:v>
      </x:c>
      <x:c r="D25" s="2"/>
      <x:c r="E25" s="35" t="n">
        <x:f>SUMIFS(G25:AP25,$G$6:$AP$6,"&lt;="&amp;'Assumptions'!$E$7)</x:f>
        <x:v>194992688.68115363</x:v>
      </x:c>
      <x:c r="F25" s="2"/>
      <x:c r="G25" s="35" t="n">
        <x:f>'CF Installment'!G25+'MK Installment'!G25</x:f>
        <x:v>12891505.373172801</x:v>
      </x:c>
      <x:c r="H25" s="35" t="n">
        <x:f>'CF Installment'!H25+'MK Installment'!H25</x:f>
        <x:v>11239009.683051089</x:v>
      </x:c>
      <x:c r="I25" s="35" t="n">
        <x:f>'CF Installment'!I25+'MK Installment'!I25</x:f>
        <x:v>10224716.860807473</x:v>
      </x:c>
      <x:c r="J25" s="35" t="n">
        <x:f>'CF Installment'!J25+'MK Installment'!J25</x:f>
        <x:v>9499977.512434117</x:v>
      </x:c>
      <x:c r="K25" s="35" t="n">
        <x:f>'CF Installment'!K25+'MK Installment'!K25</x:f>
        <x:v>8951134.228687057</x:v>
      </x:c>
      <x:c r="L25" s="35" t="n">
        <x:f>'CF Installment'!L25+'MK Installment'!L25</x:f>
        <x:v>8523261.243713722</x:v>
      </x:c>
      <x:c r="M25" s="35" t="n">
        <x:f>'CF Installment'!M25+'MK Installment'!M25</x:f>
        <x:v>8185065.627212623</x:v>
      </x:c>
      <x:c r="N25" s="35" t="n">
        <x:f>'CF Installment'!N25+'MK Installment'!N25</x:f>
        <x:v>7916899.26209644</x:v>
      </x:c>
      <x:c r="O25" s="35" t="n">
        <x:f>'CF Installment'!O25+'MK Installment'!O25</x:f>
        <x:v>7705426.6169508435</x:v>
      </x:c>
      <x:c r="P25" s="35" t="n">
        <x:f>'CF Installment'!P25+'MK Installment'!P25</x:f>
        <x:v>7540947.939786262</x:v>
      </x:c>
      <x:c r="Q25" s="35" t="n">
        <x:f>'CF Installment'!Q25+'MK Installment'!Q25</x:f>
        <x:v>7415997.613155065</x:v>
      </x:c>
      <x:c r="R25" s="35" t="n">
        <x:f>'CF Installment'!R25+'MK Installment'!R25</x:f>
        <x:v>7324585.479610816</x:v>
      </x:c>
      <x:c r="S25" s="35" t="n">
        <x:f>'CF Installment'!S25+'MK Installment'!S25</x:f>
        <x:v>7261755.7977911</x:v>
      </x:c>
      <x:c r="T25" s="35" t="n">
        <x:f>'CF Installment'!T25+'MK Installment'!T25</x:f>
        <x:v>7223300.4991677925</x:v>
      </x:c>
      <x:c r="U25" s="35" t="n">
        <x:f>'CF Installment'!U25+'MK Installment'!U25</x:f>
        <x:v>7205547.569828877</x:v>
      </x:c>
      <x:c r="V25" s="35" t="n">
        <x:f>'CF Installment'!V25+'MK Installment'!V25</x:f>
        <x:v>7205185.31280878</x:v>
      </x:c>
      <x:c r="W25" s="35" t="n">
        <x:f>'CF Installment'!W25+'MK Installment'!W25</x:f>
        <x:v>7219103.225144131</x:v>
      </x:c>
      <x:c r="X25" s="35" t="n">
        <x:f>'CF Installment'!X25+'MK Installment'!X25</x:f>
        <x:v>7244245.430124873</x:v>
      </x:c>
      <x:c r="Y25" s="35" t="n">
        <x:f>'CF Installment'!Y25+'MK Installment'!Y25</x:f>
        <x:v>7277489.448440178</x:v>
      </x:c>
      <x:c r="Z25" s="35" t="n">
        <x:f>'CF Installment'!Z25+'MK Installment'!Z25</x:f>
        <x:v>7315576.876873972</x:v>
      </x:c>
      <x:c r="AA25" s="35" t="n">
        <x:f>'CF Installment'!AA25+'MK Installment'!AA25</x:f>
        <x:v>7355121.7082382925</x:v>
      </x:c>
      <x:c r="AB25" s="35" t="n">
        <x:f>'CF Installment'!AB25+'MK Installment'!AB25</x:f>
        <x:v>7392704.727948224</x:v>
      </x:c>
      <x:c r="AC25" s="35" t="n">
        <x:f>'CF Installment'!AC25+'MK Installment'!AC25</x:f>
        <x:v>7425032.498172104</x:v>
      </x:c>
      <x:c r="AD25" s="35" t="n">
        <x:f>'CF Installment'!AD25+'MK Installment'!AD25</x:f>
        <x:v>7449098.145937036</x:v>
      </x:c>
      <x:c r="AE25" s="35" t="n">
        <x:f>'CF Installment'!AE25+'MK Installment'!AE25</x:f>
        <x:v>7462267.869370388</x:v>
      </x:c>
      <x:c r="AF25" s="35" t="n">
        <x:f>'CF Installment'!AF25+'MK Installment'!AF25</x:f>
        <x:v>7462267.869370388</x:v>
      </x:c>
      <x:c r="AG25" s="35" t="n">
        <x:f>'CF Installment'!AG25+'MK Installment'!AG25</x:f>
        <x:v>7462267.869370388</x:v>
      </x:c>
      <x:c r="AH25" s="35" t="n">
        <x:f>'CF Installment'!AH25+'MK Installment'!AH25</x:f>
        <x:v>7462267.869370388</x:v>
      </x:c>
      <x:c r="AI25" s="35" t="n">
        <x:f>'CF Installment'!AI25+'MK Installment'!AI25</x:f>
        <x:v>7462267.869370388</x:v>
      </x:c>
      <x:c r="AJ25" s="35" t="n">
        <x:f>'CF Installment'!AJ25+'MK Installment'!AJ25</x:f>
        <x:v>7462267.869370388</x:v>
      </x:c>
      <x:c r="AK25" s="35" t="n">
        <x:f>'CF Installment'!AK25+'MK Installment'!AK25</x:f>
        <x:v>7462267.869370388</x:v>
      </x:c>
      <x:c r="AL25" s="35" t="n">
        <x:f>'CF Installment'!AL25+'MK Installment'!AL25</x:f>
        <x:v>7462267.869370388</x:v>
      </x:c>
      <x:c r="AM25" s="35" t="n">
        <x:f>'CF Installment'!AM25+'MK Installment'!AM25</x:f>
        <x:v>7462267.869370388</x:v>
      </x:c>
      <x:c r="AN25" s="35" t="n">
        <x:f>'CF Installment'!AN25+'MK Installment'!AN25</x:f>
        <x:v>7462267.869370388</x:v>
      </x:c>
      <x:c r="AO25" s="35" t="n">
        <x:f>'CF Installment'!AO25+'MK Installment'!AO25</x:f>
        <x:v>7462267.869370388</x:v>
      </x:c>
      <x:c r="AP25" s="35" t="n">
        <x:f>'CF Installment'!AP25+'MK Installment'!AP25</x:f>
        <x:v>7462267.869370388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18239232.601268336</x:v>
      </x:c>
      <x:c r="F27" s="2"/>
      <x:c r="G27" s="35" t="n">
        <x:f>'CF Installment'!G27+'MK Installment'!G27</x:f>
        <x:v>4209356.481179002</x:v>
      </x:c>
      <x:c r="H27" s="35" t="n">
        <x:f>'CF Installment'!H27+'MK Installment'!H27</x:f>
        <x:v>3645389.1655481895</x:v>
      </x:c>
      <x:c r="I27" s="35" t="n">
        <x:f>'CF Installment'!I27+'MK Installment'!I27</x:f>
        <x:v>3028350.1599472906</x:v>
      </x:c>
      <x:c r="J27" s="35" t="n">
        <x:f>'CF Installment'!J27+'MK Installment'!J27</x:f>
        <x:v>2384997.88068029</x:v>
      </x:c>
      <x:c r="K27" s="35" t="n">
        <x:f>'CF Installment'!K27+'MK Installment'!K27</x:f>
        <x:v>1766663.3749329792</x:v>
      </x:c>
      <x:c r="L27" s="35" t="n">
        <x:f>'CF Installment'!L27+'MK Installment'!L27</x:f>
        <x:v>1228014.462358932</x:v>
      </x:c>
      <x:c r="M27" s="35" t="n">
        <x:f>'CF Installment'!M27+'MK Installment'!M27</x:f>
        <x:v>803424.3044504251</x:v>
      </x:c>
      <x:c r="N27" s="35" t="n">
        <x:f>'CF Installment'!N27+'MK Installment'!N27</x:f>
        <x:v>498381.52187686705</x:v>
      </x:c>
      <x:c r="O27" s="35" t="n">
        <x:f>'CF Installment'!O27+'MK Installment'!O27</x:f>
        <x:v>296081.567021029</x:v>
      </x:c>
      <x:c r="P27" s="35" t="n">
        <x:f>'CF Installment'!P27+'MK Installment'!P27</x:f>
        <x:v>170208.52470791485</x:v>
      </x:c>
      <x:c r="Q27" s="35" t="n">
        <x:f>'CF Installment'!Q27+'MK Installment'!Q27</x:f>
        <x:v>95498.40195621863</x:v>
      </x:c>
      <x:c r="R27" s="35" t="n">
        <x:f>'CF Installment'!R27+'MK Installment'!R27</x:f>
        <x:v>52607.11334165551</x:v>
      </x:c>
      <x:c r="S27" s="35" t="n">
        <x:f>'CF Installment'!S27+'MK Installment'!S27</x:f>
        <x:v>28551.429149153977</x:v>
      </x:c>
      <x:c r="T27" s="35" t="n">
        <x:f>'CF Installment'!T27+'MK Installment'!T27</x:f>
        <x:v>15288.496739729013</x:v>
      </x:c>
      <x:c r="U27" s="35" t="n">
        <x:f>'CF Installment'!U27+'MK Installment'!U27</x:f>
        <x:v>8075.626003747015</x:v>
      </x:c>
      <x:c r="V27" s="35" t="n">
        <x:f>'CF Installment'!V27+'MK Installment'!V27</x:f>
        <x:v>4201.28800852567</x:v>
      </x:c>
      <x:c r="W27" s="35" t="n">
        <x:f>'CF Installment'!W27+'MK Installment'!W27</x:f>
        <x:v>2146.298493341319</x:v>
      </x:c>
      <x:c r="X27" s="35" t="n">
        <x:f>'CF Installment'!X27+'MK Installment'!X27</x:f>
        <x:v>1071.6288530922802</x:v>
      </x:c>
      <x:c r="Y27" s="35" t="n">
        <x:f>'CF Installment'!Y27+'MK Installment'!Y27</x:f>
        <x:v>519.1370442216167</x:v>
      </x:c>
      <x:c r="Z27" s="35" t="n">
        <x:f>'CF Installment'!Z27+'MK Installment'!Z27</x:f>
        <x:v>241.22152500617779</x:v>
      </x:c>
      <x:c r="AA27" s="35" t="n">
        <x:f>'CF Installment'!AA27+'MK Installment'!AA27</x:f>
        <x:v>105.46603293261717</x:v>
      </x:c>
      <x:c r="AB27" s="35" t="n">
        <x:f>'CF Installment'!AB27+'MK Installment'!AB27</x:f>
        <x:v>41.884930362690106</x:v>
      </x:c>
      <x:c r="AC27" s="35" t="n">
        <x:f>'CF Installment'!AC27+'MK Installment'!AC27</x:f>
        <x:v>14.007035884316668</x:v>
      </x:c>
      <x:c r="AD27" s="35" t="n">
        <x:f>'CF Installment'!AD27+'MK Installment'!AD27</x:f>
        <x:v>3.1594515437778083</x:v>
      </x:c>
      <x:c r="AE27" s="35" t="n">
        <x:f>'CF Installment'!AE27+'MK Installment'!AE27</x:f>
        <x:v>0</x:v>
      </x:c>
      <x:c r="AF27" s="35" t="n">
        <x:f>'CF Installment'!AF27+'MK Installment'!AF27</x:f>
        <x:v>0</x:v>
      </x:c>
      <x:c r="AG27" s="35" t="n">
        <x:f>'CF Installment'!AG27+'MK Installment'!AG27</x:f>
        <x:v>0</x:v>
      </x:c>
      <x:c r="AH27" s="35" t="n">
        <x:f>'CF Installment'!AH27+'MK Installment'!AH27</x:f>
        <x:v>0</x:v>
      </x:c>
      <x:c r="AI27" s="35" t="n">
        <x:f>'CF Installment'!AI27+'MK Installment'!AI27</x:f>
        <x:v>0</x:v>
      </x:c>
      <x:c r="AJ27" s="35" t="n">
        <x:f>'CF Installment'!AJ27+'MK Installment'!AJ27</x:f>
        <x:v>0</x:v>
      </x:c>
      <x:c r="AK27" s="35" t="n">
        <x:f>'CF Installment'!AK27+'MK Installment'!AK27</x:f>
        <x:v>0</x:v>
      </x:c>
      <x:c r="AL27" s="35" t="n">
        <x:f>'CF Installment'!AL27+'MK Installment'!AL27</x:f>
        <x:v>0</x:v>
      </x:c>
      <x:c r="AM27" s="35" t="n">
        <x:f>'CF Installment'!AM27+'MK Installment'!AM27</x:f>
        <x:v>0</x:v>
      </x:c>
      <x:c r="AN27" s="35" t="n">
        <x:f>'CF Installment'!AN27+'MK Installment'!AN27</x:f>
        <x:v>0</x:v>
      </x:c>
      <x:c r="AO27" s="35" t="n">
        <x:f>'CF Installment'!AO27+'MK Installment'!AO27</x:f>
        <x:v>0</x:v>
      </x:c>
      <x:c r="AP27" s="35" t="n">
        <x:f>'CF Installment'!AP27+'MK Installment'!AP27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86737063.42695148</x:v>
      </x:c>
      <x:c r="F28" s="2"/>
      <x:c r="G28" s="35" t="n">
        <x:f>'CF Installment'!G28+'MK Installment'!G28</x:f>
        <x:v>0</x:v>
      </x:c>
      <x:c r="H28" s="35" t="n">
        <x:f>'CF Installment'!H28+'MK Installment'!H28</x:f>
        <x:v>430763.6788475935</x:v>
      </x:c>
      <x:c r="I28" s="35" t="n">
        <x:f>'CF Installment'!I28+'MK Installment'!I28</x:f>
        <x:v>996928.8257866905</x:v>
      </x:c>
      <x:c r="J28" s="35" t="n">
        <x:f>'CF Installment'!J28+'MK Installment'!J28</x:f>
        <x:v>1662236.0565514853</x:v>
      </x:c>
      <x:c r="K28" s="35" t="n">
        <x:f>'CF Installment'!K28+'MK Installment'!K28</x:f>
        <x:v>2351497.586717768</x:v>
      </x:c>
      <x:c r="L28" s="35" t="n">
        <x:f>'CF Installment'!L28+'MK Installment'!L28</x:f>
        <x:v>2980658.0800801916</x:v>
      </x:c>
      <x:c r="M28" s="35" t="n">
        <x:f>'CF Installment'!M28+'MK Installment'!M28</x:f>
        <x:v>3491399.6555251256</x:v>
      </x:c>
      <x:c r="N28" s="35" t="n">
        <x:f>'CF Installment'!N28+'MK Installment'!N28</x:f>
        <x:v>3865260.0858247583</x:v>
      </x:c>
      <x:c r="O28" s="35" t="n">
        <x:f>'CF Installment'!O28+'MK Installment'!O28</x:f>
        <x:v>4116166.930563841</x:v>
      </x:c>
      <x:c r="P28" s="35" t="n">
        <x:f>'CF Installment'!P28+'MK Installment'!P28</x:f>
        <x:v>4273478.291897648</x:v>
      </x:c>
      <x:c r="Q28" s="35" t="n">
        <x:f>'CF Installment'!Q28+'MK Installment'!Q28</x:f>
        <x:v>4367318.010163962</x:v>
      </x:c>
      <x:c r="R28" s="35" t="n">
        <x:f>'CF Installment'!R28+'MK Installment'!R28</x:f>
        <x:v>4421381.440885421</x:v>
      </x:c>
      <x:c r="S28" s="35" t="n">
        <x:f>'CF Installment'!S28+'MK Installment'!S28</x:f>
        <x:v>4451785.669144985</x:v>
      </x:c>
      <x:c r="T28" s="35" t="n">
        <x:f>'CF Installment'!T28+'MK Installment'!T28</x:f>
        <x:v>4468588.722677578</x:v>
      </x:c>
      <x:c r="U28" s="35" t="n">
        <x:f>'CF Installment'!U28+'MK Installment'!U28</x:f>
        <x:v>4477748.167922508</x:v>
      </x:c>
      <x:c r="V28" s="35" t="n">
        <x:f>'CF Installment'!V28+'MK Installment'!V28</x:f>
        <x:v>4482680.405029222</x:v>
      </x:c>
      <x:c r="W28" s="35" t="n">
        <x:f>'CF Installment'!W28+'MK Installment'!W28</x:f>
        <x:v>4485303.967416111</x:v>
      </x:c>
      <x:c r="X28" s="35" t="n">
        <x:f>'CF Installment'!X28+'MK Installment'!X28</x:f>
        <x:v>4486680.591414107</x:v>
      </x:c>
      <x:c r="Y28" s="35" t="n">
        <x:f>'CF Installment'!Y28+'MK Installment'!Y28</x:f>
        <x:v>4487391.189963675</x:v>
      </x:c>
      <x:c r="Z28" s="35" t="n">
        <x:f>'CF Installment'!Z28+'MK Installment'!Z28</x:f>
        <x:v>4487750.401044954</x:v>
      </x:c>
      <x:c r="AA28" s="35" t="n">
        <x:f>'CF Installment'!AA28+'MK Installment'!AA28</x:f>
        <x:v>4487926.9222810175</x:v>
      </x:c>
      <x:c r="AB28" s="35" t="n">
        <x:f>'CF Installment'!AB28+'MK Installment'!AB28</x:f>
        <x:v>4488010.198476128</x:v>
      </x:c>
      <x:c r="AC28" s="35" t="n">
        <x:f>'CF Installment'!AC28+'MK Installment'!AC28</x:f>
        <x:v>4488047.0325647</x:v>
      </x:c>
      <x:c r="AD28" s="35" t="n">
        <x:f>'CF Installment'!AD28+'MK Installment'!AD28</x:f>
        <x:v>4488061.516172013</x:v>
      </x:c>
      <x:c r="AE28" s="35" t="n">
        <x:f>'CF Installment'!AE28+'MK Installment'!AE28</x:f>
        <x:v>4488065.7881064955</x:v>
      </x:c>
      <x:c r="AF28" s="35" t="n">
        <x:f>'CF Installment'!AF28+'MK Installment'!AF28</x:f>
        <x:v>4488065.7881064955</x:v>
      </x:c>
      <x:c r="AG28" s="35" t="n">
        <x:f>'CF Installment'!AG28+'MK Installment'!AG28</x:f>
        <x:v>4488065.7881064955</x:v>
      </x:c>
      <x:c r="AH28" s="35" t="n">
        <x:f>'CF Installment'!AH28+'MK Installment'!AH28</x:f>
        <x:v>4488065.7881064955</x:v>
      </x:c>
      <x:c r="AI28" s="35" t="n">
        <x:f>'CF Installment'!AI28+'MK Installment'!AI28</x:f>
        <x:v>4488065.7881064955</x:v>
      </x:c>
      <x:c r="AJ28" s="35" t="n">
        <x:f>'CF Installment'!AJ28+'MK Installment'!AJ28</x:f>
        <x:v>4488065.7881064955</x:v>
      </x:c>
      <x:c r="AK28" s="35" t="n">
        <x:f>'CF Installment'!AK28+'MK Installment'!AK28</x:f>
        <x:v>4488065.7881064955</x:v>
      </x:c>
      <x:c r="AL28" s="35" t="n">
        <x:f>'CF Installment'!AL28+'MK Installment'!AL28</x:f>
        <x:v>4488065.7881064955</x:v>
      </x:c>
      <x:c r="AM28" s="35" t="n">
        <x:f>'CF Installment'!AM28+'MK Installment'!AM28</x:f>
        <x:v>4488065.7881064955</x:v>
      </x:c>
      <x:c r="AN28" s="35" t="n">
        <x:f>'CF Installment'!AN28+'MK Installment'!AN28</x:f>
        <x:v>4488065.7881064955</x:v>
      </x:c>
      <x:c r="AO28" s="35" t="n">
        <x:f>'CF Installment'!AO28+'MK Installment'!AO28</x:f>
        <x:v>4488065.7881064955</x:v>
      </x:c>
      <x:c r="AP28" s="35" t="n">
        <x:f>'CF Installment'!AP28+'MK Installment'!AP28</x:f>
        <x:v>4488065.7881064955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365160767.3987315</x:v>
      </x:c>
      <x:c r="F29" s="2"/>
      <x:c r="G29" s="35" t="n">
        <x:f>'CF Installment'!G29+'MK Installment'!G29</x:f>
        <x:v>53578298.57644155</x:v>
      </x:c>
      <x:c r="H29" s="35" t="n">
        <x:f>'CF Installment'!H29+'MK Installment'!H29</x:f>
        <x:v>39202429.86130577</x:v>
      </x:c>
      <x:c r="I29" s="35" t="n">
        <x:f>'CF Installment'!I29+'MK Installment'!I29</x:f>
        <x:v>32351996.908926986</x:v>
      </x:c>
      <x:c r="J29" s="35" t="n">
        <x:f>'CF Installment'!J29+'MK Installment'!J29</x:f>
        <x:v>27927119.5612697</x:v>
      </x:c>
      <x:c r="K29" s="35" t="n">
        <x:f>'CF Installment'!K29+'MK Installment'!K29</x:f>
        <x:v>24677592.66982646</x:v>
      </x:c>
      <x:c r="L29" s="35" t="n">
        <x:f>'CF Installment'!L29+'MK Installment'!L29</x:f>
        <x:v>22111243.678577162</x:v>
      </x:c>
      <x:c r="M29" s="35" t="n">
        <x:f>'CF Installment'!M29+'MK Installment'!M29</x:f>
        <x:v>19984345.627805248</x:v>
      </x:c>
      <x:c r="N29" s="35" t="n">
        <x:f>'CF Installment'!N29+'MK Installment'!N29</x:f>
        <x:v>18158130.313161734</x:v>
      </x:c>
      <x:c r="O29" s="35" t="n">
        <x:f>'CF Installment'!O29+'MK Installment'!O29</x:f>
        <x:v>16546002.628422985</x:v>
      </x:c>
      <x:c r="P29" s="35" t="n">
        <x:f>'CF Installment'!P29+'MK Installment'!P29</x:f>
        <x:v>15090493.283749873</x:v>
      </x:c>
      <x:c r="Q29" s="35" t="n">
        <x:f>'CF Installment'!Q29+'MK Installment'!Q29</x:f>
        <x:v>13751816.934068017</x:v>
      </x:c>
      <x:c r="R29" s="35" t="n">
        <x:f>'CF Installment'!R29+'MK Installment'!R29</x:f>
        <x:v>12501622.964921892</x:v>
      </x:c>
      <x:c r="S29" s="35" t="n">
        <x:f>'CF Installment'!S29+'MK Installment'!S29</x:f>
        <x:v>11319385.186875012</x:v>
      </x:c>
      <x:c r="T29" s="35" t="n">
        <x:f>'CF Installment'!T29+'MK Installment'!T29</x:f>
        <x:v>10190289.74503535</x:v>
      </x:c>
      <x:c r="U29" s="35" t="n">
        <x:f>'CF Installment'!U29+'MK Installment'!U29</x:f>
        <x:v>9104038.453252152</x:v>
      </x:c>
      <x:c r="V29" s="35" t="n">
        <x:f>'CF Installment'!V29+'MK Installment'!V29</x:f>
        <x:v>8054194.474754538</x:v>
      </x:c>
      <x:c r="W29" s="35" t="n">
        <x:f>'CF Installment'!W29+'MK Installment'!W29</x:f>
        <x:v>7037721.213111164</x:v>
      </x:c>
      <x:c r="X29" s="35" t="n">
        <x:f>'CF Installment'!X29+'MK Installment'!X29</x:f>
        <x:v>6054314.72018375</x:v>
      </x:c>
      <x:c r="Y29" s="35" t="n">
        <x:f>'CF Installment'!Y29+'MK Installment'!Y29</x:f>
        <x:v>5105202.1230712505</x:v>
      </x:c>
      <x:c r="Z29" s="35" t="n">
        <x:f>'CF Installment'!Z29+'MK Installment'!Z29</x:f>
        <x:v>4191406.085166423</x:v>
      </x:c>
      <x:c r="AA29" s="35" t="n">
        <x:f>'CF Installment'!AA29+'MK Installment'!AA29</x:f>
        <x:v>3311841.329285341</x:v>
      </x:c>
      <x:c r="AB29" s="35" t="n">
        <x:f>'CF Installment'!AB29+'MK Installment'!AB29</x:f>
        <x:v>2461889.285274608</x:v>
      </x:c>
      <x:c r="AC29" s="35" t="n">
        <x:f>'CF Installment'!AC29+'MK Installment'!AC29</x:f>
        <x:v>1633347.820410972</x:v>
      </x:c>
      <x:c r="AD29" s="35" t="n">
        <x:f>'CF Installment'!AD29+'MK Installment'!AD29</x:f>
        <x:v>816043.9538337121</x:v>
      </x:c>
      <x:c r="AE29" s="35" t="n">
        <x:f>'CF Installment'!AE29+'MK Installment'!AE29</x:f>
        <x:v>0</x:v>
      </x:c>
      <x:c r="AF29" s="35" t="n">
        <x:f>'CF Installment'!AF29+'MK Installment'!AF29</x:f>
        <x:v>0</x:v>
      </x:c>
      <x:c r="AG29" s="35" t="n">
        <x:f>'CF Installment'!AG29+'MK Installment'!AG29</x:f>
        <x:v>0</x:v>
      </x:c>
      <x:c r="AH29" s="35" t="n">
        <x:f>'CF Installment'!AH29+'MK Installment'!AH29</x:f>
        <x:v>0</x:v>
      </x:c>
      <x:c r="AI29" s="35" t="n">
        <x:f>'CF Installment'!AI29+'MK Installment'!AI29</x:f>
        <x:v>0</x:v>
      </x:c>
      <x:c r="AJ29" s="35" t="n">
        <x:f>'CF Installment'!AJ29+'MK Installment'!AJ29</x:f>
        <x:v>0</x:v>
      </x:c>
      <x:c r="AK29" s="35" t="n">
        <x:f>'CF Installment'!AK29+'MK Installment'!AK29</x:f>
        <x:v>0</x:v>
      </x:c>
      <x:c r="AL29" s="35" t="n">
        <x:f>'CF Installment'!AL29+'MK Installment'!AL29</x:f>
        <x:v>0</x:v>
      </x:c>
      <x:c r="AM29" s="35" t="n">
        <x:f>'CF Installment'!AM29+'MK Installment'!AM29</x:f>
        <x:v>0</x:v>
      </x:c>
      <x:c r="AN29" s="35" t="n">
        <x:f>'CF Installment'!AN29+'MK Installment'!AN29</x:f>
        <x:v>0</x:v>
      </x:c>
      <x:c r="AO29" s="35" t="n">
        <x:f>'CF Installment'!AO29+'MK Installment'!AO29</x:f>
        <x:v>0</x:v>
      </x:c>
      <x:c r="AP29" s="35" t="n">
        <x:f>'CF Installment'!AP29+'MK Installment'!AP29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166440318.25817367</x:v>
      </x:c>
      <x:c r="F30" s="2"/>
      <x:c r="G30" s="35" t="n">
        <x:f>'CF Installment'!G30+'MK Installment'!G30</x:f>
        <x:v>0</x:v>
      </x:c>
      <x:c r="H30" s="35" t="n">
        <x:f>'CF Installment'!H30+'MK Installment'!H30</x:f>
        <x:v>502316.36554815515</x:v>
      </x:c>
      <x:c r="I30" s="35" t="n">
        <x:f>'CF Installment'!I30+'MK Installment'!I30</x:f>
        <x:v>1013264.0274417812</x:v>
      </x:c>
      <x:c r="J30" s="35" t="n">
        <x:f>'CF Installment'!J30+'MK Installment'!J30</x:f>
        <x:v>1529482.0315608273</x:v>
      </x:c>
      <x:c r="K30" s="35" t="n">
        <x:f>'CF Installment'!K30+'MK Installment'!K30</x:f>
        <x:v>2049145.368970797</x:v>
      </x:c>
      <x:c r="L30" s="35" t="n">
        <x:f>'CF Installment'!L30+'MK Installment'!L30</x:f>
        <x:v>2572745.8123803446</x:v>
      </x:c>
      <x:c r="M30" s="35" t="n">
        <x:f>'CF Installment'!M30+'MK Installment'!M30</x:f>
        <x:v>3102915.2761189695</x:v>
      </x:c>
      <x:c r="N30" s="35" t="n">
        <x:f>'CF Installment'!N30+'MK Installment'!N30</x:f>
        <x:v>3643569.8106118366</x:v>
      </x:c>
      <x:c r="O30" s="35" t="n">
        <x:f>'CF Installment'!O30+'MK Installment'!O30</x:f>
        <x:v>4198936.238562314</x:v>
      </x:c>
      <x:c r="P30" s="35" t="n">
        <x:f>'CF Installment'!P30+'MK Installment'!P30</x:f>
        <x:v>4772879.248810657</x:v>
      </x:c>
      <x:c r="Q30" s="35" t="n">
        <x:f>'CF Installment'!Q30+'MK Installment'!Q30</x:f>
        <x:v>5368641.061761239</x:v>
      </x:c>
      <x:c r="R30" s="35" t="n">
        <x:f>'CF Installment'!R30+'MK Installment'!R30</x:f>
        <x:v>5988869.358305022</x:v>
      </x:c>
      <x:c r="S30" s="35" t="n">
        <x:f>'CF Installment'!S30+'MK Installment'!S30</x:f>
        <x:v>6635762.290943487</x:v>
      </x:c>
      <x:c r="T30" s="35" t="n">
        <x:f>'CF Installment'!T30+'MK Installment'!T30</x:f>
        <x:v>7311223.101160231</x:v>
      </x:c>
      <x:c r="U30" s="35" t="n">
        <x:f>'CF Installment'!U30+'MK Installment'!U30</x:f>
        <x:v>8016983.64323952</x:v>
      </x:c>
      <x:c r="V30" s="35" t="n">
        <x:f>'CF Installment'!V30+'MK Installment'!V30</x:f>
        <x:v>8754691.717473771</x:v>
      </x:c>
      <x:c r="W30" s="35" t="n">
        <x:f>'CF Installment'!W30+'MK Installment'!W30</x:f>
        <x:v>9525969.367041828</x:v>
      </x:c>
      <x:c r="X30" s="35" t="n">
        <x:f>'CF Installment'!X30+'MK Installment'!X30</x:f>
        <x:v>10332450.916838072</x:v>
      </x:c>
      <x:c r="Y30" s="35" t="n">
        <x:f>'CF Installment'!Y30+'MK Installment'!Y30</x:f>
        <x:v>11175807.815803336</x:v>
      </x:c>
      <x:c r="Z30" s="35" t="n">
        <x:f>'CF Installment'!Z30+'MK Installment'!Z30</x:f>
        <x:v>12057765.205843506</x:v>
      </x:c>
      <x:c r="AA30" s="35" t="n">
        <x:f>'CF Installment'!AA30+'MK Installment'!AA30</x:f>
        <x:v>12980113.430000564</x:v>
      </x:c>
      <x:c r="AB30" s="35" t="n">
        <x:f>'CF Installment'!AB30+'MK Installment'!AB30</x:f>
        <x:v>13944716.506603755</x:v>
      </x:c>
      <x:c r="AC30" s="35" t="n">
        <x:f>'CF Installment'!AC30+'MK Installment'!AC30</x:f>
        <x:v>14953518.825457867</x:v>
      </x:c>
      <x:c r="AD30" s="35" t="n">
        <x:f>'CF Installment'!AD30+'MK Installment'!AD30</x:f>
        <x:v>16008550.837695807</x:v>
      </x:c>
      <x:c r="AE30" s="35" t="n">
        <x:f>'CF Installment'!AE30+'MK Installment'!AE30</x:f>
        <x:v>17111934.211893503</x:v>
      </x:c>
      <x:c r="AF30" s="35" t="n">
        <x:f>'CF Installment'!AF30+'MK Installment'!AF30</x:f>
        <x:v>17111934.211893503</x:v>
      </x:c>
      <x:c r="AG30" s="35" t="n">
        <x:f>'CF Installment'!AG30+'MK Installment'!AG30</x:f>
        <x:v>17111934.211893503</x:v>
      </x:c>
      <x:c r="AH30" s="35" t="n">
        <x:f>'CF Installment'!AH30+'MK Installment'!AH30</x:f>
        <x:v>17111934.211893503</x:v>
      </x:c>
      <x:c r="AI30" s="35" t="n">
        <x:f>'CF Installment'!AI30+'MK Installment'!AI30</x:f>
        <x:v>17111934.211893503</x:v>
      </x:c>
      <x:c r="AJ30" s="35" t="n">
        <x:f>'CF Installment'!AJ30+'MK Installment'!AJ30</x:f>
        <x:v>17111934.211893503</x:v>
      </x:c>
      <x:c r="AK30" s="35" t="n">
        <x:f>'CF Installment'!AK30+'MK Installment'!AK30</x:f>
        <x:v>17111934.211893503</x:v>
      </x:c>
      <x:c r="AL30" s="35" t="n">
        <x:f>'CF Installment'!AL30+'MK Installment'!AL30</x:f>
        <x:v>17111934.211893503</x:v>
      </x:c>
      <x:c r="AM30" s="35" t="n">
        <x:f>'CF Installment'!AM30+'MK Installment'!AM30</x:f>
        <x:v>17111934.211893503</x:v>
      </x:c>
      <x:c r="AN30" s="35" t="n">
        <x:f>'CF Installment'!AN30+'MK Installment'!AN30</x:f>
        <x:v>17111934.211893503</x:v>
      </x:c>
      <x:c r="AO30" s="35" t="n">
        <x:f>'CF Installment'!AO30+'MK Installment'!AO30</x:f>
        <x:v>17111934.211893503</x:v>
      </x:c>
      <x:c r="AP30" s="35" t="n">
        <x:f>'CF Installment'!AP30+'MK Installment'!AP30</x:f>
        <x:v>17111934.211893503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122522279.83771838</x:v>
      </x:c>
      <x:c r="F32" s="2"/>
      <x:c r="G32" s="35" t="n">
        <x:f>'CF Installment'!G32+'MK Installment'!G32</x:f>
        <x:v>17379571.161279295</x:v>
      </x:c>
      <x:c r="H32" s="35" t="n">
        <x:f>'CF Installment'!H32+'MK Installment'!H32</x:f>
        <x:v>14756818.8064381</x:v>
      </x:c>
      <x:c r="I32" s="35" t="n">
        <x:f>'CF Installment'!I32+'MK Installment'!I32</x:f>
        <x:v>12821241.388797335</x:v>
      </x:c>
      <x:c r="J32" s="35" t="n">
        <x:f>'CF Installment'!J32+'MK Installment'!J32</x:f>
        <x:v>11229129.127607001</x:v>
      </x:c>
      <x:c r="K32" s="35" t="n">
        <x:f>'CF Installment'!K32+'MK Installment'!K32</x:f>
        <x:v>9868164.07636438</x:v>
      </x:c>
      <x:c r="L32" s="35" t="n">
        <x:f>'CF Installment'!L32+'MK Installment'!L32</x:f>
        <x:v>8680823.74947255</x:v>
      </x:c>
      <x:c r="M32" s="35" t="n">
        <x:f>'CF Installment'!M32+'MK Installment'!M32</x:f>
        <x:v>7630568.133583785</x:v>
      </x:c>
      <x:c r="N32" s="35" t="n">
        <x:f>'CF Installment'!N32+'MK Installment'!N32</x:f>
        <x:v>6691776.472556688</x:v>
      </x:c>
      <x:c r="O32" s="35" t="n">
        <x:f>'CF Installment'!O32+'MK Installment'!O32</x:f>
        <x:v>5845958.428048313</x:v>
      </x:c>
      <x:c r="P32" s="35" t="n">
        <x:f>'CF Installment'!P32+'MK Installment'!P32</x:f>
        <x:v>5079798.750196479</x:v>
      </x:c>
      <x:c r="Q32" s="35" t="n">
        <x:f>'CF Installment'!Q32+'MK Installment'!Q32</x:f>
        <x:v>4383774.131268283</x:v>
      </x:c>
      <x:c r="R32" s="35" t="n">
        <x:f>'CF Installment'!R32+'MK Installment'!R32</x:f>
        <x:v>3751071.3624286735</x:v>
      </x:c>
      <x:c r="S32" s="35" t="n">
        <x:f>'CF Installment'!S32+'MK Installment'!S32</x:f>
        <x:v>3176771.702700417</x:v>
      </x:c>
      <x:c r="T32" s="35" t="n">
        <x:f>'CF Installment'!T32+'MK Installment'!T32</x:f>
        <x:v>2657265.825534741</x:v>
      </x:c>
      <x:c r="U32" s="35" t="n">
        <x:f>'CF Installment'!U32+'MK Installment'!U32</x:f>
        <x:v>2189840.7460287823</x:v>
      </x:c>
      <x:c r="V32" s="35" t="n">
        <x:f>'CF Installment'!V32+'MK Installment'!V32</x:f>
        <x:v>1772379.7578876682</x:v>
      </x:c>
      <x:c r="W32" s="35" t="n">
        <x:f>'CF Installment'!W32+'MK Installment'!W32</x:f>
        <x:v>1403130.8057804739</x:v>
      </x:c>
      <x:c r="X32" s="35" t="n">
        <x:f>'CF Installment'!X32+'MK Installment'!X32</x:f>
        <x:v>1080519.4671904454</x:v>
      </x:c>
      <x:c r="Y32" s="35" t="n">
        <x:f>'CF Installment'!Y32+'MK Installment'!Y32</x:f>
        <x:v>803006.2487341631</x:v>
      </x:c>
      <x:c r="Z32" s="35" t="n">
        <x:f>'CF Installment'!Z32+'MK Installment'!Z32</x:f>
        <x:v>569006.7621068349</x:v>
      </x:c>
      <x:c r="AA32" s="35" t="n">
        <x:f>'CF Installment'!AA32+'MK Installment'!AA32</x:f>
        <x:v>376895.8160101977</x:v>
      </x:c>
      <x:c r="AB32" s="35" t="n">
        <x:f>'CF Installment'!AB32+'MK Installment'!AB32</x:f>
        <x:v>225101.16869197792</x:v>
      </x:c>
      <x:c r="AC32" s="35" t="n">
        <x:f>'CF Installment'!AC32+'MK Installment'!AC32</x:f>
        <x:v>112263.93446108032</x:v>
      </x:c>
      <x:c r="AD32" s="35" t="n">
        <x:f>'CF Installment'!AD32+'MK Installment'!AD32</x:f>
        <x:v>37402.01455071501</x:v>
      </x:c>
      <x:c r="AE32" s="35" t="n">
        <x:f>'CF Installment'!AE32+'MK Installment'!AE32</x:f>
        <x:v>3.2000874246781075e-9</x:v>
      </x:c>
      <x:c r="AF32" s="35" t="n">
        <x:f>'CF Installment'!AF32+'MK Installment'!AF32</x:f>
        <x:v>3.2000874246781075e-9</x:v>
      </x:c>
      <x:c r="AG32" s="35" t="n">
        <x:f>'CF Installment'!AG32+'MK Installment'!AG32</x:f>
        <x:v>3.2000874246781075e-9</x:v>
      </x:c>
      <x:c r="AH32" s="35" t="n">
        <x:f>'CF Installment'!AH32+'MK Installment'!AH32</x:f>
        <x:v>3.2000874246781075e-9</x:v>
      </x:c>
      <x:c r="AI32" s="35" t="n">
        <x:f>'CF Installment'!AI32+'MK Installment'!AI32</x:f>
        <x:v>3.2000874246781075e-9</x:v>
      </x:c>
      <x:c r="AJ32" s="35" t="n">
        <x:f>'CF Installment'!AJ32+'MK Installment'!AJ32</x:f>
        <x:v>3.2000874246781075e-9</x:v>
      </x:c>
      <x:c r="AK32" s="35" t="n">
        <x:f>'CF Installment'!AK32+'MK Installment'!AK32</x:f>
        <x:v>3.2000874246781075e-9</x:v>
      </x:c>
      <x:c r="AL32" s="35" t="n">
        <x:f>'CF Installment'!AL32+'MK Installment'!AL32</x:f>
        <x:v>3.2000874246781075e-9</x:v>
      </x:c>
      <x:c r="AM32" s="35" t="n">
        <x:f>'CF Installment'!AM32+'MK Installment'!AM32</x:f>
        <x:v>3.2000874246781075e-9</x:v>
      </x:c>
      <x:c r="AN32" s="35" t="n">
        <x:f>'CF Installment'!AN32+'MK Installment'!AN32</x:f>
        <x:v>3.2000874246781075e-9</x:v>
      </x:c>
      <x:c r="AO32" s="35" t="n">
        <x:f>'CF Installment'!AO32+'MK Installment'!AO32</x:f>
        <x:v>3.2000874246781075e-9</x:v>
      </x:c>
      <x:c r="AP32" s="35" t="n">
        <x:f>'CF Installment'!AP32+'MK Installment'!AP32</x:f>
        <x:v>3.2000874246781075e-9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180183987.7579912</x:v>
      </x:c>
      <x:c r="F33" s="2"/>
      <x:c r="G33" s="35" t="n">
        <x:f>'CF Installment'!G33+'MK Installment'!G33</x:f>
        <x:v>0</x:v>
      </x:c>
      <x:c r="H33" s="35" t="n">
        <x:f>'CF Installment'!H33+'MK Installment'!H33</x:f>
        <x:v>970256.6647194866</x:v>
      </x:c>
      <x:c r="I33" s="35" t="n">
        <x:f>'CF Installment'!I33+'MK Installment'!I33</x:f>
        <x:v>1891541.2601166358</x:v>
      </x:c>
      <x:c r="J33" s="35" t="n">
        <x:f>'CF Installment'!J33+'MK Installment'!J33</x:f>
        <x:v>2758914.1729336125</x:v>
      </x:c>
      <x:c r="K33" s="35" t="n">
        <x:f>'CF Installment'!K33+'MK Installment'!K33</x:f>
        <x:v>3571035.940429174</x:v>
      </x:c>
      <x:c r="L33" s="35" t="n">
        <x:f>'CF Installment'!L33+'MK Installment'!L33</x:f>
        <x:v>4330503.28234767</x:v>
      </x:c>
      <x:c r="M33" s="35" t="n">
        <x:f>'CF Installment'!M33+'MK Installment'!M33</x:f>
        <x:v>5042563.281735335</x:v>
      </x:c>
      <x:c r="N33" s="35" t="n">
        <x:f>'CF Installment'!N33+'MK Installment'!N33</x:f>
        <x:v>5713188.577646248</x:v>
      </x:c>
      <x:c r="O33" s="35" t="n">
        <x:f>'CF Installment'!O33+'MK Installment'!O33</x:f>
        <x:v>6347533.977009028</x:v>
      </x:c>
      <x:c r="P33" s="35" t="n">
        <x:f>'CF Installment'!P33+'MK Installment'!P33</x:f>
        <x:v>6949214.97769628</x:v>
      </x:c>
      <x:c r="Q33" s="35" t="n">
        <x:f>'CF Installment'!Q33+'MK Installment'!Q33</x:f>
        <x:v>7520289.269993277</x:v>
      </x:c>
      <x:c r="R33" s="35" t="n">
        <x:f>'CF Installment'!R33+'MK Installment'!R33</x:f>
        <x:v>8061579.905288639</x:v>
      </x:c>
      <x:c r="S33" s="35" t="n">
        <x:f>'CF Installment'!S33+'MK Installment'!S33</x:f>
        <x:v>8573049.883197179</x:v>
      </x:c>
      <x:c r="T33" s="35" t="n">
        <x:f>'CF Installment'!T33+'MK Installment'!T33</x:f>
        <x:v>9054100.461739548</x:v>
      </x:c>
      <x:c r="U33" s="35" t="n">
        <x:f>'CF Installment'!U33+'MK Installment'!U33</x:f>
        <x:v>9503772.611906592</x:v>
      </x:c>
      <x:c r="V33" s="35" t="n">
        <x:f>'CF Installment'!V33+'MK Installment'!V33</x:f>
        <x:v>9920871.343027608</x:v>
      </x:c>
      <x:c r="W33" s="35" t="n">
        <x:f>'CF Installment'!W33+'MK Installment'!W33</x:f>
        <x:v>10304038.207470154</x:v>
      </x:c>
      <x:c r="X33" s="35" t="n">
        <x:f>'CF Installment'!X33+'MK Installment'!X33</x:f>
        <x:v>10651791.751040924</x:v>
      </x:c>
      <x:c r="Y33" s="35" t="n">
        <x:f>'CF Installment'!Y33+'MK Installment'!Y33</x:f>
        <x:v>10962548.987812512</x:v>
      </x:c>
      <x:c r="Z33" s="35" t="n">
        <x:f>'CF Installment'!Z33+'MK Installment'!Z33</x:f>
        <x:v>11234635.902873633</x:v>
      </x:c>
      <x:c r="AA33" s="35" t="n">
        <x:f>'CF Installment'!AA33+'MK Installment'!AA33</x:f>
        <x:v>11466291.68033459</x:v>
      </x:c>
      <x:c r="AB33" s="35" t="n">
        <x:f>'CF Installment'!AB33+'MK Installment'!AB33</x:f>
        <x:v>11655669.347362744</x:v>
      </x:c>
      <x:c r="AC33" s="35" t="n">
        <x:f>'CF Installment'!AC33+'MK Installment'!AC33</x:f>
        <x:v>11800834.35181752</x:v>
      </x:c>
      <x:c r="AD33" s="35" t="n">
        <x:f>'CF Installment'!AD33+'MK Installment'!AD33</x:f>
        <x:v>11899761.919492818</x:v>
      </x:c>
      <x:c r="AE33" s="35" t="n">
        <x:f>'CF Installment'!AE33+'MK Installment'!AE33</x:f>
        <x:v>11950333.657476882</x:v>
      </x:c>
      <x:c r="AF33" s="35" t="n">
        <x:f>'CF Installment'!AF33+'MK Installment'!AF33</x:f>
        <x:v>11950333.657476882</x:v>
      </x:c>
      <x:c r="AG33" s="35" t="n">
        <x:f>'CF Installment'!AG33+'MK Installment'!AG33</x:f>
        <x:v>11950333.657476882</x:v>
      </x:c>
      <x:c r="AH33" s="35" t="n">
        <x:f>'CF Installment'!AH33+'MK Installment'!AH33</x:f>
        <x:v>11950333.657476882</x:v>
      </x:c>
      <x:c r="AI33" s="35" t="n">
        <x:f>'CF Installment'!AI33+'MK Installment'!AI33</x:f>
        <x:v>11950333.657476882</x:v>
      </x:c>
      <x:c r="AJ33" s="35" t="n">
        <x:f>'CF Installment'!AJ33+'MK Installment'!AJ33</x:f>
        <x:v>11950333.657476882</x:v>
      </x:c>
      <x:c r="AK33" s="35" t="n">
        <x:f>'CF Installment'!AK33+'MK Installment'!AK33</x:f>
        <x:v>11950333.657476882</x:v>
      </x:c>
      <x:c r="AL33" s="35" t="n">
        <x:f>'CF Installment'!AL33+'MK Installment'!AL33</x:f>
        <x:v>11950333.657476882</x:v>
      </x:c>
      <x:c r="AM33" s="35" t="n">
        <x:f>'CF Installment'!AM33+'MK Installment'!AM33</x:f>
        <x:v>11950333.657476882</x:v>
      </x:c>
      <x:c r="AN33" s="35" t="n">
        <x:f>'CF Installment'!AN33+'MK Installment'!AN33</x:f>
        <x:v>11950333.657476882</x:v>
      </x:c>
      <x:c r="AO33" s="35" t="n">
        <x:f>'CF Installment'!AO33+'MK Installment'!AO33</x:f>
        <x:v>11950333.657476882</x:v>
      </x:c>
      <x:c r="AP33" s="35" t="n">
        <x:f>'CF Installment'!AP33+'MK Installment'!AP33</x:f>
        <x:v>11950333.657476882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6.982008926570415e-8</x:v>
      </x:c>
      <x:c r="F34" s="2"/>
      <x:c r="G34" s="35" t="n">
        <x:f>'CF Installment'!G34+'MK Installment'!G34</x:f>
        <x:v>325612344.9423795</x:v>
      </x:c>
      <x:c r="H34" s="35" t="n">
        <x:f>'CF Installment'!H34+'MK Installment'!H34</x:f>
        <x:v>282764525.9155255</x:v>
      </x:c>
      <x:c r="I34" s="35" t="n">
        <x:f>'CF Installment'!I34+'MK Installment'!I34</x:f>
        <x:v>247384178.84665123</x:v>
      </x:c>
      <x:c r="J34" s="35" t="n">
        <x:f>'CF Installment'!J34+'MK Installment'!J34</x:f>
        <x:v>217072061.40470123</x:v>
      </x:c>
      <x:c r="K34" s="35" t="n">
        <x:f>'CF Installment'!K34+'MK Installment'!K34</x:f>
        <x:v>190627805.3599418</x:v>
      </x:c>
      <x:c r="L34" s="35" t="n">
        <x:f>'CF Installment'!L34+'MK Installment'!L34</x:f>
        <x:v>167288547.21900573</x:v>
      </x:c>
      <x:c r="M34" s="35" t="n">
        <x:f>'CF Installment'!M34+'MK Installment'!M34</x:f>
        <x:v>146500777.28675008</x:v>
      </x:c>
      <x:c r="N34" s="35" t="n">
        <x:f>'CF Installment'!N34+'MK Installment'!N34</x:f>
        <x:v>127844265.45171146</x:v>
      </x:c>
      <x:c r="O34" s="35" t="n">
        <x:f>'CF Installment'!O34+'MK Installment'!O34</x:f>
        <x:v>111002181.25626744</x:v>
      </x:c>
      <x:c r="P34" s="35" t="n">
        <x:f>'CF Installment'!P34+'MK Installment'!P34</x:f>
        <x:v>95741479.44780967</x:v>
      </x:c>
      <x:c r="Q34" s="35" t="n">
        <x:f>'CF Installment'!Q34+'MK Installment'!Q34</x:f>
        <x:v>81894164.11178544</x:v>
      </x:c>
      <x:c r="R34" s="35" t="n">
        <x:f>'CF Installment'!R34+'MK Installment'!R34</x:f>
        <x:v>69339934.03352189</x:v>
      </x:c>
      <x:c r="S34" s="35" t="n">
        <x:f>'CF Installment'!S34+'MK Installment'!S34</x:f>
        <x:v>57991997.41749771</x:v>
      </x:c>
      <x:c r="T34" s="35" t="n">
        <x:f>'CF Installment'!T34+'MK Installment'!T34</x:f>
        <x:v>47786419.17572264</x:v>
      </x:c>
      <x:c r="U34" s="35" t="n">
        <x:f>'CF Installment'!U34+'MK Installment'!U34</x:f>
        <x:v>38674305.096466735</x:v>
      </x:c>
      <x:c r="V34" s="35" t="n">
        <x:f>'CF Installment'!V34+'MK Installment'!V34</x:f>
        <x:v>30615909.333703674</x:v>
      </x:c>
      <x:c r="W34" s="35" t="n">
        <x:f>'CF Installment'!W34+'MK Installment'!W34</x:f>
        <x:v>23576041.822099168</x:v>
      </x:c>
      <x:c r="X34" s="35" t="n">
        <x:f>'CF Installment'!X34+'MK Installment'!X34</x:f>
        <x:v>17520655.47306233</x:v>
      </x:c>
      <x:c r="Y34" s="35" t="n">
        <x:f>'CF Installment'!Y34+'MK Installment'!Y34</x:f>
        <x:v>12414934.212946856</x:v>
      </x:c>
      <x:c r="Z34" s="35" t="n">
        <x:f>'CF Installment'!Z34+'MK Installment'!Z34</x:f>
        <x:v>8223286.906255427</x:v>
      </x:c>
      <x:c r="AA34" s="35" t="n">
        <x:f>'CF Installment'!AA34+'MK Installment'!AA34</x:f>
        <x:v>4911340.110937153</x:v>
      </x:c>
      <x:c r="AB34" s="35" t="n">
        <x:f>'CF Installment'!AB34+'MK Installment'!AB34</x:f>
        <x:v>2449408.940732182</x:v>
      </x:c>
      <x:c r="AC34" s="35" t="n">
        <x:f>'CF Installment'!AC34+'MK Installment'!AC34</x:f>
        <x:v>816047.1132853257</x:v>
      </x:c>
      <x:c r="AD34" s="35" t="n">
        <x:f>'CF Installment'!AD34+'MK Installment'!AD34</x:f>
        <x:v>6.982008926570415e-8</x:v>
      </x:c>
      <x:c r="AE34" s="35" t="n">
        <x:f>'CF Installment'!AE34+'MK Installment'!AE34</x:f>
        <x:v>6.982008926570415e-8</x:v>
      </x:c>
      <x:c r="AF34" s="35" t="n">
        <x:f>'CF Installment'!AF34+'MK Installment'!AF34</x:f>
        <x:v>6.982008926570415e-8</x:v>
      </x:c>
      <x:c r="AG34" s="35" t="n">
        <x:f>'CF Installment'!AG34+'MK Installment'!AG34</x:f>
        <x:v>6.982008926570415e-8</x:v>
      </x:c>
      <x:c r="AH34" s="35" t="n">
        <x:f>'CF Installment'!AH34+'MK Installment'!AH34</x:f>
        <x:v>6.982008926570415e-8</x:v>
      </x:c>
      <x:c r="AI34" s="35" t="n">
        <x:f>'CF Installment'!AI34+'MK Installment'!AI34</x:f>
        <x:v>6.982008926570415e-8</x:v>
      </x:c>
      <x:c r="AJ34" s="35" t="n">
        <x:f>'CF Installment'!AJ34+'MK Installment'!AJ34</x:f>
        <x:v>6.982008926570415e-8</x:v>
      </x:c>
      <x:c r="AK34" s="35" t="n">
        <x:f>'CF Installment'!AK34+'MK Installment'!AK34</x:f>
        <x:v>6.982008926570415e-8</x:v>
      </x:c>
      <x:c r="AL34" s="35" t="n">
        <x:f>'CF Installment'!AL34+'MK Installment'!AL34</x:f>
        <x:v>6.982008926570415e-8</x:v>
      </x:c>
      <x:c r="AM34" s="35" t="n">
        <x:f>'CF Installment'!AM34+'MK Installment'!AM34</x:f>
        <x:v>6.982008926570415e-8</x:v>
      </x:c>
      <x:c r="AN34" s="35" t="n">
        <x:f>'CF Installment'!AN34+'MK Installment'!AN34</x:f>
        <x:v>6.982008926570415e-8</x:v>
      </x:c>
      <x:c r="AO34" s="35" t="n">
        <x:f>'CF Installment'!AO34+'MK Installment'!AO34</x:f>
        <x:v>6.982008926570415e-8</x:v>
      </x:c>
      <x:c r="AP34" s="35" t="n">
        <x:f>'CF Installment'!AP34+'MK Installment'!AP34</x:f>
        <x:v>6.982008926570415e-8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'CF Installment'!G35+'MK Installment'!G35</x:f>
        <x:v>0</x:v>
      </x:c>
      <x:c r="H35" s="36" t="n">
        <x:f>'CF Installment'!H35+'MK Installment'!H35</x:f>
        <x:v>0</x:v>
      </x:c>
      <x:c r="I35" s="36" t="n">
        <x:f>'CF Installment'!I35+'MK Installment'!I35</x:f>
        <x:v>0</x:v>
      </x:c>
      <x:c r="J35" s="36" t="n">
        <x:f>'CF Installment'!J35+'MK Installment'!J35</x:f>
        <x:v>0</x:v>
      </x:c>
      <x:c r="K35" s="36" t="n">
        <x:f>'CF Installment'!K35+'MK Installment'!K35</x:f>
        <x:v>0</x:v>
      </x:c>
      <x:c r="L35" s="36" t="n">
        <x:f>'CF Installment'!L35+'MK Installment'!L35</x:f>
        <x:v>0</x:v>
      </x:c>
      <x:c r="M35" s="36" t="n">
        <x:f>'CF Installment'!M35+'MK Installment'!M35</x:f>
        <x:v>0</x:v>
      </x:c>
      <x:c r="N35" s="36" t="n">
        <x:f>'CF Installment'!N35+'MK Installment'!N35</x:f>
        <x:v>0</x:v>
      </x:c>
      <x:c r="O35" s="36" t="n">
        <x:f>'CF Installment'!O35+'MK Installment'!O35</x:f>
        <x:v>0</x:v>
      </x:c>
      <x:c r="P35" s="36" t="n">
        <x:f>'CF Installment'!P35+'MK Installment'!P35</x:f>
        <x:v>0</x:v>
      </x:c>
      <x:c r="Q35" s="36" t="n">
        <x:f>'CF Installment'!Q35+'MK Installment'!Q35</x:f>
        <x:v>0</x:v>
      </x:c>
      <x:c r="R35" s="36" t="n">
        <x:f>'CF Installment'!R35+'MK Installment'!R35</x:f>
        <x:v>0</x:v>
      </x:c>
      <x:c r="S35" s="36" t="n">
        <x:f>'CF Installment'!S35+'MK Installment'!S35</x:f>
        <x:v>0</x:v>
      </x:c>
      <x:c r="T35" s="36" t="n">
        <x:f>'CF Installment'!T35+'MK Installment'!T35</x:f>
        <x:v>0</x:v>
      </x:c>
      <x:c r="U35" s="36" t="n">
        <x:f>'CF Installment'!U35+'MK Installment'!U35</x:f>
        <x:v>0</x:v>
      </x:c>
      <x:c r="V35" s="36" t="n">
        <x:f>'CF Installment'!V35+'MK Installment'!V35</x:f>
        <x:v>0</x:v>
      </x:c>
      <x:c r="W35" s="36" t="n">
        <x:f>'CF Installment'!W35+'MK Installment'!W35</x:f>
        <x:v>0</x:v>
      </x:c>
      <x:c r="X35" s="36" t="n">
        <x:f>'CF Installment'!X35+'MK Installment'!X35</x:f>
        <x:v>0</x:v>
      </x:c>
      <x:c r="Y35" s="36" t="n">
        <x:f>'CF Installment'!Y35+'MK Installment'!Y35</x:f>
        <x:v>0</x:v>
      </x:c>
      <x:c r="Z35" s="36" t="n">
        <x:f>'CF Installment'!Z35+'MK Installment'!Z35</x:f>
        <x:v>0</x:v>
      </x:c>
      <x:c r="AA35" s="36" t="n">
        <x:f>'CF Installment'!AA35+'MK Installment'!AA35</x:f>
        <x:v>0</x:v>
      </x:c>
      <x:c r="AB35" s="36" t="n">
        <x:f>'CF Installment'!AB35+'MK Installment'!AB35</x:f>
        <x:v>0</x:v>
      </x:c>
      <x:c r="AC35" s="36" t="n">
        <x:f>'CF Installment'!AC35+'MK Installment'!AC35</x:f>
        <x:v>0</x:v>
      </x:c>
      <x:c r="AD35" s="36" t="n">
        <x:f>'CF Installment'!AD35+'MK Installment'!AD35</x:f>
        <x:v>0</x:v>
      </x:c>
      <x:c r="AE35" s="36" t="n">
        <x:f>'CF Installment'!AE35+'MK Installment'!AE35</x:f>
        <x:v>0</x:v>
      </x:c>
      <x:c r="AF35" s="36" t="n">
        <x:f>'CF Installment'!AF35+'MK Installment'!AF35</x:f>
        <x:v>0</x:v>
      </x:c>
      <x:c r="AG35" s="36" t="n">
        <x:f>'CF Installment'!AG35+'MK Installment'!AG35</x:f>
        <x:v>0</x:v>
      </x:c>
      <x:c r="AH35" s="36" t="n">
        <x:f>'CF Installment'!AH35+'MK Installment'!AH35</x:f>
        <x:v>0</x:v>
      </x:c>
      <x:c r="AI35" s="36" t="n">
        <x:f>'CF Installment'!AI35+'MK Installment'!AI35</x:f>
        <x:v>0</x:v>
      </x:c>
      <x:c r="AJ35" s="36" t="n">
        <x:f>'CF Installment'!AJ35+'MK Installment'!AJ35</x:f>
        <x:v>0</x:v>
      </x:c>
      <x:c r="AK35" s="36" t="n">
        <x:f>'CF Installment'!AK35+'MK Installment'!AK35</x:f>
        <x:v>0</x:v>
      </x:c>
      <x:c r="AL35" s="36" t="n">
        <x:f>'CF Installment'!AL35+'MK Installment'!AL35</x:f>
        <x:v>0</x:v>
      </x:c>
      <x:c r="AM35" s="36" t="n">
        <x:f>'CF Installment'!AM35+'MK Installment'!AM35</x:f>
        <x:v>0</x:v>
      </x:c>
      <x:c r="AN35" s="36" t="n">
        <x:f>'CF Installment'!AN35+'MK Installment'!AN35</x:f>
        <x:v>0</x:v>
      </x:c>
      <x:c r="AO35" s="36" t="n">
        <x:f>'CF Installment'!AO35+'MK Installment'!AO35</x:f>
        <x:v>0</x:v>
      </x:c>
      <x:c r="AP35" s="36" t="n">
        <x:f>'CF Installment'!AP35+'MK Installment'!AP35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'CF Installment'!G36+'MK Installment'!G36</x:f>
        <x:v>0</x:v>
      </x:c>
      <x:c r="H36" s="36" t="n">
        <x:f>'CF Installment'!H36+'MK Installment'!H36</x:f>
        <x:v>0</x:v>
      </x:c>
      <x:c r="I36" s="36" t="n">
        <x:f>'CF Installment'!I36+'MK Installment'!I36</x:f>
        <x:v>0</x:v>
      </x:c>
      <x:c r="J36" s="36" t="n">
        <x:f>'CF Installment'!J36+'MK Installment'!J36</x:f>
        <x:v>0</x:v>
      </x:c>
      <x:c r="K36" s="36" t="n">
        <x:f>'CF Installment'!K36+'MK Installment'!K36</x:f>
        <x:v>0</x:v>
      </x:c>
      <x:c r="L36" s="36" t="n">
        <x:f>'CF Installment'!L36+'MK Installment'!L36</x:f>
        <x:v>0</x:v>
      </x:c>
      <x:c r="M36" s="36" t="n">
        <x:f>'CF Installment'!M36+'MK Installment'!M36</x:f>
        <x:v>0</x:v>
      </x:c>
      <x:c r="N36" s="36" t="n">
        <x:f>'CF Installment'!N36+'MK Installment'!N36</x:f>
        <x:v>0</x:v>
      </x:c>
      <x:c r="O36" s="36" t="n">
        <x:f>'CF Installment'!O36+'MK Installment'!O36</x:f>
        <x:v>0</x:v>
      </x:c>
      <x:c r="P36" s="36" t="n">
        <x:f>'CF Installment'!P36+'MK Installment'!P36</x:f>
        <x:v>0</x:v>
      </x:c>
      <x:c r="Q36" s="36" t="n">
        <x:f>'CF Installment'!Q36+'MK Installment'!Q36</x:f>
        <x:v>0</x:v>
      </x:c>
      <x:c r="R36" s="36" t="n">
        <x:f>'CF Installment'!R36+'MK Installment'!R36</x:f>
        <x:v>0</x:v>
      </x:c>
      <x:c r="S36" s="36" t="n">
        <x:f>'CF Installment'!S36+'MK Installment'!S36</x:f>
        <x:v>0</x:v>
      </x:c>
      <x:c r="T36" s="36" t="n">
        <x:f>'CF Installment'!T36+'MK Installment'!T36</x:f>
        <x:v>0</x:v>
      </x:c>
      <x:c r="U36" s="36" t="n">
        <x:f>'CF Installment'!U36+'MK Installment'!U36</x:f>
        <x:v>0</x:v>
      </x:c>
      <x:c r="V36" s="36" t="n">
        <x:f>'CF Installment'!V36+'MK Installment'!V36</x:f>
        <x:v>0</x:v>
      </x:c>
      <x:c r="W36" s="36" t="n">
        <x:f>'CF Installment'!W36+'MK Installment'!W36</x:f>
        <x:v>0</x:v>
      </x:c>
      <x:c r="X36" s="36" t="n">
        <x:f>'CF Installment'!X36+'MK Installment'!X36</x:f>
        <x:v>0</x:v>
      </x:c>
      <x:c r="Y36" s="36" t="n">
        <x:f>'CF Installment'!Y36+'MK Installment'!Y36</x:f>
        <x:v>0</x:v>
      </x:c>
      <x:c r="Z36" s="36" t="n">
        <x:f>'CF Installment'!Z36+'MK Installment'!Z36</x:f>
        <x:v>0</x:v>
      </x:c>
      <x:c r="AA36" s="36" t="n">
        <x:f>'CF Installment'!AA36+'MK Installment'!AA36</x:f>
        <x:v>0</x:v>
      </x:c>
      <x:c r="AB36" s="36" t="n">
        <x:f>'CF Installment'!AB36+'MK Installment'!AB36</x:f>
        <x:v>0</x:v>
      </x:c>
      <x:c r="AC36" s="36" t="n">
        <x:f>'CF Installment'!AC36+'MK Installment'!AC36</x:f>
        <x:v>0</x:v>
      </x:c>
      <x:c r="AD36" s="36" t="n">
        <x:f>'CF Installment'!AD36+'MK Installment'!AD36</x:f>
        <x:v>0</x:v>
      </x:c>
      <x:c r="AE36" s="36" t="n">
        <x:f>'CF Installment'!AE36+'MK Installment'!AE36</x:f>
        <x:v>0</x:v>
      </x:c>
      <x:c r="AF36" s="36" t="n">
        <x:f>'CF Installment'!AF36+'MK Installment'!AF36</x:f>
        <x:v>0</x:v>
      </x:c>
      <x:c r="AG36" s="36" t="n">
        <x:f>'CF Installment'!AG36+'MK Installment'!AG36</x:f>
        <x:v>0</x:v>
      </x:c>
      <x:c r="AH36" s="36" t="n">
        <x:f>'CF Installment'!AH36+'MK Installment'!AH36</x:f>
        <x:v>0</x:v>
      </x:c>
      <x:c r="AI36" s="36" t="n">
        <x:f>'CF Installment'!AI36+'MK Installment'!AI36</x:f>
        <x:v>0</x:v>
      </x:c>
      <x:c r="AJ36" s="36" t="n">
        <x:f>'CF Installment'!AJ36+'MK Installment'!AJ36</x:f>
        <x:v>0</x:v>
      </x:c>
      <x:c r="AK36" s="36" t="n">
        <x:f>'CF Installment'!AK36+'MK Installment'!AK36</x:f>
        <x:v>0</x:v>
      </x:c>
      <x:c r="AL36" s="36" t="n">
        <x:f>'CF Installment'!AL36+'MK Installment'!AL36</x:f>
        <x:v>0</x:v>
      </x:c>
      <x:c r="AM36" s="36" t="n">
        <x:f>'CF Installment'!AM36+'MK Installment'!AM36</x:f>
        <x:v>0</x:v>
      </x:c>
      <x:c r="AN36" s="36" t="n">
        <x:f>'CF Installment'!AN36+'MK Installment'!AN36</x:f>
        <x:v>0</x:v>
      </x:c>
      <x:c r="AO36" s="36" t="n">
        <x:f>'CF Installment'!AO36+'MK Installment'!AO36</x:f>
        <x:v>0</x:v>
      </x:c>
      <x:c r="AP36" s="36" t="n">
        <x:f>'CF Installment'!AP36+'MK Installment'!AP36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'CF Installment'!G37+'MK Installment'!G37</x:f>
        <x:v>0</x:v>
      </x:c>
      <x:c r="H37" s="36" t="n">
        <x:f>'CF Installment'!H37+'MK Installment'!H37</x:f>
        <x:v>0</x:v>
      </x:c>
      <x:c r="I37" s="36" t="n">
        <x:f>'CF Installment'!I37+'MK Installment'!I37</x:f>
        <x:v>0</x:v>
      </x:c>
      <x:c r="J37" s="36" t="n">
        <x:f>'CF Installment'!J37+'MK Installment'!J37</x:f>
        <x:v>0</x:v>
      </x:c>
      <x:c r="K37" s="36" t="n">
        <x:f>'CF Installment'!K37+'MK Installment'!K37</x:f>
        <x:v>0</x:v>
      </x:c>
      <x:c r="L37" s="36" t="n">
        <x:f>'CF Installment'!L37+'MK Installment'!L37</x:f>
        <x:v>0</x:v>
      </x:c>
      <x:c r="M37" s="36" t="n">
        <x:f>'CF Installment'!M37+'MK Installment'!M37</x:f>
        <x:v>0</x:v>
      </x:c>
      <x:c r="N37" s="36" t="n">
        <x:f>'CF Installment'!N37+'MK Installment'!N37</x:f>
        <x:v>0</x:v>
      </x:c>
      <x:c r="O37" s="36" t="n">
        <x:f>'CF Installment'!O37+'MK Installment'!O37</x:f>
        <x:v>0</x:v>
      </x:c>
      <x:c r="P37" s="36" t="n">
        <x:f>'CF Installment'!P37+'MK Installment'!P37</x:f>
        <x:v>0</x:v>
      </x:c>
      <x:c r="Q37" s="36" t="n">
        <x:f>'CF Installment'!Q37+'MK Installment'!Q37</x:f>
        <x:v>0</x:v>
      </x:c>
      <x:c r="R37" s="36" t="n">
        <x:f>'CF Installment'!R37+'MK Installment'!R37</x:f>
        <x:v>0</x:v>
      </x:c>
      <x:c r="S37" s="36" t="n">
        <x:f>'CF Installment'!S37+'MK Installment'!S37</x:f>
        <x:v>0</x:v>
      </x:c>
      <x:c r="T37" s="36" t="n">
        <x:f>'CF Installment'!T37+'MK Installment'!T37</x:f>
        <x:v>0</x:v>
      </x:c>
      <x:c r="U37" s="36" t="n">
        <x:f>'CF Installment'!U37+'MK Installment'!U37</x:f>
        <x:v>0</x:v>
      </x:c>
      <x:c r="V37" s="36" t="n">
        <x:f>'CF Installment'!V37+'MK Installment'!V37</x:f>
        <x:v>0</x:v>
      </x:c>
      <x:c r="W37" s="36" t="n">
        <x:f>'CF Installment'!W37+'MK Installment'!W37</x:f>
        <x:v>0</x:v>
      </x:c>
      <x:c r="X37" s="36" t="n">
        <x:f>'CF Installment'!X37+'MK Installment'!X37</x:f>
        <x:v>0</x:v>
      </x:c>
      <x:c r="Y37" s="36" t="n">
        <x:f>'CF Installment'!Y37+'MK Installment'!Y37</x:f>
        <x:v>0</x:v>
      </x:c>
      <x:c r="Z37" s="36" t="n">
        <x:f>'CF Installment'!Z37+'MK Installment'!Z37</x:f>
        <x:v>0</x:v>
      </x:c>
      <x:c r="AA37" s="36" t="n">
        <x:f>'CF Installment'!AA37+'MK Installment'!AA37</x:f>
        <x:v>0</x:v>
      </x:c>
      <x:c r="AB37" s="36" t="n">
        <x:f>'CF Installment'!AB37+'MK Installment'!AB37</x:f>
        <x:v>0</x:v>
      </x:c>
      <x:c r="AC37" s="36" t="n">
        <x:f>'CF Installment'!AC37+'MK Installment'!AC37</x:f>
        <x:v>0</x:v>
      </x:c>
      <x:c r="AD37" s="36" t="n">
        <x:f>'CF Installment'!AD37+'MK Installment'!AD37</x:f>
        <x:v>0</x:v>
      </x:c>
      <x:c r="AE37" s="36" t="n">
        <x:f>'CF Installment'!AE37+'MK Installment'!AE37</x:f>
        <x:v>0</x:v>
      </x:c>
      <x:c r="AF37" s="36" t="n">
        <x:f>'CF Installment'!AF37+'MK Installment'!AF37</x:f>
        <x:v>0</x:v>
      </x:c>
      <x:c r="AG37" s="36" t="n">
        <x:f>'CF Installment'!AG37+'MK Installment'!AG37</x:f>
        <x:v>0</x:v>
      </x:c>
      <x:c r="AH37" s="36" t="n">
        <x:f>'CF Installment'!AH37+'MK Installment'!AH37</x:f>
        <x:v>0</x:v>
      </x:c>
      <x:c r="AI37" s="36" t="n">
        <x:f>'CF Installment'!AI37+'MK Installment'!AI37</x:f>
        <x:v>0</x:v>
      </x:c>
      <x:c r="AJ37" s="36" t="n">
        <x:f>'CF Installment'!AJ37+'MK Installment'!AJ37</x:f>
        <x:v>0</x:v>
      </x:c>
      <x:c r="AK37" s="36" t="n">
        <x:f>'CF Installment'!AK37+'MK Installment'!AK37</x:f>
        <x:v>0</x:v>
      </x:c>
      <x:c r="AL37" s="36" t="n">
        <x:f>'CF Installment'!AL37+'MK Installment'!AL37</x:f>
        <x:v>0</x:v>
      </x:c>
      <x:c r="AM37" s="36" t="n">
        <x:f>'CF Installment'!AM37+'MK Installment'!AM37</x:f>
        <x:v>0</x:v>
      </x:c>
      <x:c r="AN37" s="36" t="n">
        <x:f>'CF Installment'!AN37+'MK Installment'!AN37</x:f>
        <x:v>0</x:v>
      </x:c>
      <x:c r="AO37" s="36" t="n">
        <x:f>'CF Installment'!AO37+'MK Installment'!AO37</x:f>
        <x:v>0</x:v>
      </x:c>
      <x:c r="AP37" s="36" t="n">
        <x:f>'CF Installment'!AP37+'MK Installment'!AP37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CF Short-Term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576000</x:v>
      </x:c>
      <x:c r="F8" s="2"/>
      <x:c r="G8" s="32" t="n">
        <x:f>'Assumptions'!$E$11*(1+'Assumptions'!$E$12)^(G$6-1)*INDEX('Assumptions'!$E$34:$E$45,MOD(G$6-1,12)+1)*'Assumptions'!$E$29</x:f>
        <x:v>24000</x:v>
      </x:c>
      <x:c r="H8" s="32" t="n">
        <x:f>'Assumptions'!$E$11*(1+'Assumptions'!$E$12)^(H$6-1)*INDEX('Assumptions'!$E$34:$E$45,MOD(H$6-1,12)+1)*'Assumptions'!$E$29</x:f>
        <x:v>24000</x:v>
      </x:c>
      <x:c r="I8" s="32" t="n">
        <x:f>'Assumptions'!$E$11*(1+'Assumptions'!$E$12)^(I$6-1)*INDEX('Assumptions'!$E$34:$E$45,MOD(I$6-1,12)+1)*'Assumptions'!$E$29</x:f>
        <x:v>24000</x:v>
      </x:c>
      <x:c r="J8" s="32" t="n">
        <x:f>'Assumptions'!$E$11*(1+'Assumptions'!$E$12)^(J$6-1)*INDEX('Assumptions'!$E$34:$E$45,MOD(J$6-1,12)+1)*'Assumptions'!$E$29</x:f>
        <x:v>24000</x:v>
      </x:c>
      <x:c r="K8" s="32" t="n">
        <x:f>'Assumptions'!$E$11*(1+'Assumptions'!$E$12)^(K$6-1)*INDEX('Assumptions'!$E$34:$E$45,MOD(K$6-1,12)+1)*'Assumptions'!$E$29</x:f>
        <x:v>24000</x:v>
      </x:c>
      <x:c r="L8" s="32" t="n">
        <x:f>'Assumptions'!$E$11*(1+'Assumptions'!$E$12)^(L$6-1)*INDEX('Assumptions'!$E$34:$E$45,MOD(L$6-1,12)+1)*'Assumptions'!$E$29</x:f>
        <x:v>24000</x:v>
      </x:c>
      <x:c r="M8" s="32" t="n">
        <x:f>'Assumptions'!$E$11*(1+'Assumptions'!$E$12)^(M$6-1)*INDEX('Assumptions'!$E$34:$E$45,MOD(M$6-1,12)+1)*'Assumptions'!$E$29</x:f>
        <x:v>24000</x:v>
      </x:c>
      <x:c r="N8" s="32" t="n">
        <x:f>'Assumptions'!$E$11*(1+'Assumptions'!$E$12)^(N$6-1)*INDEX('Assumptions'!$E$34:$E$45,MOD(N$6-1,12)+1)*'Assumptions'!$E$29</x:f>
        <x:v>24000</x:v>
      </x:c>
      <x:c r="O8" s="32" t="n">
        <x:f>'Assumptions'!$E$11*(1+'Assumptions'!$E$12)^(O$6-1)*INDEX('Assumptions'!$E$34:$E$45,MOD(O$6-1,12)+1)*'Assumptions'!$E$29</x:f>
        <x:v>24000</x:v>
      </x:c>
      <x:c r="P8" s="32" t="n">
        <x:f>'Assumptions'!$E$11*(1+'Assumptions'!$E$12)^(P$6-1)*INDEX('Assumptions'!$E$34:$E$45,MOD(P$6-1,12)+1)*'Assumptions'!$E$29</x:f>
        <x:v>24000</x:v>
      </x:c>
      <x:c r="Q8" s="32" t="n">
        <x:f>'Assumptions'!$E$11*(1+'Assumptions'!$E$12)^(Q$6-1)*INDEX('Assumptions'!$E$34:$E$45,MOD(Q$6-1,12)+1)*'Assumptions'!$E$29</x:f>
        <x:v>24000</x:v>
      </x:c>
      <x:c r="R8" s="32" t="n">
        <x:f>'Assumptions'!$E$11*(1+'Assumptions'!$E$12)^(R$6-1)*INDEX('Assumptions'!$E$34:$E$45,MOD(R$6-1,12)+1)*'Assumptions'!$E$29</x:f>
        <x:v>24000</x:v>
      </x:c>
      <x:c r="S8" s="32" t="n">
        <x:f>'Assumptions'!$E$11*(1+'Assumptions'!$E$12)^(S$6-1)*INDEX('Assumptions'!$E$34:$E$45,MOD(S$6-1,12)+1)*'Assumptions'!$E$29</x:f>
        <x:v>24000</x:v>
      </x:c>
      <x:c r="T8" s="32" t="n">
        <x:f>'Assumptions'!$E$11*(1+'Assumptions'!$E$12)^(T$6-1)*INDEX('Assumptions'!$E$34:$E$45,MOD(T$6-1,12)+1)*'Assumptions'!$E$29</x:f>
        <x:v>24000</x:v>
      </x:c>
      <x:c r="U8" s="32" t="n">
        <x:f>'Assumptions'!$E$11*(1+'Assumptions'!$E$12)^(U$6-1)*INDEX('Assumptions'!$E$34:$E$45,MOD(U$6-1,12)+1)*'Assumptions'!$E$29</x:f>
        <x:v>24000</x:v>
      </x:c>
      <x:c r="V8" s="32" t="n">
        <x:f>'Assumptions'!$E$11*(1+'Assumptions'!$E$12)^(V$6-1)*INDEX('Assumptions'!$E$34:$E$45,MOD(V$6-1,12)+1)*'Assumptions'!$E$29</x:f>
        <x:v>24000</x:v>
      </x:c>
      <x:c r="W8" s="32" t="n">
        <x:f>'Assumptions'!$E$11*(1+'Assumptions'!$E$12)^(W$6-1)*INDEX('Assumptions'!$E$34:$E$45,MOD(W$6-1,12)+1)*'Assumptions'!$E$29</x:f>
        <x:v>24000</x:v>
      </x:c>
      <x:c r="X8" s="32" t="n">
        <x:f>'Assumptions'!$E$11*(1+'Assumptions'!$E$12)^(X$6-1)*INDEX('Assumptions'!$E$34:$E$45,MOD(X$6-1,12)+1)*'Assumptions'!$E$29</x:f>
        <x:v>24000</x:v>
      </x:c>
      <x:c r="Y8" s="32" t="n">
        <x:f>'Assumptions'!$E$11*(1+'Assumptions'!$E$12)^(Y$6-1)*INDEX('Assumptions'!$E$34:$E$45,MOD(Y$6-1,12)+1)*'Assumptions'!$E$29</x:f>
        <x:v>24000</x:v>
      </x:c>
      <x:c r="Z8" s="32" t="n">
        <x:f>'Assumptions'!$E$11*(1+'Assumptions'!$E$12)^(Z$6-1)*INDEX('Assumptions'!$E$34:$E$45,MOD(Z$6-1,12)+1)*'Assumptions'!$E$29</x:f>
        <x:v>24000</x:v>
      </x:c>
      <x:c r="AA8" s="32" t="n">
        <x:f>'Assumptions'!$E$11*(1+'Assumptions'!$E$12)^(AA$6-1)*INDEX('Assumptions'!$E$34:$E$45,MOD(AA$6-1,12)+1)*'Assumptions'!$E$29</x:f>
        <x:v>24000</x:v>
      </x:c>
      <x:c r="AB8" s="32" t="n">
        <x:f>'Assumptions'!$E$11*(1+'Assumptions'!$E$12)^(AB$6-1)*INDEX('Assumptions'!$E$34:$E$45,MOD(AB$6-1,12)+1)*'Assumptions'!$E$29</x:f>
        <x:v>24000</x:v>
      </x:c>
      <x:c r="AC8" s="32" t="n">
        <x:f>'Assumptions'!$E$11*(1+'Assumptions'!$E$12)^(AC$6-1)*INDEX('Assumptions'!$E$34:$E$45,MOD(AC$6-1,12)+1)*'Assumptions'!$E$29</x:f>
        <x:v>24000</x:v>
      </x:c>
      <x:c r="AD8" s="32" t="n">
        <x:f>'Assumptions'!$E$11*(1+'Assumptions'!$E$12)^(AD$6-1)*INDEX('Assumptions'!$E$34:$E$45,MOD(AD$6-1,12)+1)*'Assumptions'!$E$29</x:f>
        <x:v>24000</x:v>
      </x:c>
      <x:c r="AE8" s="32" t="n">
        <x:f>'Assumptions'!$E$11*(1+'Assumptions'!$E$12)^(AE$6-1)*INDEX('Assumptions'!$E$34:$E$45,MOD(AE$6-1,12)+1)*'Assumptions'!$E$29</x:f>
        <x:v>24000</x:v>
      </x:c>
      <x:c r="AF8" s="32" t="n">
        <x:f>'Assumptions'!$E$11*(1+'Assumptions'!$E$12)^(AF$6-1)*INDEX('Assumptions'!$E$34:$E$45,MOD(AF$6-1,12)+1)*'Assumptions'!$E$29</x:f>
        <x:v>24000</x:v>
      </x:c>
      <x:c r="AG8" s="32" t="n">
        <x:f>'Assumptions'!$E$11*(1+'Assumptions'!$E$12)^(AG$6-1)*INDEX('Assumptions'!$E$34:$E$45,MOD(AG$6-1,12)+1)*'Assumptions'!$E$29</x:f>
        <x:v>24000</x:v>
      </x:c>
      <x:c r="AH8" s="32" t="n">
        <x:f>'Assumptions'!$E$11*(1+'Assumptions'!$E$12)^(AH$6-1)*INDEX('Assumptions'!$E$34:$E$45,MOD(AH$6-1,12)+1)*'Assumptions'!$E$29</x:f>
        <x:v>24000</x:v>
      </x:c>
      <x:c r="AI8" s="32" t="n">
        <x:f>'Assumptions'!$E$11*(1+'Assumptions'!$E$12)^(AI$6-1)*INDEX('Assumptions'!$E$34:$E$45,MOD(AI$6-1,12)+1)*'Assumptions'!$E$29</x:f>
        <x:v>24000</x:v>
      </x:c>
      <x:c r="AJ8" s="32" t="n">
        <x:f>'Assumptions'!$E$11*(1+'Assumptions'!$E$12)^(AJ$6-1)*INDEX('Assumptions'!$E$34:$E$45,MOD(AJ$6-1,12)+1)*'Assumptions'!$E$29</x:f>
        <x:v>24000</x:v>
      </x:c>
      <x:c r="AK8" s="32" t="n">
        <x:f>'Assumptions'!$E$11*(1+'Assumptions'!$E$12)^(AK$6-1)*INDEX('Assumptions'!$E$34:$E$45,MOD(AK$6-1,12)+1)*'Assumptions'!$E$29</x:f>
        <x:v>24000</x:v>
      </x:c>
      <x:c r="AL8" s="32" t="n">
        <x:f>'Assumptions'!$E$11*(1+'Assumptions'!$E$12)^(AL$6-1)*INDEX('Assumptions'!$E$34:$E$45,MOD(AL$6-1,12)+1)*'Assumptions'!$E$29</x:f>
        <x:v>24000</x:v>
      </x:c>
      <x:c r="AM8" s="32" t="n">
        <x:f>'Assumptions'!$E$11*(1+'Assumptions'!$E$12)^(AM$6-1)*INDEX('Assumptions'!$E$34:$E$45,MOD(AM$6-1,12)+1)*'Assumptions'!$E$29</x:f>
        <x:v>24000</x:v>
      </x:c>
      <x:c r="AN8" s="32" t="n">
        <x:f>'Assumptions'!$E$11*(1+'Assumptions'!$E$12)^(AN$6-1)*INDEX('Assumptions'!$E$34:$E$45,MOD(AN$6-1,12)+1)*'Assumptions'!$E$29</x:f>
        <x:v>24000</x:v>
      </x:c>
      <x:c r="AO8" s="32" t="n">
        <x:f>'Assumptions'!$E$11*(1+'Assumptions'!$E$12)^(AO$6-1)*INDEX('Assumptions'!$E$34:$E$45,MOD(AO$6-1,12)+1)*'Assumptions'!$E$29</x:f>
        <x:v>24000</x:v>
      </x:c>
      <x:c r="AP8" s="32" t="n">
        <x:f>'Assumptions'!$E$11*(1+'Assumptions'!$E$12)^(AP$6-1)*INDEX('Assumptions'!$E$34:$E$45,MOD(AP$6-1,12)+1)*'Assumptions'!$E$29</x:f>
        <x:v>24000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'Assumptions'!$E$13</x:f>
        <x:v>0.3</x:v>
      </x:c>
      <x:c r="H9" s="33" t="n">
        <x:f>'Assumptions'!$E$13</x:f>
        <x:v>0.3</x:v>
      </x:c>
      <x:c r="I9" s="33" t="n">
        <x:f>'Assumptions'!$E$13</x:f>
        <x:v>0.3</x:v>
      </x:c>
      <x:c r="J9" s="33" t="n">
        <x:f>'Assumptions'!$E$13</x:f>
        <x:v>0.3</x:v>
      </x:c>
      <x:c r="K9" s="33" t="n">
        <x:f>'Assumptions'!$E$13</x:f>
        <x:v>0.3</x:v>
      </x:c>
      <x:c r="L9" s="33" t="n">
        <x:f>'Assumptions'!$E$13</x:f>
        <x:v>0.3</x:v>
      </x:c>
      <x:c r="M9" s="33" t="n">
        <x:f>'Assumptions'!$E$13</x:f>
        <x:v>0.3</x:v>
      </x:c>
      <x:c r="N9" s="33" t="n">
        <x:f>'Assumptions'!$E$13</x:f>
        <x:v>0.3</x:v>
      </x:c>
      <x:c r="O9" s="33" t="n">
        <x:f>'Assumptions'!$E$13</x:f>
        <x:v>0.3</x:v>
      </x:c>
      <x:c r="P9" s="33" t="n">
        <x:f>'Assumptions'!$E$13</x:f>
        <x:v>0.3</x:v>
      </x:c>
      <x:c r="Q9" s="33" t="n">
        <x:f>'Assumptions'!$E$13</x:f>
        <x:v>0.3</x:v>
      </x:c>
      <x:c r="R9" s="33" t="n">
        <x:f>'Assumptions'!$E$13</x:f>
        <x:v>0.3</x:v>
      </x:c>
      <x:c r="S9" s="33" t="n">
        <x:f>'Assumptions'!$E$13</x:f>
        <x:v>0.3</x:v>
      </x:c>
      <x:c r="T9" s="33" t="n">
        <x:f>'Assumptions'!$E$13</x:f>
        <x:v>0.3</x:v>
      </x:c>
      <x:c r="U9" s="33" t="n">
        <x:f>'Assumptions'!$E$13</x:f>
        <x:v>0.3</x:v>
      </x:c>
      <x:c r="V9" s="33" t="n">
        <x:f>'Assumptions'!$E$13</x:f>
        <x:v>0.3</x:v>
      </x:c>
      <x:c r="W9" s="33" t="n">
        <x:f>'Assumptions'!$E$13</x:f>
        <x:v>0.3</x:v>
      </x:c>
      <x:c r="X9" s="33" t="n">
        <x:f>'Assumptions'!$E$13</x:f>
        <x:v>0.3</x:v>
      </x:c>
      <x:c r="Y9" s="33" t="n">
        <x:f>'Assumptions'!$E$13</x:f>
        <x:v>0.3</x:v>
      </x:c>
      <x:c r="Z9" s="33" t="n">
        <x:f>'Assumptions'!$E$13</x:f>
        <x:v>0.3</x:v>
      </x:c>
      <x:c r="AA9" s="33" t="n">
        <x:f>'Assumptions'!$E$13</x:f>
        <x:v>0.3</x:v>
      </x:c>
      <x:c r="AB9" s="33" t="n">
        <x:f>'Assumptions'!$E$13</x:f>
        <x:v>0.3</x:v>
      </x:c>
      <x:c r="AC9" s="33" t="n">
        <x:f>'Assumptions'!$E$13</x:f>
        <x:v>0.3</x:v>
      </x:c>
      <x:c r="AD9" s="33" t="n">
        <x:f>'Assumptions'!$E$13</x:f>
        <x:v>0.3</x:v>
      </x:c>
      <x:c r="AE9" s="33" t="n">
        <x:f>'Assumptions'!$E$13</x:f>
        <x:v>0.3</x:v>
      </x:c>
      <x:c r="AF9" s="33" t="n">
        <x:f>'Assumptions'!$E$13</x:f>
        <x:v>0.3</x:v>
      </x:c>
      <x:c r="AG9" s="33" t="n">
        <x:f>'Assumptions'!$E$13</x:f>
        <x:v>0.3</x:v>
      </x:c>
      <x:c r="AH9" s="33" t="n">
        <x:f>'Assumptions'!$E$13</x:f>
        <x:v>0.3</x:v>
      </x:c>
      <x:c r="AI9" s="33" t="n">
        <x:f>'Assumptions'!$E$13</x:f>
        <x:v>0.3</x:v>
      </x:c>
      <x:c r="AJ9" s="33" t="n">
        <x:f>'Assumptions'!$E$13</x:f>
        <x:v>0.3</x:v>
      </x:c>
      <x:c r="AK9" s="33" t="n">
        <x:f>'Assumptions'!$E$13</x:f>
        <x:v>0.3</x:v>
      </x:c>
      <x:c r="AL9" s="33" t="n">
        <x:f>'Assumptions'!$E$13</x:f>
        <x:v>0.3</x:v>
      </x:c>
      <x:c r="AM9" s="33" t="n">
        <x:f>'Assumptions'!$E$13</x:f>
        <x:v>0.3</x:v>
      </x:c>
      <x:c r="AN9" s="33" t="n">
        <x:f>'Assumptions'!$E$13</x:f>
        <x:v>0.3</x:v>
      </x:c>
      <x:c r="AO9" s="33" t="n">
        <x:f>'Assumptions'!$E$13</x:f>
        <x:v>0.3</x:v>
      </x:c>
      <x:c r="AP9" s="33" t="n">
        <x:f>'Assumptions'!$E$13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'Assumptions'!$E$14</x:f>
        <x:v>1500</x:v>
      </x:c>
      <x:c r="H10" s="34" t="n">
        <x:f>'Assumptions'!$E$14</x:f>
        <x:v>1500</x:v>
      </x:c>
      <x:c r="I10" s="34" t="n">
        <x:f>'Assumptions'!$E$14</x:f>
        <x:v>1500</x:v>
      </x:c>
      <x:c r="J10" s="34" t="n">
        <x:f>'Assumptions'!$E$14</x:f>
        <x:v>1500</x:v>
      </x:c>
      <x:c r="K10" s="34" t="n">
        <x:f>'Assumptions'!$E$14</x:f>
        <x:v>1500</x:v>
      </x:c>
      <x:c r="L10" s="34" t="n">
        <x:f>'Assumptions'!$E$14</x:f>
        <x:v>1500</x:v>
      </x:c>
      <x:c r="M10" s="34" t="n">
        <x:f>'Assumptions'!$E$14</x:f>
        <x:v>1500</x:v>
      </x:c>
      <x:c r="N10" s="34" t="n">
        <x:f>'Assumptions'!$E$14</x:f>
        <x:v>1500</x:v>
      </x:c>
      <x:c r="O10" s="34" t="n">
        <x:f>'Assumptions'!$E$14</x:f>
        <x:v>1500</x:v>
      </x:c>
      <x:c r="P10" s="34" t="n">
        <x:f>'Assumptions'!$E$14</x:f>
        <x:v>1500</x:v>
      </x:c>
      <x:c r="Q10" s="34" t="n">
        <x:f>'Assumptions'!$E$14</x:f>
        <x:v>1500</x:v>
      </x:c>
      <x:c r="R10" s="34" t="n">
        <x:f>'Assumptions'!$E$14</x:f>
        <x:v>1500</x:v>
      </x:c>
      <x:c r="S10" s="34" t="n">
        <x:f>'Assumptions'!$E$14</x:f>
        <x:v>1500</x:v>
      </x:c>
      <x:c r="T10" s="34" t="n">
        <x:f>'Assumptions'!$E$14</x:f>
        <x:v>1500</x:v>
      </x:c>
      <x:c r="U10" s="34" t="n">
        <x:f>'Assumptions'!$E$14</x:f>
        <x:v>1500</x:v>
      </x:c>
      <x:c r="V10" s="34" t="n">
        <x:f>'Assumptions'!$E$14</x:f>
        <x:v>1500</x:v>
      </x:c>
      <x:c r="W10" s="34" t="n">
        <x:f>'Assumptions'!$E$14</x:f>
        <x:v>1500</x:v>
      </x:c>
      <x:c r="X10" s="34" t="n">
        <x:f>'Assumptions'!$E$14</x:f>
        <x:v>1500</x:v>
      </x:c>
      <x:c r="Y10" s="34" t="n">
        <x:f>'Assumptions'!$E$14</x:f>
        <x:v>1500</x:v>
      </x:c>
      <x:c r="Z10" s="34" t="n">
        <x:f>'Assumptions'!$E$14</x:f>
        <x:v>1500</x:v>
      </x:c>
      <x:c r="AA10" s="34" t="n">
        <x:f>'Assumptions'!$E$14</x:f>
        <x:v>1500</x:v>
      </x:c>
      <x:c r="AB10" s="34" t="n">
        <x:f>'Assumptions'!$E$14</x:f>
        <x:v>1500</x:v>
      </x:c>
      <x:c r="AC10" s="34" t="n">
        <x:f>'Assumptions'!$E$14</x:f>
        <x:v>1500</x:v>
      </x:c>
      <x:c r="AD10" s="34" t="n">
        <x:f>'Assumptions'!$E$14</x:f>
        <x:v>1500</x:v>
      </x:c>
      <x:c r="AE10" s="34" t="n">
        <x:f>'Assumptions'!$E$14</x:f>
        <x:v>1500</x:v>
      </x:c>
      <x:c r="AF10" s="34" t="n">
        <x:f>'Assumptions'!$E$14</x:f>
        <x:v>1500</x:v>
      </x:c>
      <x:c r="AG10" s="34" t="n">
        <x:f>'Assumptions'!$E$14</x:f>
        <x:v>1500</x:v>
      </x:c>
      <x:c r="AH10" s="34" t="n">
        <x:f>'Assumptions'!$E$14</x:f>
        <x:v>1500</x:v>
      </x:c>
      <x:c r="AI10" s="34" t="n">
        <x:f>'Assumptions'!$E$14</x:f>
        <x:v>1500</x:v>
      </x:c>
      <x:c r="AJ10" s="34" t="n">
        <x:f>'Assumptions'!$E$14</x:f>
        <x:v>1500</x:v>
      </x:c>
      <x:c r="AK10" s="34" t="n">
        <x:f>'Assumptions'!$E$14</x:f>
        <x:v>1500</x:v>
      </x:c>
      <x:c r="AL10" s="34" t="n">
        <x:f>'Assumptions'!$E$14</x:f>
        <x:v>1500</x:v>
      </x:c>
      <x:c r="AM10" s="34" t="n">
        <x:f>'Assumptions'!$E$14</x:f>
        <x:v>1500</x:v>
      </x:c>
      <x:c r="AN10" s="34" t="n">
        <x:f>'Assumptions'!$E$14</x:f>
        <x:v>1500</x:v>
      </x:c>
      <x:c r="AO10" s="34" t="n">
        <x:f>'Assumptions'!$E$14</x:f>
        <x:v>1500</x:v>
      </x:c>
      <x:c r="AP10" s="34" t="n">
        <x:f>'Assumptions'!$E$14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259200000</x:v>
      </x:c>
      <x:c r="F11" s="42"/>
      <x:c r="G11" s="43" t="n">
        <x:f>G8*G9*G10</x:f>
        <x:v>10800000</x:v>
      </x:c>
      <x:c r="H11" s="43" t="n">
        <x:f>H8*H9*H10</x:f>
        <x:v>10800000</x:v>
      </x:c>
      <x:c r="I11" s="43" t="n">
        <x:f>I8*I9*I10</x:f>
        <x:v>10800000</x:v>
      </x:c>
      <x:c r="J11" s="43" t="n">
        <x:f>J8*J9*J10</x:f>
        <x:v>10800000</x:v>
      </x:c>
      <x:c r="K11" s="43" t="n">
        <x:f>K8*K9*K10</x:f>
        <x:v>10800000</x:v>
      </x:c>
      <x:c r="L11" s="43" t="n">
        <x:f>L8*L9*L10</x:f>
        <x:v>10800000</x:v>
      </x:c>
      <x:c r="M11" s="43" t="n">
        <x:f>M8*M9*M10</x:f>
        <x:v>10800000</x:v>
      </x:c>
      <x:c r="N11" s="43" t="n">
        <x:f>N8*N9*N10</x:f>
        <x:v>10800000</x:v>
      </x:c>
      <x:c r="O11" s="43" t="n">
        <x:f>O8*O9*O10</x:f>
        <x:v>10800000</x:v>
      </x:c>
      <x:c r="P11" s="43" t="n">
        <x:f>P8*P9*P10</x:f>
        <x:v>10800000</x:v>
      </x:c>
      <x:c r="Q11" s="43" t="n">
        <x:f>Q8*Q9*Q10</x:f>
        <x:v>10800000</x:v>
      </x:c>
      <x:c r="R11" s="43" t="n">
        <x:f>R8*R9*R10</x:f>
        <x:v>10800000</x:v>
      </x:c>
      <x:c r="S11" s="43" t="n">
        <x:f>S8*S9*S10</x:f>
        <x:v>10800000</x:v>
      </x:c>
      <x:c r="T11" s="43" t="n">
        <x:f>T8*T9*T10</x:f>
        <x:v>10800000</x:v>
      </x:c>
      <x:c r="U11" s="43" t="n">
        <x:f>U8*U9*U10</x:f>
        <x:v>10800000</x:v>
      </x:c>
      <x:c r="V11" s="43" t="n">
        <x:f>V8*V9*V10</x:f>
        <x:v>10800000</x:v>
      </x:c>
      <x:c r="W11" s="43" t="n">
        <x:f>W8*W9*W10</x:f>
        <x:v>10800000</x:v>
      </x:c>
      <x:c r="X11" s="43" t="n">
        <x:f>X8*X9*X10</x:f>
        <x:v>10800000</x:v>
      </x:c>
      <x:c r="Y11" s="43" t="n">
        <x:f>Y8*Y9*Y10</x:f>
        <x:v>10800000</x:v>
      </x:c>
      <x:c r="Z11" s="43" t="n">
        <x:f>Z8*Z9*Z10</x:f>
        <x:v>10800000</x:v>
      </x:c>
      <x:c r="AA11" s="43" t="n">
        <x:f>AA8*AA9*AA10</x:f>
        <x:v>10800000</x:v>
      </x:c>
      <x:c r="AB11" s="43" t="n">
        <x:f>AB8*AB9*AB10</x:f>
        <x:v>10800000</x:v>
      </x:c>
      <x:c r="AC11" s="43" t="n">
        <x:f>AC8*AC9*AC10</x:f>
        <x:v>10800000</x:v>
      </x:c>
      <x:c r="AD11" s="43" t="n">
        <x:f>AD8*AD9*AD10</x:f>
        <x:v>10800000</x:v>
      </x:c>
      <x:c r="AE11" s="43" t="n">
        <x:f>AE8*AE9*AE10</x:f>
        <x:v>10800000</x:v>
      </x:c>
      <x:c r="AF11" s="43" t="n">
        <x:f>AF8*AF9*AF10</x:f>
        <x:v>10800000</x:v>
      </x:c>
      <x:c r="AG11" s="43" t="n">
        <x:f>AG8*AG9*AG10</x:f>
        <x:v>10800000</x:v>
      </x:c>
      <x:c r="AH11" s="43" t="n">
        <x:f>AH8*AH9*AH10</x:f>
        <x:v>10800000</x:v>
      </x:c>
      <x:c r="AI11" s="43" t="n">
        <x:f>AI8*AI9*AI10</x:f>
        <x:v>10800000</x:v>
      </x:c>
      <x:c r="AJ11" s="43" t="n">
        <x:f>AJ8*AJ9*AJ10</x:f>
        <x:v>10800000</x:v>
      </x:c>
      <x:c r="AK11" s="43" t="n">
        <x:f>AK8*AK9*AK10</x:f>
        <x:v>10800000</x:v>
      </x:c>
      <x:c r="AL11" s="43" t="n">
        <x:f>AL8*AL9*AL10</x:f>
        <x:v>10800000</x:v>
      </x:c>
      <x:c r="AM11" s="43" t="n">
        <x:f>AM8*AM9*AM10</x:f>
        <x:v>10800000</x:v>
      </x:c>
      <x:c r="AN11" s="43" t="n">
        <x:f>AN8*AN9*AN10</x:f>
        <x:v>10800000</x:v>
      </x:c>
      <x:c r="AO11" s="43" t="n">
        <x:f>AO8*AO9*AO10</x:f>
        <x:v>10800000</x:v>
      </x:c>
      <x:c r="AP11" s="43" t="n">
        <x:f>AP8*AP9*AP10</x:f>
        <x:v>10800000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204480000</x:v>
      </x:c>
      <x:c r="F13" s="2"/>
      <x:c r="G13" s="35" t="n">
        <x:f>$E$44</x:f>
        <x:v>204480000</x:v>
      </x:c>
      <x:c r="H13" s="35" t="n">
        <x:f>G16</x:f>
        <x:v>164695906.9772414</x:v>
      </x:c>
      <x:c r="I13" s="35" t="n">
        <x:f>H16</x:f>
        <x:v>139729419.95013997</x:v>
      </x:c>
      <x:c r="J13" s="35" t="n">
        <x:f>I16</x:f>
        <x:v>121760391.83213195</x:v>
      </x:c>
      <x:c r="K13" s="35" t="n">
        <x:f>J16</x:f>
        <x:v>108260295.49974199</x:v>
      </x:c>
      <x:c r="L13" s="35" t="n">
        <x:f>K16</x:f>
        <x:v>97971401.44653434</x:v>
      </x:c>
      <x:c r="M13" s="35" t="n">
        <x:f>L16</x:f>
        <x:v>90124017.5729063</x:v>
      </x:c>
      <x:c r="N13" s="35" t="n">
        <x:f>M16</x:f>
        <x:v>84189771.78718366</x:v>
      </x:c>
      <x:c r="O13" s="35" t="n">
        <x:f>N16</x:f>
        <x:v>79781662.20955992</x:v>
      </x:c>
      <x:c r="P13" s="35" t="n">
        <x:f>O16</x:f>
        <x:v>76605442.36003606</x:v>
      </x:c>
      <x:c r="Q13" s="35" t="n">
        <x:f>P16</x:f>
        <x:v>74434954.89387153</x:v>
      </x:c>
      <x:c r="R13" s="35" t="n">
        <x:f>Q16</x:f>
        <x:v>73099575.27587755</x:v>
      </x:c>
      <x:c r="S13" s="35" t="n">
        <x:f>R16</x:f>
        <x:v>72475266.37723602</x:v>
      </x:c>
      <x:c r="T13" s="35" t="n">
        <x:f>S16</x:f>
        <x:v>72475266.37723602</x:v>
      </x:c>
      <x:c r="U13" s="35" t="n">
        <x:f>T16</x:f>
        <x:v>72475266.37723602</x:v>
      </x:c>
      <x:c r="V13" s="35" t="n">
        <x:f>U16</x:f>
        <x:v>72475266.37723602</x:v>
      </x:c>
      <x:c r="W13" s="35" t="n">
        <x:f>V16</x:f>
        <x:v>72475266.37723602</x:v>
      </x:c>
      <x:c r="X13" s="35" t="n">
        <x:f>W16</x:f>
        <x:v>72475266.37723602</x:v>
      </x:c>
      <x:c r="Y13" s="35" t="n">
        <x:f>X16</x:f>
        <x:v>72475266.37723602</x:v>
      </x:c>
      <x:c r="Z13" s="35" t="n">
        <x:f>Y16</x:f>
        <x:v>72475266.37723602</x:v>
      </x:c>
      <x:c r="AA13" s="35" t="n">
        <x:f>Z16</x:f>
        <x:v>72475266.37723602</x:v>
      </x:c>
      <x:c r="AB13" s="35" t="n">
        <x:f>AA16</x:f>
        <x:v>72475266.37723602</x:v>
      </x:c>
      <x:c r="AC13" s="35" t="n">
        <x:f>AB16</x:f>
        <x:v>72475266.37723602</x:v>
      </x:c>
      <x:c r="AD13" s="35" t="n">
        <x:f>AC16</x:f>
        <x:v>72475266.37723602</x:v>
      </x:c>
      <x:c r="AE13" s="35" t="n">
        <x:f>AD16</x:f>
        <x:v>72475266.37723602</x:v>
      </x:c>
      <x:c r="AF13" s="35" t="n">
        <x:f>AE16</x:f>
        <x:v>72475266.37723602</x:v>
      </x:c>
      <x:c r="AG13" s="35" t="n">
        <x:f>AF16</x:f>
        <x:v>72475266.37723602</x:v>
      </x:c>
      <x:c r="AH13" s="35" t="n">
        <x:f>AG16</x:f>
        <x:v>72475266.37723602</x:v>
      </x:c>
      <x:c r="AI13" s="35" t="n">
        <x:f>AH16</x:f>
        <x:v>72475266.37723602</x:v>
      </x:c>
      <x:c r="AJ13" s="35" t="n">
        <x:f>AI16</x:f>
        <x:v>72475266.37723602</x:v>
      </x:c>
      <x:c r="AK13" s="35" t="n">
        <x:f>AJ16</x:f>
        <x:v>72475266.37723602</x:v>
      </x:c>
      <x:c r="AL13" s="35" t="n">
        <x:f>AK16</x:f>
        <x:v>72475266.37723602</x:v>
      </x:c>
      <x:c r="AM13" s="35" t="n">
        <x:f>AL16</x:f>
        <x:v>72475266.37723602</x:v>
      </x:c>
      <x:c r="AN13" s="35" t="n">
        <x:f>AM16</x:f>
        <x:v>72475266.37723602</x:v>
      </x:c>
      <x:c r="AO13" s="35" t="n">
        <x:f>AN16</x:f>
        <x:v>72475266.37723602</x:v>
      </x:c>
      <x:c r="AP13" s="35" t="n">
        <x:f>AO16</x:f>
        <x:v>72475266.37723602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344196056.92277426</x:v>
      </x:c>
      <x:c r="F14" s="2"/>
      <x:c r="G14" s="35" t="n">
        <x:f>SUM(G29:G30)</x:f>
        <x:v>46866763.968258575</x:v>
      </x:c>
      <x:c r="H14" s="35" t="n">
        <x:f>SUM(H29:H30)</x:f>
        <x:v>32566825.06350576</x:v>
      </x:c>
      <x:c r="I14" s="35" t="n">
        <x:f>SUM(I29:I30)</x:f>
        <x:v>25993943.35022952</x:v>
      </x:c>
      <x:c r="J14" s="35" t="n">
        <x:f>SUM(J29:J30)</x:f>
        <x:v>21874347.972949255</x:v>
      </x:c>
      <x:c r="K14" s="35" t="n">
        <x:f>SUM(K29:K30)</x:f>
        <x:v>18934781.743599504</x:v>
      </x:c>
      <x:c r="L14" s="35" t="n">
        <x:f>SUM(L29:L30)</x:f>
        <x:v>16686127.768564248</x:v>
      </x:c>
      <x:c r="M14" s="35" t="n">
        <x:f>SUM(M29:M30)</x:f>
        <x:v>14896697.591809543</x:v>
      </x:c>
      <x:c r="N14" s="35" t="n">
        <x:f>SUM(N29:N30)</x:f>
        <x:v>13442661.197814932</x:v>
      </x:c>
      <x:c r="O14" s="35" t="n">
        <x:f>SUM(O29:O30)</x:f>
        <x:v>12249323.374798348</x:v>
      </x:c>
      <x:c r="P14" s="35" t="n">
        <x:f>SUM(P29:P30)</x:f>
        <x:v>11262566.864714218</x:v>
      </x:c>
      <x:c r="Q14" s="35" t="n">
        <x:f>SUM(Q29:Q30)</x:f>
        <x:v>10435954.518770862</x:v>
      </x:c>
      <x:c r="R14" s="35" t="n">
        <x:f>SUM(R29:R30)</x:f>
        <x:v>9728187.41439702</x:v>
      </x:c>
      <x:c r="S14" s="35" t="n">
        <x:f>SUM(S29:S30)</x:f>
        <x:v>9104823.007780211</x:v>
      </x:c>
      <x:c r="T14" s="35" t="n">
        <x:f>SUM(T29:T30)</x:f>
        <x:v>9104823.007780211</x:v>
      </x:c>
      <x:c r="U14" s="35" t="n">
        <x:f>SUM(U29:U30)</x:f>
        <x:v>9104823.007780211</x:v>
      </x:c>
      <x:c r="V14" s="35" t="n">
        <x:f>SUM(V29:V30)</x:f>
        <x:v>9104823.007780211</x:v>
      </x:c>
      <x:c r="W14" s="35" t="n">
        <x:f>SUM(W29:W30)</x:f>
        <x:v>9104823.007780211</x:v>
      </x:c>
      <x:c r="X14" s="35" t="n">
        <x:f>SUM(X29:X30)</x:f>
        <x:v>9104823.007780211</x:v>
      </x:c>
      <x:c r="Y14" s="35" t="n">
        <x:f>SUM(Y29:Y30)</x:f>
        <x:v>9104823.007780211</x:v>
      </x:c>
      <x:c r="Z14" s="35" t="n">
        <x:f>SUM(Z29:Z30)</x:f>
        <x:v>9104823.007780211</x:v>
      </x:c>
      <x:c r="AA14" s="35" t="n">
        <x:f>SUM(AA29:AA30)</x:f>
        <x:v>9104823.007780211</x:v>
      </x:c>
      <x:c r="AB14" s="35" t="n">
        <x:f>SUM(AB29:AB30)</x:f>
        <x:v>9104823.007780211</x:v>
      </x:c>
      <x:c r="AC14" s="35" t="n">
        <x:f>SUM(AC29:AC30)</x:f>
        <x:v>9104823.007780211</x:v>
      </x:c>
      <x:c r="AD14" s="35" t="n">
        <x:f>SUM(AD29:AD30)</x:f>
        <x:v>9104823.007780211</x:v>
      </x:c>
      <x:c r="AE14" s="35" t="n">
        <x:f>SUM(AE29:AE30)</x:f>
        <x:v>9104823.007780211</x:v>
      </x:c>
      <x:c r="AF14" s="35" t="n">
        <x:f>SUM(AF29:AF30)</x:f>
        <x:v>9104823.007780211</x:v>
      </x:c>
      <x:c r="AG14" s="35" t="n">
        <x:f>SUM(AG29:AG30)</x:f>
        <x:v>9104823.007780211</x:v>
      </x:c>
      <x:c r="AH14" s="35" t="n">
        <x:f>SUM(AH29:AH30)</x:f>
        <x:v>9104823.007780211</x:v>
      </x:c>
      <x:c r="AI14" s="35" t="n">
        <x:f>SUM(AI29:AI30)</x:f>
        <x:v>9104823.007780211</x:v>
      </x:c>
      <x:c r="AJ14" s="35" t="n">
        <x:f>SUM(AJ29:AJ30)</x:f>
        <x:v>9104823.007780211</x:v>
      </x:c>
      <x:c r="AK14" s="35" t="n">
        <x:f>SUM(AK29:AK30)</x:f>
        <x:v>9104823.007780211</x:v>
      </x:c>
      <x:c r="AL14" s="35" t="n">
        <x:f>SUM(AL29:AL30)</x:f>
        <x:v>9104823.007780211</x:v>
      </x:c>
      <x:c r="AM14" s="35" t="n">
        <x:f>SUM(AM29:AM30)</x:f>
        <x:v>9104823.007780211</x:v>
      </x:c>
      <x:c r="AN14" s="35" t="n">
        <x:f>SUM(AN29:AN30)</x:f>
        <x:v>9104823.007780211</x:v>
      </x:c>
      <x:c r="AO14" s="35" t="n">
        <x:f>SUM(AO29:AO30)</x:f>
        <x:v>9104823.007780211</x:v>
      </x:c>
      <x:c r="AP14" s="35" t="n">
        <x:f>SUM(AP29:AP30)</x:f>
        <x:v>9104823.007780211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47008676.69998971</x:v>
      </x:c>
      <x:c r="F15" s="2"/>
      <x:c r="G15" s="35" t="n">
        <x:f>SUM(G27:G28)</x:f>
        <x:v>3717329.0545000546</x:v>
      </x:c>
      <x:c r="H15" s="35" t="n">
        <x:f>SUM(H27:H28)</x:f>
        <x:v>3199661.9635956627</x:v>
      </x:c>
      <x:c r="I15" s="35" t="n">
        <x:f>SUM(I27:I28)</x:f>
        <x:v>2775084.767778498</x:v>
      </x:c>
      <x:c r="J15" s="35" t="n">
        <x:f>SUM(J27:J28)</x:f>
        <x:v>2425748.35944071</x:v>
      </x:c>
      <x:c r="K15" s="35" t="n">
        <x:f>SUM(K27:K28)</x:f>
        <x:v>2154112.3096081503</x:v>
      </x:c>
      <x:c r="L15" s="35" t="n">
        <x:f>SUM(L27:L28)</x:f>
        <x:v>1961256.1050637825</x:v>
      </x:c>
      <x:c r="M15" s="35" t="n">
        <x:f>SUM(M27:M28)</x:f>
        <x:v>1837548.1939131021</x:v>
      </x:c>
      <x:c r="N15" s="35" t="n">
        <x:f>SUM(N27:N28)</x:f>
        <x:v>1765448.3798088084</x:v>
      </x:c>
      <x:c r="O15" s="35" t="n">
        <x:f>SUM(O27:O28)</x:f>
        <x:v>1726896.4747255165</x:v>
      </x:c>
      <x:c r="P15" s="35" t="n">
        <x:f>SUM(P27:P28)</x:f>
        <x:v>1707920.601450315</x:v>
      </x:c>
      <x:c r="Q15" s="35" t="n">
        <x:f>SUM(Q27:Q28)</x:f>
        <x:v>1699425.0992231197</x:v>
      </x:c>
      <x:c r="R15" s="35" t="n">
        <x:f>SUM(R27:R28)</x:f>
        <x:v>1696121.4842445066</x:v>
      </x:c>
      <x:c r="S15" s="35" t="n">
        <x:f>SUM(S27:S28)</x:f>
        <x:v>1695176.9922197885</x:v>
      </x:c>
      <x:c r="T15" s="35" t="n">
        <x:f>SUM(T27:T28)</x:f>
        <x:v>1695176.9922197885</x:v>
      </x:c>
      <x:c r="U15" s="35" t="n">
        <x:f>SUM(U27:U28)</x:f>
        <x:v>1695176.9922197885</x:v>
      </x:c>
      <x:c r="V15" s="35" t="n">
        <x:f>SUM(V27:V28)</x:f>
        <x:v>1695176.9922197885</x:v>
      </x:c>
      <x:c r="W15" s="35" t="n">
        <x:f>SUM(W27:W28)</x:f>
        <x:v>1695176.9922197885</x:v>
      </x:c>
      <x:c r="X15" s="35" t="n">
        <x:f>SUM(X27:X28)</x:f>
        <x:v>1695176.9922197885</x:v>
      </x:c>
      <x:c r="Y15" s="35" t="n">
        <x:f>SUM(Y27:Y28)</x:f>
        <x:v>1695176.9922197885</x:v>
      </x:c>
      <x:c r="Z15" s="35" t="n">
        <x:f>SUM(Z27:Z28)</x:f>
        <x:v>1695176.9922197885</x:v>
      </x:c>
      <x:c r="AA15" s="35" t="n">
        <x:f>SUM(AA27:AA28)</x:f>
        <x:v>1695176.9922197885</x:v>
      </x:c>
      <x:c r="AB15" s="35" t="n">
        <x:f>SUM(AB27:AB28)</x:f>
        <x:v>1695176.9922197885</x:v>
      </x:c>
      <x:c r="AC15" s="35" t="n">
        <x:f>SUM(AC27:AC28)</x:f>
        <x:v>1695176.9922197885</x:v>
      </x:c>
      <x:c r="AD15" s="35" t="n">
        <x:f>SUM(AD27:AD28)</x:f>
        <x:v>1695176.9922197885</x:v>
      </x:c>
      <x:c r="AE15" s="35" t="n">
        <x:f>SUM(AE27:AE28)</x:f>
        <x:v>1695176.9922197885</x:v>
      </x:c>
      <x:c r="AF15" s="35" t="n">
        <x:f>SUM(AF27:AF28)</x:f>
        <x:v>1695176.9922197885</x:v>
      </x:c>
      <x:c r="AG15" s="35" t="n">
        <x:f>SUM(AG27:AG28)</x:f>
        <x:v>1695176.9922197885</x:v>
      </x:c>
      <x:c r="AH15" s="35" t="n">
        <x:f>SUM(AH27:AH28)</x:f>
        <x:v>1695176.9922197885</x:v>
      </x:c>
      <x:c r="AI15" s="35" t="n">
        <x:f>SUM(AI27:AI28)</x:f>
        <x:v>1695176.9922197885</x:v>
      </x:c>
      <x:c r="AJ15" s="35" t="n">
        <x:f>SUM(AJ27:AJ28)</x:f>
        <x:v>1695176.9922197885</x:v>
      </x:c>
      <x:c r="AK15" s="35" t="n">
        <x:f>SUM(AK27:AK28)</x:f>
        <x:v>1695176.9922197885</x:v>
      </x:c>
      <x:c r="AL15" s="35" t="n">
        <x:f>SUM(AL27:AL28)</x:f>
        <x:v>1695176.9922197885</x:v>
      </x:c>
      <x:c r="AM15" s="35" t="n">
        <x:f>SUM(AM27:AM28)</x:f>
        <x:v>1695176.9922197885</x:v>
      </x:c>
      <x:c r="AN15" s="35" t="n">
        <x:f>SUM(AN27:AN28)</x:f>
        <x:v>1695176.9922197885</x:v>
      </x:c>
      <x:c r="AO15" s="35" t="n">
        <x:f>SUM(AO27:AO28)</x:f>
        <x:v>1695176.9922197885</x:v>
      </x:c>
      <x:c r="AP15" s="35" t="n">
        <x:f>SUM(AP27:AP28)</x:f>
        <x:v>1695176.9922197885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72475266.37723602</x:v>
      </x:c>
      <x:c r="F16" s="42"/>
      <x:c r="G16" s="43" t="n">
        <x:f>G13+G11-G14-G15</x:f>
        <x:v>164695906.9772414</x:v>
      </x:c>
      <x:c r="H16" s="43" t="n">
        <x:f>H13+H11-H14-H15</x:f>
        <x:v>139729419.95013997</x:v>
      </x:c>
      <x:c r="I16" s="43" t="n">
        <x:f>I13+I11-I14-I15</x:f>
        <x:v>121760391.83213195</x:v>
      </x:c>
      <x:c r="J16" s="43" t="n">
        <x:f>J13+J11-J14-J15</x:f>
        <x:v>108260295.49974199</x:v>
      </x:c>
      <x:c r="K16" s="43" t="n">
        <x:f>K13+K11-K14-K15</x:f>
        <x:v>97971401.44653434</x:v>
      </x:c>
      <x:c r="L16" s="43" t="n">
        <x:f>L13+L11-L14-L15</x:f>
        <x:v>90124017.5729063</x:v>
      </x:c>
      <x:c r="M16" s="43" t="n">
        <x:f>M13+M11-M14-M15</x:f>
        <x:v>84189771.78718366</x:v>
      </x:c>
      <x:c r="N16" s="43" t="n">
        <x:f>N13+N11-N14-N15</x:f>
        <x:v>79781662.20955992</x:v>
      </x:c>
      <x:c r="O16" s="43" t="n">
        <x:f>O13+O11-O14-O15</x:f>
        <x:v>76605442.36003606</x:v>
      </x:c>
      <x:c r="P16" s="43" t="n">
        <x:f>P13+P11-P14-P15</x:f>
        <x:v>74434954.89387153</x:v>
      </x:c>
      <x:c r="Q16" s="43" t="n">
        <x:f>Q13+Q11-Q14-Q15</x:f>
        <x:v>73099575.27587755</x:v>
      </x:c>
      <x:c r="R16" s="43" t="n">
        <x:f>R13+R11-R14-R15</x:f>
        <x:v>72475266.37723602</x:v>
      </x:c>
      <x:c r="S16" s="43" t="n">
        <x:f>S13+S11-S14-S15</x:f>
        <x:v>72475266.37723602</x:v>
      </x:c>
      <x:c r="T16" s="43" t="n">
        <x:f>T13+T11-T14-T15</x:f>
        <x:v>72475266.37723602</x:v>
      </x:c>
      <x:c r="U16" s="43" t="n">
        <x:f>U13+U11-U14-U15</x:f>
        <x:v>72475266.37723602</x:v>
      </x:c>
      <x:c r="V16" s="43" t="n">
        <x:f>V13+V11-V14-V15</x:f>
        <x:v>72475266.37723602</x:v>
      </x:c>
      <x:c r="W16" s="43" t="n">
        <x:f>W13+W11-W14-W15</x:f>
        <x:v>72475266.37723602</x:v>
      </x:c>
      <x:c r="X16" s="43" t="n">
        <x:f>X13+X11-X14-X15</x:f>
        <x:v>72475266.37723602</x:v>
      </x:c>
      <x:c r="Y16" s="43" t="n">
        <x:f>Y13+Y11-Y14-Y15</x:f>
        <x:v>72475266.37723602</x:v>
      </x:c>
      <x:c r="Z16" s="43" t="n">
        <x:f>Z13+Z11-Z14-Z15</x:f>
        <x:v>72475266.37723602</x:v>
      </x:c>
      <x:c r="AA16" s="43" t="n">
        <x:f>AA13+AA11-AA14-AA15</x:f>
        <x:v>72475266.37723602</x:v>
      </x:c>
      <x:c r="AB16" s="43" t="n">
        <x:f>AB13+AB11-AB14-AB15</x:f>
        <x:v>72475266.37723602</x:v>
      </x:c>
      <x:c r="AC16" s="43" t="n">
        <x:f>AC13+AC11-AC14-AC15</x:f>
        <x:v>72475266.37723602</x:v>
      </x:c>
      <x:c r="AD16" s="43" t="n">
        <x:f>AD13+AD11-AD14-AD15</x:f>
        <x:v>72475266.37723602</x:v>
      </x:c>
      <x:c r="AE16" s="43" t="n">
        <x:f>AE13+AE11-AE14-AE15</x:f>
        <x:v>72475266.37723602</x:v>
      </x:c>
      <x:c r="AF16" s="43" t="n">
        <x:f>AF13+AF11-AF14-AF15</x:f>
        <x:v>72475266.37723602</x:v>
      </x:c>
      <x:c r="AG16" s="43" t="n">
        <x:f>AG13+AG11-AG14-AG15</x:f>
        <x:v>72475266.37723602</x:v>
      </x:c>
      <x:c r="AH16" s="43" t="n">
        <x:f>AH13+AH11-AH14-AH15</x:f>
        <x:v>72475266.37723602</x:v>
      </x:c>
      <x:c r="AI16" s="43" t="n">
        <x:f>AI13+AI11-AI14-AI15</x:f>
        <x:v>72475266.37723602</x:v>
      </x:c>
      <x:c r="AJ16" s="43" t="n">
        <x:f>AJ13+AJ11-AJ14-AJ15</x:f>
        <x:v>72475266.37723602</x:v>
      </x:c>
      <x:c r="AK16" s="43" t="n">
        <x:f>AK13+AK11-AK14-AK15</x:f>
        <x:v>72475266.37723602</x:v>
      </x:c>
      <x:c r="AL16" s="43" t="n">
        <x:f>AL13+AL11-AL14-AL15</x:f>
        <x:v>72475266.37723602</x:v>
      </x:c>
      <x:c r="AM16" s="43" t="n">
        <x:f>AM13+AM11-AM14-AM15</x:f>
        <x:v>72475266.37723602</x:v>
      </x:c>
      <x:c r="AN16" s="43" t="n">
        <x:f>AN13+AN11-AN14-AN15</x:f>
        <x:v>72475266.37723602</x:v>
      </x:c>
      <x:c r="AO16" s="43" t="n">
        <x:f>AO13+AO11-AO14-AO15</x:f>
        <x:v>72475266.37723602</x:v>
      </x:c>
      <x:c r="AP16" s="43" t="n">
        <x:f>AP13+AP11-AP14-AP15</x:f>
        <x:v>72475266.37723602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12871983.807959298</x:v>
      </x:c>
      <x:c r="F18" s="2"/>
      <x:c r="G18" s="35" t="n">
        <x:f>$E$48</x:f>
        <x:v>12871983.807959298</x:v>
      </x:c>
      <x:c r="H18" s="35" t="n">
        <x:f>G20</x:f>
        <x:v>10849831.745679032</x:v>
      </x:c>
      <x:c r="I18" s="35" t="n">
        <x:f>H20</x:f>
        <x:v>9345346.774303159</x:v>
      </x:c>
      <x:c r="J18" s="35" t="n">
        <x:f>I20</x:f>
        <x:v>8265438.99874445</x:v>
      </x:c>
      <x:c r="K18" s="35" t="n">
        <x:f>J20</x:f>
        <x:v>7534867.631523527</x:v>
      </x:c>
      <x:c r="L18" s="35" t="n">
        <x:f>K20</x:f>
        <x:v>7075932.314135166</x:v>
      </x:c>
      <x:c r="M18" s="35" t="n">
        <x:f>L20</x:f>
        <x:v>6809853.201291172</x:v>
      </x:c>
      <x:c r="N18" s="35" t="n">
        <x:f>M20</x:f>
        <x:v>6667481.999597859</x:v>
      </x:c>
      <x:c r="O18" s="35" t="n">
        <x:f>N20</x:f>
        <x:v>6597210.612008838</x:v>
      </x:c>
      <x:c r="P18" s="35" t="n">
        <x:f>O20</x:f>
        <x:v>6565491.1295031095</x:v>
      </x:c>
      <x:c r="Q18" s="35" t="n">
        <x:f>P20</x:f>
        <x:v>6552747.520272583</x:v>
      </x:c>
      <x:c r="R18" s="35" t="n">
        <x:f>Q20</x:f>
        <x:v>6548499.413269252</x:v>
      </x:c>
      <x:c r="S18" s="35" t="n">
        <x:f>R20</x:f>
        <x:v>6547554.921244533</x:v>
      </x:c>
      <x:c r="T18" s="35" t="n">
        <x:f>S20</x:f>
        <x:v>6547554.921244532</x:v>
      </x:c>
      <x:c r="U18" s="35" t="n">
        <x:f>T20</x:f>
        <x:v>6547554.921244532</x:v>
      </x:c>
      <x:c r="V18" s="35" t="n">
        <x:f>U20</x:f>
        <x:v>6547554.921244532</x:v>
      </x:c>
      <x:c r="W18" s="35" t="n">
        <x:f>V20</x:f>
        <x:v>6547554.921244532</x:v>
      </x:c>
      <x:c r="X18" s="35" t="n">
        <x:f>W20</x:f>
        <x:v>6547554.921244532</x:v>
      </x:c>
      <x:c r="Y18" s="35" t="n">
        <x:f>X20</x:f>
        <x:v>6547554.921244532</x:v>
      </x:c>
      <x:c r="Z18" s="35" t="n">
        <x:f>Y20</x:f>
        <x:v>6547554.921244532</x:v>
      </x:c>
      <x:c r="AA18" s="35" t="n">
        <x:f>Z20</x:f>
        <x:v>6547554.921244532</x:v>
      </x:c>
      <x:c r="AB18" s="35" t="n">
        <x:f>AA20</x:f>
        <x:v>6547554.921244532</x:v>
      </x:c>
      <x:c r="AC18" s="35" t="n">
        <x:f>AB20</x:f>
        <x:v>6547554.921244532</x:v>
      </x:c>
      <x:c r="AD18" s="35" t="n">
        <x:f>AC20</x:f>
        <x:v>6547554.921244532</x:v>
      </x:c>
      <x:c r="AE18" s="35" t="n">
        <x:f>AD20</x:f>
        <x:v>6547554.921244532</x:v>
      </x:c>
      <x:c r="AF18" s="35" t="n">
        <x:f>AE20</x:f>
        <x:v>6547554.921244532</x:v>
      </x:c>
      <x:c r="AG18" s="35" t="n">
        <x:f>AF20</x:f>
        <x:v>6547554.921244532</x:v>
      </x:c>
      <x:c r="AH18" s="35" t="n">
        <x:f>AG20</x:f>
        <x:v>6547554.921244532</x:v>
      </x:c>
      <x:c r="AI18" s="35" t="n">
        <x:f>AH20</x:f>
        <x:v>6547554.921244532</x:v>
      </x:c>
      <x:c r="AJ18" s="35" t="n">
        <x:f>AI20</x:f>
        <x:v>6547554.921244532</x:v>
      </x:c>
      <x:c r="AK18" s="35" t="n">
        <x:f>AJ20</x:f>
        <x:v>6547554.921244532</x:v>
      </x:c>
      <x:c r="AL18" s="35" t="n">
        <x:f>AK20</x:f>
        <x:v>6547554.921244532</x:v>
      </x:c>
      <x:c r="AM18" s="35" t="n">
        <x:f>AL20</x:f>
        <x:v>6547554.921244532</x:v>
      </x:c>
      <x:c r="AN18" s="35" t="n">
        <x:f>AM20</x:f>
        <x:v>6547554.921244532</x:v>
      </x:c>
      <x:c r="AO18" s="35" t="n">
        <x:f>AN20</x:f>
        <x:v>6547554.921244532</x:v>
      </x:c>
      <x:c r="AP18" s="35" t="n">
        <x:f>AO20</x:f>
        <x:v>6547554.921244532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40684247.81327492</x:v>
      </x:c>
      <x:c r="F19" s="2"/>
      <x:c r="G19" s="35" t="n">
        <x:f>G11*$E$49</x:f>
        <x:v>1695176.9922197883</x:v>
      </x:c>
      <x:c r="H19" s="35" t="n">
        <x:f>H11*$E$49</x:f>
        <x:v>1695176.9922197883</x:v>
      </x:c>
      <x:c r="I19" s="35" t="n">
        <x:f>I11*$E$49</x:f>
        <x:v>1695176.9922197883</x:v>
      </x:c>
      <x:c r="J19" s="35" t="n">
        <x:f>J11*$E$49</x:f>
        <x:v>1695176.9922197883</x:v>
      </x:c>
      <x:c r="K19" s="35" t="n">
        <x:f>K11*$E$49</x:f>
        <x:v>1695176.9922197883</x:v>
      </x:c>
      <x:c r="L19" s="35" t="n">
        <x:f>L11*$E$49</x:f>
        <x:v>1695176.9922197883</x:v>
      </x:c>
      <x:c r="M19" s="35" t="n">
        <x:f>M11*$E$49</x:f>
        <x:v>1695176.9922197883</x:v>
      </x:c>
      <x:c r="N19" s="35" t="n">
        <x:f>N11*$E$49</x:f>
        <x:v>1695176.9922197883</x:v>
      </x:c>
      <x:c r="O19" s="35" t="n">
        <x:f>O11*$E$49</x:f>
        <x:v>1695176.9922197883</x:v>
      </x:c>
      <x:c r="P19" s="35" t="n">
        <x:f>P11*$E$49</x:f>
        <x:v>1695176.9922197883</x:v>
      </x:c>
      <x:c r="Q19" s="35" t="n">
        <x:f>Q11*$E$49</x:f>
        <x:v>1695176.9922197883</x:v>
      </x:c>
      <x:c r="R19" s="35" t="n">
        <x:f>R11*$E$49</x:f>
        <x:v>1695176.9922197883</x:v>
      </x:c>
      <x:c r="S19" s="35" t="n">
        <x:f>S11*$E$49</x:f>
        <x:v>1695176.9922197883</x:v>
      </x:c>
      <x:c r="T19" s="35" t="n">
        <x:f>T11*$E$49</x:f>
        <x:v>1695176.9922197883</x:v>
      </x:c>
      <x:c r="U19" s="35" t="n">
        <x:f>U11*$E$49</x:f>
        <x:v>1695176.9922197883</x:v>
      </x:c>
      <x:c r="V19" s="35" t="n">
        <x:f>V11*$E$49</x:f>
        <x:v>1695176.9922197883</x:v>
      </x:c>
      <x:c r="W19" s="35" t="n">
        <x:f>W11*$E$49</x:f>
        <x:v>1695176.9922197883</x:v>
      </x:c>
      <x:c r="X19" s="35" t="n">
        <x:f>X11*$E$49</x:f>
        <x:v>1695176.9922197883</x:v>
      </x:c>
      <x:c r="Y19" s="35" t="n">
        <x:f>Y11*$E$49</x:f>
        <x:v>1695176.9922197883</x:v>
      </x:c>
      <x:c r="Z19" s="35" t="n">
        <x:f>Z11*$E$49</x:f>
        <x:v>1695176.9922197883</x:v>
      </x:c>
      <x:c r="AA19" s="35" t="n">
        <x:f>AA11*$E$49</x:f>
        <x:v>1695176.9922197883</x:v>
      </x:c>
      <x:c r="AB19" s="35" t="n">
        <x:f>AB11*$E$49</x:f>
        <x:v>1695176.9922197883</x:v>
      </x:c>
      <x:c r="AC19" s="35" t="n">
        <x:f>AC11*$E$49</x:f>
        <x:v>1695176.9922197883</x:v>
      </x:c>
      <x:c r="AD19" s="35" t="n">
        <x:f>AD11*$E$49</x:f>
        <x:v>1695176.9922197883</x:v>
      </x:c>
      <x:c r="AE19" s="35" t="n">
        <x:f>AE11*$E$49</x:f>
        <x:v>1695176.9922197883</x:v>
      </x:c>
      <x:c r="AF19" s="35" t="n">
        <x:f>AF11*$E$49</x:f>
        <x:v>1695176.9922197883</x:v>
      </x:c>
      <x:c r="AG19" s="35" t="n">
        <x:f>AG11*$E$49</x:f>
        <x:v>1695176.9922197883</x:v>
      </x:c>
      <x:c r="AH19" s="35" t="n">
        <x:f>AH11*$E$49</x:f>
        <x:v>1695176.9922197883</x:v>
      </x:c>
      <x:c r="AI19" s="35" t="n">
        <x:f>AI11*$E$49</x:f>
        <x:v>1695176.9922197883</x:v>
      </x:c>
      <x:c r="AJ19" s="35" t="n">
        <x:f>AJ11*$E$49</x:f>
        <x:v>1695176.9922197883</x:v>
      </x:c>
      <x:c r="AK19" s="35" t="n">
        <x:f>AK11*$E$49</x:f>
        <x:v>1695176.9922197883</x:v>
      </x:c>
      <x:c r="AL19" s="35" t="n">
        <x:f>AL11*$E$49</x:f>
        <x:v>1695176.9922197883</x:v>
      </x:c>
      <x:c r="AM19" s="35" t="n">
        <x:f>AM11*$E$49</x:f>
        <x:v>1695176.9922197883</x:v>
      </x:c>
      <x:c r="AN19" s="35" t="n">
        <x:f>AN11*$E$49</x:f>
        <x:v>1695176.9922197883</x:v>
      </x:c>
      <x:c r="AO19" s="35" t="n">
        <x:f>AO11*$E$49</x:f>
        <x:v>1695176.9922197883</x:v>
      </x:c>
      <x:c r="AP19" s="35" t="n">
        <x:f>AP11*$E$49</x:f>
        <x:v>1695176.9922197883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6547554.921244532</x:v>
      </x:c>
      <x:c r="F20" s="42"/>
      <x:c r="G20" s="43" t="n">
        <x:f>G18+G19-G15</x:f>
        <x:v>10849831.745679032</x:v>
      </x:c>
      <x:c r="H20" s="43" t="n">
        <x:f>H18+H19-H15</x:f>
        <x:v>9345346.774303159</x:v>
      </x:c>
      <x:c r="I20" s="43" t="n">
        <x:f>I18+I19-I15</x:f>
        <x:v>8265438.99874445</x:v>
      </x:c>
      <x:c r="J20" s="43" t="n">
        <x:f>J18+J19-J15</x:f>
        <x:v>7534867.631523527</x:v>
      </x:c>
      <x:c r="K20" s="43" t="n">
        <x:f>K18+K19-K15</x:f>
        <x:v>7075932.314135166</x:v>
      </x:c>
      <x:c r="L20" s="43" t="n">
        <x:f>L18+L19-L15</x:f>
        <x:v>6809853.201291172</x:v>
      </x:c>
      <x:c r="M20" s="43" t="n">
        <x:f>M18+M19-M15</x:f>
        <x:v>6667481.999597859</x:v>
      </x:c>
      <x:c r="N20" s="43" t="n">
        <x:f>N18+N19-N15</x:f>
        <x:v>6597210.612008838</x:v>
      </x:c>
      <x:c r="O20" s="43" t="n">
        <x:f>O18+O19-O15</x:f>
        <x:v>6565491.1295031095</x:v>
      </x:c>
      <x:c r="P20" s="43" t="n">
        <x:f>P18+P19-P15</x:f>
        <x:v>6552747.520272583</x:v>
      </x:c>
      <x:c r="Q20" s="43" t="n">
        <x:f>Q18+Q19-Q15</x:f>
        <x:v>6548499.413269252</x:v>
      </x:c>
      <x:c r="R20" s="43" t="n">
        <x:f>R18+R19-R15</x:f>
        <x:v>6547554.921244533</x:v>
      </x:c>
      <x:c r="S20" s="43" t="n">
        <x:f>S18+S19-S15</x:f>
        <x:v>6547554.921244532</x:v>
      </x:c>
      <x:c r="T20" s="43" t="n">
        <x:f>T18+T19-T15</x:f>
        <x:v>6547554.921244532</x:v>
      </x:c>
      <x:c r="U20" s="43" t="n">
        <x:f>U18+U19-U15</x:f>
        <x:v>6547554.921244532</x:v>
      </x:c>
      <x:c r="V20" s="43" t="n">
        <x:f>V18+V19-V15</x:f>
        <x:v>6547554.921244532</x:v>
      </x:c>
      <x:c r="W20" s="43" t="n">
        <x:f>W18+W19-W15</x:f>
        <x:v>6547554.921244532</x:v>
      </x:c>
      <x:c r="X20" s="43" t="n">
        <x:f>X18+X19-X15</x:f>
        <x:v>6547554.921244532</x:v>
      </x:c>
      <x:c r="Y20" s="43" t="n">
        <x:f>Y18+Y19-Y15</x:f>
        <x:v>6547554.921244532</x:v>
      </x:c>
      <x:c r="Z20" s="43" t="n">
        <x:f>Z18+Z19-Z15</x:f>
        <x:v>6547554.921244532</x:v>
      </x:c>
      <x:c r="AA20" s="43" t="n">
        <x:f>AA18+AA19-AA15</x:f>
        <x:v>6547554.921244532</x:v>
      </x:c>
      <x:c r="AB20" s="43" t="n">
        <x:f>AB18+AB19-AB15</x:f>
        <x:v>6547554.921244532</x:v>
      </x:c>
      <x:c r="AC20" s="43" t="n">
        <x:f>AC18+AC19-AC15</x:f>
        <x:v>6547554.921244532</x:v>
      </x:c>
      <x:c r="AD20" s="43" t="n">
        <x:f>AD18+AD19-AD15</x:f>
        <x:v>6547554.921244532</x:v>
      </x:c>
      <x:c r="AE20" s="43" t="n">
        <x:f>AE18+AE19-AE15</x:f>
        <x:v>6547554.921244532</x:v>
      </x:c>
      <x:c r="AF20" s="43" t="n">
        <x:f>AF18+AF19-AF15</x:f>
        <x:v>6547554.921244532</x:v>
      </x:c>
      <x:c r="AG20" s="43" t="n">
        <x:f>AG18+AG19-AG15</x:f>
        <x:v>6547554.921244532</x:v>
      </x:c>
      <x:c r="AH20" s="43" t="n">
        <x:f>AH18+AH19-AH15</x:f>
        <x:v>6547554.921244532</x:v>
      </x:c>
      <x:c r="AI20" s="43" t="n">
        <x:f>AI18+AI19-AI15</x:f>
        <x:v>6547554.921244532</x:v>
      </x:c>
      <x:c r="AJ20" s="43" t="n">
        <x:f>AJ18+AJ19-AJ15</x:f>
        <x:v>6547554.921244532</x:v>
      </x:c>
      <x:c r="AK20" s="43" t="n">
        <x:f>AK18+AK19-AK15</x:f>
        <x:v>6547554.921244532</x:v>
      </x:c>
      <x:c r="AL20" s="43" t="n">
        <x:f>AL18+AL19-AL15</x:f>
        <x:v>6547554.921244532</x:v>
      </x:c>
      <x:c r="AM20" s="43" t="n">
        <x:f>AM18+AM19-AM15</x:f>
        <x:v>6547554.921244532</x:v>
      </x:c>
      <x:c r="AN20" s="43" t="n">
        <x:f>AN18+AN19-AN15</x:f>
        <x:v>6547554.921244532</x:v>
      </x:c>
      <x:c r="AO20" s="43" t="n">
        <x:f>AO18+AO19-AO15</x:f>
        <x:v>6547554.921244532</x:v>
      </x:c>
      <x:c r="AP20" s="43" t="n">
        <x:f>AP18+AP19-AP15</x:f>
        <x:v>6547554.921244532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65927711.45599149</x:v>
      </x:c>
      <x:c r="F21" s="42"/>
      <x:c r="G21" s="43" t="n">
        <x:f>G16-G20</x:f>
        <x:v>153846075.23156238</x:v>
      </x:c>
      <x:c r="H21" s="43" t="n">
        <x:f>H16-H20</x:f>
        <x:v>130384073.17583682</x:v>
      </x:c>
      <x:c r="I21" s="43" t="n">
        <x:f>I16-I20</x:f>
        <x:v>113494952.83338751</x:v>
      </x:c>
      <x:c r="J21" s="43" t="n">
        <x:f>J16-J20</x:f>
        <x:v>100725427.86821845</x:v>
      </x:c>
      <x:c r="K21" s="43" t="n">
        <x:f>K16-K20</x:f>
        <x:v>90895469.13239917</x:v>
      </x:c>
      <x:c r="L21" s="43" t="n">
        <x:f>L16-L20</x:f>
        <x:v>83314164.37161513</x:v>
      </x:c>
      <x:c r="M21" s="43" t="n">
        <x:f>M16-M20</x:f>
        <x:v>77522289.7875858</x:v>
      </x:c>
      <x:c r="N21" s="43" t="n">
        <x:f>N16-N20</x:f>
        <x:v>73184451.59755108</x:v>
      </x:c>
      <x:c r="O21" s="43" t="n">
        <x:f>O16-O20</x:f>
        <x:v>70039951.23053294</x:v>
      </x:c>
      <x:c r="P21" s="43" t="n">
        <x:f>P16-P20</x:f>
        <x:v>67882207.37359895</x:v>
      </x:c>
      <x:c r="Q21" s="43" t="n">
        <x:f>Q16-Q20</x:f>
        <x:v>66551075.8626083</x:v>
      </x:c>
      <x:c r="R21" s="43" t="n">
        <x:f>R16-R20</x:f>
        <x:v>65927711.45599149</x:v>
      </x:c>
      <x:c r="S21" s="43" t="n">
        <x:f>S16-S20</x:f>
        <x:v>65927711.45599149</x:v>
      </x:c>
      <x:c r="T21" s="43" t="n">
        <x:f>T16-T20</x:f>
        <x:v>65927711.45599149</x:v>
      </x:c>
      <x:c r="U21" s="43" t="n">
        <x:f>U16-U20</x:f>
        <x:v>65927711.45599149</x:v>
      </x:c>
      <x:c r="V21" s="43" t="n">
        <x:f>V16-V20</x:f>
        <x:v>65927711.45599149</x:v>
      </x:c>
      <x:c r="W21" s="43" t="n">
        <x:f>W16-W20</x:f>
        <x:v>65927711.45599149</x:v>
      </x:c>
      <x:c r="X21" s="43" t="n">
        <x:f>X16-X20</x:f>
        <x:v>65927711.45599149</x:v>
      </x:c>
      <x:c r="Y21" s="43" t="n">
        <x:f>Y16-Y20</x:f>
        <x:v>65927711.45599149</x:v>
      </x:c>
      <x:c r="Z21" s="43" t="n">
        <x:f>Z16-Z20</x:f>
        <x:v>65927711.45599149</x:v>
      </x:c>
      <x:c r="AA21" s="43" t="n">
        <x:f>AA16-AA20</x:f>
        <x:v>65927711.45599149</x:v>
      </x:c>
      <x:c r="AB21" s="43" t="n">
        <x:f>AB16-AB20</x:f>
        <x:v>65927711.45599149</x:v>
      </x:c>
      <x:c r="AC21" s="43" t="n">
        <x:f>AC16-AC20</x:f>
        <x:v>65927711.45599149</x:v>
      </x:c>
      <x:c r="AD21" s="43" t="n">
        <x:f>AD16-AD20</x:f>
        <x:v>65927711.45599149</x:v>
      </x:c>
      <x:c r="AE21" s="43" t="n">
        <x:f>AE16-AE20</x:f>
        <x:v>65927711.45599149</x:v>
      </x:c>
      <x:c r="AF21" s="43" t="n">
        <x:f>AF16-AF20</x:f>
        <x:v>65927711.45599149</x:v>
      </x:c>
      <x:c r="AG21" s="43" t="n">
        <x:f>AG16-AG20</x:f>
        <x:v>65927711.45599149</x:v>
      </x:c>
      <x:c r="AH21" s="43" t="n">
        <x:f>AH16-AH20</x:f>
        <x:v>65927711.45599149</x:v>
      </x:c>
      <x:c r="AI21" s="43" t="n">
        <x:f>AI16-AI20</x:f>
        <x:v>65927711.45599149</x:v>
      </x:c>
      <x:c r="AJ21" s="43" t="n">
        <x:f>AJ16-AJ20</x:f>
        <x:v>65927711.45599149</x:v>
      </x:c>
      <x:c r="AK21" s="43" t="n">
        <x:f>AK16-AK20</x:f>
        <x:v>65927711.45599149</x:v>
      </x:c>
      <x:c r="AL21" s="43" t="n">
        <x:f>AL16-AL20</x:f>
        <x:v>65927711.45599149</x:v>
      </x:c>
      <x:c r="AM21" s="43" t="n">
        <x:f>AM16-AM20</x:f>
        <x:v>65927711.45599149</x:v>
      </x:c>
      <x:c r="AN21" s="43" t="n">
        <x:f>AN16-AN20</x:f>
        <x:v>65927711.45599149</x:v>
      </x:c>
      <x:c r="AO21" s="43" t="n">
        <x:f>AO16-AO20</x:f>
        <x:v>65927711.45599149</x:v>
      </x:c>
      <x:c r="AP21" s="43" t="n">
        <x:f>AP16-AP20</x:f>
        <x:v>65927711.45599149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'Assumptions'!$E$15</x:f>
        <x:v>1</x:v>
      </x:c>
      <x:c r="H23" s="33" t="n">
        <x:f>'Assumptions'!$E$15</x:f>
        <x:v>1</x:v>
      </x:c>
      <x:c r="I23" s="33" t="n">
        <x:f>'Assumptions'!$E$15</x:f>
        <x:v>1</x:v>
      </x:c>
      <x:c r="J23" s="33" t="n">
        <x:f>'Assumptions'!$E$15</x:f>
        <x:v>1</x:v>
      </x:c>
      <x:c r="K23" s="33" t="n">
        <x:f>'Assumptions'!$E$15</x:f>
        <x:v>1</x:v>
      </x:c>
      <x:c r="L23" s="33" t="n">
        <x:f>'Assumptions'!$E$15</x:f>
        <x:v>1</x:v>
      </x:c>
      <x:c r="M23" s="33" t="n">
        <x:f>'Assumptions'!$E$15</x:f>
        <x:v>1</x:v>
      </x:c>
      <x:c r="N23" s="33" t="n">
        <x:f>'Assumptions'!$E$15</x:f>
        <x:v>1</x:v>
      </x:c>
      <x:c r="O23" s="33" t="n">
        <x:f>'Assumptions'!$E$15</x:f>
        <x:v>1</x:v>
      </x:c>
      <x:c r="P23" s="33" t="n">
        <x:f>'Assumptions'!$E$15</x:f>
        <x:v>1</x:v>
      </x:c>
      <x:c r="Q23" s="33" t="n">
        <x:f>'Assumptions'!$E$15</x:f>
        <x:v>1</x:v>
      </x:c>
      <x:c r="R23" s="33" t="n">
        <x:f>'Assumptions'!$E$15</x:f>
        <x:v>1</x:v>
      </x:c>
      <x:c r="S23" s="33" t="n">
        <x:f>'Assumptions'!$E$15</x:f>
        <x:v>1</x:v>
      </x:c>
      <x:c r="T23" s="33" t="n">
        <x:f>'Assumptions'!$E$15</x:f>
        <x:v>1</x:v>
      </x:c>
      <x:c r="U23" s="33" t="n">
        <x:f>'Assumptions'!$E$15</x:f>
        <x:v>1</x:v>
      </x:c>
      <x:c r="V23" s="33" t="n">
        <x:f>'Assumptions'!$E$15</x:f>
        <x:v>1</x:v>
      </x:c>
      <x:c r="W23" s="33" t="n">
        <x:f>'Assumptions'!$E$15</x:f>
        <x:v>1</x:v>
      </x:c>
      <x:c r="X23" s="33" t="n">
        <x:f>'Assumptions'!$E$15</x:f>
        <x:v>1</x:v>
      </x:c>
      <x:c r="Y23" s="33" t="n">
        <x:f>'Assumptions'!$E$15</x:f>
        <x:v>1</x:v>
      </x:c>
      <x:c r="Z23" s="33" t="n">
        <x:f>'Assumptions'!$E$15</x:f>
        <x:v>1</x:v>
      </x:c>
      <x:c r="AA23" s="33" t="n">
        <x:f>'Assumptions'!$E$15</x:f>
        <x:v>1</x:v>
      </x:c>
      <x:c r="AB23" s="33" t="n">
        <x:f>'Assumptions'!$E$15</x:f>
        <x:v>1</x:v>
      </x:c>
      <x:c r="AC23" s="33" t="n">
        <x:f>'Assumptions'!$E$15</x:f>
        <x:v>1</x:v>
      </x:c>
      <x:c r="AD23" s="33" t="n">
        <x:f>'Assumptions'!$E$15</x:f>
        <x:v>1</x:v>
      </x:c>
      <x:c r="AE23" s="33" t="n">
        <x:f>'Assumptions'!$E$15</x:f>
        <x:v>1</x:v>
      </x:c>
      <x:c r="AF23" s="33" t="n">
        <x:f>'Assumptions'!$E$15</x:f>
        <x:v>1</x:v>
      </x:c>
      <x:c r="AG23" s="33" t="n">
        <x:f>'Assumptions'!$E$15</x:f>
        <x:v>1</x:v>
      </x:c>
      <x:c r="AH23" s="33" t="n">
        <x:f>'Assumptions'!$E$15</x:f>
        <x:v>1</x:v>
      </x:c>
      <x:c r="AI23" s="33" t="n">
        <x:f>'Assumptions'!$E$15</x:f>
        <x:v>1</x:v>
      </x:c>
      <x:c r="AJ23" s="33" t="n">
        <x:f>'Assumptions'!$E$15</x:f>
        <x:v>1</x:v>
      </x:c>
      <x:c r="AK23" s="33" t="n">
        <x:f>'Assumptions'!$E$15</x:f>
        <x:v>1</x:v>
      </x:c>
      <x:c r="AL23" s="33" t="n">
        <x:f>'Assumptions'!$E$15</x:f>
        <x:v>1</x:v>
      </x:c>
      <x:c r="AM23" s="33" t="n">
        <x:f>'Assumptions'!$E$15</x:f>
        <x:v>1</x:v>
      </x:c>
      <x:c r="AN23" s="33" t="n">
        <x:f>'Assumptions'!$E$15</x:f>
        <x:v>1</x:v>
      </x:c>
      <x:c r="AO23" s="33" t="n">
        <x:f>'Assumptions'!$E$15</x:f>
        <x:v>1</x:v>
      </x:c>
      <x:c r="AP23" s="33" t="n">
        <x:f>'Assumptions'!$E$15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178152279.96933886</x:v>
      </x:c>
      <x:c r="F24" s="42"/>
      <x:c r="G24" s="43" t="n">
        <x:f>(G13-G15)*G23/12</x:f>
        <x:v>16730222.578791663</x:v>
      </x:c>
      <x:c r="H24" s="43" t="n">
        <x:f>(H13-H15)*H23/12</x:f>
        <x:v>13458020.41780381</x:v>
      </x:c>
      <x:c r="I24" s="43" t="n">
        <x:f>(I13-I15)*I23/12</x:f>
        <x:v>11412861.26519679</x:v>
      </x:c>
      <x:c r="J24" s="43" t="n">
        <x:f>(J13-J15)*J23/12</x:f>
        <x:v>9944553.62272427</x:v>
      </x:c>
      <x:c r="K24" s="43" t="n">
        <x:f>(K13-K15)*K23/12</x:f>
        <x:v>8842181.932511153</x:v>
      </x:c>
      <x:c r="L24" s="43" t="n">
        <x:f>(L13-L15)*L23/12</x:f>
        <x:v>8000845.4451225465</x:v>
      </x:c>
      <x:c r="M24" s="43" t="n">
        <x:f>(M13-M15)*M23/12</x:f>
        <x:v>7357205.781582766</x:v>
      </x:c>
      <x:c r="N24" s="43" t="n">
        <x:f>(N13-N15)*N23/12</x:f>
        <x:v>6868693.617281237</x:v>
      </x:c>
      <x:c r="O24" s="43" t="n">
        <x:f>(O13-O15)*O23/12</x:f>
        <x:v>6504563.8112362</x:v>
      </x:c>
      <x:c r="P24" s="43" t="n">
        <x:f>(P13-P15)*P23/12</x:f>
        <x:v>6241460.146548812</x:v>
      </x:c>
      <x:c r="Q24" s="43" t="n">
        <x:f>(Q13-Q15)*Q23/12</x:f>
        <x:v>6061294.149554034</x:v>
      </x:c>
      <x:c r="R24" s="43" t="n">
        <x:f>(R13-R15)*R23/12</x:f>
        <x:v>5950287.81596942</x:v>
      </x:c>
      <x:c r="S24" s="43" t="n">
        <x:f>(S13-S15)*S23/12</x:f>
        <x:v>5898340.782084686</x:v>
      </x:c>
      <x:c r="T24" s="43" t="n">
        <x:f>(T13-T15)*T23/12</x:f>
        <x:v>5898340.782084686</x:v>
      </x:c>
      <x:c r="U24" s="43" t="n">
        <x:f>(U13-U15)*U23/12</x:f>
        <x:v>5898340.782084686</x:v>
      </x:c>
      <x:c r="V24" s="43" t="n">
        <x:f>(V13-V15)*V23/12</x:f>
        <x:v>5898340.782084686</x:v>
      </x:c>
      <x:c r="W24" s="43" t="n">
        <x:f>(W13-W15)*W23/12</x:f>
        <x:v>5898340.782084686</x:v>
      </x:c>
      <x:c r="X24" s="43" t="n">
        <x:f>(X13-X15)*X23/12</x:f>
        <x:v>5898340.782084686</x:v>
      </x:c>
      <x:c r="Y24" s="43" t="n">
        <x:f>(Y13-Y15)*Y23/12</x:f>
        <x:v>5898340.782084686</x:v>
      </x:c>
      <x:c r="Z24" s="43" t="n">
        <x:f>(Z13-Z15)*Z23/12</x:f>
        <x:v>5898340.782084686</x:v>
      </x:c>
      <x:c r="AA24" s="43" t="n">
        <x:f>(AA13-AA15)*AA23/12</x:f>
        <x:v>5898340.782084686</x:v>
      </x:c>
      <x:c r="AB24" s="43" t="n">
        <x:f>(AB13-AB15)*AB23/12</x:f>
        <x:v>5898340.782084686</x:v>
      </x:c>
      <x:c r="AC24" s="43" t="n">
        <x:f>(AC13-AC15)*AC23/12</x:f>
        <x:v>5898340.782084686</x:v>
      </x:c>
      <x:c r="AD24" s="43" t="n">
        <x:f>(AD13-AD15)*AD23/12</x:f>
        <x:v>5898340.782084686</x:v>
      </x:c>
      <x:c r="AE24" s="43" t="n">
        <x:f>(AE13-AE15)*AE23/12</x:f>
        <x:v>5898340.782084686</x:v>
      </x:c>
      <x:c r="AF24" s="43" t="n">
        <x:f>(AF13-AF15)*AF23/12</x:f>
        <x:v>5898340.782084686</x:v>
      </x:c>
      <x:c r="AG24" s="43" t="n">
        <x:f>(AG13-AG15)*AG23/12</x:f>
        <x:v>5898340.782084686</x:v>
      </x:c>
      <x:c r="AH24" s="43" t="n">
        <x:f>(AH13-AH15)*AH23/12</x:f>
        <x:v>5898340.782084686</x:v>
      </x:c>
      <x:c r="AI24" s="43" t="n">
        <x:f>(AI13-AI15)*AI23/12</x:f>
        <x:v>5898340.782084686</x:v>
      </x:c>
      <x:c r="AJ24" s="43" t="n">
        <x:f>(AJ13-AJ15)*AJ23/12</x:f>
        <x:v>5898340.782084686</x:v>
      </x:c>
      <x:c r="AK24" s="43" t="n">
        <x:f>(AK13-AK15)*AK23/12</x:f>
        <x:v>5898340.782084686</x:v>
      </x:c>
      <x:c r="AL24" s="43" t="n">
        <x:f>(AL13-AL15)*AL23/12</x:f>
        <x:v>5898340.782084686</x:v>
      </x:c>
      <x:c r="AM24" s="43" t="n">
        <x:f>(AM13-AM15)*AM23/12</x:f>
        <x:v>5898340.782084686</x:v>
      </x:c>
      <x:c r="AN24" s="43" t="n">
        <x:f>(AN13-AN15)*AN23/12</x:f>
        <x:v>5898340.782084686</x:v>
      </x:c>
      <x:c r="AO24" s="43" t="n">
        <x:f>(AO13-AO15)*AO23/12</x:f>
        <x:v>5898340.782084686</x:v>
      </x:c>
      <x:c r="AP24" s="43" t="n">
        <x:f>(AP13-AP15)*AP23/12</x:f>
        <x:v>5898340.782084686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137468032.156064</x:v>
      </x:c>
      <x:c r="F25" s="46"/>
      <x:c r="G25" s="47" t="n">
        <x:f>G24-G19</x:f>
        <x:v>15035045.586571874</x:v>
      </x:c>
      <x:c r="H25" s="47" t="n">
        <x:f>H24-H19</x:f>
        <x:v>11762843.425584022</x:v>
      </x:c>
      <x:c r="I25" s="47" t="n">
        <x:f>I24-I19</x:f>
        <x:v>9717684.272977002</x:v>
      </x:c>
      <x:c r="J25" s="47" t="n">
        <x:f>J24-J19</x:f>
        <x:v>8249376.630504482</x:v>
      </x:c>
      <x:c r="K25" s="47" t="n">
        <x:f>K24-K19</x:f>
        <x:v>7147004.940291365</x:v>
      </x:c>
      <x:c r="L25" s="47" t="n">
        <x:f>L24-L19</x:f>
        <x:v>6305668.4529027585</x:v>
      </x:c>
      <x:c r="M25" s="47" t="n">
        <x:f>M24-M19</x:f>
        <x:v>5662028.789362978</x:v>
      </x:c>
      <x:c r="N25" s="47" t="n">
        <x:f>N24-N19</x:f>
        <x:v>5173516.625061449</x:v>
      </x:c>
      <x:c r="O25" s="47" t="n">
        <x:f>O24-O19</x:f>
        <x:v>4809386.819016412</x:v>
      </x:c>
      <x:c r="P25" s="47" t="n">
        <x:f>P24-P19</x:f>
        <x:v>4546283.154329024</x:v>
      </x:c>
      <x:c r="Q25" s="47" t="n">
        <x:f>Q24-Q19</x:f>
        <x:v>4366117.157334246</x:v>
      </x:c>
      <x:c r="R25" s="47" t="n">
        <x:f>R24-R19</x:f>
        <x:v>4255110.823749632</x:v>
      </x:c>
      <x:c r="S25" s="47" t="n">
        <x:f>S24-S19</x:f>
        <x:v>4203163.789864898</x:v>
      </x:c>
      <x:c r="T25" s="47" t="n">
        <x:f>T24-T19</x:f>
        <x:v>4203163.789864898</x:v>
      </x:c>
      <x:c r="U25" s="47" t="n">
        <x:f>U24-U19</x:f>
        <x:v>4203163.789864898</x:v>
      </x:c>
      <x:c r="V25" s="47" t="n">
        <x:f>V24-V19</x:f>
        <x:v>4203163.789864898</x:v>
      </x:c>
      <x:c r="W25" s="47" t="n">
        <x:f>W24-W19</x:f>
        <x:v>4203163.789864898</x:v>
      </x:c>
      <x:c r="X25" s="47" t="n">
        <x:f>X24-X19</x:f>
        <x:v>4203163.789864898</x:v>
      </x:c>
      <x:c r="Y25" s="47" t="n">
        <x:f>Y24-Y19</x:f>
        <x:v>4203163.789864898</x:v>
      </x:c>
      <x:c r="Z25" s="47" t="n">
        <x:f>Z24-Z19</x:f>
        <x:v>4203163.789864898</x:v>
      </x:c>
      <x:c r="AA25" s="47" t="n">
        <x:f>AA24-AA19</x:f>
        <x:v>4203163.789864898</x:v>
      </x:c>
      <x:c r="AB25" s="47" t="n">
        <x:f>AB24-AB19</x:f>
        <x:v>4203163.789864898</x:v>
      </x:c>
      <x:c r="AC25" s="47" t="n">
        <x:f>AC24-AC19</x:f>
        <x:v>4203163.789864898</x:v>
      </x:c>
      <x:c r="AD25" s="47" t="n">
        <x:f>AD24-AD19</x:f>
        <x:v>4203163.789864898</x:v>
      </x:c>
      <x:c r="AE25" s="47" t="n">
        <x:f>AE24-AE19</x:f>
        <x:v>4203163.789864898</x:v>
      </x:c>
      <x:c r="AF25" s="47" t="n">
        <x:f>AF24-AF19</x:f>
        <x:v>4203163.789864898</x:v>
      </x:c>
      <x:c r="AG25" s="47" t="n">
        <x:f>AG24-AG19</x:f>
        <x:v>4203163.789864898</x:v>
      </x:c>
      <x:c r="AH25" s="47" t="n">
        <x:f>AH24-AH19</x:f>
        <x:v>4203163.789864898</x:v>
      </x:c>
      <x:c r="AI25" s="47" t="n">
        <x:f>AI24-AI19</x:f>
        <x:v>4203163.789864898</x:v>
      </x:c>
      <x:c r="AJ25" s="47" t="n">
        <x:f>AJ24-AJ19</x:f>
        <x:v>4203163.789864898</x:v>
      </x:c>
      <x:c r="AK25" s="47" t="n">
        <x:f>AK24-AK19</x:f>
        <x:v>4203163.789864898</x:v>
      </x:c>
      <x:c r="AL25" s="47" t="n">
        <x:f>AL24-AL19</x:f>
        <x:v>4203163.789864898</x:v>
      </x:c>
      <x:c r="AM25" s="47" t="n">
        <x:f>AM24-AM19</x:f>
        <x:v>4203163.789864898</x:v>
      </x:c>
      <x:c r="AN25" s="47" t="n">
        <x:f>AN24-AN19</x:f>
        <x:v>4203163.789864898</x:v>
      </x:c>
      <x:c r="AO25" s="47" t="n">
        <x:f>AO24-AO19</x:f>
        <x:v>4203163.789864898</x:v>
      </x:c>
      <x:c r="AP25" s="47" t="n">
        <x:f>AP24-AP19</x:f>
        <x:v>4203163.789864898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12871983.807959296</x:v>
      </x:c>
      <x:c r="F27" s="2"/>
      <x:c r="G27" s="35" t="n">
        <x:f>SUMPRODUCT($E$160:$E$219,$E$52:$E$111)</x:f>
        <x:v>3717329.0545000546</x:v>
      </x:c>
      <x:c r="H27" s="35" t="n">
        <x:f>SUMPRODUCT($E$160:$E$219,$E$53:$E$112)</x:f>
        <x:v>2971452.5426792107</x:v>
      </x:c>
      <x:c r="I27" s="35" t="n">
        <x:f>SUMPRODUCT($E$160:$E$219,$E$54:$E$113)</x:f>
        <x:v>2263321.819153879</x:v>
      </x:c>
      <x:c r="J27" s="35" t="n">
        <x:f>SUMPRODUCT($E$160:$E$219,$E$55:$E$114)</x:f>
        <x:v>1605782.212218943</x:v>
      </x:c>
      <x:c r="K27" s="35" t="n">
        <x:f>SUMPRODUCT($E$160:$E$219,$E$56:$E$115)</x:f>
        <x:v>1046883.6695474898</x:v>
      </x:c>
      <x:c r="L27" s="35" t="n">
        <x:f>SUMPRODUCT($E$160:$E$219,$E$57:$E$116)</x:f>
        <x:v>624976.8162615007</x:v>
      </x:c>
      <x:c r="M27" s="35" t="n">
        <x:f>SUMPRODUCT($E$160:$E$219,$E$58:$E$117)</x:f>
        <x:v>342687.05941895855</x:v>
      </x:c>
      <x:c r="N27" s="35" t="n">
        <x:f>SUMPRODUCT($E$160:$E$219,$E$59:$E$118)</x:f>
        <x:v>172981.2621981368</x:v>
      </x:c>
      <x:c r="O27" s="35" t="n">
        <x:f>SUMPRODUCT($E$160:$E$219,$E$60:$E$119)</x:f>
        <x:v>79862.94710759867</x:v>
      </x:c>
      <x:c r="P27" s="35" t="n">
        <x:f>SUMPRODUCT($E$160:$E$219,$E$61:$E$120)</x:f>
        <x:v>32871.43077081503</x:v>
      </x:c>
      <x:c r="Q27" s="35" t="n">
        <x:f>SUMPRODUCT($E$160:$E$219,$E$62:$E$121)</x:f>
        <x:v>11255.804342905962</x:v>
      </x:c>
      <x:c r="R27" s="35" t="n">
        <x:f>SUMPRODUCT($E$160:$E$219,$E$63:$E$122)</x:f>
        <x:v>2579.189759806554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34136692.89203038</x:v>
      </x:c>
      <x:c r="F28" s="2"/>
      <x:c r="G28" s="35" t="n">
        <x:f>SUMPRODUCT($G$11:G11,$CY$150:$CY$150)</x:f>
        <x:v>0</x:v>
      </x:c>
      <x:c r="H28" s="35" t="n">
        <x:f>SUMPRODUCT($G$11:H11,$CX$150:$CY$150)</x:f>
        <x:v>228209.4209164522</x:v>
      </x:c>
      <x:c r="I28" s="35" t="n">
        <x:f>SUMPRODUCT($G$11:I11,$CW$150:$CY$150)</x:f>
        <x:v>511762.9486246193</x:v>
      </x:c>
      <x:c r="J28" s="35" t="n">
        <x:f>SUMPRODUCT($G$11:J11,$CV$150:$CY$150)</x:f>
        <x:v>819966.1472217668</x:v>
      </x:c>
      <x:c r="K28" s="35" t="n">
        <x:f>SUMPRODUCT($G$11:K11,$CU$150:$CY$150)</x:f>
        <x:v>1107228.6400606607</x:v>
      </x:c>
      <x:c r="L28" s="35" t="n">
        <x:f>SUMPRODUCT($G$11:L11,$CT$150:$CY$150)</x:f>
        <x:v>1336279.288802282</x:v>
      </x:c>
      <x:c r="M28" s="35" t="n">
        <x:f>SUMPRODUCT($G$11:M11,$CS$150:$CY$150)</x:f>
        <x:v>1494861.1344941435</x:v>
      </x:c>
      <x:c r="N28" s="35" t="n">
        <x:f>SUMPRODUCT($G$11:N11,$CR$150:$CY$150)</x:f>
        <x:v>1592467.1176106716</x:v>
      </x:c>
      <x:c r="O28" s="35" t="n">
        <x:f>SUMPRODUCT($G$11:O11,$CQ$150:$CY$150)</x:f>
        <x:v>1647033.5276179179</x:v>
      </x:c>
      <x:c r="P28" s="35" t="n">
        <x:f>SUMPRODUCT($G$11:P11,$CP$150:$CY$150)</x:f>
        <x:v>1675049.1706794999</x:v>
      </x:c>
      <x:c r="Q28" s="35" t="n">
        <x:f>SUMPRODUCT($G$11:Q11,$CO$150:$CY$150)</x:f>
        <x:v>1688169.2948802137</x:v>
      </x:c>
      <x:c r="R28" s="35" t="n">
        <x:f>SUMPRODUCT($G$11:R11,$CN$150:$CY$150)</x:f>
        <x:v>1693542.2944847</x:v>
      </x:c>
      <x:c r="S28" s="35" t="n">
        <x:f>SUMPRODUCT($G$11:S11,$CM$150:$CY$150)</x:f>
        <x:v>1695176.9922197885</x:v>
      </x:c>
      <x:c r="T28" s="35" t="n">
        <x:f>SUMPRODUCT($G$11:T11,$CL$150:$CY$150)</x:f>
        <x:v>1695176.9922197885</x:v>
      </x:c>
      <x:c r="U28" s="35" t="n">
        <x:f>SUMPRODUCT($G$11:U11,$CK$150:$CY$150)</x:f>
        <x:v>1695176.9922197885</x:v>
      </x:c>
      <x:c r="V28" s="35" t="n">
        <x:f>SUMPRODUCT($G$11:V11,$CJ$150:$CY$150)</x:f>
        <x:v>1695176.9922197885</x:v>
      </x:c>
      <x:c r="W28" s="35" t="n">
        <x:f>SUMPRODUCT($G$11:W11,$CI$150:$CY$150)</x:f>
        <x:v>1695176.9922197885</x:v>
      </x:c>
      <x:c r="X28" s="35" t="n">
        <x:f>SUMPRODUCT($G$11:X11,$CH$150:$CY$150)</x:f>
        <x:v>1695176.9922197885</x:v>
      </x:c>
      <x:c r="Y28" s="35" t="n">
        <x:f>SUMPRODUCT($G$11:Y11,$CG$150:$CY$150)</x:f>
        <x:v>1695176.9922197885</x:v>
      </x:c>
      <x:c r="Z28" s="35" t="n">
        <x:f>SUMPRODUCT($G$11:Z11,$CF$150:$CY$150)</x:f>
        <x:v>1695176.9922197885</x:v>
      </x:c>
      <x:c r="AA28" s="35" t="n">
        <x:f>SUMPRODUCT($G$11:AA11,$CE$150:$CY$150)</x:f>
        <x:v>1695176.9922197885</x:v>
      </x:c>
      <x:c r="AB28" s="35" t="n">
        <x:f>SUMPRODUCT($G$11:AB11,$CD$150:$CY$150)</x:f>
        <x:v>1695176.9922197885</x:v>
      </x:c>
      <x:c r="AC28" s="35" t="n">
        <x:f>SUMPRODUCT($G$11:AC11,$CC$150:$CY$150)</x:f>
        <x:v>1695176.9922197885</x:v>
      </x:c>
      <x:c r="AD28" s="35" t="n">
        <x:f>SUMPRODUCT($G$11:AD11,$CB$150:$CY$150)</x:f>
        <x:v>1695176.9922197885</x:v>
      </x:c>
      <x:c r="AE28" s="35" t="n">
        <x:f>SUMPRODUCT($G$11:AE11,$CA$150:$CY$150)</x:f>
        <x:v>1695176.9922197885</x:v>
      </x:c>
      <x:c r="AF28" s="35" t="n">
        <x:f>SUMPRODUCT($G$11:AF11,$BZ$150:$CY$150)</x:f>
        <x:v>1695176.9922197885</x:v>
      </x:c>
      <x:c r="AG28" s="35" t="n">
        <x:f>SUMPRODUCT($G$11:AG11,$BY$150:$CY$150)</x:f>
        <x:v>1695176.9922197885</x:v>
      </x:c>
      <x:c r="AH28" s="35" t="n">
        <x:f>SUMPRODUCT($G$11:AH11,$BX$150:$CY$150)</x:f>
        <x:v>1695176.9922197885</x:v>
      </x:c>
      <x:c r="AI28" s="35" t="n">
        <x:f>SUMPRODUCT($G$11:AI11,$BW$150:$CY$150)</x:f>
        <x:v>1695176.9922197885</x:v>
      </x:c>
      <x:c r="AJ28" s="35" t="n">
        <x:f>SUMPRODUCT($G$11:AJ11,$BV$150:$CY$150)</x:f>
        <x:v>1695176.9922197885</x:v>
      </x:c>
      <x:c r="AK28" s="35" t="n">
        <x:f>SUMPRODUCT($G$11:AK11,$BU$150:$CY$150)</x:f>
        <x:v>1695176.9922197885</x:v>
      </x:c>
      <x:c r="AL28" s="35" t="n">
        <x:f>SUMPRODUCT($G$11:AL11,$BT$150:$CY$150)</x:f>
        <x:v>1695176.9922197885</x:v>
      </x:c>
      <x:c r="AM28" s="35" t="n">
        <x:f>SUMPRODUCT($G$11:AM11,$BS$150:$CY$150)</x:f>
        <x:v>1695176.9922197885</x:v>
      </x:c>
      <x:c r="AN28" s="35" t="n">
        <x:f>SUMPRODUCT($G$11:AN11,$BR$150:$CY$150)</x:f>
        <x:v>1695176.9922197885</x:v>
      </x:c>
      <x:c r="AO28" s="35" t="n">
        <x:f>SUMPRODUCT($G$11:AO11,$BQ$150:$CY$150)</x:f>
        <x:v>1695176.9922197885</x:v>
      </x:c>
      <x:c r="AP28" s="35" t="n">
        <x:f>SUMPRODUCT($G$11:AP11,$BP$150:$CY$150)</x:f>
        <x:v>1695176.9922197885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191608016.19204068</x:v>
      </x:c>
      <x:c r="F29" s="2"/>
      <x:c r="G29" s="35" t="n">
        <x:f>SUMPRODUCT($E$160:$E$219,$F$52:$F$111)</x:f>
        <x:v>46866763.968258575</x:v>
      </x:c>
      <x:c r="H29" s="35" t="n">
        <x:f>SUMPRODUCT($E$160:$E$219,$F$53:$F$112)</x:f>
        <x:v>32020660.60349928</x:v>
      </x:c>
      <x:c r="I29" s="35" t="n">
        <x:f>SUMPRODUCT($E$160:$E$219,$F$54:$F$113)</x:f>
        <x:v>24872835.084642842</x:v>
      </x:c>
      <x:c r="J29" s="35" t="n">
        <x:f>SUMPRODUCT($E$160:$E$219,$F$55:$F$114)</x:f>
        <x:v>20151324.623742286</x:v>
      </x:c>
      <x:c r="K29" s="35" t="n">
        <x:f>SUMPRODUCT($E$160:$E$219,$F$56:$F$115)</x:f>
        <x:v>16582369.485041993</x:v>
      </x:c>
      <x:c r="L29" s="35" t="n">
        <x:f>SUMPRODUCT($E$160:$E$219,$F$57:$F$116)</x:f>
        <x:v>13673153.79088436</x:v>
      </x:c>
      <x:c r="M29" s="35" t="n">
        <x:f>SUMPRODUCT($E$160:$E$219,$F$58:$F$117)</x:f>
        <x:v>11185707.237743888</x:v>
      </x:c>
      <x:c r="N29" s="35" t="n">
        <x:f>SUMPRODUCT($E$160:$E$219,$F$59:$F$118)</x:f>
        <x:v>8988680.244204054</x:v>
      </x:c>
      <x:c r="O29" s="35" t="n">
        <x:f>SUMPRODUCT($E$160:$E$219,$F$60:$F$119)</x:f>
        <x:v>6999675.525463609</x:v>
      </x:c>
      <x:c r="P29" s="35" t="n">
        <x:f>SUMPRODUCT($E$160:$E$219,$F$61:$F$120)</x:f>
        <x:v>5157133.25826569</x:v>
      </x:c>
      <x:c r="Q29" s="35" t="n">
        <x:f>SUMPRODUCT($E$160:$E$219,$F$62:$F$121)</x:f>
        <x:v>3407448.0291482164</x:v>
      </x:c>
      <x:c r="R29" s="35" t="n">
        <x:f>SUMPRODUCT($E$160:$E$219,$F$63:$F$122)</x:f>
        <x:v>1702264.3411458998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152588040.73073366</x:v>
      </x:c>
      <x:c r="F30" s="2"/>
      <x:c r="G30" s="35" t="n">
        <x:f>SUMPRODUCT($G$11:G11,$CY$151:$CY$151)</x:f>
        <x:v>0</x:v>
      </x:c>
      <x:c r="H30" s="35" t="n">
        <x:f>SUMPRODUCT($G$11:H11,$CX$151:$CY$151)</x:f>
        <x:v>546164.4600064831</x:v>
      </x:c>
      <x:c r="I30" s="35" t="n">
        <x:f>SUMPRODUCT($G$11:I11,$CW$151:$CY$151)</x:f>
        <x:v>1121108.2655866782</x:v>
      </x:c>
      <x:c r="J30" s="35" t="n">
        <x:f>SUMPRODUCT($G$11:J11,$CV$151:$CY$151)</x:f>
        <x:v>1723023.3492069696</x:v>
      </x:c>
      <x:c r="K30" s="35" t="n">
        <x:f>SUMPRODUCT($G$11:K11,$CU$151:$CY$151)</x:f>
        <x:v>2352412.2585575096</x:v>
      </x:c>
      <x:c r="L30" s="35" t="n">
        <x:f>SUMPRODUCT($G$11:L11,$CT$151:$CY$151)</x:f>
        <x:v>3012973.977679888</x:v>
      </x:c>
      <x:c r="M30" s="35" t="n">
        <x:f>SUMPRODUCT($G$11:M11,$CS$151:$CY$151)</x:f>
        <x:v>3710990.354065655</x:v>
      </x:c>
      <x:c r="N30" s="35" t="n">
        <x:f>SUMPRODUCT($G$11:N11,$CR$151:$CY$151)</x:f>
        <x:v>4453980.953610878</x:v>
      </x:c>
      <x:c r="O30" s="35" t="n">
        <x:f>SUMPRODUCT($G$11:O11,$CQ$151:$CY$151)</x:f>
        <x:v>5249647.849334739</x:v>
      </x:c>
      <x:c r="P30" s="35" t="n">
        <x:f>SUMPRODUCT($G$11:P11,$CP$151:$CY$151)</x:f>
        <x:v>6105433.606448528</x:v>
      </x:c>
      <x:c r="Q30" s="35" t="n">
        <x:f>SUMPRODUCT($G$11:Q11,$CO$151:$CY$151)</x:f>
        <x:v>7028506.489622645</x:v>
      </x:c>
      <x:c r="R30" s="35" t="n">
        <x:f>SUMPRODUCT($G$11:R11,$CN$151:$CY$151)</x:f>
        <x:v>8025923.07325112</x:v>
      </x:c>
      <x:c r="S30" s="35" t="n">
        <x:f>SUMPRODUCT($G$11:S11,$CM$151:$CY$151)</x:f>
        <x:v>9104823.007780211</x:v>
      </x:c>
      <x:c r="T30" s="35" t="n">
        <x:f>SUMPRODUCT($G$11:T11,$CL$151:$CY$151)</x:f>
        <x:v>9104823.007780211</x:v>
      </x:c>
      <x:c r="U30" s="35" t="n">
        <x:f>SUMPRODUCT($G$11:U11,$CK$151:$CY$151)</x:f>
        <x:v>9104823.007780211</x:v>
      </x:c>
      <x:c r="V30" s="35" t="n">
        <x:f>SUMPRODUCT($G$11:V11,$CJ$151:$CY$151)</x:f>
        <x:v>9104823.007780211</x:v>
      </x:c>
      <x:c r="W30" s="35" t="n">
        <x:f>SUMPRODUCT($G$11:W11,$CI$151:$CY$151)</x:f>
        <x:v>9104823.007780211</x:v>
      </x:c>
      <x:c r="X30" s="35" t="n">
        <x:f>SUMPRODUCT($G$11:X11,$CH$151:$CY$151)</x:f>
        <x:v>9104823.007780211</x:v>
      </x:c>
      <x:c r="Y30" s="35" t="n">
        <x:f>SUMPRODUCT($G$11:Y11,$CG$151:$CY$151)</x:f>
        <x:v>9104823.007780211</x:v>
      </x:c>
      <x:c r="Z30" s="35" t="n">
        <x:f>SUMPRODUCT($G$11:Z11,$CF$151:$CY$151)</x:f>
        <x:v>9104823.007780211</x:v>
      </x:c>
      <x:c r="AA30" s="35" t="n">
        <x:f>SUMPRODUCT($G$11:AA11,$CE$151:$CY$151)</x:f>
        <x:v>9104823.007780211</x:v>
      </x:c>
      <x:c r="AB30" s="35" t="n">
        <x:f>SUMPRODUCT($G$11:AB11,$CD$151:$CY$151)</x:f>
        <x:v>9104823.007780211</x:v>
      </x:c>
      <x:c r="AC30" s="35" t="n">
        <x:f>SUMPRODUCT($G$11:AC11,$CC$151:$CY$151)</x:f>
        <x:v>9104823.007780211</x:v>
      </x:c>
      <x:c r="AD30" s="35" t="n">
        <x:f>SUMPRODUCT($G$11:AD11,$CB$151:$CY$151)</x:f>
        <x:v>9104823.007780211</x:v>
      </x:c>
      <x:c r="AE30" s="35" t="n">
        <x:f>SUMPRODUCT($G$11:AE11,$CA$151:$CY$151)</x:f>
        <x:v>9104823.007780211</x:v>
      </x:c>
      <x:c r="AF30" s="35" t="n">
        <x:f>SUMPRODUCT($G$11:AF11,$BZ$151:$CY$151)</x:f>
        <x:v>9104823.007780211</x:v>
      </x:c>
      <x:c r="AG30" s="35" t="n">
        <x:f>SUMPRODUCT($G$11:AG11,$BY$151:$CY$151)</x:f>
        <x:v>9104823.007780211</x:v>
      </x:c>
      <x:c r="AH30" s="35" t="n">
        <x:f>SUMPRODUCT($G$11:AH11,$BX$151:$CY$151)</x:f>
        <x:v>9104823.007780211</x:v>
      </x:c>
      <x:c r="AI30" s="35" t="n">
        <x:f>SUMPRODUCT($G$11:AI11,$BW$151:$CY$151)</x:f>
        <x:v>9104823.007780211</x:v>
      </x:c>
      <x:c r="AJ30" s="35" t="n">
        <x:f>SUMPRODUCT($G$11:AJ11,$BV$151:$CY$151)</x:f>
        <x:v>9104823.007780211</x:v>
      </x:c>
      <x:c r="AK30" s="35" t="n">
        <x:f>SUMPRODUCT($G$11:AK11,$BU$151:$CY$151)</x:f>
        <x:v>9104823.007780211</x:v>
      </x:c>
      <x:c r="AL30" s="35" t="n">
        <x:f>SUMPRODUCT($G$11:AL11,$BT$151:$CY$151)</x:f>
        <x:v>9104823.007780211</x:v>
      </x:c>
      <x:c r="AM30" s="35" t="n">
        <x:f>SUMPRODUCT($G$11:AM11,$BS$151:$CY$151)</x:f>
        <x:v>9104823.007780211</x:v>
      </x:c>
      <x:c r="AN30" s="35" t="n">
        <x:f>SUMPRODUCT($G$11:AN11,$BR$151:$CY$151)</x:f>
        <x:v>9104823.007780211</x:v>
      </x:c>
      <x:c r="AO30" s="35" t="n">
        <x:f>SUMPRODUCT($G$11:AO11,$BQ$151:$CY$151)</x:f>
        <x:v>9104823.007780211</x:v>
      </x:c>
      <x:c r="AP30" s="35" t="n">
        <x:f>SUMPRODUCT($G$11:AP11,$BP$151:$CY$151)</x:f>
        <x:v>9104823.007780211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64811674.39936239</x:v>
      </x:c>
      <x:c r="F32" s="2"/>
      <x:c r="G32" s="35" t="n">
        <x:f>($E$44-G27)*G23/12</x:f>
        <x:v>16730222.578791663</x:v>
      </x:c>
      <x:c r="H32" s="35" t="n">
        <x:f>(G34-H27)*H23/12</x:f>
        <x:v>12577037.869546847</x:v>
      </x:c>
      <x:c r="I32" s="35" t="n">
        <x:f>(H34-I27)*I23/12</x:f>
        <x:v>9720039.334325751</x:v>
      </x:c>
      <x:c r="J32" s="35" t="n">
        <x:f>(I34-J27)*J23/12</x:f>
        <x:v>7513487.892920603</x:v>
      </x:c>
      <x:c r="K32" s="35" t="n">
        <x:f>(J34-K27)*K23/12</x:f>
        <x:v>5746970.535146456</x:v>
      </x:c>
      <x:c r="L32" s="35" t="n">
        <x:f>(K34-L27)*L23/12</x:f>
        <x:v>4313025.010037832</x:v>
      </x:c>
      <x:c r="M32" s="35" t="n">
        <x:f>(L34-M27)*M23/12</x:f>
        <x:v>3145038.272512555</x:v>
      </x:c>
      <x:c r="N32" s="35" t="n">
        <x:f>(M34-N27)*N23/12</x:f>
        <x:v>2198480.8975173864</x:v>
      </x:c>
      <x:c r="O32" s="35" t="n">
        <x:f>(N34-O27)*O23/12</x:f>
        <x:v>1442768.964908082</x:v>
      </x:c>
      <x:c r="P32" s="35" t="n">
        <x:f>(O34-P27)*P23/12</x:f>
        <x:v>856723.38522188</x:v>
      </x:c>
      <x:c r="Q32" s="35" t="n">
        <x:f>(P34-Q27)*Q23/12</x:f>
        <x:v>426024.29667116376</x:v>
      </x:c>
      <x:c r="R32" s="35" t="n">
        <x:f>(Q34-R27)*R23/12</x:f>
        <x:v>141855.36176216186</x:v>
      </x:c>
      <x:c r="S32" s="35" t="n">
        <x:f>(R34-S27)*S23/12</x:f>
        <x:v>3.5312647620836892e-9</x:v>
      </x:c>
      <x:c r="T32" s="35" t="n">
        <x:f>(S34-T27)*T23/12</x:f>
        <x:v>3.5312647620836892e-9</x:v>
      </x:c>
      <x:c r="U32" s="35" t="n">
        <x:f>(T34-U27)*U23/12</x:f>
        <x:v>3.5312647620836892e-9</x:v>
      </x:c>
      <x:c r="V32" s="35" t="n">
        <x:f>(U34-V27)*V23/12</x:f>
        <x:v>3.5312647620836892e-9</x:v>
      </x:c>
      <x:c r="W32" s="35" t="n">
        <x:f>(V34-W27)*W23/12</x:f>
        <x:v>3.5312647620836892e-9</x:v>
      </x:c>
      <x:c r="X32" s="35" t="n">
        <x:f>(W34-X27)*X23/12</x:f>
        <x:v>3.5312647620836892e-9</x:v>
      </x:c>
      <x:c r="Y32" s="35" t="n">
        <x:f>(X34-Y27)*Y23/12</x:f>
        <x:v>3.5312647620836892e-9</x:v>
      </x:c>
      <x:c r="Z32" s="35" t="n">
        <x:f>(Y34-Z27)*Z23/12</x:f>
        <x:v>3.5312647620836892e-9</x:v>
      </x:c>
      <x:c r="AA32" s="35" t="n">
        <x:f>(Z34-AA27)*AA23/12</x:f>
        <x:v>3.5312647620836892e-9</x:v>
      </x:c>
      <x:c r="AB32" s="35" t="n">
        <x:f>(AA34-AB27)*AB23/12</x:f>
        <x:v>3.5312647620836892e-9</x:v>
      </x:c>
      <x:c r="AC32" s="35" t="n">
        <x:f>(AB34-AC27)*AC23/12</x:f>
        <x:v>3.5312647620836892e-9</x:v>
      </x:c>
      <x:c r="AD32" s="35" t="n">
        <x:f>(AC34-AD27)*AD23/12</x:f>
        <x:v>3.5312647620836892e-9</x:v>
      </x:c>
      <x:c r="AE32" s="35" t="n">
        <x:f>(AD34-AE27)*AE23/12</x:f>
        <x:v>3.5312647620836892e-9</x:v>
      </x:c>
      <x:c r="AF32" s="35" t="n">
        <x:f>(AE34-AF27)*AF23/12</x:f>
        <x:v>3.5312647620836892e-9</x:v>
      </x:c>
      <x:c r="AG32" s="35" t="n">
        <x:f>(AF34-AG27)*AG23/12</x:f>
        <x:v>3.5312647620836892e-9</x:v>
      </x:c>
      <x:c r="AH32" s="35" t="n">
        <x:f>(AG34-AH27)*AH23/12</x:f>
        <x:v>3.5312647620836892e-9</x:v>
      </x:c>
      <x:c r="AI32" s="35" t="n">
        <x:f>(AH34-AI27)*AI23/12</x:f>
        <x:v>3.5312647620836892e-9</x:v>
      </x:c>
      <x:c r="AJ32" s="35" t="n">
        <x:f>(AI34-AJ27)*AJ23/12</x:f>
        <x:v>3.5312647620836892e-9</x:v>
      </x:c>
      <x:c r="AK32" s="35" t="n">
        <x:f>(AJ34-AK27)*AK23/12</x:f>
        <x:v>3.5312647620836892e-9</x:v>
      </x:c>
      <x:c r="AL32" s="35" t="n">
        <x:f>(AK34-AL27)*AL23/12</x:f>
        <x:v>3.5312647620836892e-9</x:v>
      </x:c>
      <x:c r="AM32" s="35" t="n">
        <x:f>(AL34-AM27)*AM23/12</x:f>
        <x:v>3.5312647620836892e-9</x:v>
      </x:c>
      <x:c r="AN32" s="35" t="n">
        <x:f>(AM34-AN27)*AN23/12</x:f>
        <x:v>3.5312647620836892e-9</x:v>
      </x:c>
      <x:c r="AO32" s="35" t="n">
        <x:f>(AN34-AO27)*AO23/12</x:f>
        <x:v>3.5312647620836892e-9</x:v>
      </x:c>
      <x:c r="AP32" s="35" t="n">
        <x:f>(AO34-AP27)*AP23/12</x:f>
        <x:v>3.5312647620836892e-9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113340605.56997655</x:v>
      </x:c>
      <x:c r="F33" s="2"/>
      <x:c r="G33" s="35" t="n">
        <x:f>G24-G32</x:f>
        <x:v>0</x:v>
      </x:c>
      <x:c r="H33" s="35" t="n">
        <x:f>H24-H32</x:f>
        <x:v>880982.5482569635</x:v>
      </x:c>
      <x:c r="I33" s="35" t="n">
        <x:f>I24-I32</x:f>
        <x:v>1692821.9308710396</x:v>
      </x:c>
      <x:c r="J33" s="35" t="n">
        <x:f>J24-J32</x:f>
        <x:v>2431065.7298036674</x:v>
      </x:c>
      <x:c r="K33" s="35" t="n">
        <x:f>K24-K32</x:f>
        <x:v>3095211.3973646965</x:v>
      </x:c>
      <x:c r="L33" s="35" t="n">
        <x:f>L24-L32</x:f>
        <x:v>3687820.4350847146</x:v>
      </x:c>
      <x:c r="M33" s="35" t="n">
        <x:f>M24-M32</x:f>
        <x:v>4212167.509070211</x:v>
      </x:c>
      <x:c r="N33" s="35" t="n">
        <x:f>N24-N32</x:f>
        <x:v>4670212.719763851</x:v>
      </x:c>
      <x:c r="O33" s="35" t="n">
        <x:f>O24-O32</x:f>
        <x:v>5061794.846328118</x:v>
      </x:c>
      <x:c r="P33" s="35" t="n">
        <x:f>P24-P32</x:f>
        <x:v>5384736.761326932</x:v>
      </x:c>
      <x:c r="Q33" s="35" t="n">
        <x:f>Q24-Q32</x:f>
        <x:v>5635269.85288287</x:v>
      </x:c>
      <x:c r="R33" s="35" t="n">
        <x:f>R24-R32</x:f>
        <x:v>5808432.454207257</x:v>
      </x:c>
      <x:c r="S33" s="35" t="n">
        <x:f>S24-S32</x:f>
        <x:v>5898340.782084682</x:v>
      </x:c>
      <x:c r="T33" s="35" t="n">
        <x:f>T24-T32</x:f>
        <x:v>5898340.782084682</x:v>
      </x:c>
      <x:c r="U33" s="35" t="n">
        <x:f>U24-U32</x:f>
        <x:v>5898340.782084682</x:v>
      </x:c>
      <x:c r="V33" s="35" t="n">
        <x:f>V24-V32</x:f>
        <x:v>5898340.782084682</x:v>
      </x:c>
      <x:c r="W33" s="35" t="n">
        <x:f>W24-W32</x:f>
        <x:v>5898340.782084682</x:v>
      </x:c>
      <x:c r="X33" s="35" t="n">
        <x:f>X24-X32</x:f>
        <x:v>5898340.782084682</x:v>
      </x:c>
      <x:c r="Y33" s="35" t="n">
        <x:f>Y24-Y32</x:f>
        <x:v>5898340.782084682</x:v>
      </x:c>
      <x:c r="Z33" s="35" t="n">
        <x:f>Z24-Z32</x:f>
        <x:v>5898340.782084682</x:v>
      </x:c>
      <x:c r="AA33" s="35" t="n">
        <x:f>AA24-AA32</x:f>
        <x:v>5898340.782084682</x:v>
      </x:c>
      <x:c r="AB33" s="35" t="n">
        <x:f>AB24-AB32</x:f>
        <x:v>5898340.782084682</x:v>
      </x:c>
      <x:c r="AC33" s="35" t="n">
        <x:f>AC24-AC32</x:f>
        <x:v>5898340.782084682</x:v>
      </x:c>
      <x:c r="AD33" s="35" t="n">
        <x:f>AD24-AD32</x:f>
        <x:v>5898340.782084682</x:v>
      </x:c>
      <x:c r="AE33" s="35" t="n">
        <x:f>AE24-AE32</x:f>
        <x:v>5898340.782084682</x:v>
      </x:c>
      <x:c r="AF33" s="35" t="n">
        <x:f>AF24-AF32</x:f>
        <x:v>5898340.782084682</x:v>
      </x:c>
      <x:c r="AG33" s="35" t="n">
        <x:f>AG24-AG32</x:f>
        <x:v>5898340.782084682</x:v>
      </x:c>
      <x:c r="AH33" s="35" t="n">
        <x:f>AH24-AH32</x:f>
        <x:v>5898340.782084682</x:v>
      </x:c>
      <x:c r="AI33" s="35" t="n">
        <x:f>AI24-AI32</x:f>
        <x:v>5898340.782084682</x:v>
      </x:c>
      <x:c r="AJ33" s="35" t="n">
        <x:f>AJ24-AJ32</x:f>
        <x:v>5898340.782084682</x:v>
      </x:c>
      <x:c r="AK33" s="35" t="n">
        <x:f>AK24-AK32</x:f>
        <x:v>5898340.782084682</x:v>
      </x:c>
      <x:c r="AL33" s="35" t="n">
        <x:f>AL24-AL32</x:f>
        <x:v>5898340.782084682</x:v>
      </x:c>
      <x:c r="AM33" s="35" t="n">
        <x:f>AM24-AM32</x:f>
        <x:v>5898340.782084682</x:v>
      </x:c>
      <x:c r="AN33" s="35" t="n">
        <x:f>AN24-AN32</x:f>
        <x:v>5898340.782084682</x:v>
      </x:c>
      <x:c r="AO33" s="35" t="n">
        <x:f>AO24-AO32</x:f>
        <x:v>5898340.782084682</x:v>
      </x:c>
      <x:c r="AP33" s="35" t="n">
        <x:f>AP24-AP32</x:f>
        <x:v>5898340.782084682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4.237517714500427e-8</x:v>
      </x:c>
      <x:c r="F34" s="2"/>
      <x:c r="G34" s="35" t="n">
        <x:f>$E$44-G27-G29</x:f>
        <x:v>153895906.9772414</x:v>
      </x:c>
      <x:c r="H34" s="35" t="n">
        <x:f>G34-H27-H29</x:f>
        <x:v>118903793.8310629</x:v>
      </x:c>
      <x:c r="I34" s="35" t="n">
        <x:f>H34-I27-I29</x:f>
        <x:v>91767636.92726618</x:v>
      </x:c>
      <x:c r="J34" s="35" t="n">
        <x:f>I34-J27-J29</x:f>
        <x:v>70010530.09130496</x:v>
      </x:c>
      <x:c r="K34" s="35" t="n">
        <x:f>J34-K27-K29</x:f>
        <x:v>52381276.93671548</x:v>
      </x:c>
      <x:c r="L34" s="35" t="n">
        <x:f>K34-L27-L29</x:f>
        <x:v>38083146.32956962</x:v>
      </x:c>
      <x:c r="M34" s="35" t="n">
        <x:f>L34-M27-M29</x:f>
        <x:v>26554752.032406773</x:v>
      </x:c>
      <x:c r="N34" s="35" t="n">
        <x:f>M34-N27-N29</x:f>
        <x:v>17393090.526004583</x:v>
      </x:c>
      <x:c r="O34" s="35" t="n">
        <x:f>N34-O27-O29</x:f>
        <x:v>10313552.053433375</x:v>
      </x:c>
      <x:c r="P34" s="35" t="n">
        <x:f>O34-P27-P29</x:f>
        <x:v>5123547.364396871</x:v>
      </x:c>
      <x:c r="Q34" s="35" t="n">
        <x:f>P34-Q27-Q29</x:f>
        <x:v>1704843.5309057487</x:v>
      </x:c>
      <x:c r="R34" s="35" t="n">
        <x:f>Q34-R27-R29</x:f>
        <x:v>4.237517714500427e-8</x:v>
      </x:c>
      <x:c r="S34" s="35" t="n">
        <x:f>R34-S27-S29</x:f>
        <x:v>4.237517714500427e-8</x:v>
      </x:c>
      <x:c r="T34" s="35" t="n">
        <x:f>S34-T27-T29</x:f>
        <x:v>4.237517714500427e-8</x:v>
      </x:c>
      <x:c r="U34" s="35" t="n">
        <x:f>T34-U27-U29</x:f>
        <x:v>4.237517714500427e-8</x:v>
      </x:c>
      <x:c r="V34" s="35" t="n">
        <x:f>U34-V27-V29</x:f>
        <x:v>4.237517714500427e-8</x:v>
      </x:c>
      <x:c r="W34" s="35" t="n">
        <x:f>V34-W27-W29</x:f>
        <x:v>4.237517714500427e-8</x:v>
      </x:c>
      <x:c r="X34" s="35" t="n">
        <x:f>W34-X27-X29</x:f>
        <x:v>4.237517714500427e-8</x:v>
      </x:c>
      <x:c r="Y34" s="35" t="n">
        <x:f>X34-Y27-Y29</x:f>
        <x:v>4.237517714500427e-8</x:v>
      </x:c>
      <x:c r="Z34" s="35" t="n">
        <x:f>Y34-Z27-Z29</x:f>
        <x:v>4.237517714500427e-8</x:v>
      </x:c>
      <x:c r="AA34" s="35" t="n">
        <x:f>Z34-AA27-AA29</x:f>
        <x:v>4.237517714500427e-8</x:v>
      </x:c>
      <x:c r="AB34" s="35" t="n">
        <x:f>AA34-AB27-AB29</x:f>
        <x:v>4.237517714500427e-8</x:v>
      </x:c>
      <x:c r="AC34" s="35" t="n">
        <x:f>AB34-AC27-AC29</x:f>
        <x:v>4.237517714500427e-8</x:v>
      </x:c>
      <x:c r="AD34" s="35" t="n">
        <x:f>AC34-AD27-AD29</x:f>
        <x:v>4.237517714500427e-8</x:v>
      </x:c>
      <x:c r="AE34" s="35" t="n">
        <x:f>AD34-AE27-AE29</x:f>
        <x:v>4.237517714500427e-8</x:v>
      </x:c>
      <x:c r="AF34" s="35" t="n">
        <x:f>AE34-AF27-AF29</x:f>
        <x:v>4.237517714500427e-8</x:v>
      </x:c>
      <x:c r="AG34" s="35" t="n">
        <x:f>AF34-AG27-AG29</x:f>
        <x:v>4.237517714500427e-8</x:v>
      </x:c>
      <x:c r="AH34" s="35" t="n">
        <x:f>AG34-AH27-AH29</x:f>
        <x:v>4.237517714500427e-8</x:v>
      </x:c>
      <x:c r="AI34" s="35" t="n">
        <x:f>AH34-AI27-AI29</x:f>
        <x:v>4.237517714500427e-8</x:v>
      </x:c>
      <x:c r="AJ34" s="35" t="n">
        <x:f>AI34-AJ27-AJ29</x:f>
        <x:v>4.237517714500427e-8</x:v>
      </x:c>
      <x:c r="AK34" s="35" t="n">
        <x:f>AJ34-AK27-AK29</x:f>
        <x:v>4.237517714500427e-8</x:v>
      </x:c>
      <x:c r="AL34" s="35" t="n">
        <x:f>AK34-AL27-AL29</x:f>
        <x:v>4.237517714500427e-8</x:v>
      </x:c>
      <x:c r="AM34" s="35" t="n">
        <x:f>AL34-AM27-AM29</x:f>
        <x:v>4.237517714500427e-8</x:v>
      </x:c>
      <x:c r="AN34" s="35" t="n">
        <x:f>AM34-AN27-AN29</x:f>
        <x:v>4.237517714500427e-8</x:v>
      </x:c>
      <x:c r="AO34" s="35" t="n">
        <x:f>AN34-AO27-AO29</x:f>
        <x:v>4.237517714500427e-8</x:v>
      </x:c>
      <x:c r="AP34" s="35" t="n">
        <x:f>AO34-AP27-AP29</x:f>
        <x:v>4.237517714500427e-8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'Assumptions'!E58</x:f>
        <x:v>0.2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'Assumptions'!E59</x:f>
        <x:v>3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'Assumptions'!E15/12</x:f>
        <x:v>0.08333333333333333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'Assumptions'!E16</x:f>
        <x:v>12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'Assumptions'!E17*'Assumptions'!$E$29</x:f>
        <x:v>204480000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'Assumptions'!E19</x:f>
        <x:v>3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'Assumptions'!E18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'Assumptions'!E27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12871983.807959298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0.15696083261294336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0.15696083261294336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0.021130501936708537</x:v>
      </x:c>
      <x:c r="E52" s="30" t="n">
        <x:f>(D52-D51)*H51</x:f>
        <x:v>0.021130501936708537</x:v>
      </x:c>
      <x:c r="F52" s="30" t="n">
        <x:f>I52*(H51-H52)</x:f>
        <x:v>0.050570783333933625</x:v>
      </x:c>
      <x:c r="G52" s="30" t="n">
        <x:f>SUM(E53:E147)</x:f>
        <x:v>0.13583033067623485</x:v>
      </x:c>
      <x:c r="H52" s="30" t="n">
        <x:f>IF($E$42=0,1-MIN(C52,$E$43)/$E$43,((1+$E$42)^$E$43-(1+$E$42)^MIN(C52,$E$43))/((1+$E$42)^$E$43-1))</x:f>
        <x:v>0.9483375634505021</x:v>
      </x:c>
      <x:c r="I52" s="30" t="n">
        <x:f>1-D52</x:f>
        <x:v>0.9788694980632915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0.04881574533648144</x:v>
      </x:c>
      <x:c r="E53" s="30" t="n">
        <x:f>(D53-D52)*H52</x:f>
        <x:v>0.02625495626927473</x:v>
      </x:c>
      <x:c r="F53" s="30" t="n">
        <x:f>I53*(H52-H53)</x:f>
        <x:v>0.05323553755372176</x:v>
      </x:c>
      <x:c r="G53" s="30" t="n">
        <x:f>SUM(E54:E147)</x:f>
        <x:v>0.10957537440696014</x:v>
      </x:c>
      <x:c r="H53" s="30" t="n">
        <x:f>IF($E$42=0,1-MIN(C53,$E$43)/$E$43,((1+$E$42)^$E$43-(1+$E$42)^MIN(C53,$E$43))/((1+$E$42)^$E$43-1))</x:f>
        <x:v>0.8923699238552127</x:v>
      </x:c>
      <x:c r="I53" s="30" t="n">
        <x:f>1-D53</x:f>
        <x:v>0.9511842546635185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0.08079500913792459</x:v>
      </x:c>
      <x:c r="E54" s="30" t="n">
        <x:f>(D54-D53)*H53</x:f>
        <x:v>0.028537333203439583</x:v>
      </x:c>
      <x:c r="F54" s="30" t="n">
        <x:f>I54*(H53-H54)</x:f>
        <x:v>0.05573287811298994</x:v>
      </x:c>
      <x:c r="G54" s="30" t="n">
        <x:f>SUM(E55:E147)</x:f>
        <x:v>0.08103804120352055</x:v>
      </x:c>
      <x:c r="H54" s="30" t="n">
        <x:f>IF($E$42=0,1-MIN(C54,$E$43)/$E$43,((1+$E$42)^$E$43-(1+$E$42)^MIN(C54,$E$43))/((1+$E$42)^$E$43-1))</x:f>
        <x:v>0.8317383142936492</x:v>
      </x:c>
      <x:c r="I54" s="30" t="n">
        <x:f>1-D54</x:f>
        <x:v>0.9192049908620754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0.11277427293936776</x:v>
      </x:c>
      <x:c r="E55" s="30" t="n">
        <x:f>(D55-D54)*H54</x:f>
        <x:v>0.026598378966564258</x:v>
      </x:c>
      <x:c r="F55" s="30" t="n">
        <x:f>I55*(H54-H55)</x:f>
        <x:v>0.058276750865790775</x:v>
      </x:c>
      <x:c r="G55" s="30" t="n">
        <x:f>SUM(E56:E147)</x:f>
        <x:v>0.05443966223695628</x:v>
      </x:c>
      <x:c r="H55" s="30" t="n">
        <x:f>IF($E$42=0,1-MIN(C55,$E$43)/$E$43,((1+$E$42)^$E$43-(1+$E$42)^MIN(C55,$E$43))/((1+$E$42)^$E$43-1))</x:f>
        <x:v>0.7660540706019554</x:v>
      </x:c>
      <x:c r="I55" s="30" t="n">
        <x:f>1-D55</x:f>
        <x:v>0.8872257270606323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0.14045951633914067</x:v>
      </x:c>
      <x:c r="E56" s="30" t="n">
        <x:f>(D56-D55)*H55</x:f>
        <x:v>0.021208393402001955</x:v>
      </x:c>
      <x:c r="F56" s="30" t="n">
        <x:f>I56*(H55-H56)</x:f>
        <x:v>0.06116312214096093</x:v>
      </x:c>
      <x:c r="G56" s="30" t="n">
        <x:f>SUM(E57:E147)</x:f>
        <x:v>0.03323126883495433</x:v>
      </x:c>
      <x:c r="H56" s="30" t="n">
        <x:f>IF($E$42=0,1-MIN(C56,$E$43)/$E$43,((1+$E$42)^$E$43-(1+$E$42)^MIN(C56,$E$43))/((1+$E$42)^$E$43-1))</x:f>
        <x:v>0.6948961399359538</x:v>
      </x:c>
      <x:c r="I56" s="30" t="n">
        <x:f>1-D56</x:f>
        <x:v>0.8595404836608593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0.16159001827584915</x:v>
      </x:c>
      <x:c r="E57" s="30" t="n">
        <x:f>(D57-D56)*H56</x:f>
        <x:v>0.014683504230727921</x:v>
      </x:c>
      <x:c r="F57" s="30" t="n">
        <x:f>I57*(H56-H57)</x:f>
        <x:v>0.0646311459616451</x:v>
      </x:c>
      <x:c r="G57" s="30" t="n">
        <x:f>SUM(E58:E147)</x:f>
        <x:v>0.01854776460422641</x:v>
      </x:c>
      <x:c r="H57" s="30" t="n">
        <x:f>IF($E$42=0,1-MIN(C57,$E$43)/$E$43,((1+$E$42)^$E$43-(1+$E$42)^MIN(C57,$E$43))/((1+$E$42)^$E$43-1))</x:f>
        <x:v>0.617808381714452</x:v>
      </x:c>
      <x:c r="I57" s="30" t="n">
        <x:f>1-D57</x:f>
        <x:v>0.8384099817241508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0.17621848771200077</x:v>
      </x:c>
      <x:c r="E58" s="30" t="n">
        <x:f>(D58-D57)*H57</x:f>
        <x:v>0.009037591029308154</x:v>
      </x:c>
      <x:c r="F58" s="30" t="n">
        <x:f>I58*(H57-H58)</x:f>
        <x:v>0.06879542588381699</x:v>
      </x:c>
      <x:c r="G58" s="30" t="n">
        <x:f>SUM(E59:E147)</x:f>
        <x:v>0.009510173574918254</x:v>
      </x:c>
      <x:c r="H58" s="30" t="n">
        <x:f>IF($E$42=0,1-MIN(C58,$E$43)/$E$43,((1+$E$42)^$E$43-(1+$E$42)^MIN(C58,$E$43))/((1+$E$42)^$E$43-1))</x:f>
        <x:v>0.5342966436411585</x:v>
      </x:c>
      <x:c r="I58" s="30" t="n">
        <x:f>1-D58</x:f>
        <x:v>0.8237815122879992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0.1856747428301494</x:v>
      </x:c>
      <x:c r="E59" s="30" t="n">
        <x:f>(D59-D58)*H58</x:f>
        <x:v>0.0050524453710413374</x:v>
      </x:c>
      <x:c r="F59" s="30" t="n">
        <x:f>I59*(H58-H59)</x:f>
        <x:v>0.07367286071517229</x:v>
      </x:c>
      <x:c r="G59" s="30" t="n">
        <x:f>SUM(E60:E147)</x:f>
        <x:v>0.004457728203876916</x:v>
      </x:c>
      <x:c r="H59" s="30" t="n">
        <x:f>IF($E$42=0,1-MIN(C59,$E$43)/$E$43,((1+$E$42)^$E$43-(1+$E$42)^MIN(C59,$E$43))/((1+$E$42)^$E$43-1))</x:f>
        <x:v>0.44382559406175714</x:v>
      </x:c>
      <x:c r="I59" s="30" t="n">
        <x:f>1-D59</x:f>
        <x:v>0.8143252571698506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0.1915194734156045</x:v>
      </x:c>
      <x:c r="E60" s="30" t="n">
        <x:f>(D60-D59)*H59</x:f>
        <x:v>0.0025940410242205284</x:v>
      </x:c>
      <x:c r="F60" s="30" t="n">
        <x:f>I60*(H59-H60)</x:f>
        <x:v>0.07923942195498053</x:v>
      </x:c>
      <x:c r="G60" s="30" t="n">
        <x:f>SUM(E61:E147)</x:f>
        <x:v>0.001863687179656388</x:v>
      </x:c>
      <x:c r="H60" s="30" t="n">
        <x:f>IF($E$42=0,1-MIN(C60,$E$43)/$E$43,((1+$E$42)^$E$43-(1+$E$42)^MIN(C60,$E$43))/((1+$E$42)^$E$43-1))</x:f>
        <x:v>0.34581529035073894</x:v>
      </x:c>
      <x:c r="I60" s="30" t="n">
        <x:f>1-D60</x:f>
        <x:v>0.8084805265843955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0.19503240748410328</x:v>
      </x:c>
      <x:c r="E61" s="30" t="n">
        <x:f>(D61-D60)*H60</x:f>
        <x:v>0.00121482631488091</x:v>
      </x:c>
      <x:c r="F61" s="30" t="n">
        <x:f>I61*(H60-H61)</x:f>
        <x:v>0.08546971140501075</x:v>
      </x:c>
      <x:c r="G61" s="30" t="n">
        <x:f>SUM(E62:E147)</x:f>
        <x:v>0.000648860864775478</x:v>
      </x:c>
      <x:c r="H61" s="30" t="n">
        <x:f>IF($E$42=0,1-MIN(C61,$E$43)/$E$43,((1+$E$42)^$E$43-(1+$E$42)^MIN(C61,$E$43))/((1+$E$42)^$E$43-1))</x:f>
        <x:v>0.23963746133046956</x:v>
      </x:c>
      <x:c r="I61" s="30" t="n">
        <x:f>1-D61</x:f>
        <x:v>0.8049675925158968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0.19710846003705662</x:v>
      </x:c>
      <x:c r="E62" s="30" t="n">
        <x:f>(D62-D61)*H61</x:f>
        <x:v>0.0004974999633783798</x:v>
      </x:c>
      <x:c r="F62" s="30" t="n">
        <x:f>I62*(H61-H62)</x:f>
        <x:v>0.09235338737300691</x:v>
      </x:c>
      <x:c r="G62" s="30" t="n">
        <x:f>SUM(E63:E147)</x:f>
        <x:v>0.00015136090139709823</x:v>
      </x:c>
      <x:c r="H62" s="30" t="n">
        <x:f>IF($E$42=0,1-MIN(C62,$E$43)/$E$43,((1+$E$42)^$E$43-(1+$E$42)^MIN(C62,$E$43))/((1+$E$42)^$E$43-1))</x:f>
        <x:v>0.12461147989184414</x:v>
      </x:c>
      <x:c r="I62" s="30" t="n">
        <x:f>1-D62</x:f>
        <x:v>0.8028915399629434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0.1983231226149224</x:v>
      </x:c>
      <x:c r="E63" s="30" t="n">
        <x:f>(D63-D62)*H62</x:f>
        <x:v>0.00015136090139709823</x:v>
      </x:c>
      <x:c r="F63" s="30" t="n">
        <x:f>I63*(H62-H63)</x:f>
        <x:v>0.09989814208602699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</x:v>
      </x:c>
      <x:c r="I63" s="30" t="n">
        <x:f>1-D63</x:f>
        <x:v>0.8016768773850775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0.19902963854153846</x:v>
      </x:c>
      <x:c r="E64" s="30" t="n">
        <x:f>(D64-D63)*H63</x:f>
        <x:v>0</x:v>
      </x:c>
      <x:c r="F64" s="30" t="n">
        <x:f>I64*(H63-H64)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</x:v>
      </x:c>
      <x:c r="I64" s="30" t="n">
        <x:f>1-D64</x:f>
        <x:v>0.8009703614584616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0.19943918448771367</x:v>
      </x:c>
      <x:c r="E65" s="30" t="n">
        <x:f>(D65-D64)*H64</x:f>
        <x:v>0</x:v>
      </x:c>
      <x:c r="F65" s="30" t="n">
        <x:f>I65*(H64-H65)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</x:v>
      </x:c>
      <x:c r="I65" s="30" t="n">
        <x:f>1-D65</x:f>
        <x:v>0.8005608155122863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0.19967611528344636</x:v>
      </x:c>
      <x:c r="E66" s="30" t="n">
        <x:f>(D66-D65)*H65</x:f>
        <x:v>0</x:v>
      </x:c>
      <x:c r="F66" s="30" t="n">
        <x:f>I66*(H65-H66)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</x:v>
      </x:c>
      <x:c r="I66" s="30" t="n">
        <x:f>1-D66</x:f>
        <x:v>0.8003238847165537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0.19981302731686193</x:v>
      </x:c>
      <x:c r="E67" s="30" t="n">
        <x:f>(D67-D66)*H66</x:f>
        <x:v>0</x:v>
      </x:c>
      <x:c r="F67" s="30" t="n">
        <x:f>I67*(H66-H67)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</x:v>
      </x:c>
      <x:c r="I67" s="30" t="n">
        <x:f>1-D67</x:f>
        <x:v>0.8001869726831381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0.19989209034402927</x:v>
      </x:c>
      <x:c r="E68" s="30" t="n">
        <x:f>(D68-D67)*H67</x:f>
        <x:v>0</x:v>
      </x:c>
      <x:c r="F68" s="30" t="n">
        <x:f>I68*(H67-H68)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</x:v>
      </x:c>
      <x:c r="I68" s="30" t="n">
        <x:f>1-D68</x:f>
        <x:v>0.8001079096559707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0.1999377296207979</x:v>
      </x:c>
      <x:c r="E69" s="30" t="n">
        <x:f>(D69-D68)*H68</x:f>
        <x:v>0</x:v>
      </x:c>
      <x:c r="F69" s="30" t="n">
        <x:f>I69*(H68-H69)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</x:v>
      </x:c>
      <x:c r="I69" s="30" t="n">
        <x:f>1-D69</x:f>
        <x:v>0.8000622703792021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0.19996406914628934</x:v>
      </x:c>
      <x:c r="E70" s="30" t="n">
        <x:f>(D70-D69)*H69</x:f>
        <x:v>0</x:v>
      </x:c>
      <x:c r="F70" s="30" t="n">
        <x:f>I70*(H69-H70)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</x:v>
      </x:c>
      <x:c r="I70" s="30" t="n">
        <x:f>1-D70</x:f>
        <x:v>0.8000359308537106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0.19997926837895716</x:v>
      </x:c>
      <x:c r="E71" s="30" t="n">
        <x:f>(D71-D70)*H70</x:f>
        <x:v>0</x:v>
      </x:c>
      <x:c r="F71" s="30" t="n">
        <x:f>I71*(H70-H71)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</x:v>
      </x:c>
      <x:c r="I71" s="30" t="n">
        <x:f>1-D71</x:f>
        <x:v>0.8000207316210428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0.19998803845513463</x:v>
      </x:c>
      <x:c r="E72" s="30" t="n">
        <x:f>(D72-D71)*H71</x:f>
        <x:v>0</x:v>
      </x:c>
      <x:c r="F72" s="30" t="n">
        <x:f>I72*(H71-H72)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</x:v>
      </x:c>
      <x:c r="I72" s="30" t="n">
        <x:f>1-D72</x:f>
        <x:v>0.8000119615448653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0.1999930986424744</x:v>
      </x:c>
      <x:c r="E73" s="30" t="n">
        <x:f>(D73-D72)*H72</x:f>
        <x:v>0</x:v>
      </x:c>
      <x:c r="F73" s="30" t="n">
        <x:f>I73*(H72-H73)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</x:v>
      </x:c>
      <x:c r="I73" s="30" t="n">
        <x:f>1-D73</x:f>
        <x:v>0.8000069013575256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0.19999601821432247</x:v>
      </x:c>
      <x:c r="E74" s="30" t="n">
        <x:f>(D74-D73)*H73</x:f>
        <x:v>0</x:v>
      </x:c>
      <x:c r="F74" s="30" t="n">
        <x:f>I74*(H73-H74)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</x:v>
      </x:c>
      <x:c r="I74" s="30" t="n">
        <x:f>1-D74</x:f>
        <x:v>0.8000039817856776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0.19999770269327666</x:v>
      </x:c>
      <x:c r="E75" s="30" t="n">
        <x:f>(D75-D74)*H74</x:f>
        <x:v>0</x:v>
      </x:c>
      <x:c r="F75" s="30" t="n">
        <x:f>I75*(H74-H75)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0.8000022973067233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0.19999867456391848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0.8000013254360815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0.19999923528810554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0.8000007647118945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0.19999955879901876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0.8000004412009812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0.19999974544897828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0.8000002545510217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0.19999985313676996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0.8000001468632301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0.19999991526726518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0.8000000847327349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0.19999995111345736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0.8000000488865426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0.19999997179491605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0.800000028205084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0.19999998372708136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0.8000000162729186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0.19999999061134244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0.8000000093886576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0.19999999458321568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0.8000000054167843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0.1999999968747873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0.8000000031252127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0.1999999981969091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0.8000000018030908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0.19999999895970705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0.800000001040293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0.1999999993998032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0.8000000006001968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0.19999999965371656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0.8000000003462835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0.19999999980021185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0.8000000001997881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0.19999999988473224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0.8000000001152677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0.1999999999334963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0.8000000000665037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0.1999999999616307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0.8000000000383694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0.19999999997786286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0.8000000000221371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0.19999999998722798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0.800000000012772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0.1999999999926312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0.8000000000073688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0.19999999999574858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0.8000000000042514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0.19999999999754714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0.8000000000024529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0.19999999999858484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0.8000000000014151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0.1999999999991835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0.8000000000008165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0.19999999999952892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0.8000000000004711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0.19999999999972823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0.8000000000002718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0.1999999999998432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0.8000000000001568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0.19999999999990956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0.8000000000000904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0.19999999999994783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0.8000000000000522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0.1999999999999699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0.8000000000000301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0.19999999999998266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0.8000000000000174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0.19999999999999002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0.80000000000001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0.19999999999999424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0.8000000000000058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0.19999999999999668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0.8000000000000034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0.19999999999999812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0.8000000000000018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0.1999999999999989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0.8000000000000012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0.19999999999999937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0.8000000000000006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0.19999999999999962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0.8000000000000004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0.1999999999999998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0.8000000000000003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0.1999999999999999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0.8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0.19999999999999996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0.8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0.19999999999999996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0.8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0.2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0.8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0.2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0.8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0.2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0.8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0.2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0.8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0.2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0.8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0.2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0.8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0.2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0.8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0.2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0.8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0.2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0.8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0.2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0.8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0.2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0.8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0.2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0.8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0.2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0.8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0.2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0.8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0.2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0.8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0.2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0.8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0.2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0.8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0.2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0.8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0.2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0.8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0.2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0.8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0.2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0.8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0.2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0.8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0.2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0.8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0.2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0.8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0.2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0.8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0.2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0.8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0.2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0.8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0.00015136090139709823</x:v>
      </x:c>
      <x:c r="CN150" s="30" t="n">
        <x:f>E62</x:f>
        <x:v>0.0004974999633783798</x:v>
      </x:c>
      <x:c r="CO150" s="30" t="n">
        <x:f>E61</x:f>
        <x:v>0.00121482631488091</x:v>
      </x:c>
      <x:c r="CP150" s="30" t="n">
        <x:f>E60</x:f>
        <x:v>0.0025940410242205284</x:v>
      </x:c>
      <x:c r="CQ150" s="30" t="n">
        <x:f>E59</x:f>
        <x:v>0.0050524453710413374</x:v>
      </x:c>
      <x:c r="CR150" s="30" t="n">
        <x:f>E58</x:f>
        <x:v>0.009037591029308154</x:v>
      </x:c>
      <x:c r="CS150" s="30" t="n">
        <x:f>E57</x:f>
        <x:v>0.014683504230727921</x:v>
      </x:c>
      <x:c r="CT150" s="30" t="n">
        <x:f>E56</x:f>
        <x:v>0.021208393402001955</x:v>
      </x:c>
      <x:c r="CU150" s="30" t="n">
        <x:f>E55</x:f>
        <x:v>0.026598378966564258</x:v>
      </x:c>
      <x:c r="CV150" s="30" t="n">
        <x:f>E54</x:f>
        <x:v>0.028537333203439583</x:v>
      </x:c>
      <x:c r="CW150" s="30" t="n">
        <x:f>E53</x:f>
        <x:v>0.02625495626927473</x:v>
      </x:c>
      <x:c r="CX150" s="30" t="n">
        <x:f>E52</x:f>
        <x:v>0.021130501936708537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0.09989814208602699</x:v>
      </x:c>
      <x:c r="CN151" s="30" t="n">
        <x:f>F62</x:f>
        <x:v>0.09235338737300691</x:v>
      </x:c>
      <x:c r="CO151" s="30" t="n">
        <x:f>F61</x:f>
        <x:v>0.08546971140501075</x:v>
      </x:c>
      <x:c r="CP151" s="30" t="n">
        <x:f>F60</x:f>
        <x:v>0.07923942195498053</x:v>
      </x:c>
      <x:c r="CQ151" s="30" t="n">
        <x:f>F59</x:f>
        <x:v>0.07367286071517229</x:v>
      </x:c>
      <x:c r="CR151" s="30" t="n">
        <x:f>F58</x:f>
        <x:v>0.06879542588381699</x:v>
      </x:c>
      <x:c r="CS151" s="30" t="n">
        <x:f>F57</x:f>
        <x:v>0.0646311459616451</x:v>
      </x:c>
      <x:c r="CT151" s="30" t="n">
        <x:f>F56</x:f>
        <x:v>0.06116312214096093</x:v>
      </x:c>
      <x:c r="CU151" s="30" t="n">
        <x:f>F55</x:f>
        <x:v>0.058276750865790775</x:v>
      </x:c>
      <x:c r="CV151" s="30" t="n">
        <x:f>F54</x:f>
        <x:v>0.05573287811298994</x:v>
      </x:c>
      <x:c r="CW151" s="30" t="n">
        <x:f>F53</x:f>
        <x:v>0.05323553755372176</x:v>
      </x:c>
      <x:c r="CX151" s="30" t="n">
        <x:f>F52</x:f>
        <x:v>0.050570783333933625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17040000</x:v>
      </x:c>
      <x:c r="E160" s="31" t="n">
        <x:f>IF(D160=0,0,D160/(INDEX($I$51:$I$147,C160+1)*INDEX($H$51:$H$147,C160+1)))</x:f>
        <x:v>17040000</x:v>
      </x:c>
      <x:c r="F160" s="31" t="n">
        <x:f>E160*INDEX($G$51:$G$147,C160+1)</x:f>
        <x:v>2674612.587724555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17040000</x:v>
      </x:c>
      <x:c r="E161" s="31" t="n">
        <x:f>IF(D161=0,0,D161/(INDEX($I$51:$I$147,C161+1)*INDEX($H$51:$H$147,C161+1)))</x:f>
        <x:v>18356160.2850737</x:v>
      </x:c>
      <x:c r="F161" s="31" t="n">
        <x:f>E161*INDEX($G$51:$G$147,C161+1)</x:f>
        <x:v>2493323.32146753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17040000</x:v>
      </x:c>
      <x:c r="E162" s="31" t="n">
        <x:f>IF(D162=0,0,D162/(INDEX($I$51:$I$147,C162+1)*INDEX($H$51:$H$147,C162+1)))</x:f>
        <x:v>20075206.130549267</x:v>
      </x:c>
      <x:c r="F162" s="31" t="n">
        <x:f>E162*INDEX($G$51:$G$147,C162+1)</x:f>
        <x:v>2199748.2280518375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17040000</x:v>
      </x:c>
      <x:c r="E163" s="31" t="n">
        <x:f>IF(D163=0,0,D163/(INDEX($I$51:$I$147,C163+1)*INDEX($H$51:$H$147,C163+1)))</x:f>
        <x:v>22287969.71015161</x:v>
      </x:c>
      <x:c r="F163" s="31" t="n">
        <x:f>E163*INDEX($G$51:$G$147,C163+1)</x:f>
        <x:v>1806173.407714084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17040000</x:v>
      </x:c>
      <x:c r="E164" s="31" t="n">
        <x:f>IF(D164=0,0,D164/(INDEX($I$51:$I$147,C164+1)*INDEX($H$51:$H$147,C164+1)))</x:f>
        <x:v>25071252.98070987</x:v>
      </x:c>
      <x:c r="F164" s="31" t="n">
        <x:f>E164*INDEX($G$51:$G$147,C164+1)</x:f>
        <x:v>1364870.5441271288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17040000</x:v>
      </x:c>
      <x:c r="E165" s="31" t="n">
        <x:f>IF(D165=0,0,D165/(INDEX($I$51:$I$147,C165+1)*INDEX($H$51:$H$147,C165+1)))</x:f>
        <x:v>28528790.169946812</x:v>
      </x:c>
      <x:c r="F165" s="31" t="n">
        <x:f>E165*INDEX($G$51:$G$147,C165+1)</x:f>
        <x:v>948047.8956735049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17040000</x:v>
      </x:c>
      <x:c r="E166" s="31" t="n">
        <x:f>IF(D166=0,0,D166/(INDEX($I$51:$I$147,C166+1)*INDEX($H$51:$H$147,C166+1)))</x:f>
        <x:v>32897231.745572902</x:v>
      </x:c>
      <x:c r="F166" s="31" t="n">
        <x:f>E166*INDEX($G$51:$G$147,C166+1)</x:f>
        <x:v>610170.1105475705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17040000</x:v>
      </x:c>
      <x:c r="E167" s="31" t="n">
        <x:f>IF(D167=0,0,D167/(INDEX($I$51:$I$147,C167+1)*INDEX($H$51:$H$147,C167+1)))</x:f>
        <x:v>38714629.13571071</x:v>
      </x:c>
      <x:c r="F167" s="31" t="n">
        <x:f>E167*INDEX($G$51:$G$147,C167+1)</x:f>
        <x:v>368182.8429691963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17040000</x:v>
      </x:c>
      <x:c r="E168" s="31" t="n">
        <x:f>IF(D168=0,0,D168/(INDEX($I$51:$I$147,C168+1)*INDEX($H$51:$H$147,C168+1)))</x:f>
        <x:v>47147573.07112305</x:v>
      </x:c>
      <x:c r="F168" s="31" t="n">
        <x:f>E168*INDEX($G$51:$G$147,C168+1)</x:f>
        <x:v>210171.06622349302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17040000</x:v>
      </x:c>
      <x:c r="E169" s="31" t="n">
        <x:f>IF(D169=0,0,D169/(INDEX($I$51:$I$147,C169+1)*INDEX($H$51:$H$147,C169+1)))</x:f>
        <x:v>60947491.40889501</x:v>
      </x:c>
      <x:c r="F169" s="31" t="n">
        <x:f>E169*INDEX($G$51:$G$147,C169+1)</x:f>
        <x:v>113587.05837097547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17040000</x:v>
      </x:c>
      <x:c r="E170" s="31" t="n">
        <x:f>IF(D170=0,0,D170/(INDEX($I$51:$I$147,C170+1)*INDEX($H$51:$H$147,C170+1)))</x:f>
        <x:v>88335746.60681637</x:v>
      </x:c>
      <x:c r="F170" s="31" t="n">
        <x:f>E170*INDEX($G$51:$G$147,C170+1)</x:f>
        <x:v>57317.60893388637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17040000</x:v>
      </x:c>
      <x:c r="E171" s="31" t="n">
        <x:f>IF(D171=0,0,D171/(INDEX($I$51:$I$147,C171+1)*INDEX($H$51:$H$147,C171+1)))</x:f>
        <x:v>170315688.64606827</x:v>
      </x:c>
      <x:c r="F171" s="31" t="n">
        <x:f>E171*INDEX($G$51:$G$147,C171+1)</x:f>
        <x:v>25779.136155536424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0" priority="1">
      <x:formula>ABS(G35)&gt;0.01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CF Installment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230400</x:v>
      </x:c>
      <x:c r="F8" s="2"/>
      <x:c r="G8" s="32" t="n">
        <x:f>'Assumptions'!$F$11*(1+'Assumptions'!$F$12)^(G$6-1)*INDEX('Assumptions'!$F$34:$F$45,MOD(G$6-1,12)+1)*'Assumptions'!$E$29</x:f>
        <x:v>9600</x:v>
      </x:c>
      <x:c r="H8" s="32" t="n">
        <x:f>'Assumptions'!$F$11*(1+'Assumptions'!$F$12)^(H$6-1)*INDEX('Assumptions'!$F$34:$F$45,MOD(H$6-1,12)+1)*'Assumptions'!$E$29</x:f>
        <x:v>9600</x:v>
      </x:c>
      <x:c r="I8" s="32" t="n">
        <x:f>'Assumptions'!$F$11*(1+'Assumptions'!$F$12)^(I$6-1)*INDEX('Assumptions'!$F$34:$F$45,MOD(I$6-1,12)+1)*'Assumptions'!$E$29</x:f>
        <x:v>9600</x:v>
      </x:c>
      <x:c r="J8" s="32" t="n">
        <x:f>'Assumptions'!$F$11*(1+'Assumptions'!$F$12)^(J$6-1)*INDEX('Assumptions'!$F$34:$F$45,MOD(J$6-1,12)+1)*'Assumptions'!$E$29</x:f>
        <x:v>9600</x:v>
      </x:c>
      <x:c r="K8" s="32" t="n">
        <x:f>'Assumptions'!$F$11*(1+'Assumptions'!$F$12)^(K$6-1)*INDEX('Assumptions'!$F$34:$F$45,MOD(K$6-1,12)+1)*'Assumptions'!$E$29</x:f>
        <x:v>9600</x:v>
      </x:c>
      <x:c r="L8" s="32" t="n">
        <x:f>'Assumptions'!$F$11*(1+'Assumptions'!$F$12)^(L$6-1)*INDEX('Assumptions'!$F$34:$F$45,MOD(L$6-1,12)+1)*'Assumptions'!$E$29</x:f>
        <x:v>9600</x:v>
      </x:c>
      <x:c r="M8" s="32" t="n">
        <x:f>'Assumptions'!$F$11*(1+'Assumptions'!$F$12)^(M$6-1)*INDEX('Assumptions'!$F$34:$F$45,MOD(M$6-1,12)+1)*'Assumptions'!$E$29</x:f>
        <x:v>9600</x:v>
      </x:c>
      <x:c r="N8" s="32" t="n">
        <x:f>'Assumptions'!$F$11*(1+'Assumptions'!$F$12)^(N$6-1)*INDEX('Assumptions'!$F$34:$F$45,MOD(N$6-1,12)+1)*'Assumptions'!$E$29</x:f>
        <x:v>9600</x:v>
      </x:c>
      <x:c r="O8" s="32" t="n">
        <x:f>'Assumptions'!$F$11*(1+'Assumptions'!$F$12)^(O$6-1)*INDEX('Assumptions'!$F$34:$F$45,MOD(O$6-1,12)+1)*'Assumptions'!$E$29</x:f>
        <x:v>9600</x:v>
      </x:c>
      <x:c r="P8" s="32" t="n">
        <x:f>'Assumptions'!$F$11*(1+'Assumptions'!$F$12)^(P$6-1)*INDEX('Assumptions'!$F$34:$F$45,MOD(P$6-1,12)+1)*'Assumptions'!$E$29</x:f>
        <x:v>9600</x:v>
      </x:c>
      <x:c r="Q8" s="32" t="n">
        <x:f>'Assumptions'!$F$11*(1+'Assumptions'!$F$12)^(Q$6-1)*INDEX('Assumptions'!$F$34:$F$45,MOD(Q$6-1,12)+1)*'Assumptions'!$E$29</x:f>
        <x:v>9600</x:v>
      </x:c>
      <x:c r="R8" s="32" t="n">
        <x:f>'Assumptions'!$F$11*(1+'Assumptions'!$F$12)^(R$6-1)*INDEX('Assumptions'!$F$34:$F$45,MOD(R$6-1,12)+1)*'Assumptions'!$E$29</x:f>
        <x:v>9600</x:v>
      </x:c>
      <x:c r="S8" s="32" t="n">
        <x:f>'Assumptions'!$F$11*(1+'Assumptions'!$F$12)^(S$6-1)*INDEX('Assumptions'!$F$34:$F$45,MOD(S$6-1,12)+1)*'Assumptions'!$E$29</x:f>
        <x:v>9600</x:v>
      </x:c>
      <x:c r="T8" s="32" t="n">
        <x:f>'Assumptions'!$F$11*(1+'Assumptions'!$F$12)^(T$6-1)*INDEX('Assumptions'!$F$34:$F$45,MOD(T$6-1,12)+1)*'Assumptions'!$E$29</x:f>
        <x:v>9600</x:v>
      </x:c>
      <x:c r="U8" s="32" t="n">
        <x:f>'Assumptions'!$F$11*(1+'Assumptions'!$F$12)^(U$6-1)*INDEX('Assumptions'!$F$34:$F$45,MOD(U$6-1,12)+1)*'Assumptions'!$E$29</x:f>
        <x:v>9600</x:v>
      </x:c>
      <x:c r="V8" s="32" t="n">
        <x:f>'Assumptions'!$F$11*(1+'Assumptions'!$F$12)^(V$6-1)*INDEX('Assumptions'!$F$34:$F$45,MOD(V$6-1,12)+1)*'Assumptions'!$E$29</x:f>
        <x:v>9600</x:v>
      </x:c>
      <x:c r="W8" s="32" t="n">
        <x:f>'Assumptions'!$F$11*(1+'Assumptions'!$F$12)^(W$6-1)*INDEX('Assumptions'!$F$34:$F$45,MOD(W$6-1,12)+1)*'Assumptions'!$E$29</x:f>
        <x:v>9600</x:v>
      </x:c>
      <x:c r="X8" s="32" t="n">
        <x:f>'Assumptions'!$F$11*(1+'Assumptions'!$F$12)^(X$6-1)*INDEX('Assumptions'!$F$34:$F$45,MOD(X$6-1,12)+1)*'Assumptions'!$E$29</x:f>
        <x:v>9600</x:v>
      </x:c>
      <x:c r="Y8" s="32" t="n">
        <x:f>'Assumptions'!$F$11*(1+'Assumptions'!$F$12)^(Y$6-1)*INDEX('Assumptions'!$F$34:$F$45,MOD(Y$6-1,12)+1)*'Assumptions'!$E$29</x:f>
        <x:v>9600</x:v>
      </x:c>
      <x:c r="Z8" s="32" t="n">
        <x:f>'Assumptions'!$F$11*(1+'Assumptions'!$F$12)^(Z$6-1)*INDEX('Assumptions'!$F$34:$F$45,MOD(Z$6-1,12)+1)*'Assumptions'!$E$29</x:f>
        <x:v>9600</x:v>
      </x:c>
      <x:c r="AA8" s="32" t="n">
        <x:f>'Assumptions'!$F$11*(1+'Assumptions'!$F$12)^(AA$6-1)*INDEX('Assumptions'!$F$34:$F$45,MOD(AA$6-1,12)+1)*'Assumptions'!$E$29</x:f>
        <x:v>9600</x:v>
      </x:c>
      <x:c r="AB8" s="32" t="n">
        <x:f>'Assumptions'!$F$11*(1+'Assumptions'!$F$12)^(AB$6-1)*INDEX('Assumptions'!$F$34:$F$45,MOD(AB$6-1,12)+1)*'Assumptions'!$E$29</x:f>
        <x:v>9600</x:v>
      </x:c>
      <x:c r="AC8" s="32" t="n">
        <x:f>'Assumptions'!$F$11*(1+'Assumptions'!$F$12)^(AC$6-1)*INDEX('Assumptions'!$F$34:$F$45,MOD(AC$6-1,12)+1)*'Assumptions'!$E$29</x:f>
        <x:v>9600</x:v>
      </x:c>
      <x:c r="AD8" s="32" t="n">
        <x:f>'Assumptions'!$F$11*(1+'Assumptions'!$F$12)^(AD$6-1)*INDEX('Assumptions'!$F$34:$F$45,MOD(AD$6-1,12)+1)*'Assumptions'!$E$29</x:f>
        <x:v>9600</x:v>
      </x:c>
      <x:c r="AE8" s="32" t="n">
        <x:f>'Assumptions'!$F$11*(1+'Assumptions'!$F$12)^(AE$6-1)*INDEX('Assumptions'!$F$34:$F$45,MOD(AE$6-1,12)+1)*'Assumptions'!$E$29</x:f>
        <x:v>9600</x:v>
      </x:c>
      <x:c r="AF8" s="32" t="n">
        <x:f>'Assumptions'!$F$11*(1+'Assumptions'!$F$12)^(AF$6-1)*INDEX('Assumptions'!$F$34:$F$45,MOD(AF$6-1,12)+1)*'Assumptions'!$E$29</x:f>
        <x:v>9600</x:v>
      </x:c>
      <x:c r="AG8" s="32" t="n">
        <x:f>'Assumptions'!$F$11*(1+'Assumptions'!$F$12)^(AG$6-1)*INDEX('Assumptions'!$F$34:$F$45,MOD(AG$6-1,12)+1)*'Assumptions'!$E$29</x:f>
        <x:v>9600</x:v>
      </x:c>
      <x:c r="AH8" s="32" t="n">
        <x:f>'Assumptions'!$F$11*(1+'Assumptions'!$F$12)^(AH$6-1)*INDEX('Assumptions'!$F$34:$F$45,MOD(AH$6-1,12)+1)*'Assumptions'!$E$29</x:f>
        <x:v>9600</x:v>
      </x:c>
      <x:c r="AI8" s="32" t="n">
        <x:f>'Assumptions'!$F$11*(1+'Assumptions'!$F$12)^(AI$6-1)*INDEX('Assumptions'!$F$34:$F$45,MOD(AI$6-1,12)+1)*'Assumptions'!$E$29</x:f>
        <x:v>9600</x:v>
      </x:c>
      <x:c r="AJ8" s="32" t="n">
        <x:f>'Assumptions'!$F$11*(1+'Assumptions'!$F$12)^(AJ$6-1)*INDEX('Assumptions'!$F$34:$F$45,MOD(AJ$6-1,12)+1)*'Assumptions'!$E$29</x:f>
        <x:v>9600</x:v>
      </x:c>
      <x:c r="AK8" s="32" t="n">
        <x:f>'Assumptions'!$F$11*(1+'Assumptions'!$F$12)^(AK$6-1)*INDEX('Assumptions'!$F$34:$F$45,MOD(AK$6-1,12)+1)*'Assumptions'!$E$29</x:f>
        <x:v>9600</x:v>
      </x:c>
      <x:c r="AL8" s="32" t="n">
        <x:f>'Assumptions'!$F$11*(1+'Assumptions'!$F$12)^(AL$6-1)*INDEX('Assumptions'!$F$34:$F$45,MOD(AL$6-1,12)+1)*'Assumptions'!$E$29</x:f>
        <x:v>9600</x:v>
      </x:c>
      <x:c r="AM8" s="32" t="n">
        <x:f>'Assumptions'!$F$11*(1+'Assumptions'!$F$12)^(AM$6-1)*INDEX('Assumptions'!$F$34:$F$45,MOD(AM$6-1,12)+1)*'Assumptions'!$E$29</x:f>
        <x:v>9600</x:v>
      </x:c>
      <x:c r="AN8" s="32" t="n">
        <x:f>'Assumptions'!$F$11*(1+'Assumptions'!$F$12)^(AN$6-1)*INDEX('Assumptions'!$F$34:$F$45,MOD(AN$6-1,12)+1)*'Assumptions'!$E$29</x:f>
        <x:v>9600</x:v>
      </x:c>
      <x:c r="AO8" s="32" t="n">
        <x:f>'Assumptions'!$F$11*(1+'Assumptions'!$F$12)^(AO$6-1)*INDEX('Assumptions'!$F$34:$F$45,MOD(AO$6-1,12)+1)*'Assumptions'!$E$29</x:f>
        <x:v>9600</x:v>
      </x:c>
      <x:c r="AP8" s="32" t="n">
        <x:f>'Assumptions'!$F$11*(1+'Assumptions'!$F$12)^(AP$6-1)*INDEX('Assumptions'!$F$34:$F$45,MOD(AP$6-1,12)+1)*'Assumptions'!$E$29</x:f>
        <x:v>9600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'Assumptions'!$F$13</x:f>
        <x:v>0.45</x:v>
      </x:c>
      <x:c r="H9" s="33" t="n">
        <x:f>'Assumptions'!$F$13</x:f>
        <x:v>0.45</x:v>
      </x:c>
      <x:c r="I9" s="33" t="n">
        <x:f>'Assumptions'!$F$13</x:f>
        <x:v>0.45</x:v>
      </x:c>
      <x:c r="J9" s="33" t="n">
        <x:f>'Assumptions'!$F$13</x:f>
        <x:v>0.45</x:v>
      </x:c>
      <x:c r="K9" s="33" t="n">
        <x:f>'Assumptions'!$F$13</x:f>
        <x:v>0.45</x:v>
      </x:c>
      <x:c r="L9" s="33" t="n">
        <x:f>'Assumptions'!$F$13</x:f>
        <x:v>0.45</x:v>
      </x:c>
      <x:c r="M9" s="33" t="n">
        <x:f>'Assumptions'!$F$13</x:f>
        <x:v>0.45</x:v>
      </x:c>
      <x:c r="N9" s="33" t="n">
        <x:f>'Assumptions'!$F$13</x:f>
        <x:v>0.45</x:v>
      </x:c>
      <x:c r="O9" s="33" t="n">
        <x:f>'Assumptions'!$F$13</x:f>
        <x:v>0.45</x:v>
      </x:c>
      <x:c r="P9" s="33" t="n">
        <x:f>'Assumptions'!$F$13</x:f>
        <x:v>0.45</x:v>
      </x:c>
      <x:c r="Q9" s="33" t="n">
        <x:f>'Assumptions'!$F$13</x:f>
        <x:v>0.45</x:v>
      </x:c>
      <x:c r="R9" s="33" t="n">
        <x:f>'Assumptions'!$F$13</x:f>
        <x:v>0.45</x:v>
      </x:c>
      <x:c r="S9" s="33" t="n">
        <x:f>'Assumptions'!$F$13</x:f>
        <x:v>0.45</x:v>
      </x:c>
      <x:c r="T9" s="33" t="n">
        <x:f>'Assumptions'!$F$13</x:f>
        <x:v>0.45</x:v>
      </x:c>
      <x:c r="U9" s="33" t="n">
        <x:f>'Assumptions'!$F$13</x:f>
        <x:v>0.45</x:v>
      </x:c>
      <x:c r="V9" s="33" t="n">
        <x:f>'Assumptions'!$F$13</x:f>
        <x:v>0.45</x:v>
      </x:c>
      <x:c r="W9" s="33" t="n">
        <x:f>'Assumptions'!$F$13</x:f>
        <x:v>0.45</x:v>
      </x:c>
      <x:c r="X9" s="33" t="n">
        <x:f>'Assumptions'!$F$13</x:f>
        <x:v>0.45</x:v>
      </x:c>
      <x:c r="Y9" s="33" t="n">
        <x:f>'Assumptions'!$F$13</x:f>
        <x:v>0.45</x:v>
      </x:c>
      <x:c r="Z9" s="33" t="n">
        <x:f>'Assumptions'!$F$13</x:f>
        <x:v>0.45</x:v>
      </x:c>
      <x:c r="AA9" s="33" t="n">
        <x:f>'Assumptions'!$F$13</x:f>
        <x:v>0.45</x:v>
      </x:c>
      <x:c r="AB9" s="33" t="n">
        <x:f>'Assumptions'!$F$13</x:f>
        <x:v>0.45</x:v>
      </x:c>
      <x:c r="AC9" s="33" t="n">
        <x:f>'Assumptions'!$F$13</x:f>
        <x:v>0.45</x:v>
      </x:c>
      <x:c r="AD9" s="33" t="n">
        <x:f>'Assumptions'!$F$13</x:f>
        <x:v>0.45</x:v>
      </x:c>
      <x:c r="AE9" s="33" t="n">
        <x:f>'Assumptions'!$F$13</x:f>
        <x:v>0.45</x:v>
      </x:c>
      <x:c r="AF9" s="33" t="n">
        <x:f>'Assumptions'!$F$13</x:f>
        <x:v>0.45</x:v>
      </x:c>
      <x:c r="AG9" s="33" t="n">
        <x:f>'Assumptions'!$F$13</x:f>
        <x:v>0.45</x:v>
      </x:c>
      <x:c r="AH9" s="33" t="n">
        <x:f>'Assumptions'!$F$13</x:f>
        <x:v>0.45</x:v>
      </x:c>
      <x:c r="AI9" s="33" t="n">
        <x:f>'Assumptions'!$F$13</x:f>
        <x:v>0.45</x:v>
      </x:c>
      <x:c r="AJ9" s="33" t="n">
        <x:f>'Assumptions'!$F$13</x:f>
        <x:v>0.45</x:v>
      </x:c>
      <x:c r="AK9" s="33" t="n">
        <x:f>'Assumptions'!$F$13</x:f>
        <x:v>0.45</x:v>
      </x:c>
      <x:c r="AL9" s="33" t="n">
        <x:f>'Assumptions'!$F$13</x:f>
        <x:v>0.45</x:v>
      </x:c>
      <x:c r="AM9" s="33" t="n">
        <x:f>'Assumptions'!$F$13</x:f>
        <x:v>0.45</x:v>
      </x:c>
      <x:c r="AN9" s="33" t="n">
        <x:f>'Assumptions'!$F$13</x:f>
        <x:v>0.45</x:v>
      </x:c>
      <x:c r="AO9" s="33" t="n">
        <x:f>'Assumptions'!$F$13</x:f>
        <x:v>0.45</x:v>
      </x:c>
      <x:c r="AP9" s="33" t="n">
        <x:f>'Assumptions'!$F$13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'Assumptions'!$F$14</x:f>
        <x:v>4000</x:v>
      </x:c>
      <x:c r="H10" s="34" t="n">
        <x:f>'Assumptions'!$F$14</x:f>
        <x:v>4000</x:v>
      </x:c>
      <x:c r="I10" s="34" t="n">
        <x:f>'Assumptions'!$F$14</x:f>
        <x:v>4000</x:v>
      </x:c>
      <x:c r="J10" s="34" t="n">
        <x:f>'Assumptions'!$F$14</x:f>
        <x:v>4000</x:v>
      </x:c>
      <x:c r="K10" s="34" t="n">
        <x:f>'Assumptions'!$F$14</x:f>
        <x:v>4000</x:v>
      </x:c>
      <x:c r="L10" s="34" t="n">
        <x:f>'Assumptions'!$F$14</x:f>
        <x:v>4000</x:v>
      </x:c>
      <x:c r="M10" s="34" t="n">
        <x:f>'Assumptions'!$F$14</x:f>
        <x:v>4000</x:v>
      </x:c>
      <x:c r="N10" s="34" t="n">
        <x:f>'Assumptions'!$F$14</x:f>
        <x:v>4000</x:v>
      </x:c>
      <x:c r="O10" s="34" t="n">
        <x:f>'Assumptions'!$F$14</x:f>
        <x:v>4000</x:v>
      </x:c>
      <x:c r="P10" s="34" t="n">
        <x:f>'Assumptions'!$F$14</x:f>
        <x:v>4000</x:v>
      </x:c>
      <x:c r="Q10" s="34" t="n">
        <x:f>'Assumptions'!$F$14</x:f>
        <x:v>4000</x:v>
      </x:c>
      <x:c r="R10" s="34" t="n">
        <x:f>'Assumptions'!$F$14</x:f>
        <x:v>4000</x:v>
      </x:c>
      <x:c r="S10" s="34" t="n">
        <x:f>'Assumptions'!$F$14</x:f>
        <x:v>4000</x:v>
      </x:c>
      <x:c r="T10" s="34" t="n">
        <x:f>'Assumptions'!$F$14</x:f>
        <x:v>4000</x:v>
      </x:c>
      <x:c r="U10" s="34" t="n">
        <x:f>'Assumptions'!$F$14</x:f>
        <x:v>4000</x:v>
      </x:c>
      <x:c r="V10" s="34" t="n">
        <x:f>'Assumptions'!$F$14</x:f>
        <x:v>4000</x:v>
      </x:c>
      <x:c r="W10" s="34" t="n">
        <x:f>'Assumptions'!$F$14</x:f>
        <x:v>4000</x:v>
      </x:c>
      <x:c r="X10" s="34" t="n">
        <x:f>'Assumptions'!$F$14</x:f>
        <x:v>4000</x:v>
      </x:c>
      <x:c r="Y10" s="34" t="n">
        <x:f>'Assumptions'!$F$14</x:f>
        <x:v>4000</x:v>
      </x:c>
      <x:c r="Z10" s="34" t="n">
        <x:f>'Assumptions'!$F$14</x:f>
        <x:v>4000</x:v>
      </x:c>
      <x:c r="AA10" s="34" t="n">
        <x:f>'Assumptions'!$F$14</x:f>
        <x:v>4000</x:v>
      </x:c>
      <x:c r="AB10" s="34" t="n">
        <x:f>'Assumptions'!$F$14</x:f>
        <x:v>4000</x:v>
      </x:c>
      <x:c r="AC10" s="34" t="n">
        <x:f>'Assumptions'!$F$14</x:f>
        <x:v>4000</x:v>
      </x:c>
      <x:c r="AD10" s="34" t="n">
        <x:f>'Assumptions'!$F$14</x:f>
        <x:v>4000</x:v>
      </x:c>
      <x:c r="AE10" s="34" t="n">
        <x:f>'Assumptions'!$F$14</x:f>
        <x:v>4000</x:v>
      </x:c>
      <x:c r="AF10" s="34" t="n">
        <x:f>'Assumptions'!$F$14</x:f>
        <x:v>4000</x:v>
      </x:c>
      <x:c r="AG10" s="34" t="n">
        <x:f>'Assumptions'!$F$14</x:f>
        <x:v>4000</x:v>
      </x:c>
      <x:c r="AH10" s="34" t="n">
        <x:f>'Assumptions'!$F$14</x:f>
        <x:v>4000</x:v>
      </x:c>
      <x:c r="AI10" s="34" t="n">
        <x:f>'Assumptions'!$F$14</x:f>
        <x:v>4000</x:v>
      </x:c>
      <x:c r="AJ10" s="34" t="n">
        <x:f>'Assumptions'!$F$14</x:f>
        <x:v>4000</x:v>
      </x:c>
      <x:c r="AK10" s="34" t="n">
        <x:f>'Assumptions'!$F$14</x:f>
        <x:v>4000</x:v>
      </x:c>
      <x:c r="AL10" s="34" t="n">
        <x:f>'Assumptions'!$F$14</x:f>
        <x:v>4000</x:v>
      </x:c>
      <x:c r="AM10" s="34" t="n">
        <x:f>'Assumptions'!$F$14</x:f>
        <x:v>4000</x:v>
      </x:c>
      <x:c r="AN10" s="34" t="n">
        <x:f>'Assumptions'!$F$14</x:f>
        <x:v>4000</x:v>
      </x:c>
      <x:c r="AO10" s="34" t="n">
        <x:f>'Assumptions'!$F$14</x:f>
        <x:v>4000</x:v>
      </x:c>
      <x:c r="AP10" s="34" t="n">
        <x:f>'Assumptions'!$F$14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414720000</x:v>
      </x:c>
      <x:c r="F11" s="42"/>
      <x:c r="G11" s="43" t="n">
        <x:f>G8*G9*G10</x:f>
        <x:v>17280000</x:v>
      </x:c>
      <x:c r="H11" s="43" t="n">
        <x:f>H8*H9*H10</x:f>
        <x:v>17280000</x:v>
      </x:c>
      <x:c r="I11" s="43" t="n">
        <x:f>I8*I9*I10</x:f>
        <x:v>17280000</x:v>
      </x:c>
      <x:c r="J11" s="43" t="n">
        <x:f>J8*J9*J10</x:f>
        <x:v>17280000</x:v>
      </x:c>
      <x:c r="K11" s="43" t="n">
        <x:f>K8*K9*K10</x:f>
        <x:v>17280000</x:v>
      </x:c>
      <x:c r="L11" s="43" t="n">
        <x:f>L8*L9*L10</x:f>
        <x:v>17280000</x:v>
      </x:c>
      <x:c r="M11" s="43" t="n">
        <x:f>M8*M9*M10</x:f>
        <x:v>17280000</x:v>
      </x:c>
      <x:c r="N11" s="43" t="n">
        <x:f>N8*N9*N10</x:f>
        <x:v>17280000</x:v>
      </x:c>
      <x:c r="O11" s="43" t="n">
        <x:f>O8*O9*O10</x:f>
        <x:v>17280000</x:v>
      </x:c>
      <x:c r="P11" s="43" t="n">
        <x:f>P8*P9*P10</x:f>
        <x:v>17280000</x:v>
      </x:c>
      <x:c r="Q11" s="43" t="n">
        <x:f>Q8*Q9*Q10</x:f>
        <x:v>17280000</x:v>
      </x:c>
      <x:c r="R11" s="43" t="n">
        <x:f>R8*R9*R10</x:f>
        <x:v>17280000</x:v>
      </x:c>
      <x:c r="S11" s="43" t="n">
        <x:f>S8*S9*S10</x:f>
        <x:v>17280000</x:v>
      </x:c>
      <x:c r="T11" s="43" t="n">
        <x:f>T8*T9*T10</x:f>
        <x:v>17280000</x:v>
      </x:c>
      <x:c r="U11" s="43" t="n">
        <x:f>U8*U9*U10</x:f>
        <x:v>17280000</x:v>
      </x:c>
      <x:c r="V11" s="43" t="n">
        <x:f>V8*V9*V10</x:f>
        <x:v>17280000</x:v>
      </x:c>
      <x:c r="W11" s="43" t="n">
        <x:f>W8*W9*W10</x:f>
        <x:v>17280000</x:v>
      </x:c>
      <x:c r="X11" s="43" t="n">
        <x:f>X8*X9*X10</x:f>
        <x:v>17280000</x:v>
      </x:c>
      <x:c r="Y11" s="43" t="n">
        <x:f>Y8*Y9*Y10</x:f>
        <x:v>17280000</x:v>
      </x:c>
      <x:c r="Z11" s="43" t="n">
        <x:f>Z8*Z9*Z10</x:f>
        <x:v>17280000</x:v>
      </x:c>
      <x:c r="AA11" s="43" t="n">
        <x:f>AA8*AA9*AA10</x:f>
        <x:v>17280000</x:v>
      </x:c>
      <x:c r="AB11" s="43" t="n">
        <x:f>AB8*AB9*AB10</x:f>
        <x:v>17280000</x:v>
      </x:c>
      <x:c r="AC11" s="43" t="n">
        <x:f>AC8*AC9*AC10</x:f>
        <x:v>17280000</x:v>
      </x:c>
      <x:c r="AD11" s="43" t="n">
        <x:f>AD8*AD9*AD10</x:f>
        <x:v>17280000</x:v>
      </x:c>
      <x:c r="AE11" s="43" t="n">
        <x:f>AE8*AE9*AE10</x:f>
        <x:v>17280000</x:v>
      </x:c>
      <x:c r="AF11" s="43" t="n">
        <x:f>AF8*AF9*AF10</x:f>
        <x:v>17280000</x:v>
      </x:c>
      <x:c r="AG11" s="43" t="n">
        <x:f>AG8*AG9*AG10</x:f>
        <x:v>17280000</x:v>
      </x:c>
      <x:c r="AH11" s="43" t="n">
        <x:f>AH8*AH9*AH10</x:f>
        <x:v>17280000</x:v>
      </x:c>
      <x:c r="AI11" s="43" t="n">
        <x:f>AI8*AI9*AI10</x:f>
        <x:v>17280000</x:v>
      </x:c>
      <x:c r="AJ11" s="43" t="n">
        <x:f>AJ8*AJ9*AJ10</x:f>
        <x:v>17280000</x:v>
      </x:c>
      <x:c r="AK11" s="43" t="n">
        <x:f>AK8*AK9*AK10</x:f>
        <x:v>17280000</x:v>
      </x:c>
      <x:c r="AL11" s="43" t="n">
        <x:f>AL8*AL9*AL10</x:f>
        <x:v>17280000</x:v>
      </x:c>
      <x:c r="AM11" s="43" t="n">
        <x:f>AM8*AM9*AM10</x:f>
        <x:v>17280000</x:v>
      </x:c>
      <x:c r="AN11" s="43" t="n">
        <x:f>AN8*AN9*AN10</x:f>
        <x:v>17280000</x:v>
      </x:c>
      <x:c r="AO11" s="43" t="n">
        <x:f>AO8*AO9*AO10</x:f>
        <x:v>17280000</x:v>
      </x:c>
      <x:c r="AP11" s="43" t="n">
        <x:f>AP8*AP9*AP10</x:f>
        <x:v>17280000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306720000</x:v>
      </x:c>
      <x:c r="F13" s="2"/>
      <x:c r="G13" s="35" t="n">
        <x:f>$E$44</x:f>
        <x:v>306720000</x:v>
      </x:c>
      <x:c r="H13" s="35" t="n">
        <x:f>G16</x:f>
        <x:v>278299604.16758955</x:v>
      </x:c>
      <x:c r="I13" s="35" t="n">
        <x:f>H16</x:f>
        <x:v>261004225.23717096</x:v>
      </x:c>
      <x:c r="J13" s="35" t="n">
        <x:f>I16</x:f>
        <x:v>248751735.57104897</x:v>
      </x:c>
      <x:c r="K13" s="35" t="n">
        <x:f>J16</x:f>
        <x:v>239553505.6779951</x:v>
      </x:c>
      <x:c r="L13" s="35" t="n">
        <x:f>K16</x:f>
        <x:v>232444239.94194338</x:v>
      </x:c>
      <x:c r="M13" s="35" t="n">
        <x:f>L16</x:f>
        <x:v>226874390.9106855</x:v>
      </x:c>
      <x:c r="N13" s="35" t="n">
        <x:f>M16</x:f>
        <x:v>222500714.61123535</x:v>
      </x:c>
      <x:c r="O13" s="35" t="n">
        <x:f>N16</x:f>
        <x:v>219090896.87629077</x:v>
      </x:c>
      <x:c r="P13" s="35" t="n">
        <x:f>O16</x:f>
        <x:v>216475639.24703538</x:v>
      </x:c>
      <x:c r="Q13" s="35" t="n">
        <x:f>P16</x:f>
        <x:v>214524166.94737303</x:v>
      </x:c>
      <x:c r="R13" s="35" t="n">
        <x:f>Q16</x:f>
        <x:v>213131289.86134335</x:v>
      </x:c>
      <x:c r="S13" s="35" t="n">
        <x:f>R16</x:f>
        <x:v>212209979.88943875</x:v>
      </x:c>
      <x:c r="T13" s="35" t="n">
        <x:f>S16</x:f>
        <x:v>211686603.34796965</x:v>
      </x:c>
      <x:c r="U13" s="35" t="n">
        <x:f>T16</x:f>
        <x:v>211497489.21178114</x:v>
      </x:c>
      <x:c r="V13" s="35" t="n">
        <x:f>U16</x:f>
        <x:v>211586181.78608447</x:v>
      </x:c>
      <x:c r="W13" s="35" t="n">
        <x:f>V16</x:f>
        <x:v>211901001.38518658</x:v>
      </x:c>
      <x:c r="X13" s="35" t="n">
        <x:f>W16</x:f>
        <x:v>212392673.9298327</x:v>
      </x:c>
      <x:c r="Y13" s="35" t="n">
        <x:f>X16</x:f>
        <x:v>213011945.1719333</x:v>
      </x:c>
      <x:c r="Z13" s="35" t="n">
        <x:f>Y16</x:f>
        <x:v>213707395.0533243</x:v>
      </x:c>
      <x:c r="AA13" s="35" t="n">
        <x:f>Z16</x:f>
        <x:v>214424137.3673544</x:v>
      </x:c>
      <x:c r="AB13" s="35" t="n">
        <x:f>AA16</x:f>
        <x:v>215104377.15958428</x:v>
      </x:c>
      <x:c r="AC13" s="35" t="n">
        <x:f>AB16</x:f>
        <x:v>215690151.5633241</x:v>
      </x:c>
      <x:c r="AD13" s="35" t="n">
        <x:f>AC16</x:f>
        <x:v>216126993.35431132</x:v>
      </x:c>
      <x:c r="AE13" s="35" t="n">
        <x:f>AD16</x:f>
        <x:v>216366442.79870296</x:v>
      </x:c>
      <x:c r="AF13" s="35" t="n">
        <x:f>AE16</x:f>
        <x:v>216366442.79870296</x:v>
      </x:c>
      <x:c r="AG13" s="35" t="n">
        <x:f>AF16</x:f>
        <x:v>216366442.79870296</x:v>
      </x:c>
      <x:c r="AH13" s="35" t="n">
        <x:f>AG16</x:f>
        <x:v>216366442.79870296</x:v>
      </x:c>
      <x:c r="AI13" s="35" t="n">
        <x:f>AH16</x:f>
        <x:v>216366442.79870296</x:v>
      </x:c>
      <x:c r="AJ13" s="35" t="n">
        <x:f>AI16</x:f>
        <x:v>216366442.79870296</x:v>
      </x:c>
      <x:c r="AK13" s="35" t="n">
        <x:f>AJ16</x:f>
        <x:v>216366442.79870296</x:v>
      </x:c>
      <x:c r="AL13" s="35" t="n">
        <x:f>AK16</x:f>
        <x:v>216366442.79870296</x:v>
      </x:c>
      <x:c r="AM13" s="35" t="n">
        <x:f>AL16</x:f>
        <x:v>216366442.79870296</x:v>
      </x:c>
      <x:c r="AN13" s="35" t="n">
        <x:f>AM16</x:f>
        <x:v>216366442.79870296</x:v>
      </x:c>
      <x:c r="AO13" s="35" t="n">
        <x:f>AN16</x:f>
        <x:v>216366442.79870296</x:v>
      </x:c>
      <x:c r="AP13" s="35" t="n">
        <x:f>AO16</x:f>
        <x:v>216366442.79870296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431727142.1751938</x:v>
      </x:c>
      <x:c r="F14" s="2"/>
      <x:c r="G14" s="35" t="n">
        <x:f>SUM(G29:G30)</x:f>
        <x:v>42885683.13829718</x:v>
      </x:c>
      <x:c r="H14" s="35" t="n">
        <x:f>SUM(H29:H30)</x:f>
        <x:v>31808597.6194188</x:v>
      </x:c>
      <x:c r="I14" s="35" t="n">
        <x:f>SUM(I29:I30)</x:f>
        <x:v>26757786.039619345</x:v>
      </x:c>
      <x:c r="J14" s="35" t="n">
        <x:f>SUM(J29:J30)</x:f>
        <x:v>23651057.24877038</x:v>
      </x:c>
      <x:c r="K14" s="35" t="n">
        <x:f>SUM(K29:K30)</x:f>
        <x:v>21487319.299841564</x:v>
      </x:c>
      <x:c r="L14" s="35" t="n">
        <x:f>SUM(L29:L30)</x:f>
        <x:v>19873804.882688776</x:v>
      </x:c>
      <x:c r="M14" s="35" t="n">
        <x:f>SUM(M29:M30)</x:f>
        <x:v>18618105.08854402</x:v>
      </x:c>
      <x:c r="N14" s="35" t="n">
        <x:f>SUM(N29:N30)</x:f>
        <x:v>17612588.81962421</x:v>
      </x:c>
      <x:c r="O14" s="35" t="n">
        <x:f>SUM(O29:O30)</x:f>
        <x:v>16791402.782686982</x:v>
      </x:c>
      <x:c r="P14" s="35" t="n">
        <x:f>SUM(P29:P30)</x:f>
        <x:v>16111562.38800085</x:v>
      </x:c>
      <x:c r="Q14" s="35" t="n">
        <x:f>SUM(Q29:Q30)</x:f>
        <x:v>15543638.411725525</x:v>
      </x:c>
      <x:c r="R14" s="35" t="n">
        <x:f>SUM(R29:R30)</x:f>
        <x:v>15066778.960678807</x:v>
      </x:c>
      <x:c r="S14" s="35" t="n">
        <x:f>SUM(S29:S30)</x:f>
        <x:v>14665891.349845024</x:v>
      </x:c>
      <x:c r="T14" s="35" t="n">
        <x:f>SUM(T29:T30)</x:f>
        <x:v>14329999.51399035</x:v>
      </x:c>
      <x:c r="U14" s="35" t="n">
        <x:f>SUM(U29:U30)</x:f>
        <x:v>14051302.932809953</x:v>
      </x:c>
      <x:c r="V14" s="35" t="n">
        <x:f>SUM(V29:V30)</x:f>
        <x:v>13824694.446290433</x:v>
      </x:c>
      <x:c r="W14" s="35" t="n">
        <x:f>SUM(W29:W30)</x:f>
        <x:v>13647583.55277581</x:v>
      </x:c>
      <x:c r="X14" s="35" t="n">
        <x:f>SUM(X29:X30)</x:f>
        <x:v>13519848.201208029</x:v>
      </x:c>
      <x:c r="Y14" s="35" t="n">
        <x:f>SUM(Y29:Y30)</x:f>
        <x:v>13443598.152847629</x:v>
      </x:c>
      <x:c r="Z14" s="35" t="n">
        <x:f>SUM(Z29:Z30)</x:f>
        <x:v>13422269.062027432</x:v>
      </x:c>
      <x:c r="AA14" s="35" t="n">
        <x:f>SUM(AA29:AA30)</x:f>
        <x:v>13458753.219880208</x:v>
      </x:c>
      <x:c r="AB14" s="35" t="n">
        <x:f>SUM(AB29:AB30)</x:f>
        <x:v>13553209.737033892</x:v>
      </x:c>
      <x:c r="AC14" s="35" t="n">
        <x:f>SUM(AC29:AC30)</x:f>
        <x:v>13702138.311474705</x:v>
      </x:c>
      <x:c r="AD14" s="35" t="n">
        <x:f>SUM(AD29:AD30)</x:f>
        <x:v>13899529.01511384</x:v>
      </x:c>
      <x:c r="AE14" s="35" t="n">
        <x:f>SUM(AE29:AE30)</x:f>
        <x:v>14138977.955323543</x:v>
      </x:c>
      <x:c r="AF14" s="35" t="n">
        <x:f>SUM(AF29:AF30)</x:f>
        <x:v>14138977.955323543</x:v>
      </x:c>
      <x:c r="AG14" s="35" t="n">
        <x:f>SUM(AG29:AG30)</x:f>
        <x:v>14138977.955323543</x:v>
      </x:c>
      <x:c r="AH14" s="35" t="n">
        <x:f>SUM(AH29:AH30)</x:f>
        <x:v>14138977.955323543</x:v>
      </x:c>
      <x:c r="AI14" s="35" t="n">
        <x:f>SUM(AI29:AI30)</x:f>
        <x:v>14138977.955323543</x:v>
      </x:c>
      <x:c r="AJ14" s="35" t="n">
        <x:f>SUM(AJ29:AJ30)</x:f>
        <x:v>14138977.955323543</x:v>
      </x:c>
      <x:c r="AK14" s="35" t="n">
        <x:f>SUM(AK29:AK30)</x:f>
        <x:v>14138977.955323543</x:v>
      </x:c>
      <x:c r="AL14" s="35" t="n">
        <x:f>SUM(AL29:AL30)</x:f>
        <x:v>14138977.955323543</x:v>
      </x:c>
      <x:c r="AM14" s="35" t="n">
        <x:f>SUM(AM29:AM30)</x:f>
        <x:v>14138977.955323543</x:v>
      </x:c>
      <x:c r="AN14" s="35" t="n">
        <x:f>SUM(AN29:AN30)</x:f>
        <x:v>14138977.955323543</x:v>
      </x:c>
      <x:c r="AO14" s="35" t="n">
        <x:f>SUM(AO29:AO30)</x:f>
        <x:v>14138977.955323543</x:v>
      </x:c>
      <x:c r="AP14" s="35" t="n">
        <x:f>SUM(AP29:AP30)</x:f>
        <x:v>14138977.955323543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73346415.02610327</x:v>
      </x:c>
      <x:c r="F15" s="2"/>
      <x:c r="G15" s="35" t="n">
        <x:f>SUM(G27:G28)</x:f>
        <x:v>2814712.694113267</x:v>
      </x:c>
      <x:c r="H15" s="35" t="n">
        <x:f>SUM(H27:H28)</x:f>
        <x:v>2766781.310999768</x:v>
      </x:c>
      <x:c r="I15" s="35" t="n">
        <x:f>SUM(I27:I28)</x:f>
        <x:v>2774703.6265026005</x:v>
      </x:c>
      <x:c r="J15" s="35" t="n">
        <x:f>SUM(J27:J28)</x:f>
        <x:v>2827172.6442835163</x:v>
      </x:c>
      <x:c r="K15" s="35" t="n">
        <x:f>SUM(K27:K28)</x:f>
        <x:v>2901946.436210153</x:v>
      </x:c>
      <x:c r="L15" s="35" t="n">
        <x:f>SUM(L27:L28)</x:f>
        <x:v>2976044.1485690745</x:v>
      </x:c>
      <x:c r="M15" s="35" t="n">
        <x:f>SUM(M27:M28)</x:f>
        <x:v>3035571.2109061554</x:v>
      </x:c>
      <x:c r="N15" s="35" t="n">
        <x:f>SUM(N27:N28)</x:f>
        <x:v>3077228.9153203657</x:v>
      </x:c>
      <x:c r="O15" s="35" t="n">
        <x:f>SUM(O27:O28)</x:f>
        <x:v>3103854.8465683986</x:v>
      </x:c>
      <x:c r="P15" s="35" t="n">
        <x:f>SUM(P27:P28)</x:f>
        <x:v>3119909.9116615034</x:v>
      </x:c>
      <x:c r="Q15" s="35" t="n">
        <x:f>SUM(Q27:Q28)</x:f>
        <x:v>3129238.674304156</x:v>
      </x:c>
      <x:c r="R15" s="35" t="n">
        <x:f>SUM(R27:R28)</x:f>
        <x:v>3134531.0112258047</x:v>
      </x:c>
      <x:c r="S15" s="35" t="n">
        <x:f>SUM(S27:S28)</x:f>
        <x:v>3137485.1916240705</x:v>
      </x:c>
      <x:c r="T15" s="35" t="n">
        <x:f>SUM(T27:T28)</x:f>
        <x:v>3139114.622198165</x:v>
      </x:c>
      <x:c r="U15" s="35" t="n">
        <x:f>SUM(U27:U28)</x:f>
        <x:v>3140004.492886735</x:v>
      </x:c>
      <x:c r="V15" s="35" t="n">
        <x:f>SUM(V27:V28)</x:f>
        <x:v>3140485.9546074593</x:v>
      </x:c>
      <x:c r="W15" s="35" t="n">
        <x:f>SUM(W27:W28)</x:f>
        <x:v>3140743.902578094</x:v>
      </x:c>
      <x:c r="X15" s="35" t="n">
        <x:f>SUM(X27:X28)</x:f>
        <x:v>3140880.556691386</x:v>
      </x:c>
      <x:c r="Y15" s="35" t="n">
        <x:f>SUM(Y27:Y28)</x:f>
        <x:v>3140951.9657613514</x:v>
      </x:c>
      <x:c r="Z15" s="35" t="n">
        <x:f>SUM(Z27:Z28)</x:f>
        <x:v>3140988.6239425065</x:v>
      </x:c>
      <x:c r="AA15" s="35" t="n">
        <x:f>SUM(AA27:AA28)</x:f>
        <x:v>3141006.987889883</x:v>
      </x:c>
      <x:c r="AB15" s="35" t="n">
        <x:f>SUM(AB27:AB28)</x:f>
        <x:v>3141015.8592262794</x:v>
      </x:c>
      <x:c r="AC15" s="35" t="n">
        <x:f>SUM(AC27:AC28)</x:f>
        <x:v>3141019.897538056</x:v>
      </x:c>
      <x:c r="AD15" s="35" t="n">
        <x:f>SUM(AD27:AD28)</x:f>
        <x:v>3141021.540494529</x:v>
      </x:c>
      <x:c r="AE15" s="35" t="n">
        <x:f>SUM(AE27:AE28)</x:f>
        <x:v>3141022.0446764566</x:v>
      </x:c>
      <x:c r="AF15" s="35" t="n">
        <x:f>SUM(AF27:AF28)</x:f>
        <x:v>3141022.0446764566</x:v>
      </x:c>
      <x:c r="AG15" s="35" t="n">
        <x:f>SUM(AG27:AG28)</x:f>
        <x:v>3141022.0446764566</x:v>
      </x:c>
      <x:c r="AH15" s="35" t="n">
        <x:f>SUM(AH27:AH28)</x:f>
        <x:v>3141022.0446764566</x:v>
      </x:c>
      <x:c r="AI15" s="35" t="n">
        <x:f>SUM(AI27:AI28)</x:f>
        <x:v>3141022.0446764566</x:v>
      </x:c>
      <x:c r="AJ15" s="35" t="n">
        <x:f>SUM(AJ27:AJ28)</x:f>
        <x:v>3141022.0446764566</x:v>
      </x:c>
      <x:c r="AK15" s="35" t="n">
        <x:f>SUM(AK27:AK28)</x:f>
        <x:v>3141022.0446764566</x:v>
      </x:c>
      <x:c r="AL15" s="35" t="n">
        <x:f>SUM(AL27:AL28)</x:f>
        <x:v>3141022.0446764566</x:v>
      </x:c>
      <x:c r="AM15" s="35" t="n">
        <x:f>SUM(AM27:AM28)</x:f>
        <x:v>3141022.0446764566</x:v>
      </x:c>
      <x:c r="AN15" s="35" t="n">
        <x:f>SUM(AN27:AN28)</x:f>
        <x:v>3141022.0446764566</x:v>
      </x:c>
      <x:c r="AO15" s="35" t="n">
        <x:f>SUM(AO27:AO28)</x:f>
        <x:v>3141022.0446764566</x:v>
      </x:c>
      <x:c r="AP15" s="35" t="n">
        <x:f>SUM(AP27:AP28)</x:f>
        <x:v>3141022.0446764566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216366442.79870296</x:v>
      </x:c>
      <x:c r="F16" s="42"/>
      <x:c r="G16" s="43" t="n">
        <x:f>G13+G11-G14-G15</x:f>
        <x:v>278299604.16758955</x:v>
      </x:c>
      <x:c r="H16" s="43" t="n">
        <x:f>H13+H11-H14-H15</x:f>
        <x:v>261004225.23717096</x:v>
      </x:c>
      <x:c r="I16" s="43" t="n">
        <x:f>I13+I11-I14-I15</x:f>
        <x:v>248751735.57104897</x:v>
      </x:c>
      <x:c r="J16" s="43" t="n">
        <x:f>J13+J11-J14-J15</x:f>
        <x:v>239553505.6779951</x:v>
      </x:c>
      <x:c r="K16" s="43" t="n">
        <x:f>K13+K11-K14-K15</x:f>
        <x:v>232444239.94194338</x:v>
      </x:c>
      <x:c r="L16" s="43" t="n">
        <x:f>L13+L11-L14-L15</x:f>
        <x:v>226874390.9106855</x:v>
      </x:c>
      <x:c r="M16" s="43" t="n">
        <x:f>M13+M11-M14-M15</x:f>
        <x:v>222500714.61123535</x:v>
      </x:c>
      <x:c r="N16" s="43" t="n">
        <x:f>N13+N11-N14-N15</x:f>
        <x:v>219090896.87629077</x:v>
      </x:c>
      <x:c r="O16" s="43" t="n">
        <x:f>O13+O11-O14-O15</x:f>
        <x:v>216475639.24703538</x:v>
      </x:c>
      <x:c r="P16" s="43" t="n">
        <x:f>P13+P11-P14-P15</x:f>
        <x:v>214524166.94737303</x:v>
      </x:c>
      <x:c r="Q16" s="43" t="n">
        <x:f>Q13+Q11-Q14-Q15</x:f>
        <x:v>213131289.86134335</x:v>
      </x:c>
      <x:c r="R16" s="43" t="n">
        <x:f>R13+R11-R14-R15</x:f>
        <x:v>212209979.88943875</x:v>
      </x:c>
      <x:c r="S16" s="43" t="n">
        <x:f>S13+S11-S14-S15</x:f>
        <x:v>211686603.34796965</x:v>
      </x:c>
      <x:c r="T16" s="43" t="n">
        <x:f>T13+T11-T14-T15</x:f>
        <x:v>211497489.21178114</x:v>
      </x:c>
      <x:c r="U16" s="43" t="n">
        <x:f>U13+U11-U14-U15</x:f>
        <x:v>211586181.78608447</x:v>
      </x:c>
      <x:c r="V16" s="43" t="n">
        <x:f>V13+V11-V14-V15</x:f>
        <x:v>211901001.38518658</x:v>
      </x:c>
      <x:c r="W16" s="43" t="n">
        <x:f>W13+W11-W14-W15</x:f>
        <x:v>212392673.9298327</x:v>
      </x:c>
      <x:c r="X16" s="43" t="n">
        <x:f>X13+X11-X14-X15</x:f>
        <x:v>213011945.1719333</x:v>
      </x:c>
      <x:c r="Y16" s="43" t="n">
        <x:f>Y13+Y11-Y14-Y15</x:f>
        <x:v>213707395.0533243</x:v>
      </x:c>
      <x:c r="Z16" s="43" t="n">
        <x:f>Z13+Z11-Z14-Z15</x:f>
        <x:v>214424137.3673544</x:v>
      </x:c>
      <x:c r="AA16" s="43" t="n">
        <x:f>AA13+AA11-AA14-AA15</x:f>
        <x:v>215104377.15958428</x:v>
      </x:c>
      <x:c r="AB16" s="43" t="n">
        <x:f>AB13+AB11-AB14-AB15</x:f>
        <x:v>215690151.5633241</x:v>
      </x:c>
      <x:c r="AC16" s="43" t="n">
        <x:f>AC13+AC11-AC14-AC15</x:f>
        <x:v>216126993.35431132</x:v>
      </x:c>
      <x:c r="AD16" s="43" t="n">
        <x:f>AD13+AD11-AD14-AD15</x:f>
        <x:v>216366442.79870296</x:v>
      </x:c>
      <x:c r="AE16" s="43" t="n">
        <x:f>AE13+AE11-AE14-AE15</x:f>
        <x:v>216366442.79870296</x:v>
      </x:c>
      <x:c r="AF16" s="43" t="n">
        <x:f>AF13+AF11-AF14-AF15</x:f>
        <x:v>216366442.79870296</x:v>
      </x:c>
      <x:c r="AG16" s="43" t="n">
        <x:f>AG13+AG11-AG14-AG15</x:f>
        <x:v>216366442.79870296</x:v>
      </x:c>
      <x:c r="AH16" s="43" t="n">
        <x:f>AH13+AH11-AH14-AH15</x:f>
        <x:v>216366442.79870296</x:v>
      </x:c>
      <x:c r="AI16" s="43" t="n">
        <x:f>AI13+AI11-AI14-AI15</x:f>
        <x:v>216366442.79870296</x:v>
      </x:c>
      <x:c r="AJ16" s="43" t="n">
        <x:f>AJ13+AJ11-AJ14-AJ15</x:f>
        <x:v>216366442.79870296</x:v>
      </x:c>
      <x:c r="AK16" s="43" t="n">
        <x:f>AK13+AK11-AK14-AK15</x:f>
        <x:v>216366442.79870296</x:v>
      </x:c>
      <x:c r="AL16" s="43" t="n">
        <x:f>AL13+AL11-AL14-AL15</x:f>
        <x:v>216366442.79870296</x:v>
      </x:c>
      <x:c r="AM16" s="43" t="n">
        <x:f>AM13+AM11-AM14-AM15</x:f>
        <x:v>216366442.79870296</x:v>
      </x:c>
      <x:c r="AN16" s="43" t="n">
        <x:f>AN13+AN11-AN14-AN15</x:f>
        <x:v>216366442.79870296</x:v>
      </x:c>
      <x:c r="AO16" s="43" t="n">
        <x:f>AO13+AO11-AO14-AO15</x:f>
        <x:v>216366442.79870296</x:v>
      </x:c>
      <x:c r="AP16" s="43" t="n">
        <x:f>AP13+AP11-AP14-AP15</x:f>
        <x:v>216366442.79870296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11322486.840180304</x:v>
      </x:c>
      <x:c r="F18" s="2"/>
      <x:c r="G18" s="35" t="n">
        <x:f>$E$48</x:f>
        <x:v>11322486.840180304</x:v>
      </x:c>
      <x:c r="H18" s="35" t="n">
        <x:f>G20</x:f>
        <x:v>11648796.190743493</x:v>
      </x:c>
      <x:c r="I18" s="35" t="n">
        <x:f>H20</x:f>
        <x:v>12023036.924420184</x:v>
      </x:c>
      <x:c r="J18" s="35" t="n">
        <x:f>I20</x:f>
        <x:v>12389355.342594042</x:v>
      </x:c>
      <x:c r="K18" s="35" t="n">
        <x:f>J20</x:f>
        <x:v>12703204.742986983</x:v>
      </x:c>
      <x:c r="L18" s="35" t="n">
        <x:f>K20</x:f>
        <x:v>12942280.351453288</x:v>
      </x:c>
      <x:c r="M18" s="35" t="n">
        <x:f>L20</x:f>
        <x:v>13107258.247560672</x:v>
      </x:c>
      <x:c r="N18" s="35" t="n">
        <x:f>M20</x:f>
        <x:v>13212709.081330974</x:v>
      </x:c>
      <x:c r="O18" s="35" t="n">
        <x:f>N20</x:f>
        <x:v>13276502.210687064</x:v>
      </x:c>
      <x:c r="P18" s="35" t="n">
        <x:f>O20</x:f>
        <x:v>13313669.408795122</x:v>
      </x:c>
      <x:c r="Q18" s="35" t="n">
        <x:f>P20</x:f>
        <x:v>13334781.541810075</x:v>
      </x:c>
      <x:c r="R18" s="35" t="n">
        <x:f>Q20</x:f>
        <x:v>13346564.912182378</x:v>
      </x:c>
      <x:c r="S18" s="35" t="n">
        <x:f>R20</x:f>
        <x:v>13353055.945633031</x:v>
      </x:c>
      <x:c r="T18" s="35" t="n">
        <x:f>S20</x:f>
        <x:v>13356592.798685417</x:v>
      </x:c>
      <x:c r="U18" s="35" t="n">
        <x:f>T20</x:f>
        <x:v>13358500.221163709</x:v>
      </x:c>
      <x:c r="V18" s="35" t="n">
        <x:f>U20</x:f>
        <x:v>13359517.77295343</x:v>
      </x:c>
      <x:c r="W18" s="35" t="n">
        <x:f>V20</x:f>
        <x:v>13360053.86302243</x:v>
      </x:c>
      <x:c r="X18" s="35" t="n">
        <x:f>W20</x:f>
        <x:v>13360332.005120795</x:v>
      </x:c>
      <x:c r="Y18" s="35" t="n">
        <x:f>X20</x:f>
        <x:v>13360473.493105866</x:v>
      </x:c>
      <x:c r="Z18" s="35" t="n">
        <x:f>Y20</x:f>
        <x:v>13360543.57202097</x:v>
      </x:c>
      <x:c r="AA18" s="35" t="n">
        <x:f>Z20</x:f>
        <x:v>13360576.992754921</x:v>
      </x:c>
      <x:c r="AB18" s="35" t="n">
        <x:f>AA20</x:f>
        <x:v>13360592.049541496</x:v>
      </x:c>
      <x:c r="AC18" s="35" t="n">
        <x:f>AB20</x:f>
        <x:v>13360598.234991673</x:v>
      </x:c>
      <x:c r="AD18" s="35" t="n">
        <x:f>AC20</x:f>
        <x:v>13360600.382130073</x:v>
      </x:c>
      <x:c r="AE18" s="35" t="n">
        <x:f>AD20</x:f>
        <x:v>13360600.886312002</x:v>
      </x:c>
      <x:c r="AF18" s="35" t="n">
        <x:f>AE20</x:f>
        <x:v>13360600.886312004</x:v>
      </x:c>
      <x:c r="AG18" s="35" t="n">
        <x:f>AF20</x:f>
        <x:v>13360600.886312004</x:v>
      </x:c>
      <x:c r="AH18" s="35" t="n">
        <x:f>AG20</x:f>
        <x:v>13360600.886312004</x:v>
      </x:c>
      <x:c r="AI18" s="35" t="n">
        <x:f>AH20</x:f>
        <x:v>13360600.886312004</x:v>
      </x:c>
      <x:c r="AJ18" s="35" t="n">
        <x:f>AI20</x:f>
        <x:v>13360600.886312004</x:v>
      </x:c>
      <x:c r="AK18" s="35" t="n">
        <x:f>AJ20</x:f>
        <x:v>13360600.886312004</x:v>
      </x:c>
      <x:c r="AL18" s="35" t="n">
        <x:f>AK20</x:f>
        <x:v>13360600.886312004</x:v>
      </x:c>
      <x:c r="AM18" s="35" t="n">
        <x:f>AL20</x:f>
        <x:v>13360600.886312004</x:v>
      </x:c>
      <x:c r="AN18" s="35" t="n">
        <x:f>AM20</x:f>
        <x:v>13360600.886312004</x:v>
      </x:c>
      <x:c r="AO18" s="35" t="n">
        <x:f>AN20</x:f>
        <x:v>13360600.886312004</x:v>
      </x:c>
      <x:c r="AP18" s="35" t="n">
        <x:f>AO20</x:f>
        <x:v>13360600.886312004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75384529.07223499</x:v>
      </x:c>
      <x:c r="F19" s="2"/>
      <x:c r="G19" s="35" t="n">
        <x:f>G11*$E$49</x:f>
        <x:v>3141022.0446764575</x:v>
      </x:c>
      <x:c r="H19" s="35" t="n">
        <x:f>H11*$E$49</x:f>
        <x:v>3141022.0446764575</x:v>
      </x:c>
      <x:c r="I19" s="35" t="n">
        <x:f>I11*$E$49</x:f>
        <x:v>3141022.0446764575</x:v>
      </x:c>
      <x:c r="J19" s="35" t="n">
        <x:f>J11*$E$49</x:f>
        <x:v>3141022.0446764575</x:v>
      </x:c>
      <x:c r="K19" s="35" t="n">
        <x:f>K11*$E$49</x:f>
        <x:v>3141022.0446764575</x:v>
      </x:c>
      <x:c r="L19" s="35" t="n">
        <x:f>L11*$E$49</x:f>
        <x:v>3141022.0446764575</x:v>
      </x:c>
      <x:c r="M19" s="35" t="n">
        <x:f>M11*$E$49</x:f>
        <x:v>3141022.0446764575</x:v>
      </x:c>
      <x:c r="N19" s="35" t="n">
        <x:f>N11*$E$49</x:f>
        <x:v>3141022.0446764575</x:v>
      </x:c>
      <x:c r="O19" s="35" t="n">
        <x:f>O11*$E$49</x:f>
        <x:v>3141022.0446764575</x:v>
      </x:c>
      <x:c r="P19" s="35" t="n">
        <x:f>P11*$E$49</x:f>
        <x:v>3141022.0446764575</x:v>
      </x:c>
      <x:c r="Q19" s="35" t="n">
        <x:f>Q11*$E$49</x:f>
        <x:v>3141022.0446764575</x:v>
      </x:c>
      <x:c r="R19" s="35" t="n">
        <x:f>R11*$E$49</x:f>
        <x:v>3141022.0446764575</x:v>
      </x:c>
      <x:c r="S19" s="35" t="n">
        <x:f>S11*$E$49</x:f>
        <x:v>3141022.0446764575</x:v>
      </x:c>
      <x:c r="T19" s="35" t="n">
        <x:f>T11*$E$49</x:f>
        <x:v>3141022.0446764575</x:v>
      </x:c>
      <x:c r="U19" s="35" t="n">
        <x:f>U11*$E$49</x:f>
        <x:v>3141022.0446764575</x:v>
      </x:c>
      <x:c r="V19" s="35" t="n">
        <x:f>V11*$E$49</x:f>
        <x:v>3141022.0446764575</x:v>
      </x:c>
      <x:c r="W19" s="35" t="n">
        <x:f>W11*$E$49</x:f>
        <x:v>3141022.0446764575</x:v>
      </x:c>
      <x:c r="X19" s="35" t="n">
        <x:f>X11*$E$49</x:f>
        <x:v>3141022.0446764575</x:v>
      </x:c>
      <x:c r="Y19" s="35" t="n">
        <x:f>Y11*$E$49</x:f>
        <x:v>3141022.0446764575</x:v>
      </x:c>
      <x:c r="Z19" s="35" t="n">
        <x:f>Z11*$E$49</x:f>
        <x:v>3141022.0446764575</x:v>
      </x:c>
      <x:c r="AA19" s="35" t="n">
        <x:f>AA11*$E$49</x:f>
        <x:v>3141022.0446764575</x:v>
      </x:c>
      <x:c r="AB19" s="35" t="n">
        <x:f>AB11*$E$49</x:f>
        <x:v>3141022.0446764575</x:v>
      </x:c>
      <x:c r="AC19" s="35" t="n">
        <x:f>AC11*$E$49</x:f>
        <x:v>3141022.0446764575</x:v>
      </x:c>
      <x:c r="AD19" s="35" t="n">
        <x:f>AD11*$E$49</x:f>
        <x:v>3141022.0446764575</x:v>
      </x:c>
      <x:c r="AE19" s="35" t="n">
        <x:f>AE11*$E$49</x:f>
        <x:v>3141022.0446764575</x:v>
      </x:c>
      <x:c r="AF19" s="35" t="n">
        <x:f>AF11*$E$49</x:f>
        <x:v>3141022.0446764575</x:v>
      </x:c>
      <x:c r="AG19" s="35" t="n">
        <x:f>AG11*$E$49</x:f>
        <x:v>3141022.0446764575</x:v>
      </x:c>
      <x:c r="AH19" s="35" t="n">
        <x:f>AH11*$E$49</x:f>
        <x:v>3141022.0446764575</x:v>
      </x:c>
      <x:c r="AI19" s="35" t="n">
        <x:f>AI11*$E$49</x:f>
        <x:v>3141022.0446764575</x:v>
      </x:c>
      <x:c r="AJ19" s="35" t="n">
        <x:f>AJ11*$E$49</x:f>
        <x:v>3141022.0446764575</x:v>
      </x:c>
      <x:c r="AK19" s="35" t="n">
        <x:f>AK11*$E$49</x:f>
        <x:v>3141022.0446764575</x:v>
      </x:c>
      <x:c r="AL19" s="35" t="n">
        <x:f>AL11*$E$49</x:f>
        <x:v>3141022.0446764575</x:v>
      </x:c>
      <x:c r="AM19" s="35" t="n">
        <x:f>AM11*$E$49</x:f>
        <x:v>3141022.0446764575</x:v>
      </x:c>
      <x:c r="AN19" s="35" t="n">
        <x:f>AN11*$E$49</x:f>
        <x:v>3141022.0446764575</x:v>
      </x:c>
      <x:c r="AO19" s="35" t="n">
        <x:f>AO11*$E$49</x:f>
        <x:v>3141022.0446764575</x:v>
      </x:c>
      <x:c r="AP19" s="35" t="n">
        <x:f>AP11*$E$49</x:f>
        <x:v>3141022.0446764575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13360600.886312002</x:v>
      </x:c>
      <x:c r="F20" s="42"/>
      <x:c r="G20" s="43" t="n">
        <x:f>G18+G19-G15</x:f>
        <x:v>11648796.190743493</x:v>
      </x:c>
      <x:c r="H20" s="43" t="n">
        <x:f>H18+H19-H15</x:f>
        <x:v>12023036.924420184</x:v>
      </x:c>
      <x:c r="I20" s="43" t="n">
        <x:f>I18+I19-I15</x:f>
        <x:v>12389355.342594042</x:v>
      </x:c>
      <x:c r="J20" s="43" t="n">
        <x:f>J18+J19-J15</x:f>
        <x:v>12703204.742986983</x:v>
      </x:c>
      <x:c r="K20" s="43" t="n">
        <x:f>K18+K19-K15</x:f>
        <x:v>12942280.351453288</x:v>
      </x:c>
      <x:c r="L20" s="43" t="n">
        <x:f>L18+L19-L15</x:f>
        <x:v>13107258.247560672</x:v>
      </x:c>
      <x:c r="M20" s="43" t="n">
        <x:f>M18+M19-M15</x:f>
        <x:v>13212709.081330974</x:v>
      </x:c>
      <x:c r="N20" s="43" t="n">
        <x:f>N18+N19-N15</x:f>
        <x:v>13276502.210687064</x:v>
      </x:c>
      <x:c r="O20" s="43" t="n">
        <x:f>O18+O19-O15</x:f>
        <x:v>13313669.408795122</x:v>
      </x:c>
      <x:c r="P20" s="43" t="n">
        <x:f>P18+P19-P15</x:f>
        <x:v>13334781.541810075</x:v>
      </x:c>
      <x:c r="Q20" s="43" t="n">
        <x:f>Q18+Q19-Q15</x:f>
        <x:v>13346564.912182378</x:v>
      </x:c>
      <x:c r="R20" s="43" t="n">
        <x:f>R18+R19-R15</x:f>
        <x:v>13353055.945633031</x:v>
      </x:c>
      <x:c r="S20" s="43" t="n">
        <x:f>S18+S19-S15</x:f>
        <x:v>13356592.798685417</x:v>
      </x:c>
      <x:c r="T20" s="43" t="n">
        <x:f>T18+T19-T15</x:f>
        <x:v>13358500.221163709</x:v>
      </x:c>
      <x:c r="U20" s="43" t="n">
        <x:f>U18+U19-U15</x:f>
        <x:v>13359517.77295343</x:v>
      </x:c>
      <x:c r="V20" s="43" t="n">
        <x:f>V18+V19-V15</x:f>
        <x:v>13360053.86302243</x:v>
      </x:c>
      <x:c r="W20" s="43" t="n">
        <x:f>W18+W19-W15</x:f>
        <x:v>13360332.005120795</x:v>
      </x:c>
      <x:c r="X20" s="43" t="n">
        <x:f>X18+X19-X15</x:f>
        <x:v>13360473.493105866</x:v>
      </x:c>
      <x:c r="Y20" s="43" t="n">
        <x:f>Y18+Y19-Y15</x:f>
        <x:v>13360543.57202097</x:v>
      </x:c>
      <x:c r="Z20" s="43" t="n">
        <x:f>Z18+Z19-Z15</x:f>
        <x:v>13360576.992754921</x:v>
      </x:c>
      <x:c r="AA20" s="43" t="n">
        <x:f>AA18+AA19-AA15</x:f>
        <x:v>13360592.049541496</x:v>
      </x:c>
      <x:c r="AB20" s="43" t="n">
        <x:f>AB18+AB19-AB15</x:f>
        <x:v>13360598.234991673</x:v>
      </x:c>
      <x:c r="AC20" s="43" t="n">
        <x:f>AC18+AC19-AC15</x:f>
        <x:v>13360600.382130073</x:v>
      </x:c>
      <x:c r="AD20" s="43" t="n">
        <x:f>AD18+AD19-AD15</x:f>
        <x:v>13360600.886312002</x:v>
      </x:c>
      <x:c r="AE20" s="43" t="n">
        <x:f>AE18+AE19-AE15</x:f>
        <x:v>13360600.886312004</x:v>
      </x:c>
      <x:c r="AF20" s="43" t="n">
        <x:f>AF18+AF19-AF15</x:f>
        <x:v>13360600.886312004</x:v>
      </x:c>
      <x:c r="AG20" s="43" t="n">
        <x:f>AG18+AG19-AG15</x:f>
        <x:v>13360600.886312004</x:v>
      </x:c>
      <x:c r="AH20" s="43" t="n">
        <x:f>AH18+AH19-AH15</x:f>
        <x:v>13360600.886312004</x:v>
      </x:c>
      <x:c r="AI20" s="43" t="n">
        <x:f>AI18+AI19-AI15</x:f>
        <x:v>13360600.886312004</x:v>
      </x:c>
      <x:c r="AJ20" s="43" t="n">
        <x:f>AJ18+AJ19-AJ15</x:f>
        <x:v>13360600.886312004</x:v>
      </x:c>
      <x:c r="AK20" s="43" t="n">
        <x:f>AK18+AK19-AK15</x:f>
        <x:v>13360600.886312004</x:v>
      </x:c>
      <x:c r="AL20" s="43" t="n">
        <x:f>AL18+AL19-AL15</x:f>
        <x:v>13360600.886312004</x:v>
      </x:c>
      <x:c r="AM20" s="43" t="n">
        <x:f>AM18+AM19-AM15</x:f>
        <x:v>13360600.886312004</x:v>
      </x:c>
      <x:c r="AN20" s="43" t="n">
        <x:f>AN18+AN19-AN15</x:f>
        <x:v>13360600.886312004</x:v>
      </x:c>
      <x:c r="AO20" s="43" t="n">
        <x:f>AO18+AO19-AO15</x:f>
        <x:v>13360600.886312004</x:v>
      </x:c>
      <x:c r="AP20" s="43" t="n">
        <x:f>AP18+AP19-AP15</x:f>
        <x:v>13360600.886312004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203005841.91239095</x:v>
      </x:c>
      <x:c r="F21" s="42"/>
      <x:c r="G21" s="43" t="n">
        <x:f>G16-G20</x:f>
        <x:v>266650807.97684604</x:v>
      </x:c>
      <x:c r="H21" s="43" t="n">
        <x:f>H16-H20</x:f>
        <x:v>248981188.3127508</x:v>
      </x:c>
      <x:c r="I21" s="43" t="n">
        <x:f>I16-I20</x:f>
        <x:v>236362380.22845495</x:v>
      </x:c>
      <x:c r="J21" s="43" t="n">
        <x:f>J16-J20</x:f>
        <x:v>226850300.9350081</x:v>
      </x:c>
      <x:c r="K21" s="43" t="n">
        <x:f>K16-K20</x:f>
        <x:v>219501959.5904901</x:v>
      </x:c>
      <x:c r="L21" s="43" t="n">
        <x:f>L16-L20</x:f>
        <x:v>213767132.66312483</x:v>
      </x:c>
      <x:c r="M21" s="43" t="n">
        <x:f>M16-M20</x:f>
        <x:v>209288005.52990437</x:v>
      </x:c>
      <x:c r="N21" s="43" t="n">
        <x:f>N16-N20</x:f>
        <x:v>205814394.6656037</x:v>
      </x:c>
      <x:c r="O21" s="43" t="n">
        <x:f>O16-O20</x:f>
        <x:v>203161969.83824027</x:v>
      </x:c>
      <x:c r="P21" s="43" t="n">
        <x:f>P16-P20</x:f>
        <x:v>201189385.40556297</x:v>
      </x:c>
      <x:c r="Q21" s="43" t="n">
        <x:f>Q16-Q20</x:f>
        <x:v>199784724.94916096</x:v>
      </x:c>
      <x:c r="R21" s="43" t="n">
        <x:f>R16-R20</x:f>
        <x:v>198856923.94380572</x:v>
      </x:c>
      <x:c r="S21" s="43" t="n">
        <x:f>S16-S20</x:f>
        <x:v>198330010.54928422</x:v>
      </x:c>
      <x:c r="T21" s="43" t="n">
        <x:f>T16-T20</x:f>
        <x:v>198138988.99061742</x:v>
      </x:c>
      <x:c r="U21" s="43" t="n">
        <x:f>U16-U20</x:f>
        <x:v>198226664.01313105</x:v>
      </x:c>
      <x:c r="V21" s="43" t="n">
        <x:f>V16-V20</x:f>
        <x:v>198540947.52216417</x:v>
      </x:c>
      <x:c r="W21" s="43" t="n">
        <x:f>W16-W20</x:f>
        <x:v>199032341.9247119</x:v>
      </x:c>
      <x:c r="X21" s="43" t="n">
        <x:f>X16-X20</x:f>
        <x:v>199651471.67882743</x:v>
      </x:c>
      <x:c r="Y21" s="43" t="n">
        <x:f>Y16-Y20</x:f>
        <x:v>200346851.48130333</x:v>
      </x:c>
      <x:c r="Z21" s="43" t="n">
        <x:f>Z16-Z20</x:f>
        <x:v>201063560.37459946</x:v>
      </x:c>
      <x:c r="AA21" s="43" t="n">
        <x:f>AA16-AA20</x:f>
        <x:v>201743785.11004278</x:v>
      </x:c>
      <x:c r="AB21" s="43" t="n">
        <x:f>AB16-AB20</x:f>
        <x:v>202329553.32833242</x:v>
      </x:c>
      <x:c r="AC21" s="43" t="n">
        <x:f>AC16-AC20</x:f>
        <x:v>202766392.97218123</x:v>
      </x:c>
      <x:c r="AD21" s="43" t="n">
        <x:f>AD16-AD20</x:f>
        <x:v>203005841.91239095</x:v>
      </x:c>
      <x:c r="AE21" s="43" t="n">
        <x:f>AE16-AE20</x:f>
        <x:v>203005841.91239095</x:v>
      </x:c>
      <x:c r="AF21" s="43" t="n">
        <x:f>AF16-AF20</x:f>
        <x:v>203005841.91239095</x:v>
      </x:c>
      <x:c r="AG21" s="43" t="n">
        <x:f>AG16-AG20</x:f>
        <x:v>203005841.91239095</x:v>
      </x:c>
      <x:c r="AH21" s="43" t="n">
        <x:f>AH16-AH20</x:f>
        <x:v>203005841.91239095</x:v>
      </x:c>
      <x:c r="AI21" s="43" t="n">
        <x:f>AI16-AI20</x:f>
        <x:v>203005841.91239095</x:v>
      </x:c>
      <x:c r="AJ21" s="43" t="n">
        <x:f>AJ16-AJ20</x:f>
        <x:v>203005841.91239095</x:v>
      </x:c>
      <x:c r="AK21" s="43" t="n">
        <x:f>AK16-AK20</x:f>
        <x:v>203005841.91239095</x:v>
      </x:c>
      <x:c r="AL21" s="43" t="n">
        <x:f>AL16-AL20</x:f>
        <x:v>203005841.91239095</x:v>
      </x:c>
      <x:c r="AM21" s="43" t="n">
        <x:f>AM16-AM20</x:f>
        <x:v>203005841.91239095</x:v>
      </x:c>
      <x:c r="AN21" s="43" t="n">
        <x:f>AN16-AN20</x:f>
        <x:v>203005841.91239095</x:v>
      </x:c>
      <x:c r="AO21" s="43" t="n">
        <x:f>AO16-AO20</x:f>
        <x:v>203005841.91239095</x:v>
      </x:c>
      <x:c r="AP21" s="43" t="n">
        <x:f>AP16-AP20</x:f>
        <x:v>203005841.91239095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'Assumptions'!$F$15</x:f>
        <x:v>0.55</x:v>
      </x:c>
      <x:c r="H23" s="33" t="n">
        <x:f>'Assumptions'!$F$15</x:f>
        <x:v>0.55</x:v>
      </x:c>
      <x:c r="I23" s="33" t="n">
        <x:f>'Assumptions'!$F$15</x:f>
        <x:v>0.55</x:v>
      </x:c>
      <x:c r="J23" s="33" t="n">
        <x:f>'Assumptions'!$F$15</x:f>
        <x:v>0.55</x:v>
      </x:c>
      <x:c r="K23" s="33" t="n">
        <x:f>'Assumptions'!$F$15</x:f>
        <x:v>0.55</x:v>
      </x:c>
      <x:c r="L23" s="33" t="n">
        <x:f>'Assumptions'!$F$15</x:f>
        <x:v>0.55</x:v>
      </x:c>
      <x:c r="M23" s="33" t="n">
        <x:f>'Assumptions'!$F$15</x:f>
        <x:v>0.55</x:v>
      </x:c>
      <x:c r="N23" s="33" t="n">
        <x:f>'Assumptions'!$F$15</x:f>
        <x:v>0.55</x:v>
      </x:c>
      <x:c r="O23" s="33" t="n">
        <x:f>'Assumptions'!$F$15</x:f>
        <x:v>0.55</x:v>
      </x:c>
      <x:c r="P23" s="33" t="n">
        <x:f>'Assumptions'!$F$15</x:f>
        <x:v>0.55</x:v>
      </x:c>
      <x:c r="Q23" s="33" t="n">
        <x:f>'Assumptions'!$F$15</x:f>
        <x:v>0.55</x:v>
      </x:c>
      <x:c r="R23" s="33" t="n">
        <x:f>'Assumptions'!$F$15</x:f>
        <x:v>0.55</x:v>
      </x:c>
      <x:c r="S23" s="33" t="n">
        <x:f>'Assumptions'!$F$15</x:f>
        <x:v>0.55</x:v>
      </x:c>
      <x:c r="T23" s="33" t="n">
        <x:f>'Assumptions'!$F$15</x:f>
        <x:v>0.55</x:v>
      </x:c>
      <x:c r="U23" s="33" t="n">
        <x:f>'Assumptions'!$F$15</x:f>
        <x:v>0.55</x:v>
      </x:c>
      <x:c r="V23" s="33" t="n">
        <x:f>'Assumptions'!$F$15</x:f>
        <x:v>0.55</x:v>
      </x:c>
      <x:c r="W23" s="33" t="n">
        <x:f>'Assumptions'!$F$15</x:f>
        <x:v>0.55</x:v>
      </x:c>
      <x:c r="X23" s="33" t="n">
        <x:f>'Assumptions'!$F$15</x:f>
        <x:v>0.55</x:v>
      </x:c>
      <x:c r="Y23" s="33" t="n">
        <x:f>'Assumptions'!$F$15</x:f>
        <x:v>0.55</x:v>
      </x:c>
      <x:c r="Z23" s="33" t="n">
        <x:f>'Assumptions'!$F$15</x:f>
        <x:v>0.55</x:v>
      </x:c>
      <x:c r="AA23" s="33" t="n">
        <x:f>'Assumptions'!$F$15</x:f>
        <x:v>0.55</x:v>
      </x:c>
      <x:c r="AB23" s="33" t="n">
        <x:f>'Assumptions'!$F$15</x:f>
        <x:v>0.55</x:v>
      </x:c>
      <x:c r="AC23" s="33" t="n">
        <x:f>'Assumptions'!$F$15</x:f>
        <x:v>0.55</x:v>
      </x:c>
      <x:c r="AD23" s="33" t="n">
        <x:f>'Assumptions'!$F$15</x:f>
        <x:v>0.55</x:v>
      </x:c>
      <x:c r="AE23" s="33" t="n">
        <x:f>'Assumptions'!$F$15</x:f>
        <x:v>0.55</x:v>
      </x:c>
      <x:c r="AF23" s="33" t="n">
        <x:f>'Assumptions'!$F$15</x:f>
        <x:v>0.55</x:v>
      </x:c>
      <x:c r="AG23" s="33" t="n">
        <x:f>'Assumptions'!$F$15</x:f>
        <x:v>0.55</x:v>
      </x:c>
      <x:c r="AH23" s="33" t="n">
        <x:f>'Assumptions'!$F$15</x:f>
        <x:v>0.55</x:v>
      </x:c>
      <x:c r="AI23" s="33" t="n">
        <x:f>'Assumptions'!$F$15</x:f>
        <x:v>0.55</x:v>
      </x:c>
      <x:c r="AJ23" s="33" t="n">
        <x:f>'Assumptions'!$F$15</x:f>
        <x:v>0.55</x:v>
      </x:c>
      <x:c r="AK23" s="33" t="n">
        <x:f>'Assumptions'!$F$15</x:f>
        <x:v>0.55</x:v>
      </x:c>
      <x:c r="AL23" s="33" t="n">
        <x:f>'Assumptions'!$F$15</x:f>
        <x:v>0.55</x:v>
      </x:c>
      <x:c r="AM23" s="33" t="n">
        <x:f>'Assumptions'!$F$15</x:f>
        <x:v>0.55</x:v>
      </x:c>
      <x:c r="AN23" s="33" t="n">
        <x:f>'Assumptions'!$F$15</x:f>
        <x:v>0.55</x:v>
      </x:c>
      <x:c r="AO23" s="33" t="n">
        <x:f>'Assumptions'!$F$15</x:f>
        <x:v>0.55</x:v>
      </x:c>
      <x:c r="AP23" s="33" t="n">
        <x:f>'Assumptions'!$F$15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245912467.31533775</x:v>
      </x:c>
      <x:c r="F24" s="42"/>
      <x:c r="G24" s="43" t="n">
        <x:f>(G13-G15)*G23/12</x:f>
        <x:v>13928992.334853142</x:v>
      </x:c>
      <x:c r="H24" s="43" t="n">
        <x:f>(H13-H15)*H23/12</x:f>
        <x:v>12628587.714260368</x:v>
      </x:c>
      <x:c r="I24" s="43" t="n">
        <x:f>(I13-I15)*I23/12</x:f>
        <x:v>11835519.740488967</x:v>
      </x:c>
      <x:c r="J24" s="43" t="n">
        <x:f>(J13-J15)*J23/12</x:f>
        <x:v>11271542.467476754</x:v>
      </x:c>
      <x:c r="K24" s="43" t="n">
        <x:f>(K13-K15)*K23/12</x:f>
        <x:v>10846529.79858181</x:v>
      </x:c>
      <x:c r="L24" s="43" t="n">
        <x:f>(L13-L15)*L23/12</x:f>
        <x:v>10517292.307196323</x:v>
      </x:c>
      <x:c r="M24" s="43" t="n">
        <x:f>(M13-M15)*M23/12</x:f>
        <x:v>10259279.236239888</x:v>
      </x:c>
      <x:c r="N24" s="43" t="n">
        <x:f>(N13-N15)*N23/12</x:f>
        <x:v>10056909.761062771</x:v>
      </x:c>
      <x:c r="O24" s="43" t="n">
        <x:f>(O13-O15)*O23/12</x:f>
        <x:v>9899406.093028942</x:v>
      </x:c>
      <x:c r="P24" s="43" t="n">
        <x:f>(P13-P15)*P23/12</x:f>
        <x:v>9778804.261204636</x:v>
      </x:c>
      <x:c r="Q24" s="43" t="n">
        <x:f>(Q13-Q15)*Q23/12</x:f>
        <x:v>9688934.212515658</x:v>
      </x:c>
      <x:c r="R24" s="43" t="n">
        <x:f>(R13-R15)*R23/12</x:f>
        <x:v>9624851.447297055</x:v>
      </x:c>
      <x:c r="S24" s="43" t="n">
        <x:f>(S13-S15)*S23/12</x:f>
        <x:v>9582489.340316506</x:v>
      </x:c>
      <x:c r="T24" s="43" t="n">
        <x:f>(T13-T15)*T23/12</x:f>
        <x:v>9558426.56659786</x:v>
      </x:c>
      <x:c r="U24" s="43" t="n">
        <x:f>(U13-U15)*U23/12</x:f>
        <x:v>9549718.049615996</x:v>
      </x:c>
      <x:c r="V24" s="43" t="n">
        <x:f>(V13-V15)*V23/12</x:f>
        <x:v>9553761.058942698</x:v>
      </x:c>
      <x:c r="W24" s="43" t="n">
        <x:f>(W13-W15)*W23/12</x:f>
        <x:v>9568178.46795289</x:v>
      </x:c>
      <x:c r="X24" s="43" t="n">
        <x:f>(X13-X15)*X23/12</x:f>
        <x:v>9590707.196268978</x:v>
      </x:c>
      <x:c r="Y24" s="43" t="n">
        <x:f>(Y13-Y15)*Y23/12</x:f>
        <x:v>9619087.188616214</x:v>
      </x:c>
      <x:c r="Z24" s="43" t="n">
        <x:f>(Z13-Z15)*Z23/12</x:f>
        <x:v>9650960.294680001</x:v>
      </x:c>
      <x:c r="AA24" s="43" t="n">
        <x:f>(AA13-AA15)*AA23/12</x:f>
        <x:v>9683810.142392123</x:v>
      </x:c>
      <x:c r="AB24" s="43" t="n">
        <x:f>(AB13-AB15)*AB23/12</x:f>
        <x:v>9714987.392933076</x:v>
      </x:c>
      <x:c r="AC24" s="43" t="n">
        <x:f>(AC13-AC15)*AC23/12</x:f>
        <x:v>9741835.201348526</x:v>
      </x:c>
      <x:c r="AD24" s="43" t="n">
        <x:f>(AD13-AD15)*AD23/12</x:f>
        <x:v>9761857.041466603</x:v>
      </x:c>
      <x:c r="AE24" s="43" t="n">
        <x:f>(AE13-AE15)*AE23/12</x:f>
        <x:v>9772831.78455955</x:v>
      </x:c>
      <x:c r="AF24" s="43" t="n">
        <x:f>(AF13-AF15)*AF23/12</x:f>
        <x:v>9772831.78455955</x:v>
      </x:c>
      <x:c r="AG24" s="43" t="n">
        <x:f>(AG13-AG15)*AG23/12</x:f>
        <x:v>9772831.78455955</x:v>
      </x:c>
      <x:c r="AH24" s="43" t="n">
        <x:f>(AH13-AH15)*AH23/12</x:f>
        <x:v>9772831.78455955</x:v>
      </x:c>
      <x:c r="AI24" s="43" t="n">
        <x:f>(AI13-AI15)*AI23/12</x:f>
        <x:v>9772831.78455955</x:v>
      </x:c>
      <x:c r="AJ24" s="43" t="n">
        <x:f>(AJ13-AJ15)*AJ23/12</x:f>
        <x:v>9772831.78455955</x:v>
      </x:c>
      <x:c r="AK24" s="43" t="n">
        <x:f>(AK13-AK15)*AK23/12</x:f>
        <x:v>9772831.78455955</x:v>
      </x:c>
      <x:c r="AL24" s="43" t="n">
        <x:f>(AL13-AL15)*AL23/12</x:f>
        <x:v>9772831.78455955</x:v>
      </x:c>
      <x:c r="AM24" s="43" t="n">
        <x:f>(AM13-AM15)*AM23/12</x:f>
        <x:v>9772831.78455955</x:v>
      </x:c>
      <x:c r="AN24" s="43" t="n">
        <x:f>(AN13-AN15)*AN23/12</x:f>
        <x:v>9772831.78455955</x:v>
      </x:c>
      <x:c r="AO24" s="43" t="n">
        <x:f>(AO13-AO15)*AO23/12</x:f>
        <x:v>9772831.78455955</x:v>
      </x:c>
      <x:c r="AP24" s="43" t="n">
        <x:f>(AP13-AP15)*AP23/12</x:f>
        <x:v>9772831.78455955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170527938.24310282</x:v>
      </x:c>
      <x:c r="F25" s="46"/>
      <x:c r="G25" s="47" t="n">
        <x:f>G24-G19</x:f>
        <x:v>10787970.290176686</x:v>
      </x:c>
      <x:c r="H25" s="47" t="n">
        <x:f>H24-H19</x:f>
        <x:v>9487565.66958391</x:v>
      </x:c>
      <x:c r="I25" s="47" t="n">
        <x:f>I24-I19</x:f>
        <x:v>8694497.695812508</x:v>
      </x:c>
      <x:c r="J25" s="47" t="n">
        <x:f>J24-J19</x:f>
        <x:v>8130520.422800296</x:v>
      </x:c>
      <x:c r="K25" s="47" t="n">
        <x:f>K24-K19</x:f>
        <x:v>7705507.753905353</x:v>
      </x:c>
      <x:c r="L25" s="47" t="n">
        <x:f>L24-L19</x:f>
        <x:v>7376270.262519865</x:v>
      </x:c>
      <x:c r="M25" s="47" t="n">
        <x:f>M24-M19</x:f>
        <x:v>7118257.19156343</x:v>
      </x:c>
      <x:c r="N25" s="47" t="n">
        <x:f>N24-N19</x:f>
        <x:v>6915887.716386314</x:v>
      </x:c>
      <x:c r="O25" s="47" t="n">
        <x:f>O24-O19</x:f>
        <x:v>6758384.048352485</x:v>
      </x:c>
      <x:c r="P25" s="47" t="n">
        <x:f>P24-P19</x:f>
        <x:v>6637782.216528178</x:v>
      </x:c>
      <x:c r="Q25" s="47" t="n">
        <x:f>Q24-Q19</x:f>
        <x:v>6547912.1678392</x:v>
      </x:c>
      <x:c r="R25" s="47" t="n">
        <x:f>R24-R19</x:f>
        <x:v>6483829.402620598</x:v>
      </x:c>
      <x:c r="S25" s="47" t="n">
        <x:f>S24-S19</x:f>
        <x:v>6441467.295640049</x:v>
      </x:c>
      <x:c r="T25" s="47" t="n">
        <x:f>T24-T19</x:f>
        <x:v>6417404.521921403</x:v>
      </x:c>
      <x:c r="U25" s="47" t="n">
        <x:f>U24-U19</x:f>
        <x:v>6408696.004939538</x:v>
      </x:c>
      <x:c r="V25" s="47" t="n">
        <x:f>V24-V19</x:f>
        <x:v>6412739.01426624</x:v>
      </x:c>
      <x:c r="W25" s="47" t="n">
        <x:f>W24-W19</x:f>
        <x:v>6427156.423276433</x:v>
      </x:c>
      <x:c r="X25" s="47" t="n">
        <x:f>X24-X19</x:f>
        <x:v>6449685.15159252</x:v>
      </x:c>
      <x:c r="Y25" s="47" t="n">
        <x:f>Y24-Y19</x:f>
        <x:v>6478065.143939757</x:v>
      </x:c>
      <x:c r="Z25" s="47" t="n">
        <x:f>Z24-Z19</x:f>
        <x:v>6509938.250003544</x:v>
      </x:c>
      <x:c r="AA25" s="47" t="n">
        <x:f>AA24-AA19</x:f>
        <x:v>6542788.097715666</x:v>
      </x:c>
      <x:c r="AB25" s="47" t="n">
        <x:f>AB24-AB19</x:f>
        <x:v>6573965.348256619</x:v>
      </x:c>
      <x:c r="AC25" s="47" t="n">
        <x:f>AC24-AC19</x:f>
        <x:v>6600813.156672069</x:v>
      </x:c>
      <x:c r="AD25" s="47" t="n">
        <x:f>AD24-AD19</x:f>
        <x:v>6620834.9967901455</x:v>
      </x:c>
      <x:c r="AE25" s="47" t="n">
        <x:f>AE24-AE19</x:f>
        <x:v>6631809.739883092</x:v>
      </x:c>
      <x:c r="AF25" s="47" t="n">
        <x:f>AF24-AF19</x:f>
        <x:v>6631809.739883092</x:v>
      </x:c>
      <x:c r="AG25" s="47" t="n">
        <x:f>AG24-AG19</x:f>
        <x:v>6631809.739883092</x:v>
      </x:c>
      <x:c r="AH25" s="47" t="n">
        <x:f>AH24-AH19</x:f>
        <x:v>6631809.739883092</x:v>
      </x:c>
      <x:c r="AI25" s="47" t="n">
        <x:f>AI24-AI19</x:f>
        <x:v>6631809.739883092</x:v>
      </x:c>
      <x:c r="AJ25" s="47" t="n">
        <x:f>AJ24-AJ19</x:f>
        <x:v>6631809.739883092</x:v>
      </x:c>
      <x:c r="AK25" s="47" t="n">
        <x:f>AK24-AK19</x:f>
        <x:v>6631809.739883092</x:v>
      </x:c>
      <x:c r="AL25" s="47" t="n">
        <x:f>AL24-AL19</x:f>
        <x:v>6631809.739883092</x:v>
      </x:c>
      <x:c r="AM25" s="47" t="n">
        <x:f>AM24-AM19</x:f>
        <x:v>6631809.739883092</x:v>
      </x:c>
      <x:c r="AN25" s="47" t="n">
        <x:f>AN24-AN19</x:f>
        <x:v>6631809.739883092</x:v>
      </x:c>
      <x:c r="AO25" s="47" t="n">
        <x:f>AO24-AO19</x:f>
        <x:v>6631809.739883092</x:v>
      </x:c>
      <x:c r="AP25" s="47" t="n">
        <x:f>AP24-AP19</x:f>
        <x:v>6631809.739883092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11322486.840180304</x:v>
      </x:c>
      <x:c r="F27" s="2"/>
      <x:c r="G27" s="35" t="n">
        <x:f>SUMPRODUCT($E$160:$E$219,$E$52:$E$111)</x:f>
        <x:v>2814712.694113267</x:v>
      </x:c>
      <x:c r="H27" s="35" t="n">
        <x:f>SUMPRODUCT($E$160:$E$219,$E$53:$E$112)</x:f>
        <x:v>2401646.2375334445</x:v>
      </x:c>
      <x:c r="I27" s="35" t="n">
        <x:f>SUMPRODUCT($E$160:$E$219,$E$54:$E$113)</x:f>
        <x:v>1942519.3337533772</x:v>
      </x:c>
      <x:c r="J27" s="35" t="n">
        <x:f>SUMPRODUCT($E$160:$E$219,$E$55:$E$114)</x:f>
        <x:v>1469212.5906762765</x:v>
      </x:c>
      <x:c r="K27" s="35" t="n">
        <x:f>SUMPRODUCT($E$160:$E$219,$E$56:$E$115)</x:f>
        <x:v>1032552.6077994255</x:v>
      </x:c>
      <x:c r="L27" s="35" t="n">
        <x:f>SUMPRODUCT($E$160:$E$219,$E$57:$E$116)</x:f>
        <x:v>676874.6817154062</x:v>
      </x:c>
      <x:c r="M27" s="35" t="n">
        <x:f>SUMPRODUCT($E$160:$E$219,$E$58:$E$117)</x:f>
        <x:v>418744.67590448377</x:v>
      </x:c>
      <x:c r="N27" s="35" t="n">
        <x:f>SUMPRODUCT($E$160:$E$219,$E$59:$E$118)</x:f>
        <x:v>247995.6470376229</x:v>
      </x:c>
      <x:c r="O27" s="35" t="n">
        <x:f>SUMPRODUCT($E$160:$E$219,$E$60:$E$119)</x:f>
        <x:v>142389.40323101962</x:v>
      </x:c>
      <x:c r="P27" s="35" t="n">
        <x:f>SUMPRODUCT($E$160:$E$219,$E$61:$E$120)</x:f>
        <x:v>79993.86402741417</x:v>
      </x:c>
      <x:c r="Q27" s="35" t="n">
        <x:f>SUMPRODUCT($E$160:$E$219,$E$62:$E$121)</x:f>
        <x:v>44231.95589488924</x:v>
      </x:c>
      <x:c r="R27" s="35" t="n">
        <x:f>SUMPRODUCT($E$160:$E$219,$E$63:$E$122)</x:f>
        <x:v>24151.018807709777</x:v>
      </x:c>
      <x:c r="S27" s="35" t="n">
        <x:f>SUMPRODUCT($E$160:$E$219,$E$64:$E$123)</x:f>
        <x:v>13039.377740521884</x:v>
      </x:c>
      <x:c r="T27" s="35" t="n">
        <x:f>SUMPRODUCT($E$160:$E$219,$E$65:$E$124)</x:f>
        <x:v>6961.606528892885</x:v>
      </x:c>
      <x:c r="U27" s="35" t="n">
        <x:f>SUMPRODUCT($E$160:$E$219,$E$66:$E$125)</x:f>
        <x:v>3671.3652314092374</x:v>
      </x:c>
      <x:c r="V27" s="35" t="n">
        <x:f>SUMPRODUCT($E$160:$E$219,$E$67:$E$126)</x:f>
        <x:v>1908.5058500537075</x:v>
      </x:c>
      <x:c r="W27" s="35" t="n">
        <x:f>SUMPRODUCT($E$160:$E$219,$E$68:$E$127)</x:f>
        <x:v>974.6893136471349</x:v>
      </x:c>
      <x:c r="X27" s="35" t="n">
        <x:f>SUMPRODUCT($E$160:$E$219,$E$69:$E$128)</x:f>
        <x:v>486.62448536526654</x:v>
      </x:c>
      <x:c r="Y27" s="35" t="n">
        <x:f>SUMPRODUCT($E$160:$E$219,$E$70:$E$129)</x:f>
        <x:v>235.74477257355804</x:v>
      </x:c>
      <x:c r="Z27" s="35" t="n">
        <x:f>SUMPRODUCT($E$160:$E$219,$E$71:$E$130)</x:f>
        <x:v>109.53821495570273</x:v>
      </x:c>
      <x:c r="AA27" s="35" t="n">
        <x:f>SUMPRODUCT($E$160:$E$219,$E$72:$E$131)</x:f>
        <x:v>47.88347364096238</x:v>
      </x:c>
      <x:c r="AB27" s="35" t="n">
        <x:f>SUMPRODUCT($E$160:$E$219,$E$73:$E$132)</x:f>
        <x:v>19.009107613007007</x:v>
      </x:c>
      <x:c r="AC27" s="35" t="n">
        <x:f>SUMPRODUCT($E$160:$E$219,$E$74:$E$133)</x:f>
        <x:v>6.353090617087027</x:v>
      </x:c>
      <x:c r="AD27" s="35" t="n">
        <x:f>SUMPRODUCT($E$160:$E$219,$E$75:$E$134)</x:f>
        <x:v>1.431876674541247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62023928.18592298</x:v>
      </x:c>
      <x:c r="F28" s="2"/>
      <x:c r="G28" s="35" t="n">
        <x:f>SUMPRODUCT($G$11:G11,$CY$150:$CY$150)</x:f>
        <x:v>0</x:v>
      </x:c>
      <x:c r="H28" s="35" t="n">
        <x:f>SUMPRODUCT($G$11:H11,$CX$150:$CY$150)</x:f>
        <x:v>365135.0734663235</x:v>
      </x:c>
      <x:c r="I28" s="35" t="n">
        <x:f>SUMPRODUCT($G$11:I11,$CW$150:$CY$150)</x:f>
        <x:v>832184.2927492232</x:v>
      </x:c>
      <x:c r="J28" s="35" t="n">
        <x:f>SUMPRODUCT($G$11:J11,$CV$150:$CY$150)</x:f>
        <x:v>1357960.0536072396</x:v>
      </x:c>
      <x:c r="K28" s="35" t="n">
        <x:f>SUMPRODUCT($G$11:K11,$CU$150:$CY$150)</x:f>
        <x:v>1869393.8284107277</x:v>
      </x:c>
      <x:c r="L28" s="35" t="n">
        <x:f>SUMPRODUCT($G$11:L11,$CT$150:$CY$150)</x:f>
        <x:v>2299169.4668536684</x:v>
      </x:c>
      <x:c r="M28" s="35" t="n">
        <x:f>SUMPRODUCT($G$11:M11,$CS$150:$CY$150)</x:f>
        <x:v>2616826.5350016714</x:v>
      </x:c>
      <x:c r="N28" s="35" t="n">
        <x:f>SUMPRODUCT($G$11:N11,$CR$150:$CY$150)</x:f>
        <x:v>2829233.2682827427</x:v>
      </x:c>
      <x:c r="O28" s="35" t="n">
        <x:f>SUMPRODUCT($G$11:O11,$CQ$150:$CY$150)</x:f>
        <x:v>2961465.443337379</x:v>
      </x:c>
      <x:c r="P28" s="35" t="n">
        <x:f>SUMPRODUCT($G$11:P11,$CP$150:$CY$150)</x:f>
        <x:v>3039916.0476340894</x:v>
      </x:c>
      <x:c r="Q28" s="35" t="n">
        <x:f>SUMPRODUCT($G$11:Q11,$CO$150:$CY$150)</x:f>
        <x:v>3085006.718409267</x:v>
      </x:c>
      <x:c r="R28" s="35" t="n">
        <x:f>SUMPRODUCT($G$11:R11,$CN$150:$CY$150)</x:f>
        <x:v>3110379.992418095</x:v>
      </x:c>
      <x:c r="S28" s="35" t="n">
        <x:f>SUMPRODUCT($G$11:S11,$CM$150:$CY$150)</x:f>
        <x:v>3124445.8138835486</x:v>
      </x:c>
      <x:c r="T28" s="35" t="n">
        <x:f>SUMPRODUCT($G$11:T11,$CL$150:$CY$150)</x:f>
        <x:v>3132153.015669272</x:v>
      </x:c>
      <x:c r="U28" s="35" t="n">
        <x:f>SUMPRODUCT($G$11:U11,$CK$150:$CY$150)</x:f>
        <x:v>3136333.127655326</x:v>
      </x:c>
      <x:c r="V28" s="35" t="n">
        <x:f>SUMPRODUCT($G$11:V11,$CJ$150:$CY$150)</x:f>
        <x:v>3138577.4487574054</x:v>
      </x:c>
      <x:c r="W28" s="35" t="n">
        <x:f>SUMPRODUCT($G$11:W11,$CI$150:$CY$150)</x:f>
        <x:v>3139769.2132644467</x:v>
      </x:c>
      <x:c r="X28" s="35" t="n">
        <x:f>SUMPRODUCT($G$11:X11,$CH$150:$CY$150)</x:f>
        <x:v>3140393.9322060207</x:v>
      </x:c>
      <x:c r="Y28" s="35" t="n">
        <x:f>SUMPRODUCT($G$11:Y11,$CG$150:$CY$150)</x:f>
        <x:v>3140716.220988778</x:v>
      </x:c>
      <x:c r="Z28" s="35" t="n">
        <x:f>SUMPRODUCT($G$11:Z11,$CF$150:$CY$150)</x:f>
        <x:v>3140879.085727551</x:v>
      </x:c>
      <x:c r="AA28" s="35" t="n">
        <x:f>SUMPRODUCT($G$11:AA11,$CE$150:$CY$150)</x:f>
        <x:v>3140959.1044162423</x:v>
      </x:c>
      <x:c r="AB28" s="35" t="n">
        <x:f>SUMPRODUCT($G$11:AB11,$CD$150:$CY$150)</x:f>
        <x:v>3140996.8501186664</x:v>
      </x:c>
      <x:c r="AC28" s="35" t="n">
        <x:f>SUMPRODUCT($G$11:AC11,$CC$150:$CY$150)</x:f>
        <x:v>3141013.5444474393</x:v>
      </x:c>
      <x:c r="AD28" s="35" t="n">
        <x:f>SUMPRODUCT($G$11:AD11,$CB$150:$CY$150)</x:f>
        <x:v>3141020.1086178543</x:v>
      </x:c>
      <x:c r="AE28" s="35" t="n">
        <x:f>SUMPRODUCT($G$11:AE11,$CA$150:$CY$150)</x:f>
        <x:v>3141022.0446764566</x:v>
      </x:c>
      <x:c r="AF28" s="35" t="n">
        <x:f>SUMPRODUCT($G$11:AF11,$BZ$150:$CY$150)</x:f>
        <x:v>3141022.0446764566</x:v>
      </x:c>
      <x:c r="AG28" s="35" t="n">
        <x:f>SUMPRODUCT($G$11:AG11,$BY$150:$CY$150)</x:f>
        <x:v>3141022.0446764566</x:v>
      </x:c>
      <x:c r="AH28" s="35" t="n">
        <x:f>SUMPRODUCT($G$11:AH11,$BX$150:$CY$150)</x:f>
        <x:v>3141022.0446764566</x:v>
      </x:c>
      <x:c r="AI28" s="35" t="n">
        <x:f>SUMPRODUCT($G$11:AI11,$BW$150:$CY$150)</x:f>
        <x:v>3141022.0446764566</x:v>
      </x:c>
      <x:c r="AJ28" s="35" t="n">
        <x:f>SUMPRODUCT($G$11:AJ11,$BV$150:$CY$150)</x:f>
        <x:v>3141022.0446764566</x:v>
      </x:c>
      <x:c r="AK28" s="35" t="n">
        <x:f>SUMPRODUCT($G$11:AK11,$BU$150:$CY$150)</x:f>
        <x:v>3141022.0446764566</x:v>
      </x:c>
      <x:c r="AL28" s="35" t="n">
        <x:f>SUMPRODUCT($G$11:AL11,$BT$150:$CY$150)</x:f>
        <x:v>3141022.0446764566</x:v>
      </x:c>
      <x:c r="AM28" s="35" t="n">
        <x:f>SUMPRODUCT($G$11:AM11,$BS$150:$CY$150)</x:f>
        <x:v>3141022.0446764566</x:v>
      </x:c>
      <x:c r="AN28" s="35" t="n">
        <x:f>SUMPRODUCT($G$11:AN11,$BR$150:$CY$150)</x:f>
        <x:v>3141022.0446764566</x:v>
      </x:c>
      <x:c r="AO28" s="35" t="n">
        <x:f>SUMPRODUCT($G$11:AO11,$BQ$150:$CY$150)</x:f>
        <x:v>3141022.0446764566</x:v>
      </x:c>
      <x:c r="AP28" s="35" t="n">
        <x:f>SUMPRODUCT($G$11:AP11,$BP$150:$CY$150)</x:f>
        <x:v>3141022.0446764566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295397513.1598197</x:v>
      </x:c>
      <x:c r="F29" s="2"/>
      <x:c r="G29" s="35" t="n">
        <x:f>SUMPRODUCT($E$160:$E$219,$F$52:$F$111)</x:f>
        <x:v>42885683.13829718</x:v>
      </x:c>
      <x:c r="H29" s="35" t="n">
        <x:f>SUMPRODUCT($E$160:$E$219,$F$53:$F$112)</x:f>
        <x:v>31407231.535884436</x:v>
      </x:c>
      <x:c r="I29" s="35" t="n">
        <x:f>SUMPRODUCT($E$160:$E$219,$F$54:$F$113)</x:f>
        <x:v>25948530.00394262</x:v>
      </x:c>
      <x:c r="J29" s="35" t="n">
        <x:f>SUMPRODUCT($E$160:$E$219,$F$55:$F$114)</x:f>
        <x:v>22429558.290865965</x:v>
      </x:c>
      <x:c r="K29" s="35" t="n">
        <x:f>SUMPRODUCT($E$160:$E$219,$F$56:$F$115)</x:f>
        <x:v>19849682.27952272</x:v>
      </x:c>
      <x:c r="L29" s="35" t="n">
        <x:f>SUMPRODUCT($E$160:$E$219,$F$57:$F$116)</x:f>
        <x:v>17814537.254770666</x:v>
      </x:c>
      <x:c r="M29" s="35" t="n">
        <x:f>SUMPRODUCT($E$160:$E$219,$F$58:$F$117)</x:f>
        <x:v>16128722.336616954</x:v>
      </x:c>
      <x:c r="N29" s="35" t="n">
        <x:f>SUMPRODUCT($E$160:$E$219,$F$59:$F$118)</x:f>
        <x:v>14681225.887681607</x:v>
      </x:c>
      <x:c r="O29" s="35" t="n">
        <x:f>SUMPRODUCT($E$160:$E$219,$F$60:$F$119)</x:f>
        <x:v>13403108.308951078</x:v>
      </x:c>
      <x:c r="P29" s="35" t="n">
        <x:f>SUMPRODUCT($E$160:$E$219,$F$61:$F$120)</x:f>
        <x:v>12248823.56694778</x:v>
      </x:c>
      <x:c r="Q29" s="35" t="n">
        <x:f>SUMPRODUCT($E$160:$E$219,$F$62:$F$121)</x:f>
        <x:v>11186865.874632254</x:v>
      </x:c>
      <x:c r="R29" s="35" t="n">
        <x:f>SUMPRODUCT($E$160:$E$219,$F$63:$F$122)</x:f>
        <x:v>10194662.031758448</x:v>
      </x:c>
      <x:c r="S29" s="35" t="n">
        <x:f>SUMPRODUCT($E$160:$E$219,$F$64:$F$123)</x:f>
        <x:v>9255625.455457162</x:v>
      </x:c>
      <x:c r="T29" s="35" t="n">
        <x:f>SUMPRODUCT($E$160:$E$219,$F$65:$F$124)</x:f>
        <x:v>8357415.499969611</x:v>
      </x:c>
      <x:c r="U29" s="35" t="n">
        <x:f>SUMPRODUCT($E$160:$E$219,$F$66:$F$125)</x:f>
        <x:v>7490928.583480888</x:v>
      </x:c>
      <x:c r="V29" s="35" t="n">
        <x:f>SUMPRODUCT($E$160:$E$219,$F$67:$F$126)</x:f>
        <x:v>6649771.304545993</x:v>
      </x:c>
      <x:c r="W29" s="35" t="n">
        <x:f>SUMPRODUCT($E$160:$E$219,$F$68:$F$127)</x:f>
        <x:v>5830054.748826468</x:v>
      </x:c>
      <x:c r="X29" s="35" t="n">
        <x:f>SUMPRODUCT($E$160:$E$219,$F$69:$F$128)</x:f>
        <x:v>5030327.378733152</x:v>
      </x:c>
      <x:c r="Y29" s="35" t="n">
        <x:f>SUMPRODUCT($E$160:$E$219,$F$70:$F$129)</x:f>
        <x:v>4251325.765885845</x:v>
      </x:c>
      <x:c r="Z29" s="35" t="n">
        <x:f>SUMPRODUCT($E$160:$E$219,$F$71:$F$130)</x:f>
        <x:v>3495059.860145067</x:v>
      </x:c>
      <x:c r="AA29" s="35" t="n">
        <x:f>SUMPRODUCT($E$160:$E$219,$F$72:$F$131)</x:f>
        <x:v>2762937.2014739434</x:v>
      </x:c>
      <x:c r="AB29" s="35" t="n">
        <x:f>SUMPRODUCT($E$160:$E$219,$F$73:$F$132)</x:f>
        <x:v>2053567.9015650284</x:v>
      </x:c>
      <x:c r="AC29" s="35" t="n">
        <x:f>SUMPRODUCT($E$160:$E$219,$F$74:$F$133)</x:f>
        <x:v>1361833.9596692775</x:v>
      </x:c>
      <x:c r="AD29" s="35" t="n">
        <x:f>SUMPRODUCT($E$160:$E$219,$F$75:$F$134)</x:f>
        <x:v>680034.9901955557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136329629.01537403</x:v>
      </x:c>
      <x:c r="F30" s="2"/>
      <x:c r="G30" s="35" t="n">
        <x:f>SUMPRODUCT($G$11:G11,$CY$151:$CY$151)</x:f>
        <x:v>0</x:v>
      </x:c>
      <x:c r="H30" s="35" t="n">
        <x:f>SUMPRODUCT($G$11:H11,$CX$151:$CY$151)</x:f>
        <x:v>401366.0835343645</x:v>
      </x:c>
      <x:c r="I30" s="35" t="n">
        <x:f>SUMPRODUCT($G$11:I11,$CW$151:$CY$151)</x:f>
        <x:v>809256.0356767252</x:v>
      </x:c>
      <x:c r="J30" s="35" t="n">
        <x:f>SUMPRODUCT($G$11:J11,$CV$151:$CY$151)</x:f>
        <x:v>1221498.9579044138</x:v>
      </x:c>
      <x:c r="K30" s="35" t="n">
        <x:f>SUMPRODUCT($G$11:K11,$CU$151:$CY$151)</x:f>
        <x:v>1637637.0203188444</x:v>
      </x:c>
      <x:c r="L30" s="35" t="n">
        <x:f>SUMPRODUCT($G$11:L11,$CT$151:$CY$151)</x:f>
        <x:v>2059267.6279181093</x:v>
      </x:c>
      <x:c r="M30" s="35" t="n">
        <x:f>SUMPRODUCT($G$11:M11,$CS$151:$CY$151)</x:f>
        <x:v>2489382.7519270657</x:v>
      </x:c>
      <x:c r="N30" s="35" t="n">
        <x:f>SUMPRODUCT($G$11:N11,$CR$151:$CY$151)</x:f>
        <x:v>2931362.931942604</x:v>
      </x:c>
      <x:c r="O30" s="35" t="n">
        <x:f>SUMPRODUCT($G$11:O11,$CQ$151:$CY$151)</x:f>
        <x:v>3388294.4737359057</x:v>
      </x:c>
      <x:c r="P30" s="35" t="n">
        <x:f>SUMPRODUCT($G$11:P11,$CP$151:$CY$151)</x:f>
        <x:v>3862738.82105307</x:v>
      </x:c>
      <x:c r="Q30" s="35" t="n">
        <x:f>SUMPRODUCT($G$11:Q11,$CO$151:$CY$151)</x:f>
        <x:v>4356772.537093271</x:v>
      </x:c>
      <x:c r="R30" s="35" t="n">
        <x:f>SUMPRODUCT($G$11:R11,$CN$151:$CY$151)</x:f>
        <x:v>4872116.928920358</x:v>
      </x:c>
      <x:c r="S30" s="35" t="n">
        <x:f>SUMPRODUCT($G$11:S11,$CM$151:$CY$151)</x:f>
        <x:v>5410265.894387862</x:v>
      </x:c>
      <x:c r="T30" s="35" t="n">
        <x:f>SUMPRODUCT($G$11:T11,$CL$151:$CY$151)</x:f>
        <x:v>5972584.014020738</x:v>
      </x:c>
      <x:c r="U30" s="35" t="n">
        <x:f>SUMPRODUCT($G$11:U11,$CK$151:$CY$151)</x:f>
        <x:v>6560374.349329065</x:v>
      </x:c>
      <x:c r="V30" s="35" t="n">
        <x:f>SUMPRODUCT($G$11:V11,$CJ$151:$CY$151)</x:f>
        <x:v>7174923.14174444</x:v>
      </x:c>
      <x:c r="W30" s="35" t="n">
        <x:f>SUMPRODUCT($G$11:W11,$CI$151:$CY$151)</x:f>
        <x:v>7817528.803949341</x:v>
      </x:c>
      <x:c r="X30" s="35" t="n">
        <x:f>SUMPRODUCT($G$11:X11,$CH$151:$CY$151)</x:f>
        <x:v>8489520.822474878</x:v>
      </x:c>
      <x:c r="Y30" s="35" t="n">
        <x:f>SUMPRODUCT($G$11:Y11,$CG$151:$CY$151)</x:f>
        <x:v>9192272.386961784</x:v>
      </x:c>
      <x:c r="Z30" s="35" t="n">
        <x:f>SUMPRODUCT($G$11:Z11,$CF$151:$CY$151)</x:f>
        <x:v>9927209.201882366</x:v>
      </x:c>
      <x:c r="AA30" s="35" t="n">
        <x:f>SUMPRODUCT($G$11:AA11,$CE$151:$CY$151)</x:f>
        <x:v>10695816.018406264</x:v>
      </x:c>
      <x:c r="AB30" s="35" t="n">
        <x:f>SUMPRODUCT($G$11:AB11,$CD$151:$CY$151)</x:f>
        <x:v>11499641.835468864</x:v>
      </x:c>
      <x:c r="AC30" s="35" t="n">
        <x:f>SUMPRODUCT($G$11:AC11,$CC$151:$CY$151)</x:f>
        <x:v>12340304.351805428</x:v>
      </x:c>
      <x:c r="AD30" s="35" t="n">
        <x:f>SUMPRODUCT($G$11:AD11,$CB$151:$CY$151)</x:f>
        <x:v>13219494.024918284</x:v>
      </x:c>
      <x:c r="AE30" s="35" t="n">
        <x:f>SUMPRODUCT($G$11:AE11,$CA$151:$CY$151)</x:f>
        <x:v>14138977.955323543</x:v>
      </x:c>
      <x:c r="AF30" s="35" t="n">
        <x:f>SUMPRODUCT($G$11:AF11,$BZ$151:$CY$151)</x:f>
        <x:v>14138977.955323543</x:v>
      </x:c>
      <x:c r="AG30" s="35" t="n">
        <x:f>SUMPRODUCT($G$11:AG11,$BY$151:$CY$151)</x:f>
        <x:v>14138977.955323543</x:v>
      </x:c>
      <x:c r="AH30" s="35" t="n">
        <x:f>SUMPRODUCT($G$11:AH11,$BX$151:$CY$151)</x:f>
        <x:v>14138977.955323543</x:v>
      </x:c>
      <x:c r="AI30" s="35" t="n">
        <x:f>SUMPRODUCT($G$11:AI11,$BW$151:$CY$151)</x:f>
        <x:v>14138977.955323543</x:v>
      </x:c>
      <x:c r="AJ30" s="35" t="n">
        <x:f>SUMPRODUCT($G$11:AJ11,$BV$151:$CY$151)</x:f>
        <x:v>14138977.955323543</x:v>
      </x:c>
      <x:c r="AK30" s="35" t="n">
        <x:f>SUMPRODUCT($G$11:AK11,$BU$151:$CY$151)</x:f>
        <x:v>14138977.955323543</x:v>
      </x:c>
      <x:c r="AL30" s="35" t="n">
        <x:f>SUMPRODUCT($G$11:AL11,$BT$151:$CY$151)</x:f>
        <x:v>14138977.955323543</x:v>
      </x:c>
      <x:c r="AM30" s="35" t="n">
        <x:f>SUMPRODUCT($G$11:AM11,$BS$151:$CY$151)</x:f>
        <x:v>14138977.955323543</x:v>
      </x:c>
      <x:c r="AN30" s="35" t="n">
        <x:f>SUMPRODUCT($G$11:AN11,$BR$151:$CY$151)</x:f>
        <x:v>14138977.955323543</x:v>
      </x:c>
      <x:c r="AO30" s="35" t="n">
        <x:f>SUMPRODUCT($G$11:AO11,$BQ$151:$CY$151)</x:f>
        <x:v>14138977.955323543</x:v>
      </x:c>
      <x:c r="AP30" s="35" t="n">
        <x:f>SUMPRODUCT($G$11:AP11,$BP$151:$CY$151)</x:f>
        <x:v>14138977.955323543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99499806.89910908</x:v>
      </x:c>
      <x:c r="F32" s="2"/>
      <x:c r="G32" s="35" t="n">
        <x:f>($E$44-G27)*G23/12</x:f>
        <x:v>13928992.334853142</x:v>
      </x:c>
      <x:c r="H32" s="35" t="n">
        <x:f>(G34-H27)*H23/12</x:f>
        <x:v>11853323.07179424</x:v>
      </x:c>
      <x:c r="I32" s="35" t="n">
        <x:f>(H34-I27)*I23/12</x:f>
        <x:v>10324792.823602507</x:v>
      </x:c>
      <x:c r="J32" s="35" t="n">
        <x:f>(I34-J27)*J23/12</x:f>
        <x:v>9068146.288015807</x:v>
      </x:c>
      <x:c r="K32" s="35" t="n">
        <x:f>(J34-K27)*K23/12</x:f>
        <x:v>7992799.538493644</x:v>
      </x:c>
      <x:c r="L32" s="35" t="n">
        <x:f>(K34-L27)*L23/12</x:f>
        <x:v>7051999.011103564</x:v>
      </x:c>
      <x:c r="M32" s="35" t="n">
        <x:f>(L34-M27)*M23/12</x:f>
        <x:v>6216306.922614287</x:v>
      </x:c>
      <x:c r="N32" s="35" t="n">
        <x:f>(M34-N27)*N23/12</x:f>
        <x:v>5465707.348363452</x:v>
      </x:c>
      <x:c r="O32" s="35" t="n">
        <x:f>(N34-O27)*O23/12</x:f>
        <x:v>4786291.647529957</x:v>
      </x:c>
      <x:c r="P32" s="35" t="n">
        <x:f>(O34-P27)*P23/12</x:f>
        <x:v>4168316.131268442</x:v>
      </x:c>
      <x:c r="Q32" s="35" t="n">
        <x:f>(P34-Q27)*Q23/12</x:f>
        <x:v>3604884.4198048203</x:v>
      </x:c>
      <x:c r="R32" s="35" t="n">
        <x:f>(Q34-R27)*R23/12</x:f>
        <x:v>3091046.1455221553</x:v>
      </x:c>
      <x:c r="S32" s="35" t="n">
        <x:f>(R34-S27)*S23/12</x:f>
        <x:v>2623193.1642534523</x:v>
      </x:c>
      <x:c r="T32" s="35" t="n">
        <x:f>(S34-T27)*T23/12</x:f>
        <x:v>2198657.923912424</x:v>
      </x:c>
      <x:c r="U32" s="35" t="n">
        <x:f>(T34-U27)*U23/12</x:f>
        <x:v>1815441.442590711</x:v>
      </x:c>
      <x:c r="V32" s="35" t="n">
        <x:f>(U34-V27)*V23/12</x:f>
        <x:v>1472019.7426630429</x:v>
      </x:c>
      <x:c r="W32" s="35" t="n">
        <x:f>(V34-W27)*W23/12</x:f>
        <x:v>1167193.8846111428</x:v>
      </x:c>
      <x:c r="X32" s="35" t="n">
        <x:f>(W34-X27)*X23/12</x:f>
        <x:v>899960.7383343503</x:v>
      </x:c>
      <x:c r="Y32" s="35" t="n">
        <x:f>(X34-Y27)*Y23/12</x:f>
        <x:v>669393.2618403378</x:v>
      </x:c>
      <x:c r="Z32" s="35" t="n">
        <x:f>(Y34-Z27)*Z23/12</x:f>
        <x:v>474535.8104023845</x:v>
      </x:c>
      <x:c r="AA32" s="35" t="n">
        <x:f>(Z34-AA27)*AA23/12</x:f>
        <x:v>314343.3721531937</x:v>
      </x:c>
      <x:c r="AB32" s="35" t="n">
        <x:f>(AA34-AB27)*AB23/12</x:f>
        <x:v>187707.87916820566</x:v>
      </x:c>
      <x:c r="AC32" s="35" t="n">
        <x:f>(AB34-AC27)*AC23/12</x:f>
        <x:v>93585.72582982191</x:v>
      </x:c>
      <x:c r="AD32" s="35" t="n">
        <x:f>(AC34-AD27)*AD23/12</x:f>
        <x:v>31168.270383965762</x:v>
      </x:c>
      <x:c r="AE32" s="35" t="n">
        <x:f>(AD34-AE27)*AE23/12</x:f>
        <x:v>2.790572276959817e-9</x:v>
      </x:c>
      <x:c r="AF32" s="35" t="n">
        <x:f>(AE34-AF27)*AF23/12</x:f>
        <x:v>2.790572276959817e-9</x:v>
      </x:c>
      <x:c r="AG32" s="35" t="n">
        <x:f>(AF34-AG27)*AG23/12</x:f>
        <x:v>2.790572276959817e-9</x:v>
      </x:c>
      <x:c r="AH32" s="35" t="n">
        <x:f>(AG34-AH27)*AH23/12</x:f>
        <x:v>2.790572276959817e-9</x:v>
      </x:c>
      <x:c r="AI32" s="35" t="n">
        <x:f>(AH34-AI27)*AI23/12</x:f>
        <x:v>2.790572276959817e-9</x:v>
      </x:c>
      <x:c r="AJ32" s="35" t="n">
        <x:f>(AI34-AJ27)*AJ23/12</x:f>
        <x:v>2.790572276959817e-9</x:v>
      </x:c>
      <x:c r="AK32" s="35" t="n">
        <x:f>(AJ34-AK27)*AK23/12</x:f>
        <x:v>2.790572276959817e-9</x:v>
      </x:c>
      <x:c r="AL32" s="35" t="n">
        <x:f>(AK34-AL27)*AL23/12</x:f>
        <x:v>2.790572276959817e-9</x:v>
      </x:c>
      <x:c r="AM32" s="35" t="n">
        <x:f>(AL34-AM27)*AM23/12</x:f>
        <x:v>2.790572276959817e-9</x:v>
      </x:c>
      <x:c r="AN32" s="35" t="n">
        <x:f>(AM34-AN27)*AN23/12</x:f>
        <x:v>2.790572276959817e-9</x:v>
      </x:c>
      <x:c r="AO32" s="35" t="n">
        <x:f>(AN34-AO27)*AO23/12</x:f>
        <x:v>2.790572276959817e-9</x:v>
      </x:c>
      <x:c r="AP32" s="35" t="n">
        <x:f>(AO34-AP27)*AP23/12</x:f>
        <x:v>2.790572276959817e-9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146412660.41622877</x:v>
      </x:c>
      <x:c r="F33" s="2"/>
      <x:c r="G33" s="35" t="n">
        <x:f>G24-G32</x:f>
        <x:v>0</x:v>
      </x:c>
      <x:c r="H33" s="35" t="n">
        <x:f>H24-H32</x:f>
        <x:v>775264.6424661279</x:v>
      </x:c>
      <x:c r="I33" s="35" t="n">
        <x:f>I24-I32</x:f>
        <x:v>1510726.91688646</x:v>
      </x:c>
      <x:c r="J33" s="35" t="n">
        <x:f>J24-J32</x:f>
        <x:v>2203396.1794609465</x:v>
      </x:c>
      <x:c r="K33" s="35" t="n">
        <x:f>K24-K32</x:f>
        <x:v>2853730.260088166</x:v>
      </x:c>
      <x:c r="L33" s="35" t="n">
        <x:f>L24-L32</x:f>
        <x:v>3465293.296092759</x:v>
      </x:c>
      <x:c r="M33" s="35" t="n">
        <x:f>M24-M32</x:f>
        <x:v>4042972.313625601</x:v>
      </x:c>
      <x:c r="N33" s="35" t="n">
        <x:f>N24-N32</x:f>
        <x:v>4591202.412699319</x:v>
      </x:c>
      <x:c r="O33" s="35" t="n">
        <x:f>O24-O32</x:f>
        <x:v>5113114.445498985</x:v>
      </x:c>
      <x:c r="P33" s="35" t="n">
        <x:f>P24-P32</x:f>
        <x:v>5610488.129936194</x:v>
      </x:c>
      <x:c r="Q33" s="35" t="n">
        <x:f>Q24-Q32</x:f>
        <x:v>6084049.792710837</x:v>
      </x:c>
      <x:c r="R33" s="35" t="n">
        <x:f>R24-R32</x:f>
        <x:v>6533805.3017749</x:v>
      </x:c>
      <x:c r="S33" s="35" t="n">
        <x:f>S24-S32</x:f>
        <x:v>6959296.176063053</x:v>
      </x:c>
      <x:c r="T33" s="35" t="n">
        <x:f>T24-T32</x:f>
        <x:v>7359768.642685436</x:v>
      </x:c>
      <x:c r="U33" s="35" t="n">
        <x:f>U24-U32</x:f>
        <x:v>7734276.607025285</x:v>
      </x:c>
      <x:c r="V33" s="35" t="n">
        <x:f>V24-V32</x:f>
        <x:v>8081741.316279655</x:v>
      </x:c>
      <x:c r="W33" s="35" t="n">
        <x:f>W24-W32</x:f>
        <x:v>8400984.583341748</x:v>
      </x:c>
      <x:c r="X33" s="35" t="n">
        <x:f>X24-X32</x:f>
        <x:v>8690746.457934627</x:v>
      </x:c>
      <x:c r="Y33" s="35" t="n">
        <x:f>Y24-Y32</x:f>
        <x:v>8949693.926775876</x:v>
      </x:c>
      <x:c r="Z33" s="35" t="n">
        <x:f>Z24-Z32</x:f>
        <x:v>9176424.484277617</x:v>
      </x:c>
      <x:c r="AA33" s="35" t="n">
        <x:f>AA24-AA32</x:f>
        <x:v>9369466.770238928</x:v>
      </x:c>
      <x:c r="AB33" s="35" t="n">
        <x:f>AB24-AB32</x:f>
        <x:v>9527279.513764871</x:v>
      </x:c>
      <x:c r="AC33" s="35" t="n">
        <x:f>AC24-AC32</x:f>
        <x:v>9648249.475518705</x:v>
      </x:c>
      <x:c r="AD33" s="35" t="n">
        <x:f>AD24-AD32</x:f>
        <x:v>9730688.771082638</x:v>
      </x:c>
      <x:c r="AE33" s="35" t="n">
        <x:f>AE24-AE32</x:f>
        <x:v>9772831.784559548</x:v>
      </x:c>
      <x:c r="AF33" s="35" t="n">
        <x:f>AF24-AF32</x:f>
        <x:v>9772831.784559548</x:v>
      </x:c>
      <x:c r="AG33" s="35" t="n">
        <x:f>AG24-AG32</x:f>
        <x:v>9772831.784559548</x:v>
      </x:c>
      <x:c r="AH33" s="35" t="n">
        <x:f>AH24-AH32</x:f>
        <x:v>9772831.784559548</x:v>
      </x:c>
      <x:c r="AI33" s="35" t="n">
        <x:f>AI24-AI32</x:f>
        <x:v>9772831.784559548</x:v>
      </x:c>
      <x:c r="AJ33" s="35" t="n">
        <x:f>AJ24-AJ32</x:f>
        <x:v>9772831.784559548</x:v>
      </x:c>
      <x:c r="AK33" s="35" t="n">
        <x:f>AK24-AK32</x:f>
        <x:v>9772831.784559548</x:v>
      </x:c>
      <x:c r="AL33" s="35" t="n">
        <x:f>AL24-AL32</x:f>
        <x:v>9772831.784559548</x:v>
      </x:c>
      <x:c r="AM33" s="35" t="n">
        <x:f>AM24-AM32</x:f>
        <x:v>9772831.784559548</x:v>
      </x:c>
      <x:c r="AN33" s="35" t="n">
        <x:f>AN24-AN32</x:f>
        <x:v>9772831.784559548</x:v>
      </x:c>
      <x:c r="AO33" s="35" t="n">
        <x:f>AO24-AO32</x:f>
        <x:v>9772831.784559548</x:v>
      </x:c>
      <x:c r="AP33" s="35" t="n">
        <x:f>AP24-AP32</x:f>
        <x:v>9772831.784559548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6.088521331548691e-8</x:v>
      </x:c>
      <x:c r="F34" s="2"/>
      <x:c r="G34" s="35" t="n">
        <x:f>$E$44-G27-G29</x:f>
        <x:v>261019604.16758958</x:v>
      </x:c>
      <x:c r="H34" s="35" t="n">
        <x:f>G34-H27-H29</x:f>
        <x:v>227210726.39417168</x:v>
      </x:c>
      <x:c r="I34" s="35" t="n">
        <x:f>H34-I27-I29</x:f>
        <x:v>199319677.0564757</x:v>
      </x:c>
      <x:c r="J34" s="35" t="n">
        <x:f>I34-J27-J29</x:f>
        <x:v>175420906.17493346</x:v>
      </x:c>
      <x:c r="K34" s="35" t="n">
        <x:f>J34-K27-K29</x:f>
        <x:v>154538671.28761134</x:v>
      </x:c>
      <x:c r="L34" s="35" t="n">
        <x:f>K34-L27-L29</x:f>
        <x:v>136047259.35112527</x:v>
      </x:c>
      <x:c r="M34" s="35" t="n">
        <x:f>L34-M27-M29</x:f>
        <x:v>119499792.33860384</x:v>
      </x:c>
      <x:c r="N34" s="35" t="n">
        <x:f>M34-N27-N29</x:f>
        <x:v>104570570.80388461</x:v>
      </x:c>
      <x:c r="O34" s="35" t="n">
        <x:f>N34-O27-O29</x:f>
        <x:v>91025073.0917025</x:v>
      </x:c>
      <x:c r="P34" s="35" t="n">
        <x:f>O34-P27-P29</x:f>
        <x:v>78696255.66072732</x:v>
      </x:c>
      <x:c r="Q34" s="35" t="n">
        <x:f>P34-Q27-Q29</x:f>
        <x:v>67465157.83020018</x:v>
      </x:c>
      <x:c r="R34" s="35" t="n">
        <x:f>Q34-R27-R29</x:f>
        <x:v>57246344.77963402</x:v>
      </x:c>
      <x:c r="S34" s="35" t="n">
        <x:f>R34-S27-S29</x:f>
        <x:v>47977679.94643633</x:v>
      </x:c>
      <x:c r="T34" s="35" t="n">
        <x:f>S34-T27-T29</x:f>
        <x:v>39613302.83993783</x:v>
      </x:c>
      <x:c r="U34" s="35" t="n">
        <x:f>T34-U27-U29</x:f>
        <x:v>32118702.89122553</x:v>
      </x:c>
      <x:c r="V34" s="35" t="n">
        <x:f>U34-V27-V29</x:f>
        <x:v>25467023.080829486</x:v>
      </x:c>
      <x:c r="W34" s="35" t="n">
        <x:f>V34-W27-W29</x:f>
        <x:v>19635993.64268937</x:v>
      </x:c>
      <x:c r="X34" s="35" t="n">
        <x:f>W34-X27-X29</x:f>
        <x:v>14605179.639470853</x:v>
      </x:c>
      <x:c r="Y34" s="35" t="n">
        <x:f>X34-Y27-Y29</x:f>
        <x:v>10353618.128812434</x:v>
      </x:c>
      <x:c r="Z34" s="35" t="n">
        <x:f>Y34-Z27-Z29</x:f>
        <x:v>6858448.730452412</x:v>
      </x:c>
      <x:c r="AA34" s="35" t="n">
        <x:f>Z34-AA27-AA29</x:f>
        <x:v>4095463.645504827</x:v>
      </x:c>
      <x:c r="AB34" s="35" t="n">
        <x:f>AA34-AB27-AB29</x:f>
        <x:v>2041876.7348321858</x:v>
      </x:c>
      <x:c r="AC34" s="35" t="n">
        <x:f>AB34-AC27-AC29</x:f>
        <x:v>680036.4220722911</x:v>
      </x:c>
      <x:c r="AD34" s="35" t="n">
        <x:f>AC34-AD27-AD29</x:f>
        <x:v>6.088521331548691e-8</x:v>
      </x:c>
      <x:c r="AE34" s="35" t="n">
        <x:f>AD34-AE27-AE29</x:f>
        <x:v>6.088521331548691e-8</x:v>
      </x:c>
      <x:c r="AF34" s="35" t="n">
        <x:f>AE34-AF27-AF29</x:f>
        <x:v>6.088521331548691e-8</x:v>
      </x:c>
      <x:c r="AG34" s="35" t="n">
        <x:f>AF34-AG27-AG29</x:f>
        <x:v>6.088521331548691e-8</x:v>
      </x:c>
      <x:c r="AH34" s="35" t="n">
        <x:f>AG34-AH27-AH29</x:f>
        <x:v>6.088521331548691e-8</x:v>
      </x:c>
      <x:c r="AI34" s="35" t="n">
        <x:f>AH34-AI27-AI29</x:f>
        <x:v>6.088521331548691e-8</x:v>
      </x:c>
      <x:c r="AJ34" s="35" t="n">
        <x:f>AI34-AJ27-AJ29</x:f>
        <x:v>6.088521331548691e-8</x:v>
      </x:c>
      <x:c r="AK34" s="35" t="n">
        <x:f>AJ34-AK27-AK29</x:f>
        <x:v>6.088521331548691e-8</x:v>
      </x:c>
      <x:c r="AL34" s="35" t="n">
        <x:f>AK34-AL27-AL29</x:f>
        <x:v>6.088521331548691e-8</x:v>
      </x:c>
      <x:c r="AM34" s="35" t="n">
        <x:f>AL34-AM27-AM29</x:f>
        <x:v>6.088521331548691e-8</x:v>
      </x:c>
      <x:c r="AN34" s="35" t="n">
        <x:f>AM34-AN27-AN29</x:f>
        <x:v>6.088521331548691e-8</x:v>
      </x:c>
      <x:c r="AO34" s="35" t="n">
        <x:f>AN34-AO27-AO29</x:f>
        <x:v>6.088521331548691e-8</x:v>
      </x:c>
      <x:c r="AP34" s="35" t="n">
        <x:f>AO34-AP27-AP29</x:f>
        <x:v>6.088521331548691e-8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'Assumptions'!E58</x:f>
        <x:v>0.2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'Assumptions'!E59</x:f>
        <x:v>3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'Assumptions'!F15/12</x:f>
        <x:v>0.04583333333333334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'Assumptions'!F16</x:f>
        <x:v>24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'Assumptions'!F17*'Assumptions'!$E$29</x:f>
        <x:v>306720000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'Assumptions'!F19</x:f>
        <x:v>6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'Assumptions'!F18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'Assumptions'!F27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11322486.840180304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0.18177210906692462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0.18177210906692462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0.021130501936708537</x:v>
      </x:c>
      <x:c r="E52" s="30" t="n">
        <x:f>(D52-D51)*H51</x:f>
        <x:v>0.021130501936708537</x:v>
      </x:c>
      <x:c r="F52" s="30" t="n">
        <x:f>I52*(H51-H52)</x:f>
        <x:v>0.023227203908238684</x:v>
      </x:c>
      <x:c r="G52" s="30" t="n">
        <x:f>SUM(E53:E147)</x:f>
        <x:v>0.16064160713021608</x:v>
      </x:c>
      <x:c r="H52" s="30" t="n">
        <x:f>IF($E$42=0,1-MIN(C52,$E$43)/$E$43,((1+$E$42)^$E$43-(1+$E$42)^MIN(C52,$E$43))/((1+$E$42)^$E$43-1))</x:f>
        <x:v>0.9762713988389728</x:v>
      </x:c>
      <x:c r="I52" s="30" t="n">
        <x:f>1-D52</x:f>
        <x:v>0.9788694980632915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0.04881574533648144</x:v>
      </x:c>
      <x:c r="E53" s="30" t="n">
        <x:f>(D53-D52)*H52</x:f>
        <x:v>0.027028311301093733</x:v>
      </x:c>
      <x:c r="F53" s="30" t="n">
        <x:f>I53*(H52-H53)</x:f>
        <x:v>0.023604742600831063</x:v>
      </x:c>
      <x:c r="G53" s="30" t="n">
        <x:f>SUM(E54:E147)</x:f>
        <x:v>0.13361329582912237</x:v>
      </x:c>
      <x:c r="H53" s="30" t="n">
        <x:f>IF($E$42=0,1-MIN(C53,$E$43)/$E$43,((1+$E$42)^$E$43-(1+$E$42)^MIN(C53,$E$43))/((1+$E$42)^$E$43-1))</x:f>
        <x:v>0.9514552367913985</x:v>
      </x:c>
      <x:c r="I53" s="30" t="n">
        <x:f>1-D53</x:f>
        <x:v>0.9511842546635185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0.08079500913792459</x:v>
      </x:c>
      <x:c r="E54" s="30" t="n">
        <x:f>(D54-D53)*H53</x:f>
        <x:v>0.03042683801261669</x:v>
      </x:c>
      <x:c r="F54" s="30" t="n">
        <x:f>I54*(H53-H54)</x:f>
        <x:v>0.023856650591880125</x:v>
      </x:c>
      <x:c r="G54" s="30" t="n">
        <x:f>SUM(E55:E147)</x:f>
        <x:v>0.10318645781650564</x:v>
      </x:c>
      <x:c r="H54" s="30" t="n">
        <x:f>IF($E$42=0,1-MIN(C54,$E$43)/$E$43,((1+$E$42)^$E$43-(1+$E$42)^MIN(C54,$E$43))/((1+$E$42)^$E$43-1))</x:f>
        <x:v>0.9255016673166439</x:v>
      </x:c>
      <x:c r="I54" s="30" t="n">
        <x:f>1-D54</x:f>
        <x:v>0.9192049908620754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0.11277427293936776</x:v>
      </x:c>
      <x:c r="E55" s="30" t="n">
        <x:f>(D55-D54)*H54</x:f>
        <x:v>0.029596861967794447</x:v>
      </x:c>
      <x:c r="F55" s="30" t="n">
        <x:f>I55*(H54-H55)</x:f>
        <x:v>0.024082063797131386</x:v>
      </x:c>
      <x:c r="G55" s="30" t="n">
        <x:f>SUM(E56:E147)</x:f>
        <x:v>0.07358959584871119</x:v>
      </x:c>
      <x:c r="H55" s="30" t="n">
        <x:f>IF($E$42=0,1-MIN(C55,$E$43)/$E$43,((1+$E$42)^$E$43-(1+$E$42)^MIN(C55,$E$43))/((1+$E$42)^$E$43-1))</x:f>
        <x:v>0.8983585592409629</x:v>
      </x:c>
      <x:c r="I55" s="30" t="n">
        <x:f>1-D55</x:f>
        <x:v>0.8872257270606323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0.14045951633914067</x:v>
      </x:c>
      <x:c r="E56" s="30" t="n">
        <x:f>(D56-D55)*H55</x:f>
        <x:v>0.024871275372855366</x:v>
      </x:c>
      <x:c r="F56" s="30" t="n">
        <x:f>I56*(H55-H56)</x:f>
        <x:v>0.024399919421253764</x:v>
      </x:c>
      <x:c r="G56" s="30" t="n">
        <x:f>SUM(E57:E147)</x:f>
        <x:v>0.048718320475855816</x:v>
      </x:c>
      <x:c r="H56" s="30" t="n">
        <x:f>IF($E$42=0,1-MIN(C56,$E$43)/$E$43,((1+$E$42)^$E$43-(1+$E$42)^MIN(C56,$E$43))/((1+$E$42)^$E$43-1))</x:f>
        <x:v>0.8699713920451464</x:v>
      </x:c>
      <x:c r="I56" s="30" t="n">
        <x:f>1-D56</x:f>
        <x:v>0.8595404836608593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0.16159001827584915</x:v>
      </x:c>
      <x:c r="E57" s="30" t="n">
        <x:f>(D57-D56)*H56</x:f>
        <x:v>0.01838293218449094</x:v>
      </x:c>
      <x:c r="F57" s="30" t="n">
        <x:f>I57*(H56-H57)</x:f>
        <x:v>0.02489092152829608</x:v>
      </x:c>
      <x:c r="G57" s="30" t="n">
        <x:f>SUM(E58:E147)</x:f>
        <x:v>0.03033538829136488</x:v>
      </x:c>
      <x:c r="H57" s="30" t="n">
        <x:f>IF($E$42=0,1-MIN(C57,$E$43)/$E$43,((1+$E$42)^$E$43-(1+$E$42)^MIN(C57,$E$43))/((1+$E$42)^$E$43-1))</x:f>
        <x:v>0.8402831463528551</x:v>
      </x:c>
      <x:c r="I57" s="30" t="n">
        <x:f>1-D57</x:f>
        <x:v>0.8384099817241508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0.17621848771200077</x:v>
      </x:c>
      <x:c r="E58" s="30" t="n">
        <x:f>(D58-D57)*H57</x:f>
        <x:v>0.012292056324136059</x:v>
      </x:c>
      <x:c r="F58" s="30" t="n">
        <x:f>I58*(H57-H58)</x:f>
        <x:v>0.02557755671386219</x:v>
      </x:c>
      <x:c r="G58" s="30" t="n">
        <x:f>SUM(E59:E147)</x:f>
        <x:v>0.01804333196722882</x:v>
      </x:c>
      <x:c r="H58" s="30" t="n">
        <x:f>IF($E$42=0,1-MIN(C58,$E$43)/$E$43,((1+$E$42)^$E$43-(1+$E$42)^MIN(C58,$E$43))/((1+$E$42)^$E$43-1))</x:f>
        <x:v>0.8092341893996671</x:v>
      </x:c>
      <x:c r="I58" s="30" t="n">
        <x:f>1-D58</x:f>
        <x:v>0.8237815122879992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0.1856747428301494</x:v>
      </x:c>
      <x:c r="E59" s="30" t="n">
        <x:f>(D59-D58)*H58</x:f>
        <x:v>0.0076523249452914565</x:v>
      </x:c>
      <x:c r="F59" s="30" t="n">
        <x:f>I59*(H58-H59)</x:f>
        <x:v>0.026442797557482738</x:v>
      </x:c>
      <x:c r="G59" s="30" t="n">
        <x:f>SUM(E60:E147)</x:f>
        <x:v>0.010391007021937362</x:v>
      </x:c>
      <x:c r="H59" s="30" t="n">
        <x:f>IF($E$42=0,1-MIN(C59,$E$43)/$E$43,((1+$E$42)^$E$43-(1+$E$42)^MIN(C59,$E$43))/((1+$E$42)^$E$43-1))</x:f>
        <x:v>0.7767621552527914</x:v>
      </x:c>
      <x:c r="I59" s="30" t="n">
        <x:f>1-D59</x:f>
        <x:v>0.8143252571698506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0.1915194734156045</x:v>
      </x:c>
      <x:c r="E60" s="30" t="n">
        <x:f>(D60-D59)*H59</x:f>
        <x:v>0.004539965526430007</x:v>
      </x:c>
      <x:c r="F60" s="30" t="n">
        <x:f>I60*(H59-H60)</x:f>
        <x:v>0.027456270099372924</x:v>
      </x:c>
      <x:c r="G60" s="30" t="n">
        <x:f>SUM(E61:E147)</x:f>
        <x:v>0.005851041495507359</x:v>
      </x:c>
      <x:c r="H60" s="30" t="n">
        <x:f>IF($E$42=0,1-MIN(C60,$E$43)/$E$43,((1+$E$42)^$E$43-(1+$E$42)^MIN(C60,$E$43))/((1+$E$42)^$E$43-1))</x:f>
        <x:v>0.7428018195408503</x:v>
      </x:c>
      <x:c r="I60" s="30" t="n">
        <x:f>1-D60</x:f>
        <x:v>0.8084805265843955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0.19503240748410328</x:v>
      </x:c>
      <x:c r="E61" s="30" t="n">
        <x:f>(D61-D60)*H60</x:f>
        <x:v>0.0026094138180079397</x:v>
      </x:c>
      <x:c r="F61" s="30" t="n">
        <x:f>I61*(H60-H61)</x:f>
        <x:v>0.02858991412269683</x:v>
      </x:c>
      <x:c r="G61" s="30" t="n">
        <x:f>SUM(E62:E147)</x:f>
        <x:v>0.003241627677499417</x:v>
      </x:c>
      <x:c r="H61" s="30" t="n">
        <x:f>IF($E$42=0,1-MIN(C61,$E$43)/$E$43,((1+$E$42)^$E$43-(1+$E$42)^MIN(C61,$E$43))/((1+$E$42)^$E$43-1))</x:f>
        <x:v>0.7072849684421122</x:v>
      </x:c>
      <x:c r="I61" s="30" t="n">
        <x:f>1-D61</x:f>
        <x:v>0.8049675925158968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0.19710846003705662</x:v>
      </x:c>
      <x:c r="E62" s="30" t="n">
        <x:f>(D62-D61)*H61</x:f>
        <x:v>0.0014683607643997728</x:v>
      </x:c>
      <x:c r="F62" s="30" t="n">
        <x:f>I62*(H61-H62)</x:f>
        <x:v>0.029823170823326788</x:v>
      </x:c>
      <x:c r="G62" s="30" t="n">
        <x:f>SUM(E63:E147)</x:f>
        <x:v>0.001773266913099645</x:v>
      </x:c>
      <x:c r="H62" s="30" t="n">
        <x:f>IF($E$42=0,1-MIN(C62,$E$43)/$E$43,((1+$E$42)^$E$43-(1+$E$42)^MIN(C62,$E$43))/((1+$E$42)^$E$43-1))</x:f>
        <x:v>0.6701402616680151</x:v>
      </x:c>
      <x:c r="I62" s="30" t="n">
        <x:f>1-D62</x:f>
        <x:v>0.8028915399629434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0.1983231226149224</x:v>
      </x:c>
      <x:c r="E63" s="30" t="n">
        <x:f>(D63-D62)*H62</x:f>
        <x:v>0.0008139942977693251</x:v>
      </x:c>
      <x:c r="F63" s="30" t="n">
        <x:f>I63*(H62-H63)</x:f>
        <x:v>0.031142879946036057</x:v>
      </x:c>
      <x:c r="G63" s="30" t="n">
        <x:f>SUM(E64:E147)</x:f>
        <x:v>0.0009592726153303198</x:v>
      </x:c>
      <x:c r="H63" s="30" t="n">
        <x:f>IF($E$42=0,1-MIN(C63,$E$43)/$E$43,((1+$E$42)^$E$43-(1+$E$42)^MIN(C63,$E$43))/((1+$E$42)^$E$43-1))</x:f>
        <x:v>0.631293089166772</x:v>
      </x:c>
      <x:c r="I63" s="30" t="n">
        <x:f>1-D63</x:f>
        <x:v>0.8016768773850775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0.19902963854153846</x:v>
      </x:c>
      <x:c r="E64" s="30" t="n">
        <x:f>(D64-D63)*H63</x:f>
        <x:v>0.0004460186218589722</x:v>
      </x:c>
      <x:c r="F64" s="30" t="n">
        <x:f>I64*(H63-H64)</x:f>
        <x:v>0.03254155784912485</x:v>
      </x:c>
      <x:c r="G64" s="30" t="n">
        <x:f>SUM(E65:E147)</x:f>
        <x:v>0.0005132539934713476</x:v>
      </x:c>
      <x:c r="H64" s="30" t="n">
        <x:f>IF($E$42=0,1-MIN(C64,$E$43)/$E$43,((1+$E$42)^$E$43-(1+$E$42)^MIN(C64,$E$43))/((1+$E$42)^$E$43-1))</x:f>
        <x:v>0.5906654212592217</x:v>
      </x:c>
      <x:c r="I64" s="30" t="n">
        <x:f>1-D64</x:f>
        <x:v>0.8009703614584616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0.19943918448771367</x:v>
      </x:c>
      <x:c r="E65" s="30" t="n">
        <x:f>(D65-D64)*H64</x:f>
        <x:v>0.00024190462882258394</x:v>
      </x:c>
      <x:c r="F65" s="30" t="n">
        <x:f>I65*(H64-H65)</x:f>
        <x:v>0.034015644404417074</x:v>
      </x:c>
      <x:c r="G65" s="30" t="n">
        <x:f>SUM(E66:E147)</x:f>
        <x:v>0.0002713493646487638</x:v>
      </x:c>
      <x:c r="H65" s="30" t="n">
        <x:f>IF($E$42=0,1-MIN(C65,$E$43)/$E$43,((1+$E$42)^$E$43-(1+$E$42)^MIN(C65,$E$43))/((1+$E$42)^$E$43-1))</x:f>
        <x:v>0.5481756519059089</x:v>
      </x:c>
      <x:c r="I65" s="30" t="n">
        <x:f>1-D65</x:f>
        <x:v>0.8005608155122863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0.19967611528344636</x:v>
      </x:c>
      <x:c r="E66" s="30" t="n">
        <x:f>(D66-D65)*H65</x:f>
        <x:v>0.0001298796934073576</x:v>
      </x:c>
      <x:c r="F66" s="30" t="n">
        <x:f>I66*(H65-H66)</x:f>
        <x:v>0.03556416622774165</x:v>
      </x:c>
      <x:c r="G66" s="30" t="n">
        <x:f>SUM(E67:E147)</x:f>
        <x:v>0.0001414696712414061</x:v>
      </x:c>
      <x:c r="H66" s="30" t="n">
        <x:f>IF($E$42=0,1-MIN(C66,$E$43)/$E$43,((1+$E$42)^$E$43-(1+$E$42)^MIN(C66,$E$43))/((1+$E$42)^$E$43-1))</x:f>
        <x:v>0.5037384347905691</x:v>
      </x:c>
      <x:c r="I66" s="30" t="n">
        <x:f>1-D66</x:f>
        <x:v>0.8003238847165537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0.19981302731686193</x:v>
      </x:c>
      <x:c r="E67" s="30" t="n">
        <x:f>(D67-D66)*H66</x:f>
        <x:v>0.00006896785341675077</x:v>
      </x:c>
      <x:c r="F67" s="30" t="n">
        <x:f>I67*(H66-H67)</x:f>
        <x:v>0.03718782767389472</x:v>
      </x:c>
      <x:c r="G67" s="30" t="n">
        <x:f>SUM(E68:E147)</x:f>
        <x:v>0.00007250181782465537</x:v>
      </x:c>
      <x:c r="H67" s="30" t="n">
        <x:f>IF($E$42=0,1-MIN(C67,$E$43)/$E$43,((1+$E$42)^$E$43-(1+$E$42)^MIN(C67,$E$43))/((1+$E$42)^$E$43-1))</x:f>
        <x:v>0.4572645118907764</x:v>
      </x:c>
      <x:c r="I67" s="30" t="n">
        <x:f>1-D67</x:f>
        <x:v>0.8001869726831381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0.19989209034402927</x:v>
      </x:c>
      <x:c r="E68" s="30" t="n">
        <x:f>(D68-D67)*H67</x:f>
        <x:v>0.00003615271652628185</x:v>
      </x:c>
      <x:c r="F68" s="30" t="n">
        <x:f>I68*(H67-H68)</x:f>
        <x:v>0.038888426998005654</x:v>
      </x:c>
      <x:c r="G68" s="30" t="n">
        <x:f>SUM(E69:E147)</x:f>
        <x:v>0.00003634910129837351</x:v>
      </x:c>
      <x:c r="H68" s="30" t="n">
        <x:f>IF($E$42=0,1-MIN(C68,$E$43)/$E$43,((1+$E$42)^$E$43-(1+$E$42)^MIN(C68,$E$43))/((1+$E$42)^$E$43-1))</x:f>
        <x:v>0.40866053419140974</x:v>
      </x:c>
      <x:c r="I68" s="30" t="n">
        <x:f>1-D68</x:f>
        <x:v>0.8001079096559707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0.1999377296207979</x:v>
      </x:c>
      <x:c r="E69" s="30" t="n">
        <x:f>(D69-D68)*H68</x:f>
        <x:v>0.000018650971224374666</x:v>
      </x:c>
      <x:c r="F69" s="30" t="n">
        <x:f>I69*(H68-H69)</x:f>
        <x:v>0.040668493315214486</x:v>
      </x:c>
      <x:c r="G69" s="30" t="n">
        <x:f>SUM(E70:E147)</x:f>
        <x:v>0.000017698130073998846</x:v>
      </x:c>
      <x:c r="H69" s="30" t="n">
        <x:f>IF($E$42=0,1-MIN(C69,$E$43)/$E$43,((1+$E$42)^$E$43-(1+$E$42)^MIN(C69,$E$43))/((1+$E$42)^$E$43-1))</x:f>
        <x:v>0.35782887418082204</x:v>
      </x:c>
      <x:c r="I69" s="30" t="n">
        <x:f>1-D69</x:f>
        <x:v>0.8000622703792021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0.19996406914628934</x:v>
      </x:c>
      <x:c r="E70" s="30" t="n">
        <x:f>(D70-D69)*H69</x:f>
        <x:v>0.000009425042753059845</x:v>
      </x:c>
      <x:c r="F70" s="30" t="n">
        <x:f>I70*(H69-H70)</x:f>
        <x:v>0.0425310656782743</x:v>
      </x:c>
      <x:c r="G70" s="30" t="n">
        <x:f>SUM(E71:E147)</x:f>
        <x:v>0.000008273087320939</x:v>
      </x:c>
      <x:c r="H70" s="30" t="n">
        <x:f>IF($E$42=0,1-MIN(C70,$E$43)/$E$43,((1+$E$42)^$E$43-(1+$E$42)^MIN(C70,$E$43))/((1+$E$42)^$E$43-1))</x:f>
        <x:v>0.30466742975308264</x:v>
      </x:c>
      <x:c r="I70" s="30" t="n">
        <x:f>1-D70</x:f>
        <x:v>0.8000359308537106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0.19997926837895716</x:v>
      </x:c>
      <x:c r="E71" s="30" t="n">
        <x:f>(D71-D70)*H70</x:f>
        <x:v>0.000004630711151124714</x:v>
      </x:c>
      <x:c r="F71" s="30" t="n">
        <x:f>I71*(H70-H71)</x:f>
        <x:v>0.04447956114142932</x:v>
      </x:c>
      <x:c r="G71" s="30" t="n">
        <x:f>SUM(E72:E147)</x:f>
        <x:v>0.000003642376169814286</x:v>
      </x:c>
      <x:c r="H71" s="30" t="n">
        <x:f>IF($E$42=0,1-MIN(C71,$E$43)/$E$43,((1+$E$42)^$E$43-(1+$E$42)^MIN(C71,$E$43))/((1+$E$42)^$E$43-1))</x:f>
        <x:v>0.2490694191224049</x:v>
      </x:c>
      <x:c r="I71" s="30" t="n">
        <x:f>1-D71</x:f>
        <x:v>0.8000207316210428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0.19998803845513463</x:v>
      </x:c>
      <x:c r="E72" s="30" t="n">
        <x:f>(D72-D71)*H71</x:f>
        <x:v>0.0000021843577791822608</x:v>
      </x:c>
      <x:c r="F72" s="30" t="n">
        <x:f>I72*(H71-H72)</x:f>
        <x:v>0.04651769774667829</x:v>
      </x:c>
      <x:c r="G72" s="30" t="n">
        <x:f>SUM(E73:E147)</x:f>
        <x:v>0.0000014580183906320256</x:v>
      </x:c>
      <x:c r="H72" s="30" t="n">
        <x:f>IF($E$42=0,1-MIN(C72,$E$43)/$E$43,((1+$E$42)^$E$43-(1+$E$42)^MIN(C72,$E$43))/((1+$E$42)^$E$43-1))</x:f>
        <x:v>0.19092316633782133</x:v>
      </x:c>
      <x:c r="I72" s="30" t="n">
        <x:f>1-D72</x:f>
        <x:v>0.8000119615448653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0.1999930986424744</x:v>
      </x:c>
      <x:c r="E73" s="30" t="n">
        <x:f>(D73-D72)*H72</x:f>
        <x:v>9.661069891687715e-7</x:v>
      </x:c>
      <x:c r="F73" s="30" t="n">
        <x:f>I73*(H72-H73)</x:f>
        <x:v>0.048649451176884455</x:v>
      </x:c>
      <x:c r="G73" s="30" t="n">
        <x:f>SUM(E74:E147)</x:f>
        <x:v>4.91911401463254e-7</x:v>
      </x:c>
      <x:c r="H73" s="30" t="n">
        <x:f>IF($E$42=0,1-MIN(C73,$E$43)/$E$43,((1+$E$42)^$E$43-(1+$E$42)^MIN(C73,$E$43))/((1+$E$42)^$E$43-1))</x:f>
        <x:v>0.1301118769672777</x:v>
      </x:c>
      <x:c r="I73" s="30" t="n">
        <x:f>1-D73</x:f>
        <x:v>0.8000069013575256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0.19999601821432247</x:v>
      </x:c>
      <x:c r="E74" s="30" t="n">
        <x:f>(D74-D73)*H73</x:f>
        <x:v>3.798709730953943e-7</x:v>
      </x:c>
      <x:c r="F74" s="30" t="n">
        <x:f>I74*(H73-H74)</x:f>
        <x:v>0.05087903200884581</x:v>
      </x:c>
      <x:c r="G74" s="30" t="n">
        <x:f>SUM(E75:E147)</x:f>
        <x:v>1.120404283678597e-7</x:v>
      </x:c>
      <x:c r="H74" s="30" t="n">
        <x:f>IF($E$42=0,1-MIN(C74,$E$43)/$E$43,((1+$E$42)^$E$43-(1+$E$42)^MIN(C74,$E$43))/((1+$E$42)^$E$43-1))</x:f>
        <x:v>0.06651340350058388</x:v>
      </x:c>
      <x:c r="I74" s="30" t="n">
        <x:f>1-D74</x:f>
        <x:v>0.8000039817856776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0.19999770269327666</x:v>
      </x:c>
      <x:c r="E75" s="30" t="n">
        <x:f>(D75-D74)*H74</x:f>
        <x:v>1.120404283678597e-7</x:v>
      </x:c>
      <x:c r="F75" s="30" t="n">
        <x:f>I75*(H74-H75)</x:f>
        <x:v>0.053210875602156156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0.8000022973067233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0.19999867456391848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0.8000013254360815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0.19999923528810554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0.8000007647118945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0.19999955879901876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0.8000004412009812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0.19999974544897828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0.8000002545510217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0.19999985313676996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0.8000001468632301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0.19999991526726518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0.8000000847327349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0.19999995111345736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0.8000000488865426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0.19999997179491605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0.800000028205084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0.19999998372708136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0.8000000162729186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0.19999999061134244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0.8000000093886576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0.19999999458321568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0.8000000054167843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0.1999999968747873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0.8000000031252127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0.1999999981969091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0.8000000018030908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0.19999999895970705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0.800000001040293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0.1999999993998032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0.8000000006001968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0.19999999965371656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0.8000000003462835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0.19999999980021185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0.8000000001997881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0.19999999988473224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0.8000000001152677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0.1999999999334963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0.8000000000665037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0.1999999999616307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0.8000000000383694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0.19999999997786286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0.8000000000221371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0.19999999998722798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0.800000000012772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0.1999999999926312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0.8000000000073688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0.19999999999574858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0.8000000000042514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0.19999999999754714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0.8000000000024529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0.19999999999858484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0.8000000000014151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0.1999999999991835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0.8000000000008165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0.19999999999952892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0.8000000000004711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0.19999999999972823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0.8000000000002718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0.1999999999998432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0.8000000000001568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0.19999999999990956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0.8000000000000904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0.19999999999994783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0.8000000000000522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0.1999999999999699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0.8000000000000301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0.19999999999998266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0.8000000000000174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0.19999999999999002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0.80000000000001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0.19999999999999424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0.8000000000000058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0.19999999999999668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0.8000000000000034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0.19999999999999812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0.8000000000000018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0.1999999999999989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0.8000000000000012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0.19999999999999937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0.8000000000000006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0.19999999999999962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0.8000000000000004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0.1999999999999998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0.8000000000000003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0.1999999999999999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0.8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0.19999999999999996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0.8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0.19999999999999996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0.8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0.2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0.8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0.2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0.8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0.2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0.8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0.2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0.8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0.2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0.8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0.2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0.8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0.2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0.8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0.2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0.8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0.2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0.8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0.2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0.8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0.2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0.8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0.2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0.8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0.2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0.8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0.2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0.8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0.2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0.8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0.2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0.8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0.2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0.8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0.2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0.8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0.2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0.8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0.2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0.8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0.2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0.8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0.2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0.8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0.2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0.8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0.2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0.8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0.2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0.8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0.2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0.8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0.2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0.8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1.120404283678597e-7</x:v>
      </x:c>
      <x:c r="CB150" s="30" t="n">
        <x:f>E74</x:f>
        <x:v>3.798709730953943e-7</x:v>
      </x:c>
      <x:c r="CC150" s="30" t="n">
        <x:f>E73</x:f>
        <x:v>9.661069891687715e-7</x:v>
      </x:c>
      <x:c r="CD150" s="30" t="n">
        <x:f>E72</x:f>
        <x:v>0.0000021843577791822608</x:v>
      </x:c>
      <x:c r="CE150" s="30" t="n">
        <x:f>E71</x:f>
        <x:v>0.000004630711151124714</x:v>
      </x:c>
      <x:c r="CF150" s="30" t="n">
        <x:f>E70</x:f>
        <x:v>0.000009425042753059845</x:v>
      </x:c>
      <x:c r="CG150" s="30" t="n">
        <x:f>E69</x:f>
        <x:v>0.000018650971224374666</x:v>
      </x:c>
      <x:c r="CH150" s="30" t="n">
        <x:f>E68</x:f>
        <x:v>0.00003615271652628185</x:v>
      </x:c>
      <x:c r="CI150" s="30" t="n">
        <x:f>E67</x:f>
        <x:v>0.00006896785341675077</x:v>
      </x:c>
      <x:c r="CJ150" s="30" t="n">
        <x:f>E66</x:f>
        <x:v>0.0001298796934073576</x:v>
      </x:c>
      <x:c r="CK150" s="30" t="n">
        <x:f>E65</x:f>
        <x:v>0.00024190462882258394</x:v>
      </x:c>
      <x:c r="CL150" s="30" t="n">
        <x:f>E64</x:f>
        <x:v>0.0004460186218589722</x:v>
      </x:c>
      <x:c r="CM150" s="30" t="n">
        <x:f>E63</x:f>
        <x:v>0.0008139942977693251</x:v>
      </x:c>
      <x:c r="CN150" s="30" t="n">
        <x:f>E62</x:f>
        <x:v>0.0014683607643997728</x:v>
      </x:c>
      <x:c r="CO150" s="30" t="n">
        <x:f>E61</x:f>
        <x:v>0.0026094138180079397</x:v>
      </x:c>
      <x:c r="CP150" s="30" t="n">
        <x:f>E60</x:f>
        <x:v>0.004539965526430007</x:v>
      </x:c>
      <x:c r="CQ150" s="30" t="n">
        <x:f>E59</x:f>
        <x:v>0.0076523249452914565</x:v>
      </x:c>
      <x:c r="CR150" s="30" t="n">
        <x:f>E58</x:f>
        <x:v>0.012292056324136059</x:v>
      </x:c>
      <x:c r="CS150" s="30" t="n">
        <x:f>E57</x:f>
        <x:v>0.01838293218449094</x:v>
      </x:c>
      <x:c r="CT150" s="30" t="n">
        <x:f>E56</x:f>
        <x:v>0.024871275372855366</x:v>
      </x:c>
      <x:c r="CU150" s="30" t="n">
        <x:f>E55</x:f>
        <x:v>0.029596861967794447</x:v>
      </x:c>
      <x:c r="CV150" s="30" t="n">
        <x:f>E54</x:f>
        <x:v>0.03042683801261669</x:v>
      </x:c>
      <x:c r="CW150" s="30" t="n">
        <x:f>E53</x:f>
        <x:v>0.027028311301093733</x:v>
      </x:c>
      <x:c r="CX150" s="30" t="n">
        <x:f>E52</x:f>
        <x:v>0.021130501936708537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0.053210875602156156</x:v>
      </x:c>
      <x:c r="CB151" s="30" t="n">
        <x:f>F74</x:f>
        <x:v>0.05087903200884581</x:v>
      </x:c>
      <x:c r="CC151" s="30" t="n">
        <x:f>F73</x:f>
        <x:v>0.048649451176884455</x:v>
      </x:c>
      <x:c r="CD151" s="30" t="n">
        <x:f>F72</x:f>
        <x:v>0.04651769774667829</x:v>
      </x:c>
      <x:c r="CE151" s="30" t="n">
        <x:f>F71</x:f>
        <x:v>0.04447956114142932</x:v>
      </x:c>
      <x:c r="CF151" s="30" t="n">
        <x:f>F70</x:f>
        <x:v>0.0425310656782743</x:v>
      </x:c>
      <x:c r="CG151" s="30" t="n">
        <x:f>F69</x:f>
        <x:v>0.040668493315214486</x:v>
      </x:c>
      <x:c r="CH151" s="30" t="n">
        <x:f>F68</x:f>
        <x:v>0.038888426998005654</x:v>
      </x:c>
      <x:c r="CI151" s="30" t="n">
        <x:f>F67</x:f>
        <x:v>0.03718782767389472</x:v>
      </x:c>
      <x:c r="CJ151" s="30" t="n">
        <x:f>F66</x:f>
        <x:v>0.03556416622774165</x:v>
      </x:c>
      <x:c r="CK151" s="30" t="n">
        <x:f>F65</x:f>
        <x:v>0.034015644404417074</x:v>
      </x:c>
      <x:c r="CL151" s="30" t="n">
        <x:f>F64</x:f>
        <x:v>0.03254155784912485</x:v>
      </x:c>
      <x:c r="CM151" s="30" t="n">
        <x:f>F63</x:f>
        <x:v>0.031142879946036057</x:v>
      </x:c>
      <x:c r="CN151" s="30" t="n">
        <x:f>F62</x:f>
        <x:v>0.029823170823326788</x:v>
      </x:c>
      <x:c r="CO151" s="30" t="n">
        <x:f>F61</x:f>
        <x:v>0.02858991412269683</x:v>
      </x:c>
      <x:c r="CP151" s="30" t="n">
        <x:f>F60</x:f>
        <x:v>0.027456270099372924</x:v>
      </x:c>
      <x:c r="CQ151" s="30" t="n">
        <x:f>F59</x:f>
        <x:v>0.026442797557482738</x:v>
      </x:c>
      <x:c r="CR151" s="30" t="n">
        <x:f>F58</x:f>
        <x:v>0.02557755671386219</x:v>
      </x:c>
      <x:c r="CS151" s="30" t="n">
        <x:f>F57</x:f>
        <x:v>0.02489092152829608</x:v>
      </x:c>
      <x:c r="CT151" s="30" t="n">
        <x:f>F56</x:f>
        <x:v>0.024399919421253764</x:v>
      </x:c>
      <x:c r="CU151" s="30" t="n">
        <x:f>F55</x:f>
        <x:v>0.024082063797131386</x:v>
      </x:c>
      <x:c r="CV151" s="30" t="n">
        <x:f>F54</x:f>
        <x:v>0.023856650591880125</x:v>
      </x:c>
      <x:c r="CW151" s="30" t="n">
        <x:f>F53</x:f>
        <x:v>0.023604742600831063</x:v>
      </x:c>
      <x:c r="CX151" s="30" t="n">
        <x:f>F52</x:f>
        <x:v>0.023227203908238684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12780000</x:v>
      </x:c>
      <x:c r="E160" s="31" t="n">
        <x:f>IF(D160=0,0,D160/(INDEX($I$51:$I$147,C160+1)*INDEX($H$51:$H$147,C160+1)))</x:f>
        <x:v>12780000</x:v>
      </x:c>
      <x:c r="F160" s="31" t="n">
        <x:f>E160*INDEX($G$51:$G$147,C160+1)</x:f>
        <x:v>2323047.553875297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12780000</x:v>
      </x:c>
      <x:c r="E161" s="31" t="n">
        <x:f>IF(D161=0,0,D161/(INDEX($I$51:$I$147,C161+1)*INDEX($H$51:$H$147,C161+1)))</x:f>
        <x:v>13373204.679371849</x:v>
      </x:c>
      <x:c r="F161" s="31" t="n">
        <x:f>E161*INDEX($G$51:$G$147,C161+1)</x:f>
        <x:v>2148293.0921756197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12780000</x:v>
      </x:c>
      <x:c r="E162" s="31" t="n">
        <x:f>IF(D162=0,0,D162/(INDEX($I$51:$I$147,C162+1)*INDEX($H$51:$H$147,C162+1)))</x:f>
        <x:v>14121402.778634038</x:v>
      </x:c>
      <x:c r="F162" s="31" t="n">
        <x:f>E162*INDEX($G$51:$G$147,C162+1)</x:f>
        <x:v>1886807.1669838205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12780000</x:v>
      </x:c>
      <x:c r="E163" s="31" t="n">
        <x:f>IF(D163=0,0,D163/(INDEX($I$51:$I$147,C163+1)*INDEX($H$51:$H$147,C163+1)))</x:f>
        <x:v>15022467.55224406</x:v>
      </x:c>
      <x:c r="F163" s="31" t="n">
        <x:f>E163*INDEX($G$51:$G$147,C163+1)</x:f>
        <x:v>1550115.2143794564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12780000</x:v>
      </x:c>
      <x:c r="E164" s="31" t="n">
        <x:f>IF(D164=0,0,D164/(INDEX($I$51:$I$147,C164+1)*INDEX($H$51:$H$147,C164+1)))</x:f>
        <x:v>16034189.69246945</x:v>
      </x:c>
      <x:c r="F164" s="31" t="n">
        <x:f>E164*INDEX($G$51:$G$147,C164+1)</x:f>
        <x:v>1179949.5392303977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12780000</x:v>
      </x:c>
      <x:c r="E165" s="31" t="n">
        <x:f>IF(D165=0,0,D165/(INDEX($I$51:$I$147,C165+1)*INDEX($H$51:$H$147,C165+1)))</x:f>
        <x:v>17090687.99337316</x:v>
      </x:c>
      <x:c r="F165" s="31" t="n">
        <x:f>E165*INDEX($G$51:$G$147,C165+1)</x:f>
        <x:v>832629.6148140148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12780000</x:v>
      </x:c>
      <x:c r="E166" s="31" t="n">
        <x:f>IF(D166=0,0,D166/(INDEX($I$51:$I$147,C166+1)*INDEX($H$51:$H$147,C166+1)))</x:f>
        <x:v>18140479.42871903</x:v>
      </x:c>
      <x:c r="F166" s="31" t="n">
        <x:f>E166*INDEX($G$51:$G$147,C166+1)</x:f>
        <x:v>550298.4872617087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12780000</x:v>
      </x:c>
      <x:c r="E167" s="31" t="n">
        <x:f>IF(D167=0,0,D167/(INDEX($I$51:$I$147,C167+1)*INDEX($H$51:$H$147,C167+1)))</x:f>
        <x:v>19170992.165785536</x:v>
      </x:c>
      <x:c r="F167" s="31" t="n">
        <x:f>E167*INDEX($G$51:$G$147,C167+1)</x:f>
        <x:v>345908.5757884114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12780000</x:v>
      </x:c>
      <x:c r="E168" s="31" t="n">
        <x:f>IF(D168=0,0,D168/(INDEX($I$51:$I$147,C168+1)*INDEX($H$51:$H$147,C168+1)))</x:f>
        <x:v>20204350.34587709</x:v>
      </x:c>
      <x:c r="F168" s="31" t="n">
        <x:f>E168*INDEX($G$51:$G$147,C168+1)</x:f>
        <x:v>209943.5463176914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12780000</x:v>
      </x:c>
      <x:c r="E169" s="31" t="n">
        <x:f>IF(D169=0,0,D169/(INDEX($I$51:$I$147,C169+1)*INDEX($H$51:$H$147,C169+1)))</x:f>
        <x:v>21280818.668508686</x:v>
      </x:c>
      <x:c r="F169" s="31" t="n">
        <x:f>E169*INDEX($G$51:$G$147,C169+1)</x:f>
        <x:v>124514.95308781198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12780000</x:v>
      </x:c>
      <x:c r="E170" s="31" t="n">
        <x:f>IF(D170=0,0,D170/(INDEX($I$51:$I$147,C170+1)*INDEX($H$51:$H$147,C170+1)))</x:f>
        <x:v>22446985.662881713</x:v>
      </x:c>
      <x:c r="F170" s="31" t="n">
        <x:f>E170*INDEX($G$51:$G$147,C170+1)</x:f>
        <x:v>72764.77000122996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12780000</x:v>
      </x:c>
      <x:c r="E171" s="31" t="n">
        <x:f>IF(D171=0,0,D171/(INDEX($I$51:$I$147,C171+1)*INDEX($H$51:$H$147,C171+1)))</x:f>
        <x:v>23752441.718125414</x:v>
      </x:c>
      <x:c r="F171" s="31" t="n">
        <x:f>E171*INDEX($G$51:$G$147,C171+1)</x:f>
        <x:v>42119.419004079486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12780000</x:v>
      </x:c>
      <x:c r="E172" s="31" t="n">
        <x:f>IF(D172=0,0,D172/(INDEX($I$51:$I$147,C172+1)*INDEX($H$51:$H$147,C172+1)))</x:f>
        <x:v>25252272.15309436</x:v>
      </x:c>
      <x:c r="F172" s="31" t="n">
        <x:f>E172*INDEX($G$51:$G$147,C172+1)</x:f>
        <x:v>24223.813151331833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12780000</x:v>
      </x:c>
      <x:c r="E173" s="31" t="n">
        <x:f>IF(D173=0,0,D173/(INDEX($I$51:$I$147,C173+1)*INDEX($H$51:$H$147,C173+1)))</x:f>
        <x:v>27013002.615575343</x:v>
      </x:c>
      <x:c r="F173" s="31" t="n">
        <x:f>E173*INDEX($G$51:$G$147,C173+1)</x:f>
        <x:v>13864.531468096002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12780000</x:v>
      </x:c>
      <x:c r="E174" s="31" t="n">
        <x:f>IF(D174=0,0,D174/(INDEX($I$51:$I$147,C174+1)*INDEX($H$51:$H$147,C174+1)))</x:f>
        <x:v>29121703.97353739</x:v>
      </x:c>
      <x:c r="F174" s="31" t="n">
        <x:f>E174*INDEX($G$51:$G$147,C174+1)</x:f>
        <x:v>7902.1558707087515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12780000</x:v>
      </x:c>
      <x:c r="E175" s="31" t="n">
        <x:f>IF(D175=0,0,D175/(INDEX($I$51:$I$147,C175+1)*INDEX($H$51:$H$147,C175+1)))</x:f>
        <x:v>31700052.92742981</x:v>
      </x:c>
      <x:c r="F175" s="31" t="n">
        <x:f>E175*INDEX($G$51:$G$147,C175+1)</x:f>
        <x:v>4484.596065978668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12780000</x:v>
      </x:c>
      <x:c r="E176" s="31" t="n">
        <x:f>IF(D176=0,0,D176/(INDEX($I$51:$I$147,C176+1)*INDEX($H$51:$H$147,C176+1)))</x:f>
        <x:v>34927852.14315662</x:v>
      </x:c>
      <x:c r="F176" s="31" t="n">
        <x:f>E176*INDEX($G$51:$G$147,C176+1)</x:f>
        <x:v>2532.33277308964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12780000</x:v>
      </x:c>
      <x:c r="E177" s="31" t="n">
        <x:f>IF(D177=0,0,D177/(INDEX($I$51:$I$147,C177+1)*INDEX($H$51:$H$147,C177+1)))</x:f>
        <x:v>39085852.7635414</x:v>
      </x:c>
      <x:c r="F177" s="31" t="n">
        <x:f>E177*INDEX($G$51:$G$147,C177+1)</x:f>
        <x:v>1420.7356214352787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12780000</x:v>
      </x:c>
      <x:c r="E178" s="31" t="n">
        <x:f>IF(D178=0,0,D178/(INDEX($I$51:$I$147,C178+1)*INDEX($H$51:$H$147,C178+1)))</x:f>
        <x:v>44640770.45687004</x:v>
      </x:c>
      <x:c r="F178" s="31" t="n">
        <x:f>E178*INDEX($G$51:$G$147,C178+1)</x:f>
        <x:v>790.058162149211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12780000</x:v>
      </x:c>
      <x:c r="E179" s="31" t="n">
        <x:f>IF(D179=0,0,D179/(INDEX($I$51:$I$147,C179+1)*INDEX($H$51:$H$147,C179+1)))</x:f>
        <x:v>52431868.25363999</x:v>
      </x:c>
      <x:c r="F179" s="31" t="n">
        <x:f>E179*INDEX($G$51:$G$147,C179+1)</x:f>
        <x:v>433.773424462333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12780000</x:v>
      </x:c>
      <x:c r="E180" s="31" t="n">
        <x:f>IF(D180=0,0,D180/(INDEX($I$51:$I$147,C180+1)*INDEX($H$51:$H$147,C180+1)))</x:f>
        <x:v>64137083.07690533</x:v>
      </x:c>
      <x:c r="F180" s="31" t="n">
        <x:f>E180*INDEX($G$51:$G$147,C180+1)</x:f>
        <x:v>233.61138300071912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12780000</x:v>
      </x:c>
      <x:c r="E181" s="31" t="n">
        <x:f>IF(D181=0,0,D181/(INDEX($I$51:$I$147,C181+1)*INDEX($H$51:$H$147,C181+1)))</x:f>
        <x:v>83671151.34790082</x:v>
      </x:c>
      <x:c r="F181" s="31" t="n">
        <x:f>E181*INDEX($G$51:$G$147,C181+1)</x:f>
        <x:v>121.994077430595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12780000</x:v>
      </x:c>
      <x:c r="E182" s="31" t="n">
        <x:f>IF(D182=0,0,D182/(INDEX($I$51:$I$147,C182+1)*INDEX($H$51:$H$147,C182+1)))</x:f>
        <x:v>122777893.62552455</x:v>
      </x:c>
      <x:c r="F182" s="31" t="n">
        <x:f>E182*INDEX($G$51:$G$147,C182+1)</x:f>
        <x:v>60.3958457220381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12780000</x:v>
      </x:c>
      <x:c r="E183" s="31" t="n">
        <x:f>IF(D183=0,0,D183/(INDEX($I$51:$I$147,C183+1)*INDEX($H$51:$H$147,C183+1)))</x:f>
        <x:v>240175959.25568238</x:v>
      </x:c>
      <x:c r="F183" s="31" t="n">
        <x:f>E183*INDEX($G$51:$G$147,C183+1)</x:f>
        <x:v>26.90941735866827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1" priority="1">
      <x:formula>ABS(G35)&gt;0.01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MK Short-Term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143999.99999999997</x:v>
      </x:c>
      <x:c r="F8" s="2"/>
      <x:c r="G8" s="32" t="n">
        <x:f>'Assumptions'!$E$11*(1+'Assumptions'!$E$12)^(G$6-1)*INDEX('Assumptions'!$E$34:$E$45,MOD(G$6-1,12)+1)*'Assumptions'!$E$30</x:f>
        <x:v>5999.999999999999</x:v>
      </x:c>
      <x:c r="H8" s="32" t="n">
        <x:f>'Assumptions'!$E$11*(1+'Assumptions'!$E$12)^(H$6-1)*INDEX('Assumptions'!$E$34:$E$45,MOD(H$6-1,12)+1)*'Assumptions'!$E$30</x:f>
        <x:v>5999.999999999999</x:v>
      </x:c>
      <x:c r="I8" s="32" t="n">
        <x:f>'Assumptions'!$E$11*(1+'Assumptions'!$E$12)^(I$6-1)*INDEX('Assumptions'!$E$34:$E$45,MOD(I$6-1,12)+1)*'Assumptions'!$E$30</x:f>
        <x:v>5999.999999999999</x:v>
      </x:c>
      <x:c r="J8" s="32" t="n">
        <x:f>'Assumptions'!$E$11*(1+'Assumptions'!$E$12)^(J$6-1)*INDEX('Assumptions'!$E$34:$E$45,MOD(J$6-1,12)+1)*'Assumptions'!$E$30</x:f>
        <x:v>5999.999999999999</x:v>
      </x:c>
      <x:c r="K8" s="32" t="n">
        <x:f>'Assumptions'!$E$11*(1+'Assumptions'!$E$12)^(K$6-1)*INDEX('Assumptions'!$E$34:$E$45,MOD(K$6-1,12)+1)*'Assumptions'!$E$30</x:f>
        <x:v>5999.999999999999</x:v>
      </x:c>
      <x:c r="L8" s="32" t="n">
        <x:f>'Assumptions'!$E$11*(1+'Assumptions'!$E$12)^(L$6-1)*INDEX('Assumptions'!$E$34:$E$45,MOD(L$6-1,12)+1)*'Assumptions'!$E$30</x:f>
        <x:v>5999.999999999999</x:v>
      </x:c>
      <x:c r="M8" s="32" t="n">
        <x:f>'Assumptions'!$E$11*(1+'Assumptions'!$E$12)^(M$6-1)*INDEX('Assumptions'!$E$34:$E$45,MOD(M$6-1,12)+1)*'Assumptions'!$E$30</x:f>
        <x:v>5999.999999999999</x:v>
      </x:c>
      <x:c r="N8" s="32" t="n">
        <x:f>'Assumptions'!$E$11*(1+'Assumptions'!$E$12)^(N$6-1)*INDEX('Assumptions'!$E$34:$E$45,MOD(N$6-1,12)+1)*'Assumptions'!$E$30</x:f>
        <x:v>5999.999999999999</x:v>
      </x:c>
      <x:c r="O8" s="32" t="n">
        <x:f>'Assumptions'!$E$11*(1+'Assumptions'!$E$12)^(O$6-1)*INDEX('Assumptions'!$E$34:$E$45,MOD(O$6-1,12)+1)*'Assumptions'!$E$30</x:f>
        <x:v>5999.999999999999</x:v>
      </x:c>
      <x:c r="P8" s="32" t="n">
        <x:f>'Assumptions'!$E$11*(1+'Assumptions'!$E$12)^(P$6-1)*INDEX('Assumptions'!$E$34:$E$45,MOD(P$6-1,12)+1)*'Assumptions'!$E$30</x:f>
        <x:v>5999.999999999999</x:v>
      </x:c>
      <x:c r="Q8" s="32" t="n">
        <x:f>'Assumptions'!$E$11*(1+'Assumptions'!$E$12)^(Q$6-1)*INDEX('Assumptions'!$E$34:$E$45,MOD(Q$6-1,12)+1)*'Assumptions'!$E$30</x:f>
        <x:v>5999.999999999999</x:v>
      </x:c>
      <x:c r="R8" s="32" t="n">
        <x:f>'Assumptions'!$E$11*(1+'Assumptions'!$E$12)^(R$6-1)*INDEX('Assumptions'!$E$34:$E$45,MOD(R$6-1,12)+1)*'Assumptions'!$E$30</x:f>
        <x:v>5999.999999999999</x:v>
      </x:c>
      <x:c r="S8" s="32" t="n">
        <x:f>'Assumptions'!$E$11*(1+'Assumptions'!$E$12)^(S$6-1)*INDEX('Assumptions'!$E$34:$E$45,MOD(S$6-1,12)+1)*'Assumptions'!$E$30</x:f>
        <x:v>5999.999999999999</x:v>
      </x:c>
      <x:c r="T8" s="32" t="n">
        <x:f>'Assumptions'!$E$11*(1+'Assumptions'!$E$12)^(T$6-1)*INDEX('Assumptions'!$E$34:$E$45,MOD(T$6-1,12)+1)*'Assumptions'!$E$30</x:f>
        <x:v>5999.999999999999</x:v>
      </x:c>
      <x:c r="U8" s="32" t="n">
        <x:f>'Assumptions'!$E$11*(1+'Assumptions'!$E$12)^(U$6-1)*INDEX('Assumptions'!$E$34:$E$45,MOD(U$6-1,12)+1)*'Assumptions'!$E$30</x:f>
        <x:v>5999.999999999999</x:v>
      </x:c>
      <x:c r="V8" s="32" t="n">
        <x:f>'Assumptions'!$E$11*(1+'Assumptions'!$E$12)^(V$6-1)*INDEX('Assumptions'!$E$34:$E$45,MOD(V$6-1,12)+1)*'Assumptions'!$E$30</x:f>
        <x:v>5999.999999999999</x:v>
      </x:c>
      <x:c r="W8" s="32" t="n">
        <x:f>'Assumptions'!$E$11*(1+'Assumptions'!$E$12)^(W$6-1)*INDEX('Assumptions'!$E$34:$E$45,MOD(W$6-1,12)+1)*'Assumptions'!$E$30</x:f>
        <x:v>5999.999999999999</x:v>
      </x:c>
      <x:c r="X8" s="32" t="n">
        <x:f>'Assumptions'!$E$11*(1+'Assumptions'!$E$12)^(X$6-1)*INDEX('Assumptions'!$E$34:$E$45,MOD(X$6-1,12)+1)*'Assumptions'!$E$30</x:f>
        <x:v>5999.999999999999</x:v>
      </x:c>
      <x:c r="Y8" s="32" t="n">
        <x:f>'Assumptions'!$E$11*(1+'Assumptions'!$E$12)^(Y$6-1)*INDEX('Assumptions'!$E$34:$E$45,MOD(Y$6-1,12)+1)*'Assumptions'!$E$30</x:f>
        <x:v>5999.999999999999</x:v>
      </x:c>
      <x:c r="Z8" s="32" t="n">
        <x:f>'Assumptions'!$E$11*(1+'Assumptions'!$E$12)^(Z$6-1)*INDEX('Assumptions'!$E$34:$E$45,MOD(Z$6-1,12)+1)*'Assumptions'!$E$30</x:f>
        <x:v>5999.999999999999</x:v>
      </x:c>
      <x:c r="AA8" s="32" t="n">
        <x:f>'Assumptions'!$E$11*(1+'Assumptions'!$E$12)^(AA$6-1)*INDEX('Assumptions'!$E$34:$E$45,MOD(AA$6-1,12)+1)*'Assumptions'!$E$30</x:f>
        <x:v>5999.999999999999</x:v>
      </x:c>
      <x:c r="AB8" s="32" t="n">
        <x:f>'Assumptions'!$E$11*(1+'Assumptions'!$E$12)^(AB$6-1)*INDEX('Assumptions'!$E$34:$E$45,MOD(AB$6-1,12)+1)*'Assumptions'!$E$30</x:f>
        <x:v>5999.999999999999</x:v>
      </x:c>
      <x:c r="AC8" s="32" t="n">
        <x:f>'Assumptions'!$E$11*(1+'Assumptions'!$E$12)^(AC$6-1)*INDEX('Assumptions'!$E$34:$E$45,MOD(AC$6-1,12)+1)*'Assumptions'!$E$30</x:f>
        <x:v>5999.999999999999</x:v>
      </x:c>
      <x:c r="AD8" s="32" t="n">
        <x:f>'Assumptions'!$E$11*(1+'Assumptions'!$E$12)^(AD$6-1)*INDEX('Assumptions'!$E$34:$E$45,MOD(AD$6-1,12)+1)*'Assumptions'!$E$30</x:f>
        <x:v>5999.999999999999</x:v>
      </x:c>
      <x:c r="AE8" s="32" t="n">
        <x:f>'Assumptions'!$E$11*(1+'Assumptions'!$E$12)^(AE$6-1)*INDEX('Assumptions'!$E$34:$E$45,MOD(AE$6-1,12)+1)*'Assumptions'!$E$30</x:f>
        <x:v>5999.999999999999</x:v>
      </x:c>
      <x:c r="AF8" s="32" t="n">
        <x:f>'Assumptions'!$E$11*(1+'Assumptions'!$E$12)^(AF$6-1)*INDEX('Assumptions'!$E$34:$E$45,MOD(AF$6-1,12)+1)*'Assumptions'!$E$30</x:f>
        <x:v>5999.999999999999</x:v>
      </x:c>
      <x:c r="AG8" s="32" t="n">
        <x:f>'Assumptions'!$E$11*(1+'Assumptions'!$E$12)^(AG$6-1)*INDEX('Assumptions'!$E$34:$E$45,MOD(AG$6-1,12)+1)*'Assumptions'!$E$30</x:f>
        <x:v>5999.999999999999</x:v>
      </x:c>
      <x:c r="AH8" s="32" t="n">
        <x:f>'Assumptions'!$E$11*(1+'Assumptions'!$E$12)^(AH$6-1)*INDEX('Assumptions'!$E$34:$E$45,MOD(AH$6-1,12)+1)*'Assumptions'!$E$30</x:f>
        <x:v>5999.999999999999</x:v>
      </x:c>
      <x:c r="AI8" s="32" t="n">
        <x:f>'Assumptions'!$E$11*(1+'Assumptions'!$E$12)^(AI$6-1)*INDEX('Assumptions'!$E$34:$E$45,MOD(AI$6-1,12)+1)*'Assumptions'!$E$30</x:f>
        <x:v>5999.999999999999</x:v>
      </x:c>
      <x:c r="AJ8" s="32" t="n">
        <x:f>'Assumptions'!$E$11*(1+'Assumptions'!$E$12)^(AJ$6-1)*INDEX('Assumptions'!$E$34:$E$45,MOD(AJ$6-1,12)+1)*'Assumptions'!$E$30</x:f>
        <x:v>5999.999999999999</x:v>
      </x:c>
      <x:c r="AK8" s="32" t="n">
        <x:f>'Assumptions'!$E$11*(1+'Assumptions'!$E$12)^(AK$6-1)*INDEX('Assumptions'!$E$34:$E$45,MOD(AK$6-1,12)+1)*'Assumptions'!$E$30</x:f>
        <x:v>5999.999999999999</x:v>
      </x:c>
      <x:c r="AL8" s="32" t="n">
        <x:f>'Assumptions'!$E$11*(1+'Assumptions'!$E$12)^(AL$6-1)*INDEX('Assumptions'!$E$34:$E$45,MOD(AL$6-1,12)+1)*'Assumptions'!$E$30</x:f>
        <x:v>5999.999999999999</x:v>
      </x:c>
      <x:c r="AM8" s="32" t="n">
        <x:f>'Assumptions'!$E$11*(1+'Assumptions'!$E$12)^(AM$6-1)*INDEX('Assumptions'!$E$34:$E$45,MOD(AM$6-1,12)+1)*'Assumptions'!$E$30</x:f>
        <x:v>5999.999999999999</x:v>
      </x:c>
      <x:c r="AN8" s="32" t="n">
        <x:f>'Assumptions'!$E$11*(1+'Assumptions'!$E$12)^(AN$6-1)*INDEX('Assumptions'!$E$34:$E$45,MOD(AN$6-1,12)+1)*'Assumptions'!$E$30</x:f>
        <x:v>5999.999999999999</x:v>
      </x:c>
      <x:c r="AO8" s="32" t="n">
        <x:f>'Assumptions'!$E$11*(1+'Assumptions'!$E$12)^(AO$6-1)*INDEX('Assumptions'!$E$34:$E$45,MOD(AO$6-1,12)+1)*'Assumptions'!$E$30</x:f>
        <x:v>5999.999999999999</x:v>
      </x:c>
      <x:c r="AP8" s="32" t="n">
        <x:f>'Assumptions'!$E$11*(1+'Assumptions'!$E$12)^(AP$6-1)*INDEX('Assumptions'!$E$34:$E$45,MOD(AP$6-1,12)+1)*'Assumptions'!$E$30</x:f>
        <x:v>5999.999999999999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'Assumptions'!$E$13</x:f>
        <x:v>0.3</x:v>
      </x:c>
      <x:c r="H9" s="33" t="n">
        <x:f>'Assumptions'!$E$13</x:f>
        <x:v>0.3</x:v>
      </x:c>
      <x:c r="I9" s="33" t="n">
        <x:f>'Assumptions'!$E$13</x:f>
        <x:v>0.3</x:v>
      </x:c>
      <x:c r="J9" s="33" t="n">
        <x:f>'Assumptions'!$E$13</x:f>
        <x:v>0.3</x:v>
      </x:c>
      <x:c r="K9" s="33" t="n">
        <x:f>'Assumptions'!$E$13</x:f>
        <x:v>0.3</x:v>
      </x:c>
      <x:c r="L9" s="33" t="n">
        <x:f>'Assumptions'!$E$13</x:f>
        <x:v>0.3</x:v>
      </x:c>
      <x:c r="M9" s="33" t="n">
        <x:f>'Assumptions'!$E$13</x:f>
        <x:v>0.3</x:v>
      </x:c>
      <x:c r="N9" s="33" t="n">
        <x:f>'Assumptions'!$E$13</x:f>
        <x:v>0.3</x:v>
      </x:c>
      <x:c r="O9" s="33" t="n">
        <x:f>'Assumptions'!$E$13</x:f>
        <x:v>0.3</x:v>
      </x:c>
      <x:c r="P9" s="33" t="n">
        <x:f>'Assumptions'!$E$13</x:f>
        <x:v>0.3</x:v>
      </x:c>
      <x:c r="Q9" s="33" t="n">
        <x:f>'Assumptions'!$E$13</x:f>
        <x:v>0.3</x:v>
      </x:c>
      <x:c r="R9" s="33" t="n">
        <x:f>'Assumptions'!$E$13</x:f>
        <x:v>0.3</x:v>
      </x:c>
      <x:c r="S9" s="33" t="n">
        <x:f>'Assumptions'!$E$13</x:f>
        <x:v>0.3</x:v>
      </x:c>
      <x:c r="T9" s="33" t="n">
        <x:f>'Assumptions'!$E$13</x:f>
        <x:v>0.3</x:v>
      </x:c>
      <x:c r="U9" s="33" t="n">
        <x:f>'Assumptions'!$E$13</x:f>
        <x:v>0.3</x:v>
      </x:c>
      <x:c r="V9" s="33" t="n">
        <x:f>'Assumptions'!$E$13</x:f>
        <x:v>0.3</x:v>
      </x:c>
      <x:c r="W9" s="33" t="n">
        <x:f>'Assumptions'!$E$13</x:f>
        <x:v>0.3</x:v>
      </x:c>
      <x:c r="X9" s="33" t="n">
        <x:f>'Assumptions'!$E$13</x:f>
        <x:v>0.3</x:v>
      </x:c>
      <x:c r="Y9" s="33" t="n">
        <x:f>'Assumptions'!$E$13</x:f>
        <x:v>0.3</x:v>
      </x:c>
      <x:c r="Z9" s="33" t="n">
        <x:f>'Assumptions'!$E$13</x:f>
        <x:v>0.3</x:v>
      </x:c>
      <x:c r="AA9" s="33" t="n">
        <x:f>'Assumptions'!$E$13</x:f>
        <x:v>0.3</x:v>
      </x:c>
      <x:c r="AB9" s="33" t="n">
        <x:f>'Assumptions'!$E$13</x:f>
        <x:v>0.3</x:v>
      </x:c>
      <x:c r="AC9" s="33" t="n">
        <x:f>'Assumptions'!$E$13</x:f>
        <x:v>0.3</x:v>
      </x:c>
      <x:c r="AD9" s="33" t="n">
        <x:f>'Assumptions'!$E$13</x:f>
        <x:v>0.3</x:v>
      </x:c>
      <x:c r="AE9" s="33" t="n">
        <x:f>'Assumptions'!$E$13</x:f>
        <x:v>0.3</x:v>
      </x:c>
      <x:c r="AF9" s="33" t="n">
        <x:f>'Assumptions'!$E$13</x:f>
        <x:v>0.3</x:v>
      </x:c>
      <x:c r="AG9" s="33" t="n">
        <x:f>'Assumptions'!$E$13</x:f>
        <x:v>0.3</x:v>
      </x:c>
      <x:c r="AH9" s="33" t="n">
        <x:f>'Assumptions'!$E$13</x:f>
        <x:v>0.3</x:v>
      </x:c>
      <x:c r="AI9" s="33" t="n">
        <x:f>'Assumptions'!$E$13</x:f>
        <x:v>0.3</x:v>
      </x:c>
      <x:c r="AJ9" s="33" t="n">
        <x:f>'Assumptions'!$E$13</x:f>
        <x:v>0.3</x:v>
      </x:c>
      <x:c r="AK9" s="33" t="n">
        <x:f>'Assumptions'!$E$13</x:f>
        <x:v>0.3</x:v>
      </x:c>
      <x:c r="AL9" s="33" t="n">
        <x:f>'Assumptions'!$E$13</x:f>
        <x:v>0.3</x:v>
      </x:c>
      <x:c r="AM9" s="33" t="n">
        <x:f>'Assumptions'!$E$13</x:f>
        <x:v>0.3</x:v>
      </x:c>
      <x:c r="AN9" s="33" t="n">
        <x:f>'Assumptions'!$E$13</x:f>
        <x:v>0.3</x:v>
      </x:c>
      <x:c r="AO9" s="33" t="n">
        <x:f>'Assumptions'!$E$13</x:f>
        <x:v>0.3</x:v>
      </x:c>
      <x:c r="AP9" s="33" t="n">
        <x:f>'Assumptions'!$E$13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'Assumptions'!$E$14</x:f>
        <x:v>1500</x:v>
      </x:c>
      <x:c r="H10" s="34" t="n">
        <x:f>'Assumptions'!$E$14</x:f>
        <x:v>1500</x:v>
      </x:c>
      <x:c r="I10" s="34" t="n">
        <x:f>'Assumptions'!$E$14</x:f>
        <x:v>1500</x:v>
      </x:c>
      <x:c r="J10" s="34" t="n">
        <x:f>'Assumptions'!$E$14</x:f>
        <x:v>1500</x:v>
      </x:c>
      <x:c r="K10" s="34" t="n">
        <x:f>'Assumptions'!$E$14</x:f>
        <x:v>1500</x:v>
      </x:c>
      <x:c r="L10" s="34" t="n">
        <x:f>'Assumptions'!$E$14</x:f>
        <x:v>1500</x:v>
      </x:c>
      <x:c r="M10" s="34" t="n">
        <x:f>'Assumptions'!$E$14</x:f>
        <x:v>1500</x:v>
      </x:c>
      <x:c r="N10" s="34" t="n">
        <x:f>'Assumptions'!$E$14</x:f>
        <x:v>1500</x:v>
      </x:c>
      <x:c r="O10" s="34" t="n">
        <x:f>'Assumptions'!$E$14</x:f>
        <x:v>1500</x:v>
      </x:c>
      <x:c r="P10" s="34" t="n">
        <x:f>'Assumptions'!$E$14</x:f>
        <x:v>1500</x:v>
      </x:c>
      <x:c r="Q10" s="34" t="n">
        <x:f>'Assumptions'!$E$14</x:f>
        <x:v>1500</x:v>
      </x:c>
      <x:c r="R10" s="34" t="n">
        <x:f>'Assumptions'!$E$14</x:f>
        <x:v>1500</x:v>
      </x:c>
      <x:c r="S10" s="34" t="n">
        <x:f>'Assumptions'!$E$14</x:f>
        <x:v>1500</x:v>
      </x:c>
      <x:c r="T10" s="34" t="n">
        <x:f>'Assumptions'!$E$14</x:f>
        <x:v>1500</x:v>
      </x:c>
      <x:c r="U10" s="34" t="n">
        <x:f>'Assumptions'!$E$14</x:f>
        <x:v>1500</x:v>
      </x:c>
      <x:c r="V10" s="34" t="n">
        <x:f>'Assumptions'!$E$14</x:f>
        <x:v>1500</x:v>
      </x:c>
      <x:c r="W10" s="34" t="n">
        <x:f>'Assumptions'!$E$14</x:f>
        <x:v>1500</x:v>
      </x:c>
      <x:c r="X10" s="34" t="n">
        <x:f>'Assumptions'!$E$14</x:f>
        <x:v>1500</x:v>
      </x:c>
      <x:c r="Y10" s="34" t="n">
        <x:f>'Assumptions'!$E$14</x:f>
        <x:v>1500</x:v>
      </x:c>
      <x:c r="Z10" s="34" t="n">
        <x:f>'Assumptions'!$E$14</x:f>
        <x:v>1500</x:v>
      </x:c>
      <x:c r="AA10" s="34" t="n">
        <x:f>'Assumptions'!$E$14</x:f>
        <x:v>1500</x:v>
      </x:c>
      <x:c r="AB10" s="34" t="n">
        <x:f>'Assumptions'!$E$14</x:f>
        <x:v>1500</x:v>
      </x:c>
      <x:c r="AC10" s="34" t="n">
        <x:f>'Assumptions'!$E$14</x:f>
        <x:v>1500</x:v>
      </x:c>
      <x:c r="AD10" s="34" t="n">
        <x:f>'Assumptions'!$E$14</x:f>
        <x:v>1500</x:v>
      </x:c>
      <x:c r="AE10" s="34" t="n">
        <x:f>'Assumptions'!$E$14</x:f>
        <x:v>1500</x:v>
      </x:c>
      <x:c r="AF10" s="34" t="n">
        <x:f>'Assumptions'!$E$14</x:f>
        <x:v>1500</x:v>
      </x:c>
      <x:c r="AG10" s="34" t="n">
        <x:f>'Assumptions'!$E$14</x:f>
        <x:v>1500</x:v>
      </x:c>
      <x:c r="AH10" s="34" t="n">
        <x:f>'Assumptions'!$E$14</x:f>
        <x:v>1500</x:v>
      </x:c>
      <x:c r="AI10" s="34" t="n">
        <x:f>'Assumptions'!$E$14</x:f>
        <x:v>1500</x:v>
      </x:c>
      <x:c r="AJ10" s="34" t="n">
        <x:f>'Assumptions'!$E$14</x:f>
        <x:v>1500</x:v>
      </x:c>
      <x:c r="AK10" s="34" t="n">
        <x:f>'Assumptions'!$E$14</x:f>
        <x:v>1500</x:v>
      </x:c>
      <x:c r="AL10" s="34" t="n">
        <x:f>'Assumptions'!$E$14</x:f>
        <x:v>1500</x:v>
      </x:c>
      <x:c r="AM10" s="34" t="n">
        <x:f>'Assumptions'!$E$14</x:f>
        <x:v>1500</x:v>
      </x:c>
      <x:c r="AN10" s="34" t="n">
        <x:f>'Assumptions'!$E$14</x:f>
        <x:v>1500</x:v>
      </x:c>
      <x:c r="AO10" s="34" t="n">
        <x:f>'Assumptions'!$E$14</x:f>
        <x:v>1500</x:v>
      </x:c>
      <x:c r="AP10" s="34" t="n">
        <x:f>'Assumptions'!$E$14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64799999.99999999</x:v>
      </x:c>
      <x:c r="F11" s="42"/>
      <x:c r="G11" s="43" t="n">
        <x:f>G8*G9*G10</x:f>
        <x:v>2699999.9999999995</x:v>
      </x:c>
      <x:c r="H11" s="43" t="n">
        <x:f>H8*H9*H10</x:f>
        <x:v>2699999.9999999995</x:v>
      </x:c>
      <x:c r="I11" s="43" t="n">
        <x:f>I8*I9*I10</x:f>
        <x:v>2699999.9999999995</x:v>
      </x:c>
      <x:c r="J11" s="43" t="n">
        <x:f>J8*J9*J10</x:f>
        <x:v>2699999.9999999995</x:v>
      </x:c>
      <x:c r="K11" s="43" t="n">
        <x:f>K8*K9*K10</x:f>
        <x:v>2699999.9999999995</x:v>
      </x:c>
      <x:c r="L11" s="43" t="n">
        <x:f>L8*L9*L10</x:f>
        <x:v>2699999.9999999995</x:v>
      </x:c>
      <x:c r="M11" s="43" t="n">
        <x:f>M8*M9*M10</x:f>
        <x:v>2699999.9999999995</x:v>
      </x:c>
      <x:c r="N11" s="43" t="n">
        <x:f>N8*N9*N10</x:f>
        <x:v>2699999.9999999995</x:v>
      </x:c>
      <x:c r="O11" s="43" t="n">
        <x:f>O8*O9*O10</x:f>
        <x:v>2699999.9999999995</x:v>
      </x:c>
      <x:c r="P11" s="43" t="n">
        <x:f>P8*P9*P10</x:f>
        <x:v>2699999.9999999995</x:v>
      </x:c>
      <x:c r="Q11" s="43" t="n">
        <x:f>Q8*Q9*Q10</x:f>
        <x:v>2699999.9999999995</x:v>
      </x:c>
      <x:c r="R11" s="43" t="n">
        <x:f>R8*R9*R10</x:f>
        <x:v>2699999.9999999995</x:v>
      </x:c>
      <x:c r="S11" s="43" t="n">
        <x:f>S8*S9*S10</x:f>
        <x:v>2699999.9999999995</x:v>
      </x:c>
      <x:c r="T11" s="43" t="n">
        <x:f>T8*T9*T10</x:f>
        <x:v>2699999.9999999995</x:v>
      </x:c>
      <x:c r="U11" s="43" t="n">
        <x:f>U8*U9*U10</x:f>
        <x:v>2699999.9999999995</x:v>
      </x:c>
      <x:c r="V11" s="43" t="n">
        <x:f>V8*V9*V10</x:f>
        <x:v>2699999.9999999995</x:v>
      </x:c>
      <x:c r="W11" s="43" t="n">
        <x:f>W8*W9*W10</x:f>
        <x:v>2699999.9999999995</x:v>
      </x:c>
      <x:c r="X11" s="43" t="n">
        <x:f>X8*X9*X10</x:f>
        <x:v>2699999.9999999995</x:v>
      </x:c>
      <x:c r="Y11" s="43" t="n">
        <x:f>Y8*Y9*Y10</x:f>
        <x:v>2699999.9999999995</x:v>
      </x:c>
      <x:c r="Z11" s="43" t="n">
        <x:f>Z8*Z9*Z10</x:f>
        <x:v>2699999.9999999995</x:v>
      </x:c>
      <x:c r="AA11" s="43" t="n">
        <x:f>AA8*AA9*AA10</x:f>
        <x:v>2699999.9999999995</x:v>
      </x:c>
      <x:c r="AB11" s="43" t="n">
        <x:f>AB8*AB9*AB10</x:f>
        <x:v>2699999.9999999995</x:v>
      </x:c>
      <x:c r="AC11" s="43" t="n">
        <x:f>AC8*AC9*AC10</x:f>
        <x:v>2699999.9999999995</x:v>
      </x:c>
      <x:c r="AD11" s="43" t="n">
        <x:f>AD8*AD9*AD10</x:f>
        <x:v>2699999.9999999995</x:v>
      </x:c>
      <x:c r="AE11" s="43" t="n">
        <x:f>AE8*AE9*AE10</x:f>
        <x:v>2699999.9999999995</x:v>
      </x:c>
      <x:c r="AF11" s="43" t="n">
        <x:f>AF8*AF9*AF10</x:f>
        <x:v>2699999.9999999995</x:v>
      </x:c>
      <x:c r="AG11" s="43" t="n">
        <x:f>AG8*AG9*AG10</x:f>
        <x:v>2699999.9999999995</x:v>
      </x:c>
      <x:c r="AH11" s="43" t="n">
        <x:f>AH8*AH9*AH10</x:f>
        <x:v>2699999.9999999995</x:v>
      </x:c>
      <x:c r="AI11" s="43" t="n">
        <x:f>AI8*AI9*AI10</x:f>
        <x:v>2699999.9999999995</x:v>
      </x:c>
      <x:c r="AJ11" s="43" t="n">
        <x:f>AJ8*AJ9*AJ10</x:f>
        <x:v>2699999.9999999995</x:v>
      </x:c>
      <x:c r="AK11" s="43" t="n">
        <x:f>AK8*AK9*AK10</x:f>
        <x:v>2699999.9999999995</x:v>
      </x:c>
      <x:c r="AL11" s="43" t="n">
        <x:f>AL8*AL9*AL10</x:f>
        <x:v>2699999.9999999995</x:v>
      </x:c>
      <x:c r="AM11" s="43" t="n">
        <x:f>AM8*AM9*AM10</x:f>
        <x:v>2699999.9999999995</x:v>
      </x:c>
      <x:c r="AN11" s="43" t="n">
        <x:f>AN8*AN9*AN10</x:f>
        <x:v>2699999.9999999995</x:v>
      </x:c>
      <x:c r="AO11" s="43" t="n">
        <x:f>AO8*AO9*AO10</x:f>
        <x:v>2699999.9999999995</x:v>
      </x:c>
      <x:c r="AP11" s="43" t="n">
        <x:f>AP8*AP9*AP10</x:f>
        <x:v>2699999.9999999995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51119999.999999985</x:v>
      </x:c>
      <x:c r="F13" s="2"/>
      <x:c r="G13" s="35" t="n">
        <x:f>$E$44</x:f>
        <x:v>51119999.999999985</x:v>
      </x:c>
      <x:c r="H13" s="35" t="n">
        <x:f>G16</x:f>
        <x:v>40477361.47617486</x:v>
      </x:c>
      <x:c r="I13" s="35" t="n">
        <x:f>H16</x:f>
        <x:v>33825137.046204716</x:v>
      </x:c>
      <x:c r="J13" s="35" t="n">
        <x:f>I16</x:f>
        <x:v>29120845.569154564</x:v>
      </x:c>
      <x:c r="K13" s="35" t="n">
        <x:f>J16</x:f>
        <x:v>25679283.350623798</x:v>
      </x:c>
      <x:c r="L13" s="35" t="n">
        <x:f>K16</x:f>
        <x:v>23146881.798854973</x:v>
      </x:c>
      <x:c r="M13" s="35" t="n">
        <x:f>L16</x:f>
        <x:v>21295772.731642697</x:v>
      </x:c>
      <x:c r="N13" s="35" t="n">
        <x:f>M16</x:f>
        <x:v>19958080.526980188</x:v>
      </x:c>
      <x:c r="O13" s="35" t="n">
        <x:f>N16</x:f>
        <x:v>19004485.235242974</x:v>
      </x:c>
      <x:c r="P13" s="35" t="n">
        <x:f>O16</x:f>
        <x:v>18338312.891136676</x:v>
      </x:c>
      <x:c r="Q13" s="35" t="n">
        <x:f>P16</x:f>
        <x:v>17891604.748032004</x:v>
      </x:c>
      <x:c r="R13" s="35" t="n">
        <x:f>Q16</x:f>
        <x:v>17619201.222712383</x:v>
      </x:c>
      <x:c r="S13" s="35" t="n">
        <x:f>R16</x:f>
        <x:v>17492140.647149015</x:v>
      </x:c>
      <x:c r="T13" s="35" t="n">
        <x:f>S16</x:f>
        <x:v>17492140.647149015</x:v>
      </x:c>
      <x:c r="U13" s="35" t="n">
        <x:f>T16</x:f>
        <x:v>17492140.647149015</x:v>
      </x:c>
      <x:c r="V13" s="35" t="n">
        <x:f>U16</x:f>
        <x:v>17492140.647149015</x:v>
      </x:c>
      <x:c r="W13" s="35" t="n">
        <x:f>V16</x:f>
        <x:v>17492140.647149015</x:v>
      </x:c>
      <x:c r="X13" s="35" t="n">
        <x:f>W16</x:f>
        <x:v>17492140.647149015</x:v>
      </x:c>
      <x:c r="Y13" s="35" t="n">
        <x:f>X16</x:f>
        <x:v>17492140.647149015</x:v>
      </x:c>
      <x:c r="Z13" s="35" t="n">
        <x:f>Y16</x:f>
        <x:v>17492140.647149015</x:v>
      </x:c>
      <x:c r="AA13" s="35" t="n">
        <x:f>Z16</x:f>
        <x:v>17492140.647149015</x:v>
      </x:c>
      <x:c r="AB13" s="35" t="n">
        <x:f>AA16</x:f>
        <x:v>17492140.647149015</x:v>
      </x:c>
      <x:c r="AC13" s="35" t="n">
        <x:f>AB16</x:f>
        <x:v>17492140.647149015</x:v>
      </x:c>
      <x:c r="AD13" s="35" t="n">
        <x:f>AC16</x:f>
        <x:v>17492140.647149015</x:v>
      </x:c>
      <x:c r="AE13" s="35" t="n">
        <x:f>AD16</x:f>
        <x:v>17492140.647149015</x:v>
      </x:c>
      <x:c r="AF13" s="35" t="n">
        <x:f>AE16</x:f>
        <x:v>17492140.647149015</x:v>
      </x:c>
      <x:c r="AG13" s="35" t="n">
        <x:f>AF16</x:f>
        <x:v>17492140.647149015</x:v>
      </x:c>
      <x:c r="AH13" s="35" t="n">
        <x:f>AG16</x:f>
        <x:v>17492140.647149015</x:v>
      </x:c>
      <x:c r="AI13" s="35" t="n">
        <x:f>AH16</x:f>
        <x:v>17492140.647149015</x:v>
      </x:c>
      <x:c r="AJ13" s="35" t="n">
        <x:f>AI16</x:f>
        <x:v>17492140.647149015</x:v>
      </x:c>
      <x:c r="AK13" s="35" t="n">
        <x:f>AJ16</x:f>
        <x:v>17492140.647149015</x:v>
      </x:c>
      <x:c r="AL13" s="35" t="n">
        <x:f>AK16</x:f>
        <x:v>17492140.647149015</x:v>
      </x:c>
      <x:c r="AM13" s="35" t="n">
        <x:f>AL16</x:f>
        <x:v>17492140.647149015</x:v>
      </x:c>
      <x:c r="AN13" s="35" t="n">
        <x:f>AM16</x:f>
        <x:v>17492140.647149015</x:v>
      </x:c>
      <x:c r="AO13" s="35" t="n">
        <x:f>AN16</x:f>
        <x:v>17492140.647149015</x:v>
      </x:c>
      <x:c r="AP13" s="35" t="n">
        <x:f>AO16</x:f>
        <x:v>17492140.647149015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78739338.54884648</x:v>
      </x:c>
      <x:c r="F14" s="2"/>
      <x:c r="G14" s="35" t="n">
        <x:f>SUM(G29:G30)</x:f>
        <x:v>11535745.948952556</x:v>
      </x:c>
      <x:c r="H14" s="35" t="n">
        <x:f>SUM(H29:H30)</x:f>
        <x:v>7844607.1019061245</x:v>
      </x:c>
      <x:c r="I14" s="35" t="n">
        <x:f>SUM(I29:I30)</x:f>
        <x:v>6113207.3553504255</x:v>
      </x:c>
      <x:c r="J14" s="35" t="n">
        <x:f>SUM(J29:J30)</x:f>
        <x:v>5020828.960818715</x:v>
      </x:c>
      <x:c r="K14" s="35" t="n">
        <x:f>SUM(K29:K30)</x:f>
        <x:v>4250459.000424792</x:v>
      </x:c>
      <x:c r="L14" s="35" t="n">
        <x:f>SUM(L29:L30)</x:f>
        <x:v>3680980.420304023</x:v>
      </x:c>
      <x:c r="M14" s="35" t="n">
        <x:f>SUM(M29:M30)</x:f>
        <x:v>3252209.0184177025</x:v>
      </x:c>
      <x:c r="N14" s="35" t="n">
        <x:f>SUM(N29:N30)</x:f>
        <x:v>2926091.681769574</x:v>
      </x:c>
      <x:c r="O14" s="35" t="n">
        <x:f>SUM(O29:O30)</x:f>
        <x:v>2674031.3655743646</x:v>
      </x:c>
      <x:c r="P14" s="35" t="n">
        <x:f>SUM(P29:P30)</x:f>
        <x:v>2473723.9763606656</x:v>
      </x:c>
      <x:c r="Q14" s="35" t="n">
        <x:f>SUM(Q29:Q30)</x:f>
        <x:v>2308577.558446607</x:v>
      </x:c>
      <x:c r="R14" s="35" t="n">
        <x:f>SUM(R29:R30)</x:f>
        <x:v>2166956.766753386</x:v>
      </x:c>
      <x:c r="S14" s="35" t="n">
        <x:f>SUM(S29:S30)</x:f>
        <x:v>2040993.2828139612</x:v>
      </x:c>
      <x:c r="T14" s="35" t="n">
        <x:f>SUM(T29:T30)</x:f>
        <x:v>2040993.2828139612</x:v>
      </x:c>
      <x:c r="U14" s="35" t="n">
        <x:f>SUM(U29:U30)</x:f>
        <x:v>2040993.2828139612</x:v>
      </x:c>
      <x:c r="V14" s="35" t="n">
        <x:f>SUM(V29:V30)</x:f>
        <x:v>2040993.2828139612</x:v>
      </x:c>
      <x:c r="W14" s="35" t="n">
        <x:f>SUM(W29:W30)</x:f>
        <x:v>2040993.2828139612</x:v>
      </x:c>
      <x:c r="X14" s="35" t="n">
        <x:f>SUM(X29:X30)</x:f>
        <x:v>2040993.2828139612</x:v>
      </x:c>
      <x:c r="Y14" s="35" t="n">
        <x:f>SUM(Y29:Y30)</x:f>
        <x:v>2040993.2828139612</x:v>
      </x:c>
      <x:c r="Z14" s="35" t="n">
        <x:f>SUM(Z29:Z30)</x:f>
        <x:v>2040993.2828139612</x:v>
      </x:c>
      <x:c r="AA14" s="35" t="n">
        <x:f>SUM(AA29:AA30)</x:f>
        <x:v>2040993.2828139612</x:v>
      </x:c>
      <x:c r="AB14" s="35" t="n">
        <x:f>SUM(AB29:AB30)</x:f>
        <x:v>2040993.2828139612</x:v>
      </x:c>
      <x:c r="AC14" s="35" t="n">
        <x:f>SUM(AC29:AC30)</x:f>
        <x:v>2040993.2828139612</x:v>
      </x:c>
      <x:c r="AD14" s="35" t="n">
        <x:f>SUM(AD29:AD30)</x:f>
        <x:v>2040993.2828139612</x:v>
      </x:c>
      <x:c r="AE14" s="35" t="n">
        <x:f>SUM(AE29:AE30)</x:f>
        <x:v>2040993.2828139612</x:v>
      </x:c>
      <x:c r="AF14" s="35" t="n">
        <x:f>SUM(AF29:AF30)</x:f>
        <x:v>2040993.2828139612</x:v>
      </x:c>
      <x:c r="AG14" s="35" t="n">
        <x:f>SUM(AG29:AG30)</x:f>
        <x:v>2040993.2828139612</x:v>
      </x:c>
      <x:c r="AH14" s="35" t="n">
        <x:f>SUM(AH29:AH30)</x:f>
        <x:v>2040993.2828139612</x:v>
      </x:c>
      <x:c r="AI14" s="35" t="n">
        <x:f>SUM(AI29:AI30)</x:f>
        <x:v>2040993.2828139612</x:v>
      </x:c>
      <x:c r="AJ14" s="35" t="n">
        <x:f>SUM(AJ29:AJ30)</x:f>
        <x:v>2040993.2828139612</x:v>
      </x:c>
      <x:c r="AK14" s="35" t="n">
        <x:f>SUM(AK29:AK30)</x:f>
        <x:v>2040993.2828139612</x:v>
      </x:c>
      <x:c r="AL14" s="35" t="n">
        <x:f>SUM(AL29:AL30)</x:f>
        <x:v>2040993.2828139612</x:v>
      </x:c>
      <x:c r="AM14" s="35" t="n">
        <x:f>SUM(AM29:AM30)</x:f>
        <x:v>2040993.2828139612</x:v>
      </x:c>
      <x:c r="AN14" s="35" t="n">
        <x:f>SUM(AN29:AN30)</x:f>
        <x:v>2040993.2828139612</x:v>
      </x:c>
      <x:c r="AO14" s="35" t="n">
        <x:f>SUM(AO29:AO30)</x:f>
        <x:v>2040993.2828139612</x:v>
      </x:c>
      <x:c r="AP14" s="35" t="n">
        <x:f>SUM(AP29:AP30)</x:f>
        <x:v>2040993.2828139612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19688520.804004494</x:v>
      </x:c>
      <x:c r="F15" s="2"/>
      <x:c r="G15" s="35" t="n">
        <x:f>SUM(G27:G28)</x:f>
        <x:v>1806892.5748725713</x:v>
      </x:c>
      <x:c r="H15" s="35" t="n">
        <x:f>SUM(H27:H28)</x:f>
        <x:v>1507617.3280640268</x:v>
      </x:c>
      <x:c r="I15" s="35" t="n">
        <x:f>SUM(I27:I28)</x:f>
        <x:v>1291084.1216997243</x:v>
      </x:c>
      <x:c r="J15" s="35" t="n">
        <x:f>SUM(J27:J28)</x:f>
        <x:v>1120733.2577120499</x:v>
      </x:c>
      <x:c r="K15" s="35" t="n">
        <x:f>SUM(K27:K28)</x:f>
        <x:v>981942.5513440336</x:v>
      </x:c>
      <x:c r="L15" s="35" t="n">
        <x:f>SUM(L27:L28)</x:f>
        <x:v>870128.6469082551</x:v>
      </x:c>
      <x:c r="M15" s="35" t="n">
        <x:f>SUM(M27:M28)</x:f>
        <x:v>785483.1862448086</x:v>
      </x:c>
      <x:c r="N15" s="35" t="n">
        <x:f>SUM(N27:N28)</x:f>
        <x:v>727503.6099676371</x:v>
      </x:c>
      <x:c r="O15" s="35" t="n">
        <x:f>SUM(O27:O28)</x:f>
        <x:v>692140.9785319329</x:v>
      </x:c>
      <x:c r="P15" s="35" t="n">
        <x:f>SUM(P27:P28)</x:f>
        <x:v>672984.1667440104</x:v>
      </x:c>
      <x:c r="Q15" s="35" t="n">
        <x:f>SUM(Q27:Q28)</x:f>
        <x:v>663825.966873012</x:v>
      </x:c>
      <x:c r="R15" s="35" t="n">
        <x:f>SUM(R27:R28)</x:f>
        <x:v>660103.8088099816</x:v>
      </x:c>
      <x:c r="S15" s="35" t="n">
        <x:f>SUM(S27:S28)</x:f>
        <x:v>659006.7171860381</x:v>
      </x:c>
      <x:c r="T15" s="35" t="n">
        <x:f>SUM(T27:T28)</x:f>
        <x:v>659006.7171860381</x:v>
      </x:c>
      <x:c r="U15" s="35" t="n">
        <x:f>SUM(U27:U28)</x:f>
        <x:v>659006.7171860381</x:v>
      </x:c>
      <x:c r="V15" s="35" t="n">
        <x:f>SUM(V27:V28)</x:f>
        <x:v>659006.7171860381</x:v>
      </x:c>
      <x:c r="W15" s="35" t="n">
        <x:f>SUM(W27:W28)</x:f>
        <x:v>659006.7171860381</x:v>
      </x:c>
      <x:c r="X15" s="35" t="n">
        <x:f>SUM(X27:X28)</x:f>
        <x:v>659006.7171860381</x:v>
      </x:c>
      <x:c r="Y15" s="35" t="n">
        <x:f>SUM(Y27:Y28)</x:f>
        <x:v>659006.7171860381</x:v>
      </x:c>
      <x:c r="Z15" s="35" t="n">
        <x:f>SUM(Z27:Z28)</x:f>
        <x:v>659006.7171860381</x:v>
      </x:c>
      <x:c r="AA15" s="35" t="n">
        <x:f>SUM(AA27:AA28)</x:f>
        <x:v>659006.7171860381</x:v>
      </x:c>
      <x:c r="AB15" s="35" t="n">
        <x:f>SUM(AB27:AB28)</x:f>
        <x:v>659006.7171860381</x:v>
      </x:c>
      <x:c r="AC15" s="35" t="n">
        <x:f>SUM(AC27:AC28)</x:f>
        <x:v>659006.7171860381</x:v>
      </x:c>
      <x:c r="AD15" s="35" t="n">
        <x:f>SUM(AD27:AD28)</x:f>
        <x:v>659006.7171860381</x:v>
      </x:c>
      <x:c r="AE15" s="35" t="n">
        <x:f>SUM(AE27:AE28)</x:f>
        <x:v>659006.7171860381</x:v>
      </x:c>
      <x:c r="AF15" s="35" t="n">
        <x:f>SUM(AF27:AF28)</x:f>
        <x:v>659006.7171860381</x:v>
      </x:c>
      <x:c r="AG15" s="35" t="n">
        <x:f>SUM(AG27:AG28)</x:f>
        <x:v>659006.7171860381</x:v>
      </x:c>
      <x:c r="AH15" s="35" t="n">
        <x:f>SUM(AH27:AH28)</x:f>
        <x:v>659006.7171860381</x:v>
      </x:c>
      <x:c r="AI15" s="35" t="n">
        <x:f>SUM(AI27:AI28)</x:f>
        <x:v>659006.7171860381</x:v>
      </x:c>
      <x:c r="AJ15" s="35" t="n">
        <x:f>SUM(AJ27:AJ28)</x:f>
        <x:v>659006.7171860381</x:v>
      </x:c>
      <x:c r="AK15" s="35" t="n">
        <x:f>SUM(AK27:AK28)</x:f>
        <x:v>659006.7171860381</x:v>
      </x:c>
      <x:c r="AL15" s="35" t="n">
        <x:f>SUM(AL27:AL28)</x:f>
        <x:v>659006.7171860381</x:v>
      </x:c>
      <x:c r="AM15" s="35" t="n">
        <x:f>SUM(AM27:AM28)</x:f>
        <x:v>659006.7171860381</x:v>
      </x:c>
      <x:c r="AN15" s="35" t="n">
        <x:f>SUM(AN27:AN28)</x:f>
        <x:v>659006.7171860381</x:v>
      </x:c>
      <x:c r="AO15" s="35" t="n">
        <x:f>SUM(AO27:AO28)</x:f>
        <x:v>659006.7171860381</x:v>
      </x:c>
      <x:c r="AP15" s="35" t="n">
        <x:f>SUM(AP27:AP28)</x:f>
        <x:v>659006.7171860381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17492140.647149015</x:v>
      </x:c>
      <x:c r="F16" s="42"/>
      <x:c r="G16" s="43" t="n">
        <x:f>G13+G11-G14-G15</x:f>
        <x:v>40477361.47617486</x:v>
      </x:c>
      <x:c r="H16" s="43" t="n">
        <x:f>H13+H11-H14-H15</x:f>
        <x:v>33825137.046204716</x:v>
      </x:c>
      <x:c r="I16" s="43" t="n">
        <x:f>I13+I11-I14-I15</x:f>
        <x:v>29120845.569154564</x:v>
      </x:c>
      <x:c r="J16" s="43" t="n">
        <x:f>J13+J11-J14-J15</x:f>
        <x:v>25679283.350623798</x:v>
      </x:c>
      <x:c r="K16" s="43" t="n">
        <x:f>K13+K11-K14-K15</x:f>
        <x:v>23146881.798854973</x:v>
      </x:c>
      <x:c r="L16" s="43" t="n">
        <x:f>L13+L11-L14-L15</x:f>
        <x:v>21295772.731642697</x:v>
      </x:c>
      <x:c r="M16" s="43" t="n">
        <x:f>M13+M11-M14-M15</x:f>
        <x:v>19958080.526980188</x:v>
      </x:c>
      <x:c r="N16" s="43" t="n">
        <x:f>N13+N11-N14-N15</x:f>
        <x:v>19004485.235242974</x:v>
      </x:c>
      <x:c r="O16" s="43" t="n">
        <x:f>O13+O11-O14-O15</x:f>
        <x:v>18338312.891136676</x:v>
      </x:c>
      <x:c r="P16" s="43" t="n">
        <x:f>P13+P11-P14-P15</x:f>
        <x:v>17891604.748032004</x:v>
      </x:c>
      <x:c r="Q16" s="43" t="n">
        <x:f>Q13+Q11-Q14-Q15</x:f>
        <x:v>17619201.222712383</x:v>
      </x:c>
      <x:c r="R16" s="43" t="n">
        <x:f>R13+R11-R14-R15</x:f>
        <x:v>17492140.647149015</x:v>
      </x:c>
      <x:c r="S16" s="43" t="n">
        <x:f>S13+S11-S14-S15</x:f>
        <x:v>17492140.647149015</x:v>
      </x:c>
      <x:c r="T16" s="43" t="n">
        <x:f>T13+T11-T14-T15</x:f>
        <x:v>17492140.647149015</x:v>
      </x:c>
      <x:c r="U16" s="43" t="n">
        <x:f>U13+U11-U14-U15</x:f>
        <x:v>17492140.647149015</x:v>
      </x:c>
      <x:c r="V16" s="43" t="n">
        <x:f>V13+V11-V14-V15</x:f>
        <x:v>17492140.647149015</x:v>
      </x:c>
      <x:c r="W16" s="43" t="n">
        <x:f>W13+W11-W14-W15</x:f>
        <x:v>17492140.647149015</x:v>
      </x:c>
      <x:c r="X16" s="43" t="n">
        <x:f>X13+X11-X14-X15</x:f>
        <x:v>17492140.647149015</x:v>
      </x:c>
      <x:c r="Y16" s="43" t="n">
        <x:f>Y13+Y11-Y14-Y15</x:f>
        <x:v>17492140.647149015</x:v>
      </x:c>
      <x:c r="Z16" s="43" t="n">
        <x:f>Z13+Z11-Z14-Z15</x:f>
        <x:v>17492140.647149015</x:v>
      </x:c>
      <x:c r="AA16" s="43" t="n">
        <x:f>AA13+AA11-AA14-AA15</x:f>
        <x:v>17492140.647149015</x:v>
      </x:c>
      <x:c r="AB16" s="43" t="n">
        <x:f>AB13+AB11-AB14-AB15</x:f>
        <x:v>17492140.647149015</x:v>
      </x:c>
      <x:c r="AC16" s="43" t="n">
        <x:f>AC13+AC11-AC14-AC15</x:f>
        <x:v>17492140.647149015</x:v>
      </x:c>
      <x:c r="AD16" s="43" t="n">
        <x:f>AD13+AD11-AD14-AD15</x:f>
        <x:v>17492140.647149015</x:v>
      </x:c>
      <x:c r="AE16" s="43" t="n">
        <x:f>AE13+AE11-AE14-AE15</x:f>
        <x:v>17492140.647149015</x:v>
      </x:c>
      <x:c r="AF16" s="43" t="n">
        <x:f>AF13+AF11-AF14-AF15</x:f>
        <x:v>17492140.647149015</x:v>
      </x:c>
      <x:c r="AG16" s="43" t="n">
        <x:f>AG13+AG11-AG14-AG15</x:f>
        <x:v>17492140.647149015</x:v>
      </x:c>
      <x:c r="AH16" s="43" t="n">
        <x:f>AH13+AH11-AH14-AH15</x:f>
        <x:v>17492140.647149015</x:v>
      </x:c>
      <x:c r="AI16" s="43" t="n">
        <x:f>AI13+AI11-AI14-AI15</x:f>
        <x:v>17492140.647149015</x:v>
      </x:c>
      <x:c r="AJ16" s="43" t="n">
        <x:f>AJ13+AJ11-AJ14-AJ15</x:f>
        <x:v>17492140.647149015</x:v>
      </x:c>
      <x:c r="AK16" s="43" t="n">
        <x:f>AK13+AK11-AK14-AK15</x:f>
        <x:v>17492140.647149015</x:v>
      </x:c>
      <x:c r="AL16" s="43" t="n">
        <x:f>AL13+AL11-AL14-AL15</x:f>
        <x:v>17492140.647149015</x:v>
      </x:c>
      <x:c r="AM16" s="43" t="n">
        <x:f>AM13+AM11-AM14-AM15</x:f>
        <x:v>17492140.647149015</x:v>
      </x:c>
      <x:c r="AN16" s="43" t="n">
        <x:f>AN13+AN11-AN14-AN15</x:f>
        <x:v>17492140.647149015</x:v>
      </x:c>
      <x:c r="AO16" s="43" t="n">
        <x:f>AO13+AO11-AO14-AO15</x:f>
        <x:v>17492140.647149015</x:v>
      </x:c>
      <x:c r="AP16" s="43" t="n">
        <x:f>AP13+AP11-AP14-AP15</x:f>
        <x:v>17492140.647149015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7184338.035458208</x:v>
      </x:c>
      <x:c r="F18" s="2"/>
      <x:c r="G18" s="35" t="n">
        <x:f>$E$48</x:f>
        <x:v>7184338.035458208</x:v>
      </x:c>
      <x:c r="H18" s="35" t="n">
        <x:f>G20</x:f>
        <x:v>6036452.177771675</x:v>
      </x:c>
      <x:c r="I18" s="35" t="n">
        <x:f>H20</x:f>
        <x:v>5187841.5668936875</x:v>
      </x:c>
      <x:c r="J18" s="35" t="n">
        <x:f>I20</x:f>
        <x:v>4555764.1623800015</x:v>
      </x:c>
      <x:c r="K18" s="35" t="n">
        <x:f>J20</x:f>
        <x:v>4094037.62185399</x:v>
      </x:c>
      <x:c r="L18" s="35" t="n">
        <x:f>K20</x:f>
        <x:v>3771101.7876959946</x:v>
      </x:c>
      <x:c r="M18" s="35" t="n">
        <x:f>L20</x:f>
        <x:v>3559979.8579737777</x:v>
      </x:c>
      <x:c r="N18" s="35" t="n">
        <x:f>M20</x:f>
        <x:v>3433503.3889150075</x:v>
      </x:c>
      <x:c r="O18" s="35" t="n">
        <x:f>N20</x:f>
        <x:v>3365006.4961334085</x:v>
      </x:c>
      <x:c r="P18" s="35" t="n">
        <x:f>O20</x:f>
        <x:v>3331872.234787514</x:v>
      </x:c>
      <x:c r="Q18" s="35" t="n">
        <x:f>P20</x:f>
        <x:v>3317894.785229542</x:v>
      </x:c>
      <x:c r="R18" s="35" t="n">
        <x:f>Q20</x:f>
        <x:v>3313075.535542568</x:v>
      </x:c>
      <x:c r="S18" s="35" t="n">
        <x:f>R20</x:f>
        <x:v>3311978.443918625</x:v>
      </x:c>
      <x:c r="T18" s="35" t="n">
        <x:f>S20</x:f>
        <x:v>3311978.443918625</x:v>
      </x:c>
      <x:c r="U18" s="35" t="n">
        <x:f>T20</x:f>
        <x:v>3311978.443918625</x:v>
      </x:c>
      <x:c r="V18" s="35" t="n">
        <x:f>U20</x:f>
        <x:v>3311978.443918625</x:v>
      </x:c>
      <x:c r="W18" s="35" t="n">
        <x:f>V20</x:f>
        <x:v>3311978.443918625</x:v>
      </x:c>
      <x:c r="X18" s="35" t="n">
        <x:f>W20</x:f>
        <x:v>3311978.443918625</x:v>
      </x:c>
      <x:c r="Y18" s="35" t="n">
        <x:f>X20</x:f>
        <x:v>3311978.443918625</x:v>
      </x:c>
      <x:c r="Z18" s="35" t="n">
        <x:f>Y20</x:f>
        <x:v>3311978.443918625</x:v>
      </x:c>
      <x:c r="AA18" s="35" t="n">
        <x:f>Z20</x:f>
        <x:v>3311978.443918625</x:v>
      </x:c>
      <x:c r="AB18" s="35" t="n">
        <x:f>AA20</x:f>
        <x:v>3311978.443918625</x:v>
      </x:c>
      <x:c r="AC18" s="35" t="n">
        <x:f>AB20</x:f>
        <x:v>3311978.443918625</x:v>
      </x:c>
      <x:c r="AD18" s="35" t="n">
        <x:f>AC20</x:f>
        <x:v>3311978.443918625</x:v>
      </x:c>
      <x:c r="AE18" s="35" t="n">
        <x:f>AD20</x:f>
        <x:v>3311978.443918625</x:v>
      </x:c>
      <x:c r="AF18" s="35" t="n">
        <x:f>AE20</x:f>
        <x:v>3311978.443918625</x:v>
      </x:c>
      <x:c r="AG18" s="35" t="n">
        <x:f>AF20</x:f>
        <x:v>3311978.443918625</x:v>
      </x:c>
      <x:c r="AH18" s="35" t="n">
        <x:f>AG20</x:f>
        <x:v>3311978.443918625</x:v>
      </x:c>
      <x:c r="AI18" s="35" t="n">
        <x:f>AH20</x:f>
        <x:v>3311978.443918625</x:v>
      </x:c>
      <x:c r="AJ18" s="35" t="n">
        <x:f>AI20</x:f>
        <x:v>3311978.443918625</x:v>
      </x:c>
      <x:c r="AK18" s="35" t="n">
        <x:f>AJ20</x:f>
        <x:v>3311978.443918625</x:v>
      </x:c>
      <x:c r="AL18" s="35" t="n">
        <x:f>AK20</x:f>
        <x:v>3311978.443918625</x:v>
      </x:c>
      <x:c r="AM18" s="35" t="n">
        <x:f>AL20</x:f>
        <x:v>3311978.443918625</x:v>
      </x:c>
      <x:c r="AN18" s="35" t="n">
        <x:f>AM20</x:f>
        <x:v>3311978.443918625</x:v>
      </x:c>
      <x:c r="AO18" s="35" t="n">
        <x:f>AN20</x:f>
        <x:v>3311978.443918625</x:v>
      </x:c>
      <x:c r="AP18" s="35" t="n">
        <x:f>AO20</x:f>
        <x:v>3311978.443918625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15816161.21246491</x:v>
      </x:c>
      <x:c r="F19" s="2"/>
      <x:c r="G19" s="35" t="n">
        <x:f>G11*$E$49</x:f>
        <x:v>659006.7171860383</x:v>
      </x:c>
      <x:c r="H19" s="35" t="n">
        <x:f>H11*$E$49</x:f>
        <x:v>659006.7171860383</x:v>
      </x:c>
      <x:c r="I19" s="35" t="n">
        <x:f>I11*$E$49</x:f>
        <x:v>659006.7171860383</x:v>
      </x:c>
      <x:c r="J19" s="35" t="n">
        <x:f>J11*$E$49</x:f>
        <x:v>659006.7171860383</x:v>
      </x:c>
      <x:c r="K19" s="35" t="n">
        <x:f>K11*$E$49</x:f>
        <x:v>659006.7171860383</x:v>
      </x:c>
      <x:c r="L19" s="35" t="n">
        <x:f>L11*$E$49</x:f>
        <x:v>659006.7171860383</x:v>
      </x:c>
      <x:c r="M19" s="35" t="n">
        <x:f>M11*$E$49</x:f>
        <x:v>659006.7171860383</x:v>
      </x:c>
      <x:c r="N19" s="35" t="n">
        <x:f>N11*$E$49</x:f>
        <x:v>659006.7171860383</x:v>
      </x:c>
      <x:c r="O19" s="35" t="n">
        <x:f>O11*$E$49</x:f>
        <x:v>659006.7171860383</x:v>
      </x:c>
      <x:c r="P19" s="35" t="n">
        <x:f>P11*$E$49</x:f>
        <x:v>659006.7171860383</x:v>
      </x:c>
      <x:c r="Q19" s="35" t="n">
        <x:f>Q11*$E$49</x:f>
        <x:v>659006.7171860383</x:v>
      </x:c>
      <x:c r="R19" s="35" t="n">
        <x:f>R11*$E$49</x:f>
        <x:v>659006.7171860383</x:v>
      </x:c>
      <x:c r="S19" s="35" t="n">
        <x:f>S11*$E$49</x:f>
        <x:v>659006.7171860383</x:v>
      </x:c>
      <x:c r="T19" s="35" t="n">
        <x:f>T11*$E$49</x:f>
        <x:v>659006.7171860383</x:v>
      </x:c>
      <x:c r="U19" s="35" t="n">
        <x:f>U11*$E$49</x:f>
        <x:v>659006.7171860383</x:v>
      </x:c>
      <x:c r="V19" s="35" t="n">
        <x:f>V11*$E$49</x:f>
        <x:v>659006.7171860383</x:v>
      </x:c>
      <x:c r="W19" s="35" t="n">
        <x:f>W11*$E$49</x:f>
        <x:v>659006.7171860383</x:v>
      </x:c>
      <x:c r="X19" s="35" t="n">
        <x:f>X11*$E$49</x:f>
        <x:v>659006.7171860383</x:v>
      </x:c>
      <x:c r="Y19" s="35" t="n">
        <x:f>Y11*$E$49</x:f>
        <x:v>659006.7171860383</x:v>
      </x:c>
      <x:c r="Z19" s="35" t="n">
        <x:f>Z11*$E$49</x:f>
        <x:v>659006.7171860383</x:v>
      </x:c>
      <x:c r="AA19" s="35" t="n">
        <x:f>AA11*$E$49</x:f>
        <x:v>659006.7171860383</x:v>
      </x:c>
      <x:c r="AB19" s="35" t="n">
        <x:f>AB11*$E$49</x:f>
        <x:v>659006.7171860383</x:v>
      </x:c>
      <x:c r="AC19" s="35" t="n">
        <x:f>AC11*$E$49</x:f>
        <x:v>659006.7171860383</x:v>
      </x:c>
      <x:c r="AD19" s="35" t="n">
        <x:f>AD11*$E$49</x:f>
        <x:v>659006.7171860383</x:v>
      </x:c>
      <x:c r="AE19" s="35" t="n">
        <x:f>AE11*$E$49</x:f>
        <x:v>659006.7171860383</x:v>
      </x:c>
      <x:c r="AF19" s="35" t="n">
        <x:f>AF11*$E$49</x:f>
        <x:v>659006.7171860383</x:v>
      </x:c>
      <x:c r="AG19" s="35" t="n">
        <x:f>AG11*$E$49</x:f>
        <x:v>659006.7171860383</x:v>
      </x:c>
      <x:c r="AH19" s="35" t="n">
        <x:f>AH11*$E$49</x:f>
        <x:v>659006.7171860383</x:v>
      </x:c>
      <x:c r="AI19" s="35" t="n">
        <x:f>AI11*$E$49</x:f>
        <x:v>659006.7171860383</x:v>
      </x:c>
      <x:c r="AJ19" s="35" t="n">
        <x:f>AJ11*$E$49</x:f>
        <x:v>659006.7171860383</x:v>
      </x:c>
      <x:c r="AK19" s="35" t="n">
        <x:f>AK11*$E$49</x:f>
        <x:v>659006.7171860383</x:v>
      </x:c>
      <x:c r="AL19" s="35" t="n">
        <x:f>AL11*$E$49</x:f>
        <x:v>659006.7171860383</x:v>
      </x:c>
      <x:c r="AM19" s="35" t="n">
        <x:f>AM11*$E$49</x:f>
        <x:v>659006.7171860383</x:v>
      </x:c>
      <x:c r="AN19" s="35" t="n">
        <x:f>AN11*$E$49</x:f>
        <x:v>659006.7171860383</x:v>
      </x:c>
      <x:c r="AO19" s="35" t="n">
        <x:f>AO11*$E$49</x:f>
        <x:v>659006.7171860383</x:v>
      </x:c>
      <x:c r="AP19" s="35" t="n">
        <x:f>AP11*$E$49</x:f>
        <x:v>659006.7171860383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3311978.443918625</x:v>
      </x:c>
      <x:c r="F20" s="42"/>
      <x:c r="G20" s="43" t="n">
        <x:f>G18+G19-G15</x:f>
        <x:v>6036452.177771675</x:v>
      </x:c>
      <x:c r="H20" s="43" t="n">
        <x:f>H18+H19-H15</x:f>
        <x:v>5187841.5668936875</x:v>
      </x:c>
      <x:c r="I20" s="43" t="n">
        <x:f>I18+I19-I15</x:f>
        <x:v>4555764.1623800015</x:v>
      </x:c>
      <x:c r="J20" s="43" t="n">
        <x:f>J18+J19-J15</x:f>
        <x:v>4094037.62185399</x:v>
      </x:c>
      <x:c r="K20" s="43" t="n">
        <x:f>K18+K19-K15</x:f>
        <x:v>3771101.7876959946</x:v>
      </x:c>
      <x:c r="L20" s="43" t="n">
        <x:f>L18+L19-L15</x:f>
        <x:v>3559979.8579737777</x:v>
      </x:c>
      <x:c r="M20" s="43" t="n">
        <x:f>M18+M19-M15</x:f>
        <x:v>3433503.3889150075</x:v>
      </x:c>
      <x:c r="N20" s="43" t="n">
        <x:f>N18+N19-N15</x:f>
        <x:v>3365006.4961334085</x:v>
      </x:c>
      <x:c r="O20" s="43" t="n">
        <x:f>O18+O19-O15</x:f>
        <x:v>3331872.234787514</x:v>
      </x:c>
      <x:c r="P20" s="43" t="n">
        <x:f>P18+P19-P15</x:f>
        <x:v>3317894.785229542</x:v>
      </x:c>
      <x:c r="Q20" s="43" t="n">
        <x:f>Q18+Q19-Q15</x:f>
        <x:v>3313075.535542568</x:v>
      </x:c>
      <x:c r="R20" s="43" t="n">
        <x:f>R18+R19-R15</x:f>
        <x:v>3311978.443918625</x:v>
      </x:c>
      <x:c r="S20" s="43" t="n">
        <x:f>S18+S19-S15</x:f>
        <x:v>3311978.443918625</x:v>
      </x:c>
      <x:c r="T20" s="43" t="n">
        <x:f>T18+T19-T15</x:f>
        <x:v>3311978.443918625</x:v>
      </x:c>
      <x:c r="U20" s="43" t="n">
        <x:f>U18+U19-U15</x:f>
        <x:v>3311978.443918625</x:v>
      </x:c>
      <x:c r="V20" s="43" t="n">
        <x:f>V18+V19-V15</x:f>
        <x:v>3311978.443918625</x:v>
      </x:c>
      <x:c r="W20" s="43" t="n">
        <x:f>W18+W19-W15</x:f>
        <x:v>3311978.443918625</x:v>
      </x:c>
      <x:c r="X20" s="43" t="n">
        <x:f>X18+X19-X15</x:f>
        <x:v>3311978.443918625</x:v>
      </x:c>
      <x:c r="Y20" s="43" t="n">
        <x:f>Y18+Y19-Y15</x:f>
        <x:v>3311978.443918625</x:v>
      </x:c>
      <x:c r="Z20" s="43" t="n">
        <x:f>Z18+Z19-Z15</x:f>
        <x:v>3311978.443918625</x:v>
      </x:c>
      <x:c r="AA20" s="43" t="n">
        <x:f>AA18+AA19-AA15</x:f>
        <x:v>3311978.443918625</x:v>
      </x:c>
      <x:c r="AB20" s="43" t="n">
        <x:f>AB18+AB19-AB15</x:f>
        <x:v>3311978.443918625</x:v>
      </x:c>
      <x:c r="AC20" s="43" t="n">
        <x:f>AC18+AC19-AC15</x:f>
        <x:v>3311978.443918625</x:v>
      </x:c>
      <x:c r="AD20" s="43" t="n">
        <x:f>AD18+AD19-AD15</x:f>
        <x:v>3311978.443918625</x:v>
      </x:c>
      <x:c r="AE20" s="43" t="n">
        <x:f>AE18+AE19-AE15</x:f>
        <x:v>3311978.443918625</x:v>
      </x:c>
      <x:c r="AF20" s="43" t="n">
        <x:f>AF18+AF19-AF15</x:f>
        <x:v>3311978.443918625</x:v>
      </x:c>
      <x:c r="AG20" s="43" t="n">
        <x:f>AG18+AG19-AG15</x:f>
        <x:v>3311978.443918625</x:v>
      </x:c>
      <x:c r="AH20" s="43" t="n">
        <x:f>AH18+AH19-AH15</x:f>
        <x:v>3311978.443918625</x:v>
      </x:c>
      <x:c r="AI20" s="43" t="n">
        <x:f>AI18+AI19-AI15</x:f>
        <x:v>3311978.443918625</x:v>
      </x:c>
      <x:c r="AJ20" s="43" t="n">
        <x:f>AJ18+AJ19-AJ15</x:f>
        <x:v>3311978.443918625</x:v>
      </x:c>
      <x:c r="AK20" s="43" t="n">
        <x:f>AK18+AK19-AK15</x:f>
        <x:v>3311978.443918625</x:v>
      </x:c>
      <x:c r="AL20" s="43" t="n">
        <x:f>AL18+AL19-AL15</x:f>
        <x:v>3311978.443918625</x:v>
      </x:c>
      <x:c r="AM20" s="43" t="n">
        <x:f>AM18+AM19-AM15</x:f>
        <x:v>3311978.443918625</x:v>
      </x:c>
      <x:c r="AN20" s="43" t="n">
        <x:f>AN18+AN19-AN15</x:f>
        <x:v>3311978.443918625</x:v>
      </x:c>
      <x:c r="AO20" s="43" t="n">
        <x:f>AO18+AO19-AO15</x:f>
        <x:v>3311978.443918625</x:v>
      </x:c>
      <x:c r="AP20" s="43" t="n">
        <x:f>AP18+AP19-AP15</x:f>
        <x:v>3311978.443918625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14180162.20323039</x:v>
      </x:c>
      <x:c r="F21" s="42"/>
      <x:c r="G21" s="43" t="n">
        <x:f>G16-G20</x:f>
        <x:v>34440909.29840319</x:v>
      </x:c>
      <x:c r="H21" s="43" t="n">
        <x:f>H16-H20</x:f>
        <x:v>28637295.479311027</x:v>
      </x:c>
      <x:c r="I21" s="43" t="n">
        <x:f>I16-I20</x:f>
        <x:v>24565081.40677456</x:v>
      </x:c>
      <x:c r="J21" s="43" t="n">
        <x:f>J16-J20</x:f>
        <x:v>21585245.72876981</x:v>
      </x:c>
      <x:c r="K21" s="43" t="n">
        <x:f>K16-K20</x:f>
        <x:v>19375780.01115898</x:v>
      </x:c>
      <x:c r="L21" s="43" t="n">
        <x:f>L16-L20</x:f>
        <x:v>17735792.87366892</x:v>
      </x:c>
      <x:c r="M21" s="43" t="n">
        <x:f>M16-M20</x:f>
        <x:v>16524577.13806518</x:v>
      </x:c>
      <x:c r="N21" s="43" t="n">
        <x:f>N16-N20</x:f>
        <x:v>15639478.739109565</x:v>
      </x:c>
      <x:c r="O21" s="43" t="n">
        <x:f>O16-O20</x:f>
        <x:v>15006440.656349162</x:v>
      </x:c>
      <x:c r="P21" s="43" t="n">
        <x:f>P16-P20</x:f>
        <x:v>14573709.962802462</x:v>
      </x:c>
      <x:c r="Q21" s="43" t="n">
        <x:f>Q16-Q20</x:f>
        <x:v>14306125.687169814</x:v>
      </x:c>
      <x:c r="R21" s="43" t="n">
        <x:f>R16-R20</x:f>
        <x:v>14180162.20323039</x:v>
      </x:c>
      <x:c r="S21" s="43" t="n">
        <x:f>S16-S20</x:f>
        <x:v>14180162.20323039</x:v>
      </x:c>
      <x:c r="T21" s="43" t="n">
        <x:f>T16-T20</x:f>
        <x:v>14180162.20323039</x:v>
      </x:c>
      <x:c r="U21" s="43" t="n">
        <x:f>U16-U20</x:f>
        <x:v>14180162.20323039</x:v>
      </x:c>
      <x:c r="V21" s="43" t="n">
        <x:f>V16-V20</x:f>
        <x:v>14180162.20323039</x:v>
      </x:c>
      <x:c r="W21" s="43" t="n">
        <x:f>W16-W20</x:f>
        <x:v>14180162.20323039</x:v>
      </x:c>
      <x:c r="X21" s="43" t="n">
        <x:f>X16-X20</x:f>
        <x:v>14180162.20323039</x:v>
      </x:c>
      <x:c r="Y21" s="43" t="n">
        <x:f>Y16-Y20</x:f>
        <x:v>14180162.20323039</x:v>
      </x:c>
      <x:c r="Z21" s="43" t="n">
        <x:f>Z16-Z20</x:f>
        <x:v>14180162.20323039</x:v>
      </x:c>
      <x:c r="AA21" s="43" t="n">
        <x:f>AA16-AA20</x:f>
        <x:v>14180162.20323039</x:v>
      </x:c>
      <x:c r="AB21" s="43" t="n">
        <x:f>AB16-AB20</x:f>
        <x:v>14180162.20323039</x:v>
      </x:c>
      <x:c r="AC21" s="43" t="n">
        <x:f>AC16-AC20</x:f>
        <x:v>14180162.20323039</x:v>
      </x:c>
      <x:c r="AD21" s="43" t="n">
        <x:f>AD16-AD20</x:f>
        <x:v>14180162.20323039</x:v>
      </x:c>
      <x:c r="AE21" s="43" t="n">
        <x:f>AE16-AE20</x:f>
        <x:v>14180162.20323039</x:v>
      </x:c>
      <x:c r="AF21" s="43" t="n">
        <x:f>AF16-AF20</x:f>
        <x:v>14180162.20323039</x:v>
      </x:c>
      <x:c r="AG21" s="43" t="n">
        <x:f>AG16-AG20</x:f>
        <x:v>14180162.20323039</x:v>
      </x:c>
      <x:c r="AH21" s="43" t="n">
        <x:f>AH16-AH20</x:f>
        <x:v>14180162.20323039</x:v>
      </x:c>
      <x:c r="AI21" s="43" t="n">
        <x:f>AI16-AI20</x:f>
        <x:v>14180162.20323039</x:v>
      </x:c>
      <x:c r="AJ21" s="43" t="n">
        <x:f>AJ16-AJ20</x:f>
        <x:v>14180162.20323039</x:v>
      </x:c>
      <x:c r="AK21" s="43" t="n">
        <x:f>AK16-AK20</x:f>
        <x:v>14180162.20323039</x:v>
      </x:c>
      <x:c r="AL21" s="43" t="n">
        <x:f>AL16-AL20</x:f>
        <x:v>14180162.20323039</x:v>
      </x:c>
      <x:c r="AM21" s="43" t="n">
        <x:f>AM16-AM20</x:f>
        <x:v>14180162.20323039</x:v>
      </x:c>
      <x:c r="AN21" s="43" t="n">
        <x:f>AN16-AN20</x:f>
        <x:v>14180162.20323039</x:v>
      </x:c>
      <x:c r="AO21" s="43" t="n">
        <x:f>AO16-AO20</x:f>
        <x:v>14180162.20323039</x:v>
      </x:c>
      <x:c r="AP21" s="43" t="n">
        <x:f>AP16-AP20</x:f>
        <x:v>14180162.20323039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'Assumptions'!$E$15</x:f>
        <x:v>1</x:v>
      </x:c>
      <x:c r="H23" s="33" t="n">
        <x:f>'Assumptions'!$E$15</x:f>
        <x:v>1</x:v>
      </x:c>
      <x:c r="I23" s="33" t="n">
        <x:f>'Assumptions'!$E$15</x:f>
        <x:v>1</x:v>
      </x:c>
      <x:c r="J23" s="33" t="n">
        <x:f>'Assumptions'!$E$15</x:f>
        <x:v>1</x:v>
      </x:c>
      <x:c r="K23" s="33" t="n">
        <x:f>'Assumptions'!$E$15</x:f>
        <x:v>1</x:v>
      </x:c>
      <x:c r="L23" s="33" t="n">
        <x:f>'Assumptions'!$E$15</x:f>
        <x:v>1</x:v>
      </x:c>
      <x:c r="M23" s="33" t="n">
        <x:f>'Assumptions'!$E$15</x:f>
        <x:v>1</x:v>
      </x:c>
      <x:c r="N23" s="33" t="n">
        <x:f>'Assumptions'!$E$15</x:f>
        <x:v>1</x:v>
      </x:c>
      <x:c r="O23" s="33" t="n">
        <x:f>'Assumptions'!$E$15</x:f>
        <x:v>1</x:v>
      </x:c>
      <x:c r="P23" s="33" t="n">
        <x:f>'Assumptions'!$E$15</x:f>
        <x:v>1</x:v>
      </x:c>
      <x:c r="Q23" s="33" t="n">
        <x:f>'Assumptions'!$E$15</x:f>
        <x:v>1</x:v>
      </x:c>
      <x:c r="R23" s="33" t="n">
        <x:f>'Assumptions'!$E$15</x:f>
        <x:v>1</x:v>
      </x:c>
      <x:c r="S23" s="33" t="n">
        <x:f>'Assumptions'!$E$15</x:f>
        <x:v>1</x:v>
      </x:c>
      <x:c r="T23" s="33" t="n">
        <x:f>'Assumptions'!$E$15</x:f>
        <x:v>1</x:v>
      </x:c>
      <x:c r="U23" s="33" t="n">
        <x:f>'Assumptions'!$E$15</x:f>
        <x:v>1</x:v>
      </x:c>
      <x:c r="V23" s="33" t="n">
        <x:f>'Assumptions'!$E$15</x:f>
        <x:v>1</x:v>
      </x:c>
      <x:c r="W23" s="33" t="n">
        <x:f>'Assumptions'!$E$15</x:f>
        <x:v>1</x:v>
      </x:c>
      <x:c r="X23" s="33" t="n">
        <x:f>'Assumptions'!$E$15</x:f>
        <x:v>1</x:v>
      </x:c>
      <x:c r="Y23" s="33" t="n">
        <x:f>'Assumptions'!$E$15</x:f>
        <x:v>1</x:v>
      </x:c>
      <x:c r="Z23" s="33" t="n">
        <x:f>'Assumptions'!$E$15</x:f>
        <x:v>1</x:v>
      </x:c>
      <x:c r="AA23" s="33" t="n">
        <x:f>'Assumptions'!$E$15</x:f>
        <x:v>1</x:v>
      </x:c>
      <x:c r="AB23" s="33" t="n">
        <x:f>'Assumptions'!$E$15</x:f>
        <x:v>1</x:v>
      </x:c>
      <x:c r="AC23" s="33" t="n">
        <x:f>'Assumptions'!$E$15</x:f>
        <x:v>1</x:v>
      </x:c>
      <x:c r="AD23" s="33" t="n">
        <x:f>'Assumptions'!$E$15</x:f>
        <x:v>1</x:v>
      </x:c>
      <x:c r="AE23" s="33" t="n">
        <x:f>'Assumptions'!$E$15</x:f>
        <x:v>1</x:v>
      </x:c>
      <x:c r="AF23" s="33" t="n">
        <x:f>'Assumptions'!$E$15</x:f>
        <x:v>1</x:v>
      </x:c>
      <x:c r="AG23" s="33" t="n">
        <x:f>'Assumptions'!$E$15</x:f>
        <x:v>1</x:v>
      </x:c>
      <x:c r="AH23" s="33" t="n">
        <x:f>'Assumptions'!$E$15</x:f>
        <x:v>1</x:v>
      </x:c>
      <x:c r="AI23" s="33" t="n">
        <x:f>'Assumptions'!$E$15</x:f>
        <x:v>1</x:v>
      </x:c>
      <x:c r="AJ23" s="33" t="n">
        <x:f>'Assumptions'!$E$15</x:f>
        <x:v>1</x:v>
      </x:c>
      <x:c r="AK23" s="33" t="n">
        <x:f>'Assumptions'!$E$15</x:f>
        <x:v>1</x:v>
      </x:c>
      <x:c r="AL23" s="33" t="n">
        <x:f>'Assumptions'!$E$15</x:f>
        <x:v>1</x:v>
      </x:c>
      <x:c r="AM23" s="33" t="n">
        <x:f>'Assumptions'!$E$15</x:f>
        <x:v>1</x:v>
      </x:c>
      <x:c r="AN23" s="33" t="n">
        <x:f>'Assumptions'!$E$15</x:f>
        <x:v>1</x:v>
      </x:c>
      <x:c r="AO23" s="33" t="n">
        <x:f>'Assumptions'!$E$15</x:f>
        <x:v>1</x:v>
      </x:c>
      <x:c r="AP23" s="33" t="n">
        <x:f>'Assumptions'!$E$15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42307844.46321194</x:v>
      </x:c>
      <x:c r="F24" s="42"/>
      <x:c r="G24" s="43" t="n">
        <x:f>(G13-G15)*G23/12</x:f>
        <x:v>4109425.618760618</x:v>
      </x:c>
      <x:c r="H24" s="43" t="n">
        <x:f>(H13-H15)*H23/12</x:f>
        <x:v>3247478.6790092364</x:v>
      </x:c>
      <x:c r="I24" s="43" t="n">
        <x:f>(I13-I15)*I23/12</x:f>
        <x:v>2711171.077042083</x:v>
      </x:c>
      <x:c r="J24" s="43" t="n">
        <x:f>(J13-J15)*J23/12</x:f>
        <x:v>2333342.6926202094</x:v>
      </x:c>
      <x:c r="K24" s="43" t="n">
        <x:f>(K13-K15)*K23/12</x:f>
        <x:v>2058111.7332733136</x:v>
      </x:c>
      <x:c r="L24" s="43" t="n">
        <x:f>(L13-L15)*L23/12</x:f>
        <x:v>1856396.09599556</x:v>
      </x:c>
      <x:c r="M24" s="43" t="n">
        <x:f>(M13-M15)*M23/12</x:f>
        <x:v>1709190.795449824</x:v>
      </x:c>
      <x:c r="N24" s="43" t="n">
        <x:f>(N13-N15)*N23/12</x:f>
        <x:v>1602548.0764177125</x:v>
      </x:c>
      <x:c r="O24" s="43" t="n">
        <x:f>(O13-O15)*O23/12</x:f>
        <x:v>1526028.6880592534</x:v>
      </x:c>
      <x:c r="P24" s="43" t="n">
        <x:f>(P13-P15)*P23/12</x:f>
        <x:v>1472110.7270327222</x:v>
      </x:c>
      <x:c r="Q24" s="43" t="n">
        <x:f>(Q13-Q15)*Q23/12</x:f>
        <x:v>1435648.2317632493</x:v>
      </x:c>
      <x:c r="R24" s="43" t="n">
        <x:f>(R13-R15)*R23/12</x:f>
        <x:v>1413258.1178252</x:v>
      </x:c>
      <x:c r="S24" s="43" t="n">
        <x:f>(S13-S15)*S23/12</x:f>
        <x:v>1402761.1608302481</x:v>
      </x:c>
      <x:c r="T24" s="43" t="n">
        <x:f>(T13-T15)*T23/12</x:f>
        <x:v>1402761.1608302481</x:v>
      </x:c>
      <x:c r="U24" s="43" t="n">
        <x:f>(U13-U15)*U23/12</x:f>
        <x:v>1402761.1608302481</x:v>
      </x:c>
      <x:c r="V24" s="43" t="n">
        <x:f>(V13-V15)*V23/12</x:f>
        <x:v>1402761.1608302481</x:v>
      </x:c>
      <x:c r="W24" s="43" t="n">
        <x:f>(W13-W15)*W23/12</x:f>
        <x:v>1402761.1608302481</x:v>
      </x:c>
      <x:c r="X24" s="43" t="n">
        <x:f>(X13-X15)*X23/12</x:f>
        <x:v>1402761.1608302481</x:v>
      </x:c>
      <x:c r="Y24" s="43" t="n">
        <x:f>(Y13-Y15)*Y23/12</x:f>
        <x:v>1402761.1608302481</x:v>
      </x:c>
      <x:c r="Z24" s="43" t="n">
        <x:f>(Z13-Z15)*Z23/12</x:f>
        <x:v>1402761.1608302481</x:v>
      </x:c>
      <x:c r="AA24" s="43" t="n">
        <x:f>(AA13-AA15)*AA23/12</x:f>
        <x:v>1402761.1608302481</x:v>
      </x:c>
      <x:c r="AB24" s="43" t="n">
        <x:f>(AB13-AB15)*AB23/12</x:f>
        <x:v>1402761.1608302481</x:v>
      </x:c>
      <x:c r="AC24" s="43" t="n">
        <x:f>(AC13-AC15)*AC23/12</x:f>
        <x:v>1402761.1608302481</x:v>
      </x:c>
      <x:c r="AD24" s="43" t="n">
        <x:f>(AD13-AD15)*AD23/12</x:f>
        <x:v>1402761.1608302481</x:v>
      </x:c>
      <x:c r="AE24" s="43" t="n">
        <x:f>(AE13-AE15)*AE23/12</x:f>
        <x:v>1402761.1608302481</x:v>
      </x:c>
      <x:c r="AF24" s="43" t="n">
        <x:f>(AF13-AF15)*AF23/12</x:f>
        <x:v>1402761.1608302481</x:v>
      </x:c>
      <x:c r="AG24" s="43" t="n">
        <x:f>(AG13-AG15)*AG23/12</x:f>
        <x:v>1402761.1608302481</x:v>
      </x:c>
      <x:c r="AH24" s="43" t="n">
        <x:f>(AH13-AH15)*AH23/12</x:f>
        <x:v>1402761.1608302481</x:v>
      </x:c>
      <x:c r="AI24" s="43" t="n">
        <x:f>(AI13-AI15)*AI23/12</x:f>
        <x:v>1402761.1608302481</x:v>
      </x:c>
      <x:c r="AJ24" s="43" t="n">
        <x:f>(AJ13-AJ15)*AJ23/12</x:f>
        <x:v>1402761.1608302481</x:v>
      </x:c>
      <x:c r="AK24" s="43" t="n">
        <x:f>(AK13-AK15)*AK23/12</x:f>
        <x:v>1402761.1608302481</x:v>
      </x:c>
      <x:c r="AL24" s="43" t="n">
        <x:f>(AL13-AL15)*AL23/12</x:f>
        <x:v>1402761.1608302481</x:v>
      </x:c>
      <x:c r="AM24" s="43" t="n">
        <x:f>(AM13-AM15)*AM23/12</x:f>
        <x:v>1402761.1608302481</x:v>
      </x:c>
      <x:c r="AN24" s="43" t="n">
        <x:f>(AN13-AN15)*AN23/12</x:f>
        <x:v>1402761.1608302481</x:v>
      </x:c>
      <x:c r="AO24" s="43" t="n">
        <x:f>(AO13-AO15)*AO23/12</x:f>
        <x:v>1402761.1608302481</x:v>
      </x:c>
      <x:c r="AP24" s="43" t="n">
        <x:f>(AP13-AP15)*AP23/12</x:f>
        <x:v>1402761.1608302481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26491683.25074705</x:v>
      </x:c>
      <x:c r="F25" s="46"/>
      <x:c r="G25" s="47" t="n">
        <x:f>G24-G19</x:f>
        <x:v>3450418.9015745795</x:v>
      </x:c>
      <x:c r="H25" s="47" t="n">
        <x:f>H24-H19</x:f>
        <x:v>2588471.961823198</x:v>
      </x:c>
      <x:c r="I25" s="47" t="n">
        <x:f>I24-I19</x:f>
        <x:v>2052164.3598560444</x:v>
      </x:c>
      <x:c r="J25" s="47" t="n">
        <x:f>J24-J19</x:f>
        <x:v>1674335.975434171</x:v>
      </x:c>
      <x:c r="K25" s="47" t="n">
        <x:f>K24-K19</x:f>
        <x:v>1399105.0160872755</x:v>
      </x:c>
      <x:c r="L25" s="47" t="n">
        <x:f>L24-L19</x:f>
        <x:v>1197389.378809522</x:v>
      </x:c>
      <x:c r="M25" s="47" t="n">
        <x:f>M24-M19</x:f>
        <x:v>1050184.0782637857</x:v>
      </x:c>
      <x:c r="N25" s="47" t="n">
        <x:f>N24-N19</x:f>
        <x:v>943541.3592316742</x:v>
      </x:c>
      <x:c r="O25" s="47" t="n">
        <x:f>O24-O19</x:f>
        <x:v>867021.9708732151</x:v>
      </x:c>
      <x:c r="P25" s="47" t="n">
        <x:f>P24-P19</x:f>
        <x:v>813104.0098466839</x:v>
      </x:c>
      <x:c r="Q25" s="47" t="n">
        <x:f>Q24-Q19</x:f>
        <x:v>776641.514577211</x:v>
      </x:c>
      <x:c r="R25" s="47" t="n">
        <x:f>R24-R19</x:f>
        <x:v>754251.4006391618</x:v>
      </x:c>
      <x:c r="S25" s="47" t="n">
        <x:f>S24-S19</x:f>
        <x:v>743754.4436442099</x:v>
      </x:c>
      <x:c r="T25" s="47" t="n">
        <x:f>T24-T19</x:f>
        <x:v>743754.4436442099</x:v>
      </x:c>
      <x:c r="U25" s="47" t="n">
        <x:f>U24-U19</x:f>
        <x:v>743754.4436442099</x:v>
      </x:c>
      <x:c r="V25" s="47" t="n">
        <x:f>V24-V19</x:f>
        <x:v>743754.4436442099</x:v>
      </x:c>
      <x:c r="W25" s="47" t="n">
        <x:f>W24-W19</x:f>
        <x:v>743754.4436442099</x:v>
      </x:c>
      <x:c r="X25" s="47" t="n">
        <x:f>X24-X19</x:f>
        <x:v>743754.4436442099</x:v>
      </x:c>
      <x:c r="Y25" s="47" t="n">
        <x:f>Y24-Y19</x:f>
        <x:v>743754.4436442099</x:v>
      </x:c>
      <x:c r="Z25" s="47" t="n">
        <x:f>Z24-Z19</x:f>
        <x:v>743754.4436442099</x:v>
      </x:c>
      <x:c r="AA25" s="47" t="n">
        <x:f>AA24-AA19</x:f>
        <x:v>743754.4436442099</x:v>
      </x:c>
      <x:c r="AB25" s="47" t="n">
        <x:f>AB24-AB19</x:f>
        <x:v>743754.4436442099</x:v>
      </x:c>
      <x:c r="AC25" s="47" t="n">
        <x:f>AC24-AC19</x:f>
        <x:v>743754.4436442099</x:v>
      </x:c>
      <x:c r="AD25" s="47" t="n">
        <x:f>AD24-AD19</x:f>
        <x:v>743754.4436442099</x:v>
      </x:c>
      <x:c r="AE25" s="47" t="n">
        <x:f>AE24-AE19</x:f>
        <x:v>743754.4436442099</x:v>
      </x:c>
      <x:c r="AF25" s="47" t="n">
        <x:f>AF24-AF19</x:f>
        <x:v>743754.4436442099</x:v>
      </x:c>
      <x:c r="AG25" s="47" t="n">
        <x:f>AG24-AG19</x:f>
        <x:v>743754.4436442099</x:v>
      </x:c>
      <x:c r="AH25" s="47" t="n">
        <x:f>AH24-AH19</x:f>
        <x:v>743754.4436442099</x:v>
      </x:c>
      <x:c r="AI25" s="47" t="n">
        <x:f>AI24-AI19</x:f>
        <x:v>743754.4436442099</x:v>
      </x:c>
      <x:c r="AJ25" s="47" t="n">
        <x:f>AJ24-AJ19</x:f>
        <x:v>743754.4436442099</x:v>
      </x:c>
      <x:c r="AK25" s="47" t="n">
        <x:f>AK24-AK19</x:f>
        <x:v>743754.4436442099</x:v>
      </x:c>
      <x:c r="AL25" s="47" t="n">
        <x:f>AL24-AL19</x:f>
        <x:v>743754.4436442099</x:v>
      </x:c>
      <x:c r="AM25" s="47" t="n">
        <x:f>AM24-AM19</x:f>
        <x:v>743754.4436442099</x:v>
      </x:c>
      <x:c r="AN25" s="47" t="n">
        <x:f>AN24-AN19</x:f>
        <x:v>743754.4436442099</x:v>
      </x:c>
      <x:c r="AO25" s="47" t="n">
        <x:f>AO24-AO19</x:f>
        <x:v>743754.4436442099</x:v>
      </x:c>
      <x:c r="AP25" s="47" t="n">
        <x:f>AP24-AP19</x:f>
        <x:v>743754.4436442099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7184338.035458207</x:v>
      </x:c>
      <x:c r="F27" s="2"/>
      <x:c r="G27" s="35" t="n">
        <x:f>SUMPRODUCT($E$160:$E$219,$E$52:$E$111)</x:f>
        <x:v>1806892.5748725713</x:v>
      </x:c>
      <x:c r="H27" s="35" t="n">
        <x:f>SUMPRODUCT($E$160:$E$219,$E$53:$E$112)</x:f>
        <x:v>1466599.449700733</x:v>
      </x:c>
      <x:c r="I27" s="35" t="n">
        <x:f>SUMPRODUCT($E$160:$E$219,$E$54:$E$113)</x:f>
        <x:v>1189891.277233</x:v>
      </x:c>
      <x:c r="J27" s="35" t="n">
        <x:f>SUMPRODUCT($E$160:$E$219,$E$55:$E$114)</x:f>
        <x:v>937748.8044803032</x:v>
      </x:c>
      <x:c r="K27" s="35" t="n">
        <x:f>SUMPRODUCT($E$160:$E$219,$E$56:$E$115)</x:f>
        <x:v>699075.6757574287</x:v>
      </x:c>
      <x:c r="L27" s="35" t="n">
        <x:f>SUMPRODUCT($E$160:$E$219,$E$57:$E$116)</x:f>
        <x:v>480998.8139003799</x:v>
      </x:c>
      <x:c r="M27" s="35" t="n">
        <x:f>SUMPRODUCT($E$160:$E$219,$E$58:$E$117)</x:f>
        <x:v>299961.04652652657</x:v>
      </x:c>
      <x:c r="N27" s="35" t="n">
        <x:f>SUMPRODUCT($E$160:$E$219,$E$59:$E$118)</x:f>
        <x:v>167789.62810826083</x:v>
      </x:c>
      <x:c r="O27" s="35" t="n">
        <x:f>SUMPRODUCT($E$160:$E$219,$E$60:$E$119)</x:f>
        <x:v>83455.17358335455</x:v>
      </x:c>
      <x:c r="P27" s="35" t="n">
        <x:f>SUMPRODUCT($E$160:$E$219,$E$61:$E$120)</x:f>
        <x:v>36136.24831621088</x:v>
      </x:c>
      <x:c r="Q27" s="35" t="n">
        <x:f>SUMPRODUCT($E$160:$E$219,$E$62:$E$121)</x:f>
        <x:v>12793.438929438667</x:v>
      </x:c>
      <x:c r="R27" s="35" t="n">
        <x:f>SUMPRODUCT($E$160:$E$219,$E$63:$E$122)</x:f>
        <x:v>2995.9040499994585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12504182.76854629</x:v>
      </x:c>
      <x:c r="F28" s="2"/>
      <x:c r="G28" s="35" t="n">
        <x:f>SUMPRODUCT($G$11:G11,$CY$150:$CY$150)</x:f>
        <x:v>0</x:v>
      </x:c>
      <x:c r="H28" s="35" t="n">
        <x:f>SUMPRODUCT($G$11:H11,$CX$150:$CY$150)</x:f>
        <x:v>41017.87836329376</x:v>
      </x:c>
      <x:c r="I28" s="35" t="n">
        <x:f>SUMPRODUCT($G$11:I11,$CW$150:$CY$150)</x:f>
        <x:v>101192.84446672439</x:v>
      </x:c>
      <x:c r="J28" s="35" t="n">
        <x:f>SUMPRODUCT($G$11:J11,$CV$150:$CY$150)</x:f>
        <x:v>182984.45323174662</x:v>
      </x:c>
      <x:c r="K28" s="35" t="n">
        <x:f>SUMPRODUCT($G$11:K11,$CU$150:$CY$150)</x:f>
        <x:v>282866.87558660476</x:v>
      </x:c>
      <x:c r="L28" s="35" t="n">
        <x:f>SUMPRODUCT($G$11:L11,$CT$150:$CY$150)</x:f>
        <x:v>389129.83300787513</x:v>
      </x:c>
      <x:c r="M28" s="35" t="n">
        <x:f>SUMPRODUCT($G$11:M11,$CS$150:$CY$150)</x:f>
        <x:v>485522.1397182821</x:v>
      </x:c>
      <x:c r="N28" s="35" t="n">
        <x:f>SUMPRODUCT($G$11:N11,$CR$150:$CY$150)</x:f>
        <x:v>559713.9818593763</x:v>
      </x:c>
      <x:c r="O28" s="35" t="n">
        <x:f>SUMPRODUCT($G$11:O11,$CQ$150:$CY$150)</x:f>
        <x:v>608685.8049485784</x:v>
      </x:c>
      <x:c r="P28" s="35" t="n">
        <x:f>SUMPRODUCT($G$11:P11,$CP$150:$CY$150)</x:f>
        <x:v>636847.9184277995</x:v>
      </x:c>
      <x:c r="Q28" s="35" t="n">
        <x:f>SUMPRODUCT($G$11:Q11,$CO$150:$CY$150)</x:f>
        <x:v>651032.5279435733</x:v>
      </x:c>
      <x:c r="R28" s="35" t="n">
        <x:f>SUMPRODUCT($G$11:R11,$CN$150:$CY$150)</x:f>
        <x:v>657107.9047599821</x:v>
      </x:c>
      <x:c r="S28" s="35" t="n">
        <x:f>SUMPRODUCT($G$11:S11,$CM$150:$CY$150)</x:f>
        <x:v>659006.7171860381</x:v>
      </x:c>
      <x:c r="T28" s="35" t="n">
        <x:f>SUMPRODUCT($G$11:T11,$CL$150:$CY$150)</x:f>
        <x:v>659006.7171860381</x:v>
      </x:c>
      <x:c r="U28" s="35" t="n">
        <x:f>SUMPRODUCT($G$11:U11,$CK$150:$CY$150)</x:f>
        <x:v>659006.7171860381</x:v>
      </x:c>
      <x:c r="V28" s="35" t="n">
        <x:f>SUMPRODUCT($G$11:V11,$CJ$150:$CY$150)</x:f>
        <x:v>659006.7171860381</x:v>
      </x:c>
      <x:c r="W28" s="35" t="n">
        <x:f>SUMPRODUCT($G$11:W11,$CI$150:$CY$150)</x:f>
        <x:v>659006.7171860381</x:v>
      </x:c>
      <x:c r="X28" s="35" t="n">
        <x:f>SUMPRODUCT($G$11:X11,$CH$150:$CY$150)</x:f>
        <x:v>659006.7171860381</x:v>
      </x:c>
      <x:c r="Y28" s="35" t="n">
        <x:f>SUMPRODUCT($G$11:Y11,$CG$150:$CY$150)</x:f>
        <x:v>659006.7171860381</x:v>
      </x:c>
      <x:c r="Z28" s="35" t="n">
        <x:f>SUMPRODUCT($G$11:Z11,$CF$150:$CY$150)</x:f>
        <x:v>659006.7171860381</x:v>
      </x:c>
      <x:c r="AA28" s="35" t="n">
        <x:f>SUMPRODUCT($G$11:AA11,$CE$150:$CY$150)</x:f>
        <x:v>659006.7171860381</x:v>
      </x:c>
      <x:c r="AB28" s="35" t="n">
        <x:f>SUMPRODUCT($G$11:AB11,$CD$150:$CY$150)</x:f>
        <x:v>659006.7171860381</x:v>
      </x:c>
      <x:c r="AC28" s="35" t="n">
        <x:f>SUMPRODUCT($G$11:AC11,$CC$150:$CY$150)</x:f>
        <x:v>659006.7171860381</x:v>
      </x:c>
      <x:c r="AD28" s="35" t="n">
        <x:f>SUMPRODUCT($G$11:AD11,$CB$150:$CY$150)</x:f>
        <x:v>659006.7171860381</x:v>
      </x:c>
      <x:c r="AE28" s="35" t="n">
        <x:f>SUMPRODUCT($G$11:AE11,$CA$150:$CY$150)</x:f>
        <x:v>659006.7171860381</x:v>
      </x:c>
      <x:c r="AF28" s="35" t="n">
        <x:f>SUMPRODUCT($G$11:AF11,$BZ$150:$CY$150)</x:f>
        <x:v>659006.7171860381</x:v>
      </x:c>
      <x:c r="AG28" s="35" t="n">
        <x:f>SUMPRODUCT($G$11:AG11,$BY$150:$CY$150)</x:f>
        <x:v>659006.7171860381</x:v>
      </x:c>
      <x:c r="AH28" s="35" t="n">
        <x:f>SUMPRODUCT($G$11:AH11,$BX$150:$CY$150)</x:f>
        <x:v>659006.7171860381</x:v>
      </x:c>
      <x:c r="AI28" s="35" t="n">
        <x:f>SUMPRODUCT($G$11:AI11,$BW$150:$CY$150)</x:f>
        <x:v>659006.7171860381</x:v>
      </x:c>
      <x:c r="AJ28" s="35" t="n">
        <x:f>SUMPRODUCT($G$11:AJ11,$BV$150:$CY$150)</x:f>
        <x:v>659006.7171860381</x:v>
      </x:c>
      <x:c r="AK28" s="35" t="n">
        <x:f>SUMPRODUCT($G$11:AK11,$BU$150:$CY$150)</x:f>
        <x:v>659006.7171860381</x:v>
      </x:c>
      <x:c r="AL28" s="35" t="n">
        <x:f>SUMPRODUCT($G$11:AL11,$BT$150:$CY$150)</x:f>
        <x:v>659006.7171860381</x:v>
      </x:c>
      <x:c r="AM28" s="35" t="n">
        <x:f>SUMPRODUCT($G$11:AM11,$BS$150:$CY$150)</x:f>
        <x:v>659006.7171860381</x:v>
      </x:c>
      <x:c r="AN28" s="35" t="n">
        <x:f>SUMPRODUCT($G$11:AN11,$BR$150:$CY$150)</x:f>
        <x:v>659006.7171860381</x:v>
      </x:c>
      <x:c r="AO28" s="35" t="n">
        <x:f>SUMPRODUCT($G$11:AO11,$BQ$150:$CY$150)</x:f>
        <x:v>659006.7171860381</x:v>
      </x:c>
      <x:c r="AP28" s="35" t="n">
        <x:f>SUMPRODUCT($G$11:AP11,$BP$150:$CY$150)</x:f>
        <x:v>659006.7171860381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43935661.964541785</x:v>
      </x:c>
      <x:c r="F29" s="2"/>
      <x:c r="G29" s="35" t="n">
        <x:f>SUMPRODUCT($E$160:$E$219,$F$52:$F$111)</x:f>
        <x:v>11535745.948952556</x:v>
      </x:c>
      <x:c r="H29" s="35" t="n">
        <x:f>SUMPRODUCT($E$160:$E$219,$F$53:$F$112)</x:f>
        <x:v>7707237.606760819</x:v>
      </x:c>
      <x:c r="I29" s="35" t="n">
        <x:f>SUMPRODUCT($E$160:$E$219,$F$54:$F$113)</x:f>
        <x:v>5830572.22782668</x:v>
      </x:c>
      <x:c r="J29" s="35" t="n">
        <x:f>SUMPRODUCT($E$160:$E$219,$F$55:$F$114)</x:f>
        <x:v>4586380.019796683</x:v>
      </x:c>
      <x:c r="K29" s="35" t="n">
        <x:f>SUMPRODUCT($E$160:$E$219,$F$56:$F$115)</x:f>
        <x:v>3659433.0341203026</x:v>
      </x:c>
      <x:c r="L29" s="35" t="n">
        <x:f>SUMPRODUCT($E$160:$E$219,$F$57:$F$116)</x:f>
        <x:v>2930199.993987735</x:v>
      </x:c>
      <x:c r="M29" s="35" t="n">
        <x:f>SUMPRODUCT($E$160:$E$219,$F$58:$F$117)</x:f>
        <x:v>2339054.465358734</x:v>
      </x:c>
      <x:c r="N29" s="35" t="n">
        <x:f>SUMPRODUCT($E$160:$E$219,$F$59:$F$118)</x:f>
        <x:v>1847060.645764536</x:v>
      </x:c>
      <x:c r="O29" s="35" t="n">
        <x:f>SUMPRODUCT($E$160:$E$219,$F$60:$F$119)</x:f>
        <x:v>1423593.0767624266</x:v>
      </x:c>
      <x:c r="P29" s="35" t="n">
        <x:f>SUMPRODUCT($E$160:$E$219,$F$61:$F$120)</x:f>
        <x:v>1043813.5554222438</x:v>
      </x:c>
      <x:c r="Q29" s="35" t="n">
        <x:f>SUMPRODUCT($E$160:$E$219,$F$62:$F$121)</x:f>
        <x:v>688594.183646794</x:v>
      </x:c>
      <x:c r="R29" s="35" t="n">
        <x:f>SUMPRODUCT($E$160:$E$219,$F$63:$F$122)</x:f>
        <x:v>343977.2061422748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34803676.58430469</x:v>
      </x:c>
      <x:c r="F30" s="2"/>
      <x:c r="G30" s="35" t="n">
        <x:f>SUMPRODUCT($G$11:G11,$CY$151:$CY$151)</x:f>
        <x:v>0</x:v>
      </x:c>
      <x:c r="H30" s="35" t="n">
        <x:f>SUMPRODUCT($G$11:H11,$CX$151:$CY$151)</x:f>
        <x:v>137369.49514530553</x:v>
      </x:c>
      <x:c r="I30" s="35" t="n">
        <x:f>SUMPRODUCT($G$11:I11,$CW$151:$CY$151)</x:f>
        <x:v>282635.1275237455</x:v>
      </x:c>
      <x:c r="J30" s="35" t="n">
        <x:f>SUMPRODUCT($G$11:J11,$CV$151:$CY$151)</x:f>
        <x:v>434448.9410220323</x:v>
      </x:c>
      <x:c r="K30" s="35" t="n">
        <x:f>SUMPRODUCT($G$11:K11,$CU$151:$CY$151)</x:f>
        <x:v>591025.9663044896</x:v>
      </x:c>
      <x:c r="L30" s="35" t="n">
        <x:f>SUMPRODUCT($G$11:L11,$CT$151:$CY$151)</x:f>
        <x:v>750780.4263162883</x:v>
      </x:c>
      <x:c r="M30" s="35" t="n">
        <x:f>SUMPRODUCT($G$11:M11,$CS$151:$CY$151)</x:f>
        <x:v>913154.5530589683</x:v>
      </x:c>
      <x:c r="N30" s="35" t="n">
        <x:f>SUMPRODUCT($G$11:N11,$CR$151:$CY$151)</x:f>
        <x:v>1079031.0360050378</x:v>
      </x:c>
      <x:c r="O30" s="35" t="n">
        <x:f>SUMPRODUCT($G$11:O11,$CQ$151:$CY$151)</x:f>
        <x:v>1250438.2888119381</x:v>
      </x:c>
      <x:c r="P30" s="35" t="n">
        <x:f>SUMPRODUCT($G$11:P11,$CP$151:$CY$151)</x:f>
        <x:v>1429910.4209384217</x:v>
      </x:c>
      <x:c r="Q30" s="35" t="n">
        <x:f>SUMPRODUCT($G$11:Q11,$CO$151:$CY$151)</x:f>
        <x:v>1619983.3747998131</x:v>
      </x:c>
      <x:c r="R30" s="35" t="n">
        <x:f>SUMPRODUCT($G$11:R11,$CN$151:$CY$151)</x:f>
        <x:v>1822979.560611111</x:v>
      </x:c>
      <x:c r="S30" s="35" t="n">
        <x:f>SUMPRODUCT($G$11:S11,$CM$151:$CY$151)</x:f>
        <x:v>2040993.2828139612</x:v>
      </x:c>
      <x:c r="T30" s="35" t="n">
        <x:f>SUMPRODUCT($G$11:T11,$CL$151:$CY$151)</x:f>
        <x:v>2040993.2828139612</x:v>
      </x:c>
      <x:c r="U30" s="35" t="n">
        <x:f>SUMPRODUCT($G$11:U11,$CK$151:$CY$151)</x:f>
        <x:v>2040993.2828139612</x:v>
      </x:c>
      <x:c r="V30" s="35" t="n">
        <x:f>SUMPRODUCT($G$11:V11,$CJ$151:$CY$151)</x:f>
        <x:v>2040993.2828139612</x:v>
      </x:c>
      <x:c r="W30" s="35" t="n">
        <x:f>SUMPRODUCT($G$11:W11,$CI$151:$CY$151)</x:f>
        <x:v>2040993.2828139612</x:v>
      </x:c>
      <x:c r="X30" s="35" t="n">
        <x:f>SUMPRODUCT($G$11:X11,$CH$151:$CY$151)</x:f>
        <x:v>2040993.2828139612</x:v>
      </x:c>
      <x:c r="Y30" s="35" t="n">
        <x:f>SUMPRODUCT($G$11:Y11,$CG$151:$CY$151)</x:f>
        <x:v>2040993.2828139612</x:v>
      </x:c>
      <x:c r="Z30" s="35" t="n">
        <x:f>SUMPRODUCT($G$11:Z11,$CF$151:$CY$151)</x:f>
        <x:v>2040993.2828139612</x:v>
      </x:c>
      <x:c r="AA30" s="35" t="n">
        <x:f>SUMPRODUCT($G$11:AA11,$CE$151:$CY$151)</x:f>
        <x:v>2040993.2828139612</x:v>
      </x:c>
      <x:c r="AB30" s="35" t="n">
        <x:f>SUMPRODUCT($G$11:AB11,$CD$151:$CY$151)</x:f>
        <x:v>2040993.2828139612</x:v>
      </x:c>
      <x:c r="AC30" s="35" t="n">
        <x:f>SUMPRODUCT($G$11:AC11,$CC$151:$CY$151)</x:f>
        <x:v>2040993.2828139612</x:v>
      </x:c>
      <x:c r="AD30" s="35" t="n">
        <x:f>SUMPRODUCT($G$11:AD11,$CB$151:$CY$151)</x:f>
        <x:v>2040993.2828139612</x:v>
      </x:c>
      <x:c r="AE30" s="35" t="n">
        <x:f>SUMPRODUCT($G$11:AE11,$CA$151:$CY$151)</x:f>
        <x:v>2040993.2828139612</x:v>
      </x:c>
      <x:c r="AF30" s="35" t="n">
        <x:f>SUMPRODUCT($G$11:AF11,$BZ$151:$CY$151)</x:f>
        <x:v>2040993.2828139612</x:v>
      </x:c>
      <x:c r="AG30" s="35" t="n">
        <x:f>SUMPRODUCT($G$11:AG11,$BY$151:$CY$151)</x:f>
        <x:v>2040993.2828139612</x:v>
      </x:c>
      <x:c r="AH30" s="35" t="n">
        <x:f>SUMPRODUCT($G$11:AH11,$BX$151:$CY$151)</x:f>
        <x:v>2040993.2828139612</x:v>
      </x:c>
      <x:c r="AI30" s="35" t="n">
        <x:f>SUMPRODUCT($G$11:AI11,$BW$151:$CY$151)</x:f>
        <x:v>2040993.2828139612</x:v>
      </x:c>
      <x:c r="AJ30" s="35" t="n">
        <x:f>SUMPRODUCT($G$11:AJ11,$BV$151:$CY$151)</x:f>
        <x:v>2040993.2828139612</x:v>
      </x:c>
      <x:c r="AK30" s="35" t="n">
        <x:f>SUMPRODUCT($G$11:AK11,$BU$151:$CY$151)</x:f>
        <x:v>2040993.2828139612</x:v>
      </x:c>
      <x:c r="AL30" s="35" t="n">
        <x:f>SUMPRODUCT($G$11:AL11,$BT$151:$CY$151)</x:f>
        <x:v>2040993.2828139612</x:v>
      </x:c>
      <x:c r="AM30" s="35" t="n">
        <x:f>SUMPRODUCT($G$11:AM11,$BS$151:$CY$151)</x:f>
        <x:v>2040993.2828139612</x:v>
      </x:c>
      <x:c r="AN30" s="35" t="n">
        <x:f>SUMPRODUCT($G$11:AN11,$BR$151:$CY$151)</x:f>
        <x:v>2040993.2828139612</x:v>
      </x:c>
      <x:c r="AO30" s="35" t="n">
        <x:f>SUMPRODUCT($G$11:AO11,$BQ$151:$CY$151)</x:f>
        <x:v>2040993.2828139612</x:v>
      </x:c>
      <x:c r="AP30" s="35" t="n">
        <x:f>SUMPRODUCT($G$11:AP11,$BP$151:$CY$151)</x:f>
        <x:v>2040993.2828139612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15063116.753801322</x:v>
      </x:c>
      <x:c r="F32" s="2"/>
      <x:c r="G32" s="35" t="n">
        <x:f>($E$44-G27)*G23/12</x:f>
        <x:v>4109425.618760618</x:v>
      </x:c>
      <x:c r="H32" s="35" t="n">
        <x:f>(G34-H27)*H23/12</x:f>
        <x:v>3025896.8355395105</x:v>
      </x:c>
      <x:c r="I32" s="35" t="n">
        <x:f>(H34-I27)*I23/12</x:f>
        <x:v>2284469.4285400254</x:v>
      </x:c>
      <x:c r="J32" s="35" t="n">
        <x:f>(I34-J27)*J23/12</x:f>
        <x:v>1720442.675847777</x:v>
      </x:c>
      <x:c r="K32" s="35" t="n">
        <x:f>(J34-K27)*K23/12</x:f>
        <x:v>1279988.0345516007</x:v>
      </x:c>
      <x:c r="L32" s="35" t="n">
        <x:f>(K34-L27)*L23/12</x:f>
        <x:v>934952.0472165439</x:v>
      </x:c>
      <x:c r="M32" s="35" t="n">
        <x:f>(L34-M27)*M23/12</x:f>
        <x:v>665771.9605070221</x:v>
      </x:c>
      <x:c r="N32" s="35" t="n">
        <x:f>(M34-N27)*N23/12</x:f>
        <x:v>456868.2860514391</x:v>
      </x:c>
      <x:c r="O32" s="35" t="n">
        <x:f>(N34-O27)*O23/12</x:f>
        <x:v>295991.96777244826</x:v>
      </x:c>
      <x:c r="P32" s="35" t="n">
        <x:f>(O34-P27)*P23/12</x:f>
        <x:v>174347.85734922843</x:v>
      </x:c>
      <x:c r="Q32" s="35" t="n">
        <x:f>(P34-Q27)*Q23/12</x:f>
        <x:v>86297.27448658824</x:v>
      </x:c>
      <x:c r="R32" s="35" t="n">
        <x:f>(Q34-R27)*R23/12</x:f>
        <x:v>28664.76717852212</x:v>
      </x:c>
      <x:c r="S32" s="35" t="n">
        <x:f>(R34-S27)*S23/12</x:f>
        <x:v>-7.761021455128988e-10</x:v>
      </x:c>
      <x:c r="T32" s="35" t="n">
        <x:f>(S34-T27)*T23/12</x:f>
        <x:v>-7.761021455128988e-10</x:v>
      </x:c>
      <x:c r="U32" s="35" t="n">
        <x:f>(T34-U27)*U23/12</x:f>
        <x:v>-7.761021455128988e-10</x:v>
      </x:c>
      <x:c r="V32" s="35" t="n">
        <x:f>(U34-V27)*V23/12</x:f>
        <x:v>-7.761021455128988e-10</x:v>
      </x:c>
      <x:c r="W32" s="35" t="n">
        <x:f>(V34-W27)*W23/12</x:f>
        <x:v>-7.761021455128988e-10</x:v>
      </x:c>
      <x:c r="X32" s="35" t="n">
        <x:f>(W34-X27)*X23/12</x:f>
        <x:v>-7.761021455128988e-10</x:v>
      </x:c>
      <x:c r="Y32" s="35" t="n">
        <x:f>(X34-Y27)*Y23/12</x:f>
        <x:v>-7.761021455128988e-10</x:v>
      </x:c>
      <x:c r="Z32" s="35" t="n">
        <x:f>(Y34-Z27)*Z23/12</x:f>
        <x:v>-7.761021455128988e-10</x:v>
      </x:c>
      <x:c r="AA32" s="35" t="n">
        <x:f>(Z34-AA27)*AA23/12</x:f>
        <x:v>-7.761021455128988e-10</x:v>
      </x:c>
      <x:c r="AB32" s="35" t="n">
        <x:f>(AA34-AB27)*AB23/12</x:f>
        <x:v>-7.761021455128988e-10</x:v>
      </x:c>
      <x:c r="AC32" s="35" t="n">
        <x:f>(AB34-AC27)*AC23/12</x:f>
        <x:v>-7.761021455128988e-10</x:v>
      </x:c>
      <x:c r="AD32" s="35" t="n">
        <x:f>(AC34-AD27)*AD23/12</x:f>
        <x:v>-7.761021455128988e-10</x:v>
      </x:c>
      <x:c r="AE32" s="35" t="n">
        <x:f>(AD34-AE27)*AE23/12</x:f>
        <x:v>-7.761021455128988e-10</x:v>
      </x:c>
      <x:c r="AF32" s="35" t="n">
        <x:f>(AE34-AF27)*AF23/12</x:f>
        <x:v>-7.761021455128988e-10</x:v>
      </x:c>
      <x:c r="AG32" s="35" t="n">
        <x:f>(AF34-AG27)*AG23/12</x:f>
        <x:v>-7.761021455128988e-10</x:v>
      </x:c>
      <x:c r="AH32" s="35" t="n">
        <x:f>(AG34-AH27)*AH23/12</x:f>
        <x:v>-7.761021455128988e-10</x:v>
      </x:c>
      <x:c r="AI32" s="35" t="n">
        <x:f>(AH34-AI27)*AI23/12</x:f>
        <x:v>-7.761021455128988e-10</x:v>
      </x:c>
      <x:c r="AJ32" s="35" t="n">
        <x:f>(AI34-AJ27)*AJ23/12</x:f>
        <x:v>-7.761021455128988e-10</x:v>
      </x:c>
      <x:c r="AK32" s="35" t="n">
        <x:f>(AJ34-AK27)*AK23/12</x:f>
        <x:v>-7.761021455128988e-10</x:v>
      </x:c>
      <x:c r="AL32" s="35" t="n">
        <x:f>(AK34-AL27)*AL23/12</x:f>
        <x:v>-7.761021455128988e-10</x:v>
      </x:c>
      <x:c r="AM32" s="35" t="n">
        <x:f>(AL34-AM27)*AM23/12</x:f>
        <x:v>-7.761021455128988e-10</x:v>
      </x:c>
      <x:c r="AN32" s="35" t="n">
        <x:f>(AM34-AN27)*AN23/12</x:f>
        <x:v>-7.761021455128988e-10</x:v>
      </x:c>
      <x:c r="AO32" s="35" t="n">
        <x:f>(AN34-AO27)*AO23/12</x:f>
        <x:v>-7.761021455128988e-10</x:v>
      </x:c>
      <x:c r="AP32" s="35" t="n">
        <x:f>(AO34-AP27)*AP23/12</x:f>
        <x:v>-7.761021455128988e-10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27244727.709410638</x:v>
      </x:c>
      <x:c r="F33" s="2"/>
      <x:c r="G33" s="35" t="n">
        <x:f>G24-G32</x:f>
        <x:v>0</x:v>
      </x:c>
      <x:c r="H33" s="35" t="n">
        <x:f>H24-H32</x:f>
        <x:v>221581.84346972592</x:v>
      </x:c>
      <x:c r="I33" s="35" t="n">
        <x:f>I24-I32</x:f>
        <x:v>426701.6485020574</x:v>
      </x:c>
      <x:c r="J33" s="35" t="n">
        <x:f>J24-J32</x:f>
        <x:v>612900.0167724325</x:v>
      </x:c>
      <x:c r="K33" s="35" t="n">
        <x:f>K24-K32</x:f>
        <x:v>778123.6987217129</x:v>
      </x:c>
      <x:c r="L33" s="35" t="n">
        <x:f>L24-L32</x:f>
        <x:v>921444.0487790161</x:v>
      </x:c>
      <x:c r="M33" s="35" t="n">
        <x:f>M24-M32</x:f>
        <x:v>1043418.834942802</x:v>
      </x:c>
      <x:c r="N33" s="35" t="n">
        <x:f>N24-N32</x:f>
        <x:v>1145679.7903662734</x:v>
      </x:c>
      <x:c r="O33" s="35" t="n">
        <x:f>O24-O32</x:f>
        <x:v>1230036.7202868052</x:v>
      </x:c>
      <x:c r="P33" s="35" t="n">
        <x:f>P24-P32</x:f>
        <x:v>1297762.8696834939</x:v>
      </x:c>
      <x:c r="Q33" s="35" t="n">
        <x:f>Q24-Q32</x:f>
        <x:v>1349350.957276661</x:v>
      </x:c>
      <x:c r="R33" s="35" t="n">
        <x:f>R24-R32</x:f>
        <x:v>1384593.350646678</x:v>
      </x:c>
      <x:c r="S33" s="35" t="n">
        <x:f>S24-S32</x:f>
        <x:v>1402761.1608302488</x:v>
      </x:c>
      <x:c r="T33" s="35" t="n">
        <x:f>T24-T32</x:f>
        <x:v>1402761.1608302488</x:v>
      </x:c>
      <x:c r="U33" s="35" t="n">
        <x:f>U24-U32</x:f>
        <x:v>1402761.1608302488</x:v>
      </x:c>
      <x:c r="V33" s="35" t="n">
        <x:f>V24-V32</x:f>
        <x:v>1402761.1608302488</x:v>
      </x:c>
      <x:c r="W33" s="35" t="n">
        <x:f>W24-W32</x:f>
        <x:v>1402761.1608302488</x:v>
      </x:c>
      <x:c r="X33" s="35" t="n">
        <x:f>X24-X32</x:f>
        <x:v>1402761.1608302488</x:v>
      </x:c>
      <x:c r="Y33" s="35" t="n">
        <x:f>Y24-Y32</x:f>
        <x:v>1402761.1608302488</x:v>
      </x:c>
      <x:c r="Z33" s="35" t="n">
        <x:f>Z24-Z32</x:f>
        <x:v>1402761.1608302488</x:v>
      </x:c>
      <x:c r="AA33" s="35" t="n">
        <x:f>AA24-AA32</x:f>
        <x:v>1402761.1608302488</x:v>
      </x:c>
      <x:c r="AB33" s="35" t="n">
        <x:f>AB24-AB32</x:f>
        <x:v>1402761.1608302488</x:v>
      </x:c>
      <x:c r="AC33" s="35" t="n">
        <x:f>AC24-AC32</x:f>
        <x:v>1402761.1608302488</x:v>
      </x:c>
      <x:c r="AD33" s="35" t="n">
        <x:f>AD24-AD32</x:f>
        <x:v>1402761.1608302488</x:v>
      </x:c>
      <x:c r="AE33" s="35" t="n">
        <x:f>AE24-AE32</x:f>
        <x:v>1402761.1608302488</x:v>
      </x:c>
      <x:c r="AF33" s="35" t="n">
        <x:f>AF24-AF32</x:f>
        <x:v>1402761.1608302488</x:v>
      </x:c>
      <x:c r="AG33" s="35" t="n">
        <x:f>AG24-AG32</x:f>
        <x:v>1402761.1608302488</x:v>
      </x:c>
      <x:c r="AH33" s="35" t="n">
        <x:f>AH24-AH32</x:f>
        <x:v>1402761.1608302488</x:v>
      </x:c>
      <x:c r="AI33" s="35" t="n">
        <x:f>AI24-AI32</x:f>
        <x:v>1402761.1608302488</x:v>
      </x:c>
      <x:c r="AJ33" s="35" t="n">
        <x:f>AJ24-AJ32</x:f>
        <x:v>1402761.1608302488</x:v>
      </x:c>
      <x:c r="AK33" s="35" t="n">
        <x:f>AK24-AK32</x:f>
        <x:v>1402761.1608302488</x:v>
      </x:c>
      <x:c r="AL33" s="35" t="n">
        <x:f>AL24-AL32</x:f>
        <x:v>1402761.1608302488</x:v>
      </x:c>
      <x:c r="AM33" s="35" t="n">
        <x:f>AM24-AM32</x:f>
        <x:v>1402761.1608302488</x:v>
      </x:c>
      <x:c r="AN33" s="35" t="n">
        <x:f>AN24-AN32</x:f>
        <x:v>1402761.1608302488</x:v>
      </x:c>
      <x:c r="AO33" s="35" t="n">
        <x:f>AO24-AO32</x:f>
        <x:v>1402761.1608302488</x:v>
      </x:c>
      <x:c r="AP33" s="35" t="n">
        <x:f>AP24-AP32</x:f>
        <x:v>1402761.1608302488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-9.313225746154785e-9</x:v>
      </x:c>
      <x:c r="F34" s="2"/>
      <x:c r="G34" s="35" t="n">
        <x:f>$E$44-G27-G29</x:f>
        <x:v>37777361.47617486</x:v>
      </x:c>
      <x:c r="H34" s="35" t="n">
        <x:f>G34-H27-H29</x:f>
        <x:v>28603524.419713307</x:v>
      </x:c>
      <x:c r="I34" s="35" t="n">
        <x:f>H34-I27-I29</x:f>
        <x:v>21583060.914653625</x:v>
      </x:c>
      <x:c r="J34" s="35" t="n">
        <x:f>I34-J27-J29</x:f>
        <x:v>16058932.090376638</x:v>
      </x:c>
      <x:c r="K34" s="35" t="n">
        <x:f>J34-K27-K29</x:f>
        <x:v>11700423.380498907</x:v>
      </x:c>
      <x:c r="L34" s="35" t="n">
        <x:f>K34-L27-L29</x:f>
        <x:v>8289224.572610792</x:v>
      </x:c>
      <x:c r="M34" s="35" t="n">
        <x:f>L34-M27-M29</x:f>
        <x:v>5650209.060725531</x:v>
      </x:c>
      <x:c r="N34" s="35" t="n">
        <x:f>M34-N27-N29</x:f>
        <x:v>3635358.786852733</x:v>
      </x:c>
      <x:c r="O34" s="35" t="n">
        <x:f>N34-O27-O29</x:f>
        <x:v>2128310.5365069523</x:v>
      </x:c>
      <x:c r="P34" s="35" t="n">
        <x:f>O34-P27-P29</x:f>
        <x:v>1048360.7327684975</x:v>
      </x:c>
      <x:c r="Q34" s="35" t="n">
        <x:f>P34-Q27-Q29</x:f>
        <x:v>346973.1101922649</x:v>
      </x:c>
      <x:c r="R34" s="35" t="n">
        <x:f>Q34-R27-R29</x:f>
        <x:v>-9.313225746154785e-9</x:v>
      </x:c>
      <x:c r="S34" s="35" t="n">
        <x:f>R34-S27-S29</x:f>
        <x:v>-9.313225746154785e-9</x:v>
      </x:c>
      <x:c r="T34" s="35" t="n">
        <x:f>S34-T27-T29</x:f>
        <x:v>-9.313225746154785e-9</x:v>
      </x:c>
      <x:c r="U34" s="35" t="n">
        <x:f>T34-U27-U29</x:f>
        <x:v>-9.313225746154785e-9</x:v>
      </x:c>
      <x:c r="V34" s="35" t="n">
        <x:f>U34-V27-V29</x:f>
        <x:v>-9.313225746154785e-9</x:v>
      </x:c>
      <x:c r="W34" s="35" t="n">
        <x:f>V34-W27-W29</x:f>
        <x:v>-9.313225746154785e-9</x:v>
      </x:c>
      <x:c r="X34" s="35" t="n">
        <x:f>W34-X27-X29</x:f>
        <x:v>-9.313225746154785e-9</x:v>
      </x:c>
      <x:c r="Y34" s="35" t="n">
        <x:f>X34-Y27-Y29</x:f>
        <x:v>-9.313225746154785e-9</x:v>
      </x:c>
      <x:c r="Z34" s="35" t="n">
        <x:f>Y34-Z27-Z29</x:f>
        <x:v>-9.313225746154785e-9</x:v>
      </x:c>
      <x:c r="AA34" s="35" t="n">
        <x:f>Z34-AA27-AA29</x:f>
        <x:v>-9.313225746154785e-9</x:v>
      </x:c>
      <x:c r="AB34" s="35" t="n">
        <x:f>AA34-AB27-AB29</x:f>
        <x:v>-9.313225746154785e-9</x:v>
      </x:c>
      <x:c r="AC34" s="35" t="n">
        <x:f>AB34-AC27-AC29</x:f>
        <x:v>-9.313225746154785e-9</x:v>
      </x:c>
      <x:c r="AD34" s="35" t="n">
        <x:f>AC34-AD27-AD29</x:f>
        <x:v>-9.313225746154785e-9</x:v>
      </x:c>
      <x:c r="AE34" s="35" t="n">
        <x:f>AD34-AE27-AE29</x:f>
        <x:v>-9.313225746154785e-9</x:v>
      </x:c>
      <x:c r="AF34" s="35" t="n">
        <x:f>AE34-AF27-AF29</x:f>
        <x:v>-9.313225746154785e-9</x:v>
      </x:c>
      <x:c r="AG34" s="35" t="n">
        <x:f>AF34-AG27-AG29</x:f>
        <x:v>-9.313225746154785e-9</x:v>
      </x:c>
      <x:c r="AH34" s="35" t="n">
        <x:f>AG34-AH27-AH29</x:f>
        <x:v>-9.313225746154785e-9</x:v>
      </x:c>
      <x:c r="AI34" s="35" t="n">
        <x:f>AH34-AI27-AI29</x:f>
        <x:v>-9.313225746154785e-9</x:v>
      </x:c>
      <x:c r="AJ34" s="35" t="n">
        <x:f>AI34-AJ27-AJ29</x:f>
        <x:v>-9.313225746154785e-9</x:v>
      </x:c>
      <x:c r="AK34" s="35" t="n">
        <x:f>AJ34-AK27-AK29</x:f>
        <x:v>-9.313225746154785e-9</x:v>
      </x:c>
      <x:c r="AL34" s="35" t="n">
        <x:f>AK34-AL27-AL29</x:f>
        <x:v>-9.313225746154785e-9</x:v>
      </x:c>
      <x:c r="AM34" s="35" t="n">
        <x:f>AL34-AM27-AM29</x:f>
        <x:v>-9.313225746154785e-9</x:v>
      </x:c>
      <x:c r="AN34" s="35" t="n">
        <x:f>AM34-AN27-AN29</x:f>
        <x:v>-9.313225746154785e-9</x:v>
      </x:c>
      <x:c r="AO34" s="35" t="n">
        <x:f>AN34-AO27-AO29</x:f>
        <x:v>-9.313225746154785e-9</x:v>
      </x:c>
      <x:c r="AP34" s="35" t="n">
        <x:f>AO34-AP27-AP29</x:f>
        <x:v>-9.313225746154785e-9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'Assumptions'!F58</x:f>
        <x:v>0.36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'Assumptions'!F59</x:f>
        <x:v>5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'Assumptions'!E15/12</x:f>
        <x:v>0.08333333333333333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'Assumptions'!E16</x:f>
        <x:v>12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'Assumptions'!E17*'Assumptions'!$E$30</x:f>
        <x:v>51119999.999999985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'Assumptions'!E19</x:f>
        <x:v>3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'Assumptions'!E18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'Assumptions'!E27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7184338.035458208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0.24407656192075494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0.24407656192075494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0.015191806801219914</x:v>
      </x:c>
      <x:c r="E52" s="30" t="n">
        <x:f>(D52-D51)*H51</x:f>
        <x:v>0.015191806801219914</x:v>
      </x:c>
      <x:c r="F52" s="30" t="n">
        <x:f>I52*(H51-H52)</x:f>
        <x:v>0.050877590794557614</x:v>
      </x:c>
      <x:c r="G52" s="30" t="n">
        <x:f>SUM(E53:E147)</x:f>
        <x:v>0.22888475511953504</x:v>
      </x:c>
      <x:c r="H52" s="30" t="n">
        <x:f>IF($E$42=0,1-MIN(C52,$E$43)/$E$43,((1+$E$42)^$E$43-(1+$E$42)^MIN(C52,$E$43))/((1+$E$42)^$E$43-1))</x:f>
        <x:v>0.9483375634505021</x:v>
      </x:c>
      <x:c r="I52" s="30" t="n">
        <x:f>1-D52</x:f>
        <x:v>0.9848081931987801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0.03869295801752449</x:v>
      </x:c>
      <x:c r="E53" s="30" t="n">
        <x:f>(D53-D52)*H52</x:f>
        <x:v>0.022287024482752087</x:v>
      </x:c>
      <x:c r="F53" s="30" t="n">
        <x:f>I53*(H52-H53)</x:f>
        <x:v>0.05380208606608891</x:v>
      </x:c>
      <x:c r="G53" s="30" t="n">
        <x:f>SUM(E54:E147)</x:f>
        <x:v>0.20659773063678294</x:v>
      </x:c>
      <x:c r="H53" s="30" t="n">
        <x:f>IF($E$42=0,1-MIN(C53,$E$43)/$E$43,((1+$E$42)^$E$43-(1+$E$42)^MIN(C53,$E$43))/((1+$E$42)^$E$43-1))</x:f>
        <x:v>0.8923699238552127</x:v>
      </x:c>
      <x:c r="I53" s="30" t="n">
        <x:f>1-D53</x:f>
        <x:v>0.9613070419824755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0.07263985338196843</x:v>
      </x:c>
      <x:c r="E54" s="30" t="n">
        <x:f>(D54-D53)*H53</x:f>
        <x:v>0.030293188431489718</x:v>
      </x:c>
      <x:c r="F54" s="30" t="n">
        <x:f>I54*(H53-H54)</x:f>
        <x:v>0.056227338332698815</x:v>
      </x:c>
      <x:c r="G54" s="30" t="n">
        <x:f>SUM(E55:E147)</x:f>
        <x:v>0.1763045422052932</x:v>
      </x:c>
      <x:c r="H54" s="30" t="n">
        <x:f>IF($E$42=0,1-MIN(C54,$E$43)/$E$43,((1+$E$42)^$E$43-(1+$E$42)^MIN(C54,$E$43))/((1+$E$42)^$E$43-1))</x:f>
        <x:v>0.8317383142936492</x:v>
      </x:c>
      <x:c r="I54" s="30" t="n">
        <x:f>1-D54</x:f>
        <x:v>0.9273601466180316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0.11711717169869787</x:v>
      </x:c>
      <x:c r="E55" s="30" t="n">
        <x:f>(D55-D54)*H54</x:f>
        <x:v>0.03699348976105859</x:v>
      </x:c>
      <x:c r="F55" s="30" t="n">
        <x:f>I55*(H54-H55)</x:f>
        <x:v>0.05799149084535458</x:v>
      </x:c>
      <x:c r="G55" s="30" t="n">
        <x:f>SUM(E56:E147)</x:f>
        <x:v>0.1393110524442346</x:v>
      </x:c>
      <x:c r="H55" s="30" t="n">
        <x:f>IF($E$42=0,1-MIN(C55,$E$43)/$E$43,((1+$E$42)^$E$43-(1+$E$42)^MIN(C55,$E$43))/((1+$E$42)^$E$43-1))</x:f>
        <x:v>0.7660540706019554</x:v>
      </x:c>
      <x:c r="I55" s="30" t="n">
        <x:f>1-D55</x:f>
        <x:v>0.8828828283013022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0.16849298498279264</x:v>
      </x:c>
      <x:c r="E56" s="30" t="n">
        <x:f>(D56-D55)*H55</x:f>
        <x:v>0.039356650896766814</x:v>
      </x:c>
      <x:c r="F56" s="30" t="n">
        <x:f>I56*(H55-H56)</x:f>
        <x:v>0.05916831852288841</x:v>
      </x:c>
      <x:c r="G56" s="30" t="n">
        <x:f>SUM(E57:E147)</x:f>
        <x:v>0.0999544015474678</x:v>
      </x:c>
      <x:c r="H56" s="30" t="n">
        <x:f>IF($E$42=0,1-MIN(C56,$E$43)/$E$43,((1+$E$42)^$E$43-(1+$E$42)^MIN(C56,$E$43))/((1+$E$42)^$E$43-1))</x:f>
        <x:v>0.6948961399359538</x:v>
      </x:c>
      <x:c r="I56" s="30" t="n">
        <x:f>1-D56</x:f>
        <x:v>0.8315070150172074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0.21986879826688743</x:v>
      </x:c>
      <x:c r="E57" s="30" t="n">
        <x:f>(D57-D56)*H56</x:f>
        <x:v>0.03570085433718777</x:v>
      </x:c>
      <x:c r="F57" s="30" t="n">
        <x:f>I57*(H56-H57)</x:f>
        <x:v>0.06013856546025185</x:v>
      </x:c>
      <x:c r="G57" s="30" t="n">
        <x:f>SUM(E58:E147)</x:f>
        <x:v>0.06425354721028004</x:v>
      </x:c>
      <x:c r="H57" s="30" t="n">
        <x:f>IF($E$42=0,1-MIN(C57,$E$43)/$E$43,((1+$E$42)^$E$43-(1+$E$42)^MIN(C57,$E$43))/((1+$E$42)^$E$43-1))</x:f>
        <x:v>0.617808381714452</x:v>
      </x:c>
      <x:c r="I57" s="30" t="n">
        <x:f>1-D57</x:f>
        <x:v>0.7801312017331126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0.26434611658361684</x:v>
      </x:c>
      <x:c r="E58" s="30" t="n">
        <x:f>(D58-D57)*H57</x:f>
        <x:v>0.02747846005225715</x:v>
      </x:c>
      <x:c r="F58" s="30" t="n">
        <x:f>I58*(H57-H58)</x:f>
        <x:v>0.06143573442447017</x:v>
      </x:c>
      <x:c r="G58" s="30" t="n">
        <x:f>SUM(E59:E147)</x:f>
        <x:v>0.03677508715802289</x:v>
      </x:c>
      <x:c r="H58" s="30" t="n">
        <x:f>IF($E$42=0,1-MIN(C58,$E$43)/$E$43,((1+$E$42)^$E$43-(1+$E$42)^MIN(C58,$E$43))/((1+$E$42)^$E$43-1))</x:f>
        <x:v>0.5342966436411585</x:v>
      </x:c>
      <x:c r="I58" s="30" t="n">
        <x:f>1-D58</x:f>
        <x:v>0.7356538834163832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0.2982930119480608</x:v>
      </x:c>
      <x:c r="E59" s="30" t="n">
        <x:f>(D59-D58)*H58</x:f>
        <x:v>0.018137712255260004</x:v>
      </x:c>
      <x:c r="F59" s="30" t="n">
        <x:f>I59*(H58-H59)</x:f>
        <x:v>0.06348416770625936</x:v>
      </x:c>
      <x:c r="G59" s="30" t="n">
        <x:f>SUM(E60:E147)</x:f>
        <x:v>0.01863737490276288</x:v>
      </x:c>
      <x:c r="H59" s="30" t="n">
        <x:f>IF($E$42=0,1-MIN(C59,$E$43)/$E$43,((1+$E$42)^$E$43-(1+$E$42)^MIN(C59,$E$43))/((1+$E$42)^$E$43-1))</x:f>
        <x:v>0.44382559406175714</x:v>
      </x:c>
      <x:c r="I59" s="30" t="n">
        <x:f>1-D59</x:f>
        <x:v>0.7017069880519392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0.3217941631643653</x:v>
      </x:c>
      <x:c r="E60" s="30" t="n">
        <x:f>(D60-D59)*H59</x:f>
        <x:v>0.010430412399711543</x:v>
      </x:c>
      <x:c r="F60" s="30" t="n">
        <x:f>I60*(H59-H60)</x:f>
        <x:v>0.06647116004684582</x:v>
      </x:c>
      <x:c r="G60" s="30" t="n">
        <x:f>SUM(E61:E147)</x:f>
        <x:v>0.00820696250305134</x:v>
      </x:c>
      <x:c r="H60" s="30" t="n">
        <x:f>IF($E$42=0,1-MIN(C60,$E$43)/$E$43,((1+$E$42)^$E$43-(1+$E$42)^MIN(C60,$E$43))/((1+$E$42)^$E$43-1))</x:f>
        <x:v>0.34581529035073894</x:v>
      </x:c>
      <x:c r="I60" s="30" t="n">
        <x:f>1-D60</x:f>
        <x:v>0.6782058368356347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0.3369859699655853</x:v>
      </x:c>
      <x:c r="E61" s="30" t="n">
        <x:f>(D61-D60)*H60</x:f>
        <x:v>0.005253559079916209</x:v>
      </x:c>
      <x:c r="F61" s="30" t="n">
        <x:f>I61*(H60-H61)</x:f>
        <x:v>0.07039739031903383</x:v>
      </x:c>
      <x:c r="G61" s="30" t="n">
        <x:f>SUM(E62:E147)</x:f>
        <x:v>0.0029534034231351305</x:v>
      </x:c>
      <x:c r="H61" s="30" t="n">
        <x:f>IF($E$42=0,1-MIN(C61,$E$43)/$E$43,((1+$E$42)^$E$43-(1+$E$42)^MIN(C61,$E$43))/((1+$E$42)^$E$43-1))</x:f>
        <x:v>0.23963746133046956</x:v>
      </x:c>
      <x:c r="I61" s="30" t="n">
        <x:f>1-D61</x:f>
        <x:v>0.6630140300344147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0.3463757354435707</x:v>
      </x:c>
      <x:c r="E62" s="30" t="n">
        <x:f>(D62-D61)*H61</x:f>
        <x:v>0.00225013956163291</x:v>
      </x:c>
      <x:c r="F62" s="30" t="n">
        <x:f>I62*(H61-H62)</x:f>
        <x:v>0.07518377252270303</x:v>
      </x:c>
      <x:c r="G62" s="30" t="n">
        <x:f>SUM(E63:E147)</x:f>
        <x:v>0.0007032638615022205</x:v>
      </x:c>
      <x:c r="H62" s="30" t="n">
        <x:f>IF($E$42=0,1-MIN(C62,$E$43)/$E$43,((1+$E$42)^$E$43-(1+$E$42)^MIN(C62,$E$43))/((1+$E$42)^$E$43-1))</x:f>
        <x:v>0.12461147989184414</x:v>
      </x:c>
      <x:c r="I62" s="30" t="n">
        <x:f>1-D62</x:f>
        <x:v>0.6536242645564293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0.3520193877147147</x:v>
      </x:c>
      <x:c r="E63" s="30" t="n">
        <x:f>(D63-D62)*H62</x:f>
        <x:v>0.0007032638615022205</x:v>
      </x:c>
      <x:c r="F63" s="30" t="n">
        <x:f>I63*(H62-H63)</x:f>
        <x:v>0.08074582303809269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</x:v>
      </x:c>
      <x:c r="I63" s="30" t="n">
        <x:f>1-D63</x:f>
        <x:v>0.6479806122852854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0.35535463923866273</x:v>
      </x:c>
      <x:c r="E64" s="30" t="n">
        <x:f>(D64-D63)*H63</x:f>
        <x:v>0</x:v>
      </x:c>
      <x:c r="F64" s="30" t="n">
        <x:f>I64*(H63-H64)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</x:v>
      </x:c>
      <x:c r="I64" s="30" t="n">
        <x:f>1-D64</x:f>
        <x:v>0.6446453607613373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0.357306037438167</x:v>
      </x:c>
      <x:c r="E65" s="30" t="n">
        <x:f>(D65-D64)*H64</x:f>
        <x:v>0</x:v>
      </x:c>
      <x:c r="F65" s="30" t="n">
        <x:f>I65*(H64-H65)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</x:v>
      </x:c>
      <x:c r="I65" s="30" t="n">
        <x:f>1-D65</x:f>
        <x:v>0.642693962561833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0.3584410801506395</x:v>
      </x:c>
      <x:c r="E66" s="30" t="n">
        <x:f>(D66-D65)*H65</x:f>
        <x:v>0</x:v>
      </x:c>
      <x:c r="F66" s="30" t="n">
        <x:f>I66*(H65-H66)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</x:v>
      </x:c>
      <x:c r="I66" s="30" t="n">
        <x:f>1-D66</x:f>
        <x:v>0.6415589198493605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0.35909903013324695</x:v>
      </x:c>
      <x:c r="E67" s="30" t="n">
        <x:f>(D67-D66)*H66</x:f>
        <x:v>0</x:v>
      </x:c>
      <x:c r="F67" s="30" t="n">
        <x:f>I67*(H66-H67)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</x:v>
      </x:c>
      <x:c r="I67" s="30" t="n">
        <x:f>1-D67</x:f>
        <x:v>0.640900969866753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0.35947966779890406</x:v>
      </x:c>
      <x:c r="E68" s="30" t="n">
        <x:f>(D68-D67)*H67</x:f>
        <x:v>0</x:v>
      </x:c>
      <x:c r="F68" s="30" t="n">
        <x:f>I68*(H67-H68)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</x:v>
      </x:c>
      <x:c r="I68" s="30" t="n">
        <x:f>1-D68</x:f>
        <x:v>0.6405203322010959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0.3596996218012469</x:v>
      </x:c>
      <x:c r="E69" s="30" t="n">
        <x:f>(D69-D68)*H68</x:f>
        <x:v>0</x:v>
      </x:c>
      <x:c r="F69" s="30" t="n">
        <x:f>I69*(H68-H69)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</x:v>
      </x:c>
      <x:c r="I69" s="30" t="n">
        <x:f>1-D69</x:f>
        <x:v>0.6403003781987531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0.3598266393381935</x:v>
      </x:c>
      <x:c r="E70" s="30" t="n">
        <x:f>(D70-D69)*H69</x:f>
        <x:v>0</x:v>
      </x:c>
      <x:c r="F70" s="30" t="n">
        <x:f>I70*(H69-H70)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</x:v>
      </x:c>
      <x:c r="I70" s="30" t="n">
        <x:f>1-D70</x:f>
        <x:v>0.6401733606618065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0.35989996044327716</x:v>
      </x:c>
      <x:c r="E71" s="30" t="n">
        <x:f>(D71-D70)*H70</x:f>
        <x:v>0</x:v>
      </x:c>
      <x:c r="F71" s="30" t="n">
        <x:f>I71*(H70-H71)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</x:v>
      </x:c>
      <x:c r="I71" s="30" t="n">
        <x:f>1-D71</x:f>
        <x:v>0.6401000395567229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0.3599422758183916</x:v>
      </x:c>
      <x:c r="E72" s="30" t="n">
        <x:f>(D72-D71)*H71</x:f>
        <x:v>0</x:v>
      </x:c>
      <x:c r="F72" s="30" t="n">
        <x:f>I72*(H71-H72)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</x:v>
      </x:c>
      <x:c r="I72" s="30" t="n">
        <x:f>1-D72</x:f>
        <x:v>0.6400577241816083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0.3599666939208361</x:v>
      </x:c>
      <x:c r="E73" s="30" t="n">
        <x:f>(D73-D72)*H72</x:f>
        <x:v>0</x:v>
      </x:c>
      <x:c r="F73" s="30" t="n">
        <x:f>I73*(H72-H73)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</x:v>
      </x:c>
      <x:c r="I73" s="30" t="n">
        <x:f>1-D73</x:f>
        <x:v>0.6400333060791639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0.3599807833570089</x:v>
      </x:c>
      <x:c r="E74" s="30" t="n">
        <x:f>(D74-D73)*H73</x:f>
        <x:v>0</x:v>
      </x:c>
      <x:c r="F74" s="30" t="n">
        <x:f>I74*(H73-H74)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</x:v>
      </x:c>
      <x:c r="I74" s="30" t="n">
        <x:f>1-D74</x:f>
        <x:v>0.6400192166429911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0.3599889127261389</x:v>
      </x:c>
      <x:c r="E75" s="30" t="n">
        <x:f>(D75-D74)*H74</x:f>
        <x:v>0</x:v>
      </x:c>
      <x:c r="F75" s="30" t="n">
        <x:f>I75*(H74-H75)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0.6400110872738611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0.3599936031211107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0.6400063968788894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0.35999630929586096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0.6400036907041391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0.35999787064026656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0.6400021293597334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0.359998771463416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0.6400012285365839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0.359999291195089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0.640000708804911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0.3599995910548208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0.6400004089451792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0.3599997640590499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0.6400002359409501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0.35999986387387806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0.6400001361261219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0.359999921462048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0.640000078537952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0.35999995468753954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0.6400000453124605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0.35999997385698324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0.6400000261430168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0.35999998491679097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0.640000015083209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0.3599999912977453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0.6400000087022547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0.35999999497923574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0.6400000050207643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0.359999997103271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0.640000002896729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0.35999999832873275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0.6400000016712672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0.35999999903576263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0.6400000009642374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0.35999999944368344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0.6400000005563166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0.3599999996790333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0.6400000003209667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0.3599999998148183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0.6400000001851818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0.35999999989315945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0.6400000001068405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0.3599999999383583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0.6400000000616417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0.3599999999644359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0.6400000000355641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0.35999999997948123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0.6400000000205188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0.35999999998816173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0.6400000000118382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0.35999999999316995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0.64000000000683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0.35999999999605936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0.6400000000039406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0.35999999999772647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0.6400000000022735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0.35999999999868826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0.6400000000013117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0.3599999999992432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0.6400000000007569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0.35999999999956334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0.6400000000004367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0.3599999999997481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0.6400000000002519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0.35999999999985466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0.6400000000001453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0.3599999999999161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0.6400000000000838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0.35999999999995164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0.6400000000000483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0.3599999999999721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0.6400000000000279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0.3599999999999839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0.6400000000000161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0.3599999999999907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0.6400000000000092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0.3599999999999946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0.6400000000000055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0.35999999999999693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0.640000000000003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0.3599999999999982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0.6400000000000018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0.359999999999999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0.640000000000001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0.3599999999999994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0.6400000000000006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0.3599999999999996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0.6400000000000003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0.3599999999999998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0.6400000000000001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0.35999999999999993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0.6400000000000001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0.35999999999999993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0.6400000000000001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0.36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0.64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0.36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0.64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0.36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0.64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0.36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0.64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0.36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0.64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0.36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0.64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0.36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0.64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0.36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0.64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0.36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0.64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0.36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0.64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0.36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0.64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0.36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0.64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0.36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0.64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0.36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0.64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0.36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0.64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0.36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0.64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0.36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0.64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0.36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0.64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0.36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0.64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0.36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0.64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0.36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0.64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0.36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0.64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0.36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0.64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0.36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0.64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0.36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0.64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0.0007032638615022205</x:v>
      </x:c>
      <x:c r="CN150" s="30" t="n">
        <x:f>E62</x:f>
        <x:v>0.00225013956163291</x:v>
      </x:c>
      <x:c r="CO150" s="30" t="n">
        <x:f>E61</x:f>
        <x:v>0.005253559079916209</x:v>
      </x:c>
      <x:c r="CP150" s="30" t="n">
        <x:f>E60</x:f>
        <x:v>0.010430412399711543</x:v>
      </x:c>
      <x:c r="CQ150" s="30" t="n">
        <x:f>E59</x:f>
        <x:v>0.018137712255260004</x:v>
      </x:c>
      <x:c r="CR150" s="30" t="n">
        <x:f>E58</x:f>
        <x:v>0.02747846005225715</x:v>
      </x:c>
      <x:c r="CS150" s="30" t="n">
        <x:f>E57</x:f>
        <x:v>0.03570085433718777</x:v>
      </x:c>
      <x:c r="CT150" s="30" t="n">
        <x:f>E56</x:f>
        <x:v>0.039356650896766814</x:v>
      </x:c>
      <x:c r="CU150" s="30" t="n">
        <x:f>E55</x:f>
        <x:v>0.03699348976105859</x:v>
      </x:c>
      <x:c r="CV150" s="30" t="n">
        <x:f>E54</x:f>
        <x:v>0.030293188431489718</x:v>
      </x:c>
      <x:c r="CW150" s="30" t="n">
        <x:f>E53</x:f>
        <x:v>0.022287024482752087</x:v>
      </x:c>
      <x:c r="CX150" s="30" t="n">
        <x:f>E52</x:f>
        <x:v>0.015191806801219914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0.08074582303809269</x:v>
      </x:c>
      <x:c r="CN151" s="30" t="n">
        <x:f>F62</x:f>
        <x:v>0.07518377252270303</x:v>
      </x:c>
      <x:c r="CO151" s="30" t="n">
        <x:f>F61</x:f>
        <x:v>0.07039739031903383</x:v>
      </x:c>
      <x:c r="CP151" s="30" t="n">
        <x:f>F60</x:f>
        <x:v>0.06647116004684582</x:v>
      </x:c>
      <x:c r="CQ151" s="30" t="n">
        <x:f>F59</x:f>
        <x:v>0.06348416770625936</x:v>
      </x:c>
      <x:c r="CR151" s="30" t="n">
        <x:f>F58</x:f>
        <x:v>0.06143573442447017</x:v>
      </x:c>
      <x:c r="CS151" s="30" t="n">
        <x:f>F57</x:f>
        <x:v>0.06013856546025185</x:v>
      </x:c>
      <x:c r="CT151" s="30" t="n">
        <x:f>F56</x:f>
        <x:v>0.05916831852288841</x:v>
      </x:c>
      <x:c r="CU151" s="30" t="n">
        <x:f>F55</x:f>
        <x:v>0.05799149084535458</x:v>
      </x:c>
      <x:c r="CV151" s="30" t="n">
        <x:f>F54</x:f>
        <x:v>0.056227338332698815</x:v>
      </x:c>
      <x:c r="CW151" s="30" t="n">
        <x:f>F53</x:f>
        <x:v>0.05380208606608891</x:v>
      </x:c>
      <x:c r="CX151" s="30" t="n">
        <x:f>F52</x:f>
        <x:v>0.050877590794557614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4259999.999999999</x:v>
      </x:c>
      <x:c r="E160" s="31" t="n">
        <x:f>IF(D160=0,0,D160/(INDEX($I$51:$I$147,C160+1)*INDEX($H$51:$H$147,C160+1)))</x:f>
        <x:v>4259999.999999999</x:v>
      </x:c>
      <x:c r="F160" s="31" t="n">
        <x:f>E160*INDEX($G$51:$G$147,C160+1)</x:f>
        <x:v>1039766.1537824158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4259999.999999999</x:v>
      </x:c>
      <x:c r="E161" s="31" t="n">
        <x:f>IF(D161=0,0,D161/(INDEX($I$51:$I$147,C161+1)*INDEX($H$51:$H$147,C161+1)))</x:f>
        <x:v>4561366.7536254395</x:v>
      </x:c>
      <x:c r="F161" s="31" t="n">
        <x:f>E161*INDEX($G$51:$G$147,C161+1)</x:f>
        <x:v>1044027.3124139473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4259999.999999999</x:v>
      </x:c>
      <x:c r="E162" s="31" t="n">
        <x:f>IF(D162=0,0,D162/(INDEX($I$51:$I$147,C162+1)*INDEX($H$51:$H$147,C162+1)))</x:f>
        <x:v>4965952.382165921</x:v>
      </x:c>
      <x:c r="F162" s="31" t="n">
        <x:f>E162*INDEX($G$51:$G$147,C162+1)</x:f>
        <x:v>1025954.4926058055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4259999.999999999</x:v>
      </x:c>
      <x:c r="E163" s="31" t="n">
        <x:f>IF(D163=0,0,D163/(INDEX($I$51:$I$147,C163+1)*INDEX($H$51:$H$147,C163+1)))</x:f>
        <x:v>5522992.622787507</x:v>
      </x:c>
      <x:c r="F163" s="31" t="n">
        <x:f>E163*INDEX($G$51:$G$147,C163+1)</x:f>
        <x:v>973728.6859637632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4259999.999999999</x:v>
      </x:c>
      <x:c r="E164" s="31" t="n">
        <x:f>IF(D164=0,0,D164/(INDEX($I$51:$I$147,C164+1)*INDEX($H$51:$H$147,C164+1)))</x:f>
        <x:v>6298644.605232986</x:v>
      </x:c>
      <x:c r="F164" s="31" t="n">
        <x:f>E164*INDEX($G$51:$G$147,C164+1)</x:f>
        <x:v>877470.8089272078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4259999.999999999</x:v>
      </x:c>
      <x:c r="E165" s="31" t="n">
        <x:f>IF(D165=0,0,D165/(INDEX($I$51:$I$147,C165+1)*INDEX($H$51:$H$147,C165+1)))</x:f>
        <x:v>7372652.803304309</x:v>
      </x:c>
      <x:c r="F165" s="31" t="n">
        <x:f>E165*INDEX($G$51:$G$147,C165+1)</x:f>
        <x:v>736929.0987715431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4259999.999999999</x:v>
      </x:c>
      <x:c r="E166" s="31" t="n">
        <x:f>IF(D166=0,0,D166/(INDEX($I$51:$I$147,C166+1)*INDEX($H$51:$H$147,C166+1)))</x:f>
        <x:v>8838695.14682502</x:v>
      </x:c>
      <x:c r="F166" s="31" t="n">
        <x:f>E166*INDEX($G$51:$G$147,C166+1)</x:f>
        <x:v>567917.5158937945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4259999.999999999</x:v>
      </x:c>
      <x:c r="E167" s="31" t="n">
        <x:f>IF(D167=0,0,D167/(INDEX($I$51:$I$147,C167+1)*INDEX($H$51:$H$147,C167+1)))</x:f>
        <x:v>10838111.663659079</x:v>
      </x:c>
      <x:c r="F167" s="31" t="n">
        <x:f>E167*INDEX($G$51:$G$147,C167+1)</x:f>
        <x:v>398572.5010594471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4259999.999999999</x:v>
      </x:c>
      <x:c r="E168" s="31" t="n">
        <x:f>IF(D168=0,0,D168/(INDEX($I$51:$I$147,C168+1)*INDEX($H$51:$H$147,C168+1)))</x:f>
        <x:v>13678593.850356087</x:v>
      </x:c>
      <x:c r="F168" s="31" t="n">
        <x:f>E168*INDEX($G$51:$G$147,C168+1)</x:f>
        <x:v>254933.0817317132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4259999.999999999</x:v>
      </x:c>
      <x:c r="E169" s="31" t="n">
        <x:f>IF(D169=0,0,D169/(INDEX($I$51:$I$147,C169+1)*INDEX($H$51:$H$147,C169+1)))</x:f>
        <x:v>18163681.75853788</x:v>
      </x:c>
      <x:c r="F169" s="31" t="n">
        <x:f>E169*INDEX($G$51:$G$147,C169+1)</x:f>
        <x:v>149068.65510967802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4259999.999999999</x:v>
      </x:c>
      <x:c r="E170" s="31" t="n">
        <x:f>IF(D170=0,0,D170/(INDEX($I$51:$I$147,C170+1)*INDEX($H$51:$H$147,C170+1)))</x:f>
        <x:v>26812182.72088915</x:v>
      </x:c>
      <x:c r="F170" s="31" t="n">
        <x:f>E170*INDEX($G$51:$G$147,C170+1)</x:f>
        <x:v>79187.19222959862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4259999.999999999</x:v>
      </x:c>
      <x:c r="E171" s="31" t="n">
        <x:f>IF(D171=0,0,D171/(INDEX($I$51:$I$147,C171+1)*INDEX($H$51:$H$147,C171+1)))</x:f>
        <x:v>52302612.124448344</x:v>
      </x:c>
      <x:c r="F171" s="31" t="n">
        <x:f>E171*INDEX($G$51:$G$147,C171+1)</x:f>
        <x:v>36782.5369692924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2" priority="1">
      <x:formula>ABS(G35)&gt;0.01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MK Installment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57599.99999999999</x:v>
      </x:c>
      <x:c r="F8" s="2"/>
      <x:c r="G8" s="32" t="n">
        <x:f>'Assumptions'!$F$11*(1+'Assumptions'!$F$12)^(G$6-1)*INDEX('Assumptions'!$F$34:$F$45,MOD(G$6-1,12)+1)*'Assumptions'!$E$30</x:f>
        <x:v>2399.9999999999995</x:v>
      </x:c>
      <x:c r="H8" s="32" t="n">
        <x:f>'Assumptions'!$F$11*(1+'Assumptions'!$F$12)^(H$6-1)*INDEX('Assumptions'!$F$34:$F$45,MOD(H$6-1,12)+1)*'Assumptions'!$E$30</x:f>
        <x:v>2399.9999999999995</x:v>
      </x:c>
      <x:c r="I8" s="32" t="n">
        <x:f>'Assumptions'!$F$11*(1+'Assumptions'!$F$12)^(I$6-1)*INDEX('Assumptions'!$F$34:$F$45,MOD(I$6-1,12)+1)*'Assumptions'!$E$30</x:f>
        <x:v>2399.9999999999995</x:v>
      </x:c>
      <x:c r="J8" s="32" t="n">
        <x:f>'Assumptions'!$F$11*(1+'Assumptions'!$F$12)^(J$6-1)*INDEX('Assumptions'!$F$34:$F$45,MOD(J$6-1,12)+1)*'Assumptions'!$E$30</x:f>
        <x:v>2399.9999999999995</x:v>
      </x:c>
      <x:c r="K8" s="32" t="n">
        <x:f>'Assumptions'!$F$11*(1+'Assumptions'!$F$12)^(K$6-1)*INDEX('Assumptions'!$F$34:$F$45,MOD(K$6-1,12)+1)*'Assumptions'!$E$30</x:f>
        <x:v>2399.9999999999995</x:v>
      </x:c>
      <x:c r="L8" s="32" t="n">
        <x:f>'Assumptions'!$F$11*(1+'Assumptions'!$F$12)^(L$6-1)*INDEX('Assumptions'!$F$34:$F$45,MOD(L$6-1,12)+1)*'Assumptions'!$E$30</x:f>
        <x:v>2399.9999999999995</x:v>
      </x:c>
      <x:c r="M8" s="32" t="n">
        <x:f>'Assumptions'!$F$11*(1+'Assumptions'!$F$12)^(M$6-1)*INDEX('Assumptions'!$F$34:$F$45,MOD(M$6-1,12)+1)*'Assumptions'!$E$30</x:f>
        <x:v>2399.9999999999995</x:v>
      </x:c>
      <x:c r="N8" s="32" t="n">
        <x:f>'Assumptions'!$F$11*(1+'Assumptions'!$F$12)^(N$6-1)*INDEX('Assumptions'!$F$34:$F$45,MOD(N$6-1,12)+1)*'Assumptions'!$E$30</x:f>
        <x:v>2399.9999999999995</x:v>
      </x:c>
      <x:c r="O8" s="32" t="n">
        <x:f>'Assumptions'!$F$11*(1+'Assumptions'!$F$12)^(O$6-1)*INDEX('Assumptions'!$F$34:$F$45,MOD(O$6-1,12)+1)*'Assumptions'!$E$30</x:f>
        <x:v>2399.9999999999995</x:v>
      </x:c>
      <x:c r="P8" s="32" t="n">
        <x:f>'Assumptions'!$F$11*(1+'Assumptions'!$F$12)^(P$6-1)*INDEX('Assumptions'!$F$34:$F$45,MOD(P$6-1,12)+1)*'Assumptions'!$E$30</x:f>
        <x:v>2399.9999999999995</x:v>
      </x:c>
      <x:c r="Q8" s="32" t="n">
        <x:f>'Assumptions'!$F$11*(1+'Assumptions'!$F$12)^(Q$6-1)*INDEX('Assumptions'!$F$34:$F$45,MOD(Q$6-1,12)+1)*'Assumptions'!$E$30</x:f>
        <x:v>2399.9999999999995</x:v>
      </x:c>
      <x:c r="R8" s="32" t="n">
        <x:f>'Assumptions'!$F$11*(1+'Assumptions'!$F$12)^(R$6-1)*INDEX('Assumptions'!$F$34:$F$45,MOD(R$6-1,12)+1)*'Assumptions'!$E$30</x:f>
        <x:v>2399.9999999999995</x:v>
      </x:c>
      <x:c r="S8" s="32" t="n">
        <x:f>'Assumptions'!$F$11*(1+'Assumptions'!$F$12)^(S$6-1)*INDEX('Assumptions'!$F$34:$F$45,MOD(S$6-1,12)+1)*'Assumptions'!$E$30</x:f>
        <x:v>2399.9999999999995</x:v>
      </x:c>
      <x:c r="T8" s="32" t="n">
        <x:f>'Assumptions'!$F$11*(1+'Assumptions'!$F$12)^(T$6-1)*INDEX('Assumptions'!$F$34:$F$45,MOD(T$6-1,12)+1)*'Assumptions'!$E$30</x:f>
        <x:v>2399.9999999999995</x:v>
      </x:c>
      <x:c r="U8" s="32" t="n">
        <x:f>'Assumptions'!$F$11*(1+'Assumptions'!$F$12)^(U$6-1)*INDEX('Assumptions'!$F$34:$F$45,MOD(U$6-1,12)+1)*'Assumptions'!$E$30</x:f>
        <x:v>2399.9999999999995</x:v>
      </x:c>
      <x:c r="V8" s="32" t="n">
        <x:f>'Assumptions'!$F$11*(1+'Assumptions'!$F$12)^(V$6-1)*INDEX('Assumptions'!$F$34:$F$45,MOD(V$6-1,12)+1)*'Assumptions'!$E$30</x:f>
        <x:v>2399.9999999999995</x:v>
      </x:c>
      <x:c r="W8" s="32" t="n">
        <x:f>'Assumptions'!$F$11*(1+'Assumptions'!$F$12)^(W$6-1)*INDEX('Assumptions'!$F$34:$F$45,MOD(W$6-1,12)+1)*'Assumptions'!$E$30</x:f>
        <x:v>2399.9999999999995</x:v>
      </x:c>
      <x:c r="X8" s="32" t="n">
        <x:f>'Assumptions'!$F$11*(1+'Assumptions'!$F$12)^(X$6-1)*INDEX('Assumptions'!$F$34:$F$45,MOD(X$6-1,12)+1)*'Assumptions'!$E$30</x:f>
        <x:v>2399.9999999999995</x:v>
      </x:c>
      <x:c r="Y8" s="32" t="n">
        <x:f>'Assumptions'!$F$11*(1+'Assumptions'!$F$12)^(Y$6-1)*INDEX('Assumptions'!$F$34:$F$45,MOD(Y$6-1,12)+1)*'Assumptions'!$E$30</x:f>
        <x:v>2399.9999999999995</x:v>
      </x:c>
      <x:c r="Z8" s="32" t="n">
        <x:f>'Assumptions'!$F$11*(1+'Assumptions'!$F$12)^(Z$6-1)*INDEX('Assumptions'!$F$34:$F$45,MOD(Z$6-1,12)+1)*'Assumptions'!$E$30</x:f>
        <x:v>2399.9999999999995</x:v>
      </x:c>
      <x:c r="AA8" s="32" t="n">
        <x:f>'Assumptions'!$F$11*(1+'Assumptions'!$F$12)^(AA$6-1)*INDEX('Assumptions'!$F$34:$F$45,MOD(AA$6-1,12)+1)*'Assumptions'!$E$30</x:f>
        <x:v>2399.9999999999995</x:v>
      </x:c>
      <x:c r="AB8" s="32" t="n">
        <x:f>'Assumptions'!$F$11*(1+'Assumptions'!$F$12)^(AB$6-1)*INDEX('Assumptions'!$F$34:$F$45,MOD(AB$6-1,12)+1)*'Assumptions'!$E$30</x:f>
        <x:v>2399.9999999999995</x:v>
      </x:c>
      <x:c r="AC8" s="32" t="n">
        <x:f>'Assumptions'!$F$11*(1+'Assumptions'!$F$12)^(AC$6-1)*INDEX('Assumptions'!$F$34:$F$45,MOD(AC$6-1,12)+1)*'Assumptions'!$E$30</x:f>
        <x:v>2399.9999999999995</x:v>
      </x:c>
      <x:c r="AD8" s="32" t="n">
        <x:f>'Assumptions'!$F$11*(1+'Assumptions'!$F$12)^(AD$6-1)*INDEX('Assumptions'!$F$34:$F$45,MOD(AD$6-1,12)+1)*'Assumptions'!$E$30</x:f>
        <x:v>2399.9999999999995</x:v>
      </x:c>
      <x:c r="AE8" s="32" t="n">
        <x:f>'Assumptions'!$F$11*(1+'Assumptions'!$F$12)^(AE$6-1)*INDEX('Assumptions'!$F$34:$F$45,MOD(AE$6-1,12)+1)*'Assumptions'!$E$30</x:f>
        <x:v>2399.9999999999995</x:v>
      </x:c>
      <x:c r="AF8" s="32" t="n">
        <x:f>'Assumptions'!$F$11*(1+'Assumptions'!$F$12)^(AF$6-1)*INDEX('Assumptions'!$F$34:$F$45,MOD(AF$6-1,12)+1)*'Assumptions'!$E$30</x:f>
        <x:v>2399.9999999999995</x:v>
      </x:c>
      <x:c r="AG8" s="32" t="n">
        <x:f>'Assumptions'!$F$11*(1+'Assumptions'!$F$12)^(AG$6-1)*INDEX('Assumptions'!$F$34:$F$45,MOD(AG$6-1,12)+1)*'Assumptions'!$E$30</x:f>
        <x:v>2399.9999999999995</x:v>
      </x:c>
      <x:c r="AH8" s="32" t="n">
        <x:f>'Assumptions'!$F$11*(1+'Assumptions'!$F$12)^(AH$6-1)*INDEX('Assumptions'!$F$34:$F$45,MOD(AH$6-1,12)+1)*'Assumptions'!$E$30</x:f>
        <x:v>2399.9999999999995</x:v>
      </x:c>
      <x:c r="AI8" s="32" t="n">
        <x:f>'Assumptions'!$F$11*(1+'Assumptions'!$F$12)^(AI$6-1)*INDEX('Assumptions'!$F$34:$F$45,MOD(AI$6-1,12)+1)*'Assumptions'!$E$30</x:f>
        <x:v>2399.9999999999995</x:v>
      </x:c>
      <x:c r="AJ8" s="32" t="n">
        <x:f>'Assumptions'!$F$11*(1+'Assumptions'!$F$12)^(AJ$6-1)*INDEX('Assumptions'!$F$34:$F$45,MOD(AJ$6-1,12)+1)*'Assumptions'!$E$30</x:f>
        <x:v>2399.9999999999995</x:v>
      </x:c>
      <x:c r="AK8" s="32" t="n">
        <x:f>'Assumptions'!$F$11*(1+'Assumptions'!$F$12)^(AK$6-1)*INDEX('Assumptions'!$F$34:$F$45,MOD(AK$6-1,12)+1)*'Assumptions'!$E$30</x:f>
        <x:v>2399.9999999999995</x:v>
      </x:c>
      <x:c r="AL8" s="32" t="n">
        <x:f>'Assumptions'!$F$11*(1+'Assumptions'!$F$12)^(AL$6-1)*INDEX('Assumptions'!$F$34:$F$45,MOD(AL$6-1,12)+1)*'Assumptions'!$E$30</x:f>
        <x:v>2399.9999999999995</x:v>
      </x:c>
      <x:c r="AM8" s="32" t="n">
        <x:f>'Assumptions'!$F$11*(1+'Assumptions'!$F$12)^(AM$6-1)*INDEX('Assumptions'!$F$34:$F$45,MOD(AM$6-1,12)+1)*'Assumptions'!$E$30</x:f>
        <x:v>2399.9999999999995</x:v>
      </x:c>
      <x:c r="AN8" s="32" t="n">
        <x:f>'Assumptions'!$F$11*(1+'Assumptions'!$F$12)^(AN$6-1)*INDEX('Assumptions'!$F$34:$F$45,MOD(AN$6-1,12)+1)*'Assumptions'!$E$30</x:f>
        <x:v>2399.9999999999995</x:v>
      </x:c>
      <x:c r="AO8" s="32" t="n">
        <x:f>'Assumptions'!$F$11*(1+'Assumptions'!$F$12)^(AO$6-1)*INDEX('Assumptions'!$F$34:$F$45,MOD(AO$6-1,12)+1)*'Assumptions'!$E$30</x:f>
        <x:v>2399.9999999999995</x:v>
      </x:c>
      <x:c r="AP8" s="32" t="n">
        <x:f>'Assumptions'!$F$11*(1+'Assumptions'!$F$12)^(AP$6-1)*INDEX('Assumptions'!$F$34:$F$45,MOD(AP$6-1,12)+1)*'Assumptions'!$E$30</x:f>
        <x:v>2399.9999999999995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'Assumptions'!$F$13</x:f>
        <x:v>0.45</x:v>
      </x:c>
      <x:c r="H9" s="33" t="n">
        <x:f>'Assumptions'!$F$13</x:f>
        <x:v>0.45</x:v>
      </x:c>
      <x:c r="I9" s="33" t="n">
        <x:f>'Assumptions'!$F$13</x:f>
        <x:v>0.45</x:v>
      </x:c>
      <x:c r="J9" s="33" t="n">
        <x:f>'Assumptions'!$F$13</x:f>
        <x:v>0.45</x:v>
      </x:c>
      <x:c r="K9" s="33" t="n">
        <x:f>'Assumptions'!$F$13</x:f>
        <x:v>0.45</x:v>
      </x:c>
      <x:c r="L9" s="33" t="n">
        <x:f>'Assumptions'!$F$13</x:f>
        <x:v>0.45</x:v>
      </x:c>
      <x:c r="M9" s="33" t="n">
        <x:f>'Assumptions'!$F$13</x:f>
        <x:v>0.45</x:v>
      </x:c>
      <x:c r="N9" s="33" t="n">
        <x:f>'Assumptions'!$F$13</x:f>
        <x:v>0.45</x:v>
      </x:c>
      <x:c r="O9" s="33" t="n">
        <x:f>'Assumptions'!$F$13</x:f>
        <x:v>0.45</x:v>
      </x:c>
      <x:c r="P9" s="33" t="n">
        <x:f>'Assumptions'!$F$13</x:f>
        <x:v>0.45</x:v>
      </x:c>
      <x:c r="Q9" s="33" t="n">
        <x:f>'Assumptions'!$F$13</x:f>
        <x:v>0.45</x:v>
      </x:c>
      <x:c r="R9" s="33" t="n">
        <x:f>'Assumptions'!$F$13</x:f>
        <x:v>0.45</x:v>
      </x:c>
      <x:c r="S9" s="33" t="n">
        <x:f>'Assumptions'!$F$13</x:f>
        <x:v>0.45</x:v>
      </x:c>
      <x:c r="T9" s="33" t="n">
        <x:f>'Assumptions'!$F$13</x:f>
        <x:v>0.45</x:v>
      </x:c>
      <x:c r="U9" s="33" t="n">
        <x:f>'Assumptions'!$F$13</x:f>
        <x:v>0.45</x:v>
      </x:c>
      <x:c r="V9" s="33" t="n">
        <x:f>'Assumptions'!$F$13</x:f>
        <x:v>0.45</x:v>
      </x:c>
      <x:c r="W9" s="33" t="n">
        <x:f>'Assumptions'!$F$13</x:f>
        <x:v>0.45</x:v>
      </x:c>
      <x:c r="X9" s="33" t="n">
        <x:f>'Assumptions'!$F$13</x:f>
        <x:v>0.45</x:v>
      </x:c>
      <x:c r="Y9" s="33" t="n">
        <x:f>'Assumptions'!$F$13</x:f>
        <x:v>0.45</x:v>
      </x:c>
      <x:c r="Z9" s="33" t="n">
        <x:f>'Assumptions'!$F$13</x:f>
        <x:v>0.45</x:v>
      </x:c>
      <x:c r="AA9" s="33" t="n">
        <x:f>'Assumptions'!$F$13</x:f>
        <x:v>0.45</x:v>
      </x:c>
      <x:c r="AB9" s="33" t="n">
        <x:f>'Assumptions'!$F$13</x:f>
        <x:v>0.45</x:v>
      </x:c>
      <x:c r="AC9" s="33" t="n">
        <x:f>'Assumptions'!$F$13</x:f>
        <x:v>0.45</x:v>
      </x:c>
      <x:c r="AD9" s="33" t="n">
        <x:f>'Assumptions'!$F$13</x:f>
        <x:v>0.45</x:v>
      </x:c>
      <x:c r="AE9" s="33" t="n">
        <x:f>'Assumptions'!$F$13</x:f>
        <x:v>0.45</x:v>
      </x:c>
      <x:c r="AF9" s="33" t="n">
        <x:f>'Assumptions'!$F$13</x:f>
        <x:v>0.45</x:v>
      </x:c>
      <x:c r="AG9" s="33" t="n">
        <x:f>'Assumptions'!$F$13</x:f>
        <x:v>0.45</x:v>
      </x:c>
      <x:c r="AH9" s="33" t="n">
        <x:f>'Assumptions'!$F$13</x:f>
        <x:v>0.45</x:v>
      </x:c>
      <x:c r="AI9" s="33" t="n">
        <x:f>'Assumptions'!$F$13</x:f>
        <x:v>0.45</x:v>
      </x:c>
      <x:c r="AJ9" s="33" t="n">
        <x:f>'Assumptions'!$F$13</x:f>
        <x:v>0.45</x:v>
      </x:c>
      <x:c r="AK9" s="33" t="n">
        <x:f>'Assumptions'!$F$13</x:f>
        <x:v>0.45</x:v>
      </x:c>
      <x:c r="AL9" s="33" t="n">
        <x:f>'Assumptions'!$F$13</x:f>
        <x:v>0.45</x:v>
      </x:c>
      <x:c r="AM9" s="33" t="n">
        <x:f>'Assumptions'!$F$13</x:f>
        <x:v>0.45</x:v>
      </x:c>
      <x:c r="AN9" s="33" t="n">
        <x:f>'Assumptions'!$F$13</x:f>
        <x:v>0.45</x:v>
      </x:c>
      <x:c r="AO9" s="33" t="n">
        <x:f>'Assumptions'!$F$13</x:f>
        <x:v>0.45</x:v>
      </x:c>
      <x:c r="AP9" s="33" t="n">
        <x:f>'Assumptions'!$F$13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'Assumptions'!$F$14</x:f>
        <x:v>4000</x:v>
      </x:c>
      <x:c r="H10" s="34" t="n">
        <x:f>'Assumptions'!$F$14</x:f>
        <x:v>4000</x:v>
      </x:c>
      <x:c r="I10" s="34" t="n">
        <x:f>'Assumptions'!$F$14</x:f>
        <x:v>4000</x:v>
      </x:c>
      <x:c r="J10" s="34" t="n">
        <x:f>'Assumptions'!$F$14</x:f>
        <x:v>4000</x:v>
      </x:c>
      <x:c r="K10" s="34" t="n">
        <x:f>'Assumptions'!$F$14</x:f>
        <x:v>4000</x:v>
      </x:c>
      <x:c r="L10" s="34" t="n">
        <x:f>'Assumptions'!$F$14</x:f>
        <x:v>4000</x:v>
      </x:c>
      <x:c r="M10" s="34" t="n">
        <x:f>'Assumptions'!$F$14</x:f>
        <x:v>4000</x:v>
      </x:c>
      <x:c r="N10" s="34" t="n">
        <x:f>'Assumptions'!$F$14</x:f>
        <x:v>4000</x:v>
      </x:c>
      <x:c r="O10" s="34" t="n">
        <x:f>'Assumptions'!$F$14</x:f>
        <x:v>4000</x:v>
      </x:c>
      <x:c r="P10" s="34" t="n">
        <x:f>'Assumptions'!$F$14</x:f>
        <x:v>4000</x:v>
      </x:c>
      <x:c r="Q10" s="34" t="n">
        <x:f>'Assumptions'!$F$14</x:f>
        <x:v>4000</x:v>
      </x:c>
      <x:c r="R10" s="34" t="n">
        <x:f>'Assumptions'!$F$14</x:f>
        <x:v>4000</x:v>
      </x:c>
      <x:c r="S10" s="34" t="n">
        <x:f>'Assumptions'!$F$14</x:f>
        <x:v>4000</x:v>
      </x:c>
      <x:c r="T10" s="34" t="n">
        <x:f>'Assumptions'!$F$14</x:f>
        <x:v>4000</x:v>
      </x:c>
      <x:c r="U10" s="34" t="n">
        <x:f>'Assumptions'!$F$14</x:f>
        <x:v>4000</x:v>
      </x:c>
      <x:c r="V10" s="34" t="n">
        <x:f>'Assumptions'!$F$14</x:f>
        <x:v>4000</x:v>
      </x:c>
      <x:c r="W10" s="34" t="n">
        <x:f>'Assumptions'!$F$14</x:f>
        <x:v>4000</x:v>
      </x:c>
      <x:c r="X10" s="34" t="n">
        <x:f>'Assumptions'!$F$14</x:f>
        <x:v>4000</x:v>
      </x:c>
      <x:c r="Y10" s="34" t="n">
        <x:f>'Assumptions'!$F$14</x:f>
        <x:v>4000</x:v>
      </x:c>
      <x:c r="Z10" s="34" t="n">
        <x:f>'Assumptions'!$F$14</x:f>
        <x:v>4000</x:v>
      </x:c>
      <x:c r="AA10" s="34" t="n">
        <x:f>'Assumptions'!$F$14</x:f>
        <x:v>4000</x:v>
      </x:c>
      <x:c r="AB10" s="34" t="n">
        <x:f>'Assumptions'!$F$14</x:f>
        <x:v>4000</x:v>
      </x:c>
      <x:c r="AC10" s="34" t="n">
        <x:f>'Assumptions'!$F$14</x:f>
        <x:v>4000</x:v>
      </x:c>
      <x:c r="AD10" s="34" t="n">
        <x:f>'Assumptions'!$F$14</x:f>
        <x:v>4000</x:v>
      </x:c>
      <x:c r="AE10" s="34" t="n">
        <x:f>'Assumptions'!$F$14</x:f>
        <x:v>4000</x:v>
      </x:c>
      <x:c r="AF10" s="34" t="n">
        <x:f>'Assumptions'!$F$14</x:f>
        <x:v>4000</x:v>
      </x:c>
      <x:c r="AG10" s="34" t="n">
        <x:f>'Assumptions'!$F$14</x:f>
        <x:v>4000</x:v>
      </x:c>
      <x:c r="AH10" s="34" t="n">
        <x:f>'Assumptions'!$F$14</x:f>
        <x:v>4000</x:v>
      </x:c>
      <x:c r="AI10" s="34" t="n">
        <x:f>'Assumptions'!$F$14</x:f>
        <x:v>4000</x:v>
      </x:c>
      <x:c r="AJ10" s="34" t="n">
        <x:f>'Assumptions'!$F$14</x:f>
        <x:v>4000</x:v>
      </x:c>
      <x:c r="AK10" s="34" t="n">
        <x:f>'Assumptions'!$F$14</x:f>
        <x:v>4000</x:v>
      </x:c>
      <x:c r="AL10" s="34" t="n">
        <x:f>'Assumptions'!$F$14</x:f>
        <x:v>4000</x:v>
      </x:c>
      <x:c r="AM10" s="34" t="n">
        <x:f>'Assumptions'!$F$14</x:f>
        <x:v>4000</x:v>
      </x:c>
      <x:c r="AN10" s="34" t="n">
        <x:f>'Assumptions'!$F$14</x:f>
        <x:v>4000</x:v>
      </x:c>
      <x:c r="AO10" s="34" t="n">
        <x:f>'Assumptions'!$F$14</x:f>
        <x:v>4000</x:v>
      </x:c>
      <x:c r="AP10" s="34" t="n">
        <x:f>'Assumptions'!$F$14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103679999.99999999</x:v>
      </x:c>
      <x:c r="F11" s="42"/>
      <x:c r="G11" s="43" t="n">
        <x:f>G8*G9*G10</x:f>
        <x:v>4319999.999999999</x:v>
      </x:c>
      <x:c r="H11" s="43" t="n">
        <x:f>H8*H9*H10</x:f>
        <x:v>4319999.999999999</x:v>
      </x:c>
      <x:c r="I11" s="43" t="n">
        <x:f>I8*I9*I10</x:f>
        <x:v>4319999.999999999</x:v>
      </x:c>
      <x:c r="J11" s="43" t="n">
        <x:f>J8*J9*J10</x:f>
        <x:v>4319999.999999999</x:v>
      </x:c>
      <x:c r="K11" s="43" t="n">
        <x:f>K8*K9*K10</x:f>
        <x:v>4319999.999999999</x:v>
      </x:c>
      <x:c r="L11" s="43" t="n">
        <x:f>L8*L9*L10</x:f>
        <x:v>4319999.999999999</x:v>
      </x:c>
      <x:c r="M11" s="43" t="n">
        <x:f>M8*M9*M10</x:f>
        <x:v>4319999.999999999</x:v>
      </x:c>
      <x:c r="N11" s="43" t="n">
        <x:f>N8*N9*N10</x:f>
        <x:v>4319999.999999999</x:v>
      </x:c>
      <x:c r="O11" s="43" t="n">
        <x:f>O8*O9*O10</x:f>
        <x:v>4319999.999999999</x:v>
      </x:c>
      <x:c r="P11" s="43" t="n">
        <x:f>P8*P9*P10</x:f>
        <x:v>4319999.999999999</x:v>
      </x:c>
      <x:c r="Q11" s="43" t="n">
        <x:f>Q8*Q9*Q10</x:f>
        <x:v>4319999.999999999</x:v>
      </x:c>
      <x:c r="R11" s="43" t="n">
        <x:f>R8*R9*R10</x:f>
        <x:v>4319999.999999999</x:v>
      </x:c>
      <x:c r="S11" s="43" t="n">
        <x:f>S8*S9*S10</x:f>
        <x:v>4319999.999999999</x:v>
      </x:c>
      <x:c r="T11" s="43" t="n">
        <x:f>T8*T9*T10</x:f>
        <x:v>4319999.999999999</x:v>
      </x:c>
      <x:c r="U11" s="43" t="n">
        <x:f>U8*U9*U10</x:f>
        <x:v>4319999.999999999</x:v>
      </x:c>
      <x:c r="V11" s="43" t="n">
        <x:f>V8*V9*V10</x:f>
        <x:v>4319999.999999999</x:v>
      </x:c>
      <x:c r="W11" s="43" t="n">
        <x:f>W8*W9*W10</x:f>
        <x:v>4319999.999999999</x:v>
      </x:c>
      <x:c r="X11" s="43" t="n">
        <x:f>X8*X9*X10</x:f>
        <x:v>4319999.999999999</x:v>
      </x:c>
      <x:c r="Y11" s="43" t="n">
        <x:f>Y8*Y9*Y10</x:f>
        <x:v>4319999.999999999</x:v>
      </x:c>
      <x:c r="Z11" s="43" t="n">
        <x:f>Z8*Z9*Z10</x:f>
        <x:v>4319999.999999999</x:v>
      </x:c>
      <x:c r="AA11" s="43" t="n">
        <x:f>AA8*AA9*AA10</x:f>
        <x:v>4319999.999999999</x:v>
      </x:c>
      <x:c r="AB11" s="43" t="n">
        <x:f>AB8*AB9*AB10</x:f>
        <x:v>4319999.999999999</x:v>
      </x:c>
      <x:c r="AC11" s="43" t="n">
        <x:f>AC8*AC9*AC10</x:f>
        <x:v>4319999.999999999</x:v>
      </x:c>
      <x:c r="AD11" s="43" t="n">
        <x:f>AD8*AD9*AD10</x:f>
        <x:v>4319999.999999999</x:v>
      </x:c>
      <x:c r="AE11" s="43" t="n">
        <x:f>AE8*AE9*AE10</x:f>
        <x:v>4319999.999999999</x:v>
      </x:c>
      <x:c r="AF11" s="43" t="n">
        <x:f>AF8*AF9*AF10</x:f>
        <x:v>4319999.999999999</x:v>
      </x:c>
      <x:c r="AG11" s="43" t="n">
        <x:f>AG8*AG9*AG10</x:f>
        <x:v>4319999.999999999</x:v>
      </x:c>
      <x:c r="AH11" s="43" t="n">
        <x:f>AH8*AH9*AH10</x:f>
        <x:v>4319999.999999999</x:v>
      </x:c>
      <x:c r="AI11" s="43" t="n">
        <x:f>AI8*AI9*AI10</x:f>
        <x:v>4319999.999999999</x:v>
      </x:c>
      <x:c r="AJ11" s="43" t="n">
        <x:f>AJ8*AJ9*AJ10</x:f>
        <x:v>4319999.999999999</x:v>
      </x:c>
      <x:c r="AK11" s="43" t="n">
        <x:f>AK8*AK9*AK10</x:f>
        <x:v>4319999.999999999</x:v>
      </x:c>
      <x:c r="AL11" s="43" t="n">
        <x:f>AL8*AL9*AL10</x:f>
        <x:v>4319999.999999999</x:v>
      </x:c>
      <x:c r="AM11" s="43" t="n">
        <x:f>AM8*AM9*AM10</x:f>
        <x:v>4319999.999999999</x:v>
      </x:c>
      <x:c r="AN11" s="43" t="n">
        <x:f>AN8*AN9*AN10</x:f>
        <x:v>4319999.999999999</x:v>
      </x:c>
      <x:c r="AO11" s="43" t="n">
        <x:f>AO8*AO9*AO10</x:f>
        <x:v>4319999.999999999</x:v>
      </x:c>
      <x:c r="AP11" s="43" t="n">
        <x:f>AP8*AP9*AP10</x:f>
        <x:v>4319999.999999999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76679999.99999999</x:v>
      </x:c>
      <x:c r="F13" s="2"/>
      <x:c r="G13" s="35" t="n">
        <x:f>$E$44</x:f>
        <x:v>76679999.99999999</x:v>
      </x:c>
      <x:c r="H13" s="35" t="n">
        <x:f>G16</x:f>
        <x:v>68912740.77478988</x:v>
      </x:c>
      <x:c r="I13" s="35" t="n">
        <x:f>H16</x:f>
        <x:v>64027220.63395874</x:v>
      </x:c>
      <x:c r="J13" s="35" t="n">
        <x:f>I16</x:f>
        <x:v>60489170.37797794</x:v>
      </x:c>
      <x:c r="K13" s="35" t="n">
        <x:f>J16</x:f>
        <x:v>57783564.740969524</x:v>
      </x:c>
      <x:c r="L13" s="35" t="n">
        <x:f>K16</x:f>
        <x:v>55647931.47657324</x:v>
      </x:c>
      <x:c r="M13" s="35" t="n">
        <x:f>L16</x:f>
        <x:v>53925118.47443446</x:v>
      </x:c>
      <x:c r="N13" s="35" t="n">
        <x:f>M16</x:f>
        <x:v>52516709.90998487</x:v>
      </x:c>
      <x:c r="O13" s="35" t="n">
        <x:f>N16</x:f>
        <x:v>51361185.91345425</x:v>
      </x:c>
      <x:c r="P13" s="35" t="n">
        <x:f>O16</x:f>
        <x:v>50419256.17813946</x:v>
      </x:c>
      <x:c r="Q13" s="35" t="n">
        <x:f>P16</x:f>
        <x:v>49663669.12863572</x:v>
      </x:c>
      <x:c r="R13" s="35" t="n">
        <x:f>Q16</x:f>
        <x:v>49073271.806715965</x:v>
      </x:c>
      <x:c r="S13" s="35" t="n">
        <x:f>R16</x:f>
        <x:v>48630100.90116659</x:v>
      </x:c>
      <x:c r="T13" s="35" t="n">
        <x:f>S16</x:f>
        <x:v>48317992.86652304</x:v>
      </x:c>
      <x:c r="U13" s="35" t="n">
        <x:f>T16</x:f>
        <x:v>48121716.937098674</x:v>
      </x:c>
      <x:c r="V13" s="35" t="n">
        <x:f>U16</x:f>
        <x:v>48026178.47237744</x:v>
      </x:c>
      <x:c r="W13" s="35" t="n">
        <x:f>V16</x:f>
        <x:v>48015590.988009274</x:v>
      </x:c>
      <x:c r="X13" s="35" t="n">
        <x:f>W16</x:f>
        <x:v>48072777.59730074</x:v>
      </x:c>
      <x:c r="Y13" s="35" t="n">
        <x:f>X16</x:f>
        <x:v>48178988.49791113</x:v>
      </x:c>
      <x:c r="Z13" s="35" t="n">
        <x:f>Y16</x:f>
        <x:v>48314618.35063763</x:v>
      </x:c>
      <x:c r="AA13" s="35" t="n">
        <x:f>Z16</x:f>
        <x:v>48460713.12302768</x:v>
      </x:c>
      <x:c r="AB13" s="35" t="n">
        <x:f>AA16</x:f>
        <x:v>48600486.183197916</x:v>
      </x:c>
      <x:c r="AC13" s="35" t="n">
        <x:f>AB16</x:f>
        <x:v>48720053.90417323</x:v>
      </x:c>
      <x:c r="AD13" s="35" t="n">
        <x:f>AC16</x:f>
        <x:v>48808284.42771657</x:v>
      </x:c>
      <x:c r="AE13" s="35" t="n">
        <x:f>AD16</x:f>
        <x:v>48856175.516171865</x:v>
      </x:c>
      <x:c r="AF13" s="35" t="n">
        <x:f>AE16</x:f>
        <x:v>48856175.516171865</x:v>
      </x:c>
      <x:c r="AG13" s="35" t="n">
        <x:f>AF16</x:f>
        <x:v>48856175.516171865</x:v>
      </x:c>
      <x:c r="AH13" s="35" t="n">
        <x:f>AG16</x:f>
        <x:v>48856175.516171865</x:v>
      </x:c>
      <x:c r="AI13" s="35" t="n">
        <x:f>AH16</x:f>
        <x:v>48856175.516171865</x:v>
      </x:c>
      <x:c r="AJ13" s="35" t="n">
        <x:f>AI16</x:f>
        <x:v>48856175.516171865</x:v>
      </x:c>
      <x:c r="AK13" s="35" t="n">
        <x:f>AJ16</x:f>
        <x:v>48856175.516171865</x:v>
      </x:c>
      <x:c r="AL13" s="35" t="n">
        <x:f>AK16</x:f>
        <x:v>48856175.516171865</x:v>
      </x:c>
      <x:c r="AM13" s="35" t="n">
        <x:f>AL16</x:f>
        <x:v>48856175.516171865</x:v>
      </x:c>
      <x:c r="AN13" s="35" t="n">
        <x:f>AM16</x:f>
        <x:v>48856175.516171865</x:v>
      </x:c>
      <x:c r="AO13" s="35" t="n">
        <x:f>AN16</x:f>
        <x:v>48856175.516171865</x:v>
      </x:c>
      <x:c r="AP13" s="35" t="n">
        <x:f>AO16</x:f>
        <x:v>48856175.516171865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99873943.4817116</x:v>
      </x:c>
      <x:c r="F14" s="2"/>
      <x:c r="G14" s="35" t="n">
        <x:f>SUM(G29:G30)</x:f>
        <x:v>10692615.438144373</x:v>
      </x:c>
      <x:c r="H14" s="35" t="n">
        <x:f>SUM(H29:H30)</x:f>
        <x:v>7896148.60743513</x:v>
      </x:c>
      <x:c r="I14" s="35" t="n">
        <x:f>SUM(I29:I30)</x:f>
        <x:v>6607474.89674942</x:v>
      </x:c>
      <x:c r="J14" s="35" t="n">
        <x:f>SUM(J29:J30)</x:f>
        <x:v>5805544.344060149</x:v>
      </x:c>
      <x:c r="K14" s="35" t="n">
        <x:f>SUM(K29:K30)</x:f>
        <x:v>5239418.738955691</x:v>
      </x:c>
      <x:c r="L14" s="35" t="n">
        <x:f>SUM(L29:L30)</x:f>
        <x:v>4810184.608268733</x:v>
      </x:c>
      <x:c r="M14" s="35" t="n">
        <x:f>SUM(M29:M30)</x:f>
        <x:v>4469155.815380197</x:v>
      </x:c>
      <x:c r="N14" s="35" t="n">
        <x:f>SUM(N29:N30)</x:f>
        <x:v>4189111.3041493585</x:v>
      </x:c>
      <x:c r="O14" s="35" t="n">
        <x:f>SUM(O29:O30)</x:f>
        <x:v>3953536.0842983145</x:v>
      </x:c>
      <x:c r="P14" s="35" t="n">
        <x:f>SUM(P29:P30)</x:f>
        <x:v>3751810.14455968</x:v>
      </x:c>
      <x:c r="Q14" s="35" t="n">
        <x:f>SUM(Q29:Q30)</x:f>
        <x:v>3576819.5841037305</x:v>
      </x:c>
      <x:c r="R14" s="35" t="n">
        <x:f>SUM(R29:R30)</x:f>
        <x:v>3423713.3625481077</x:v>
      </x:c>
      <x:c r="S14" s="35" t="n">
        <x:f>SUM(S29:S30)</x:f>
        <x:v>3289256.1279734755</x:v>
      </x:c>
      <x:c r="T14" s="35" t="n">
        <x:f>SUM(T29:T30)</x:f>
        <x:v>3171513.3322052313</x:v>
      </x:c>
      <x:c r="U14" s="35" t="n">
        <x:f>SUM(U29:U30)</x:f>
        <x:v>3069719.1636817176</x:v>
      </x:c>
      <x:c r="V14" s="35" t="n">
        <x:f>SUM(V29:V30)</x:f>
        <x:v>2984191.7459378773</x:v>
      </x:c>
      <x:c r="W14" s="35" t="n">
        <x:f>SUM(W29:W30)</x:f>
        <x:v>2916107.0273771835</x:v>
      </x:c>
      <x:c r="X14" s="35" t="n">
        <x:f>SUM(X29:X30)</x:f>
        <x:v>2866917.435813791</x:v>
      </x:c>
      <x:c r="Y14" s="35" t="n">
        <x:f>SUM(Y29:Y30)</x:f>
        <x:v>2837411.7860269574</x:v>
      </x:c>
      <x:c r="Z14" s="35" t="n">
        <x:f>SUM(Z29:Z30)</x:f>
        <x:v>2826902.2289824965</x:v>
      </x:c>
      <x:c r="AA14" s="35" t="n">
        <x:f>SUM(AA29:AA30)</x:f>
        <x:v>2833201.5394056966</x:v>
      </x:c>
      <x:c r="AB14" s="35" t="n">
        <x:f>SUM(AB29:AB30)</x:f>
        <x:v>2853396.0548444716</x:v>
      </x:c>
      <x:c r="AC14" s="35" t="n">
        <x:f>SUM(AC29:AC30)</x:f>
        <x:v>2884728.3343941346</x:v>
      </x:c>
      <x:c r="AD14" s="35" t="n">
        <x:f>SUM(AD29:AD30)</x:f>
        <x:v>2925065.7764156796</x:v>
      </x:c>
      <x:c r="AE14" s="35" t="n">
        <x:f>SUM(AE29:AE30)</x:f>
        <x:v>2972956.25656996</x:v>
      </x:c>
      <x:c r="AF14" s="35" t="n">
        <x:f>SUM(AF29:AF30)</x:f>
        <x:v>2972956.25656996</x:v>
      </x:c>
      <x:c r="AG14" s="35" t="n">
        <x:f>SUM(AG29:AG30)</x:f>
        <x:v>2972956.25656996</x:v>
      </x:c>
      <x:c r="AH14" s="35" t="n">
        <x:f>SUM(AH29:AH30)</x:f>
        <x:v>2972956.25656996</x:v>
      </x:c>
      <x:c r="AI14" s="35" t="n">
        <x:f>SUM(AI29:AI30)</x:f>
        <x:v>2972956.25656996</x:v>
      </x:c>
      <x:c r="AJ14" s="35" t="n">
        <x:f>SUM(AJ29:AJ30)</x:f>
        <x:v>2972956.25656996</x:v>
      </x:c>
      <x:c r="AK14" s="35" t="n">
        <x:f>SUM(AK29:AK30)</x:f>
        <x:v>2972956.25656996</x:v>
      </x:c>
      <x:c r="AL14" s="35" t="n">
        <x:f>SUM(AL29:AL30)</x:f>
        <x:v>2972956.25656996</x:v>
      </x:c>
      <x:c r="AM14" s="35" t="n">
        <x:f>SUM(AM29:AM30)</x:f>
        <x:v>2972956.25656996</x:v>
      </x:c>
      <x:c r="AN14" s="35" t="n">
        <x:f>SUM(AN29:AN30)</x:f>
        <x:v>2972956.25656996</x:v>
      </x:c>
      <x:c r="AO14" s="35" t="n">
        <x:f>SUM(AO29:AO30)</x:f>
        <x:v>2972956.25656996</x:v>
      </x:c>
      <x:c r="AP14" s="35" t="n">
        <x:f>SUM(AP29:AP30)</x:f>
        <x:v>2972956.25656996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31629881.00211654</x:v>
      </x:c>
      <x:c r="F15" s="2"/>
      <x:c r="G15" s="35" t="n">
        <x:f>SUM(G27:G28)</x:f>
        <x:v>1394643.7870657349</x:v>
      </x:c>
      <x:c r="H15" s="35" t="n">
        <x:f>SUM(H27:H28)</x:f>
        <x:v>1309371.5333960152</x:v>
      </x:c>
      <x:c r="I15" s="35" t="n">
        <x:f>SUM(I27:I28)</x:f>
        <x:v>1250575.3592313807</x:v>
      </x:c>
      <x:c r="J15" s="35" t="n">
        <x:f>SUM(J27:J28)</x:f>
        <x:v>1220061.292948259</x:v>
      </x:c>
      <x:c r="K15" s="35" t="n">
        <x:f>SUM(K27:K28)</x:f>
        <x:v>1216214.5254405944</x:v>
      </x:c>
      <x:c r="L15" s="35" t="n">
        <x:f>SUM(L27:L28)</x:f>
        <x:v>1232628.3938700492</x:v>
      </x:c>
      <x:c r="M15" s="35" t="n">
        <x:f>SUM(M27:M28)</x:f>
        <x:v>1259252.7490693955</x:v>
      </x:c>
      <x:c r="N15" s="35" t="n">
        <x:f>SUM(N27:N28)</x:f>
        <x:v>1286412.6923812598</x:v>
      </x:c>
      <x:c r="O15" s="35" t="n">
        <x:f>SUM(O27:O28)</x:f>
        <x:v>1308393.6510164712</x:v>
      </x:c>
      <x:c r="P15" s="35" t="n">
        <x:f>SUM(P27:P28)</x:f>
        <x:v>1323776.9049440597</x:v>
      </x:c>
      <x:c r="Q15" s="35" t="n">
        <x:f>SUM(Q27:Q28)</x:f>
        <x:v>1333577.7378160243</x:v>
      </x:c>
      <x:c r="R15" s="35" t="n">
        <x:f>SUM(R27:R28)</x:f>
        <x:v>1339457.5430012718</x:v>
      </x:c>
      <x:c r="S15" s="35" t="n">
        <x:f>SUM(S27:S28)</x:f>
        <x:v>1342851.9066700686</x:v>
      </x:c>
      <x:c r="T15" s="35" t="n">
        <x:f>SUM(T27:T28)</x:f>
        <x:v>1344762.5972191424</x:v>
      </x:c>
      <x:c r="U15" s="35" t="n">
        <x:f>SUM(U27:U28)</x:f>
        <x:v>1345819.30103952</x:v>
      </x:c>
      <x:c r="V15" s="35" t="n">
        <x:f>SUM(V27:V28)</x:f>
        <x:v>1346395.738430289</x:v>
      </x:c>
      <x:c r="W15" s="35" t="n">
        <x:f>SUM(W27:W28)</x:f>
        <x:v>1346706.3633313589</x:v>
      </x:c>
      <x:c r="X15" s="35" t="n">
        <x:f>SUM(X27:X28)</x:f>
        <x:v>1346871.6635758136</x:v>
      </x:c>
      <x:c r="Y15" s="35" t="n">
        <x:f>SUM(Y27:Y28)</x:f>
        <x:v>1346958.361246545</x:v>
      </x:c>
      <x:c r="Z15" s="35" t="n">
        <x:f>SUM(Z27:Z28)</x:f>
        <x:v>1347002.9986274536</x:v>
      </x:c>
      <x:c r="AA15" s="35" t="n">
        <x:f>SUM(AA27:AA28)</x:f>
        <x:v>1347025.4004240672</x:v>
      </x:c>
      <x:c r="AB15" s="35" t="n">
        <x:f>SUM(AB27:AB28)</x:f>
        <x:v>1347036.2241802118</x:v>
      </x:c>
      <x:c r="AC15" s="35" t="n">
        <x:f>SUM(AC27:AC28)</x:f>
        <x:v>1347041.1420625271</x:v>
      </x:c>
      <x:c r="AD15" s="35" t="n">
        <x:f>SUM(AD27:AD28)</x:f>
        <x:v>1347043.135129028</x:v>
      </x:c>
      <x:c r="AE15" s="35" t="n">
        <x:f>SUM(AE27:AE28)</x:f>
        <x:v>1347043.7434300384</x:v>
      </x:c>
      <x:c r="AF15" s="35" t="n">
        <x:f>SUM(AF27:AF28)</x:f>
        <x:v>1347043.7434300384</x:v>
      </x:c>
      <x:c r="AG15" s="35" t="n">
        <x:f>SUM(AG27:AG28)</x:f>
        <x:v>1347043.7434300384</x:v>
      </x:c>
      <x:c r="AH15" s="35" t="n">
        <x:f>SUM(AH27:AH28)</x:f>
        <x:v>1347043.7434300384</x:v>
      </x:c>
      <x:c r="AI15" s="35" t="n">
        <x:f>SUM(AI27:AI28)</x:f>
        <x:v>1347043.7434300384</x:v>
      </x:c>
      <x:c r="AJ15" s="35" t="n">
        <x:f>SUM(AJ27:AJ28)</x:f>
        <x:v>1347043.7434300384</x:v>
      </x:c>
      <x:c r="AK15" s="35" t="n">
        <x:f>SUM(AK27:AK28)</x:f>
        <x:v>1347043.7434300384</x:v>
      </x:c>
      <x:c r="AL15" s="35" t="n">
        <x:f>SUM(AL27:AL28)</x:f>
        <x:v>1347043.7434300384</x:v>
      </x:c>
      <x:c r="AM15" s="35" t="n">
        <x:f>SUM(AM27:AM28)</x:f>
        <x:v>1347043.7434300384</x:v>
      </x:c>
      <x:c r="AN15" s="35" t="n">
        <x:f>SUM(AN27:AN28)</x:f>
        <x:v>1347043.7434300384</x:v>
      </x:c>
      <x:c r="AO15" s="35" t="n">
        <x:f>SUM(AO27:AO28)</x:f>
        <x:v>1347043.7434300384</x:v>
      </x:c>
      <x:c r="AP15" s="35" t="n">
        <x:f>SUM(AP27:AP28)</x:f>
        <x:v>1347043.7434300384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48856175.516171865</x:v>
      </x:c>
      <x:c r="F16" s="42"/>
      <x:c r="G16" s="43" t="n">
        <x:f>G13+G11-G14-G15</x:f>
        <x:v>68912740.77478988</x:v>
      </x:c>
      <x:c r="H16" s="43" t="n">
        <x:f>H13+H11-H14-H15</x:f>
        <x:v>64027220.63395874</x:v>
      </x:c>
      <x:c r="I16" s="43" t="n">
        <x:f>I13+I11-I14-I15</x:f>
        <x:v>60489170.37797794</x:v>
      </x:c>
      <x:c r="J16" s="43" t="n">
        <x:f>J13+J11-J14-J15</x:f>
        <x:v>57783564.740969524</x:v>
      </x:c>
      <x:c r="K16" s="43" t="n">
        <x:f>K13+K11-K14-K15</x:f>
        <x:v>55647931.47657324</x:v>
      </x:c>
      <x:c r="L16" s="43" t="n">
        <x:f>L13+L11-L14-L15</x:f>
        <x:v>53925118.47443446</x:v>
      </x:c>
      <x:c r="M16" s="43" t="n">
        <x:f>M13+M11-M14-M15</x:f>
        <x:v>52516709.90998487</x:v>
      </x:c>
      <x:c r="N16" s="43" t="n">
        <x:f>N13+N11-N14-N15</x:f>
        <x:v>51361185.91345425</x:v>
      </x:c>
      <x:c r="O16" s="43" t="n">
        <x:f>O13+O11-O14-O15</x:f>
        <x:v>50419256.17813946</x:v>
      </x:c>
      <x:c r="P16" s="43" t="n">
        <x:f>P13+P11-P14-P15</x:f>
        <x:v>49663669.12863572</x:v>
      </x:c>
      <x:c r="Q16" s="43" t="n">
        <x:f>Q13+Q11-Q14-Q15</x:f>
        <x:v>49073271.806715965</x:v>
      </x:c>
      <x:c r="R16" s="43" t="n">
        <x:f>R13+R11-R14-R15</x:f>
        <x:v>48630100.90116659</x:v>
      </x:c>
      <x:c r="S16" s="43" t="n">
        <x:f>S13+S11-S14-S15</x:f>
        <x:v>48317992.86652304</x:v>
      </x:c>
      <x:c r="T16" s="43" t="n">
        <x:f>T13+T11-T14-T15</x:f>
        <x:v>48121716.937098674</x:v>
      </x:c>
      <x:c r="U16" s="43" t="n">
        <x:f>U13+U11-U14-U15</x:f>
        <x:v>48026178.47237744</x:v>
      </x:c>
      <x:c r="V16" s="43" t="n">
        <x:f>V13+V11-V14-V15</x:f>
        <x:v>48015590.988009274</x:v>
      </x:c>
      <x:c r="W16" s="43" t="n">
        <x:f>W13+W11-W14-W15</x:f>
        <x:v>48072777.59730074</x:v>
      </x:c>
      <x:c r="X16" s="43" t="n">
        <x:f>X13+X11-X14-X15</x:f>
        <x:v>48178988.49791113</x:v>
      </x:c>
      <x:c r="Y16" s="43" t="n">
        <x:f>Y13+Y11-Y14-Y15</x:f>
        <x:v>48314618.35063763</x:v>
      </x:c>
      <x:c r="Z16" s="43" t="n">
        <x:f>Z13+Z11-Z14-Z15</x:f>
        <x:v>48460713.12302768</x:v>
      </x:c>
      <x:c r="AA16" s="43" t="n">
        <x:f>AA13+AA11-AA14-AA15</x:f>
        <x:v>48600486.183197916</x:v>
      </x:c>
      <x:c r="AB16" s="43" t="n">
        <x:f>AB13+AB11-AB14-AB15</x:f>
        <x:v>48720053.90417323</x:v>
      </x:c>
      <x:c r="AC16" s="43" t="n">
        <x:f>AC13+AC11-AC14-AC15</x:f>
        <x:v>48808284.42771657</x:v>
      </x:c>
      <x:c r="AD16" s="43" t="n">
        <x:f>AD13+AD11-AD14-AD15</x:f>
        <x:v>48856175.516171865</x:v>
      </x:c>
      <x:c r="AE16" s="43" t="n">
        <x:f>AE13+AE11-AE14-AE15</x:f>
        <x:v>48856175.516171865</x:v>
      </x:c>
      <x:c r="AF16" s="43" t="n">
        <x:f>AF13+AF11-AF14-AF15</x:f>
        <x:v>48856175.516171865</x:v>
      </x:c>
      <x:c r="AG16" s="43" t="n">
        <x:f>AG13+AG11-AG14-AG15</x:f>
        <x:v>48856175.516171865</x:v>
      </x:c>
      <x:c r="AH16" s="43" t="n">
        <x:f>AH13+AH11-AH14-AH15</x:f>
        <x:v>48856175.516171865</x:v>
      </x:c>
      <x:c r="AI16" s="43" t="n">
        <x:f>AI13+AI11-AI14-AI15</x:f>
        <x:v>48856175.516171865</x:v>
      </x:c>
      <x:c r="AJ16" s="43" t="n">
        <x:f>AJ13+AJ11-AJ14-AJ15</x:f>
        <x:v>48856175.516171865</x:v>
      </x:c>
      <x:c r="AK16" s="43" t="n">
        <x:f>AK13+AK11-AK14-AK15</x:f>
        <x:v>48856175.516171865</x:v>
      </x:c>
      <x:c r="AL16" s="43" t="n">
        <x:f>AL13+AL11-AL14-AL15</x:f>
        <x:v>48856175.516171865</x:v>
      </x:c>
      <x:c r="AM16" s="43" t="n">
        <x:f>AM13+AM11-AM14-AM15</x:f>
        <x:v>48856175.516171865</x:v>
      </x:c>
      <x:c r="AN16" s="43" t="n">
        <x:f>AN13+AN11-AN14-AN15</x:f>
        <x:v>48856175.516171865</x:v>
      </x:c>
      <x:c r="AO16" s="43" t="n">
        <x:f>AO13+AO11-AO14-AO15</x:f>
        <x:v>48856175.516171865</x:v>
      </x:c>
      <x:c r="AP16" s="43" t="n">
        <x:f>AP13+AP11-AP14-AP15</x:f>
        <x:v>48856175.516171865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6916745.761088034</x:v>
      </x:c>
      <x:c r="F18" s="2"/>
      <x:c r="G18" s="35" t="n">
        <x:f>$E$48</x:f>
        <x:v>6916745.761088034</x:v>
      </x:c>
      <x:c r="H18" s="35" t="n">
        <x:f>G20</x:f>
        <x:v>6869145.717452338</x:v>
      </x:c>
      <x:c r="I18" s="35" t="n">
        <x:f>H20</x:f>
        <x:v>6906817.927486362</x:v>
      </x:c>
      <x:c r="J18" s="35" t="n">
        <x:f>I20</x:f>
        <x:v>7003286.31168502</x:v>
      </x:c>
      <x:c r="K18" s="35" t="n">
        <x:f>J20</x:f>
        <x:v>7130268.7621668</x:v>
      </x:c>
      <x:c r="L18" s="35" t="n">
        <x:f>K20</x:f>
        <x:v>7261097.980156245</x:v>
      </x:c>
      <x:c r="M18" s="35" t="n">
        <x:f>L20</x:f>
        <x:v>7375513.3297162345</x:v>
      </x:c>
      <x:c r="N18" s="35" t="n">
        <x:f>M20</x:f>
        <x:v>7463304.324076877</x:v>
      </x:c>
      <x:c r="O18" s="35" t="n">
        <x:f>N20</x:f>
        <x:v>7523935.375125657</x:v>
      </x:c>
      <x:c r="P18" s="35" t="n">
        <x:f>O20</x:f>
        <x:v>7562585.467539224</x:v>
      </x:c>
      <x:c r="Q18" s="35" t="n">
        <x:f>P20</x:f>
        <x:v>7585852.306025202</x:v>
      </x:c>
      <x:c r="R18" s="35" t="n">
        <x:f>Q20</x:f>
        <x:v>7599318.311639216</x:v>
      </x:c>
      <x:c r="S18" s="35" t="n">
        <x:f>R20</x:f>
        <x:v>7606904.512067983</x:v>
      </x:c>
      <x:c r="T18" s="35" t="n">
        <x:f>S20</x:f>
        <x:v>7611096.348827953</x:v>
      </x:c>
      <x:c r="U18" s="35" t="n">
        <x:f>T20</x:f>
        <x:v>7613377.495038849</x:v>
      </x:c>
      <x:c r="V18" s="35" t="n">
        <x:f>U20</x:f>
        <x:v>7614601.937429369</x:v>
      </x:c>
      <x:c r="W18" s="35" t="n">
        <x:f>V20</x:f>
        <x:v>7615249.94242912</x:v>
      </x:c>
      <x:c r="X18" s="35" t="n">
        <x:f>W20</x:f>
        <x:v>7615587.3225278</x:v>
      </x:c>
      <x:c r="Y18" s="35" t="n">
        <x:f>X20</x:f>
        <x:v>7615759.4023820255</x:v>
      </x:c>
      <x:c r="Z18" s="35" t="n">
        <x:f>Y20</x:f>
        <x:v>7615844.78456552</x:v>
      </x:c>
      <x:c r="AA18" s="35" t="n">
        <x:f>Z20</x:f>
        <x:v>7615885.529368104</x:v>
      </x:c>
      <x:c r="AB18" s="35" t="n">
        <x:f>AA20</x:f>
        <x:v>7615903.872374076</x:v>
      </x:c>
      <x:c r="AC18" s="35" t="n">
        <x:f>AB20</x:f>
        <x:v>7615911.391623903</x:v>
      </x:c>
      <x:c r="AD18" s="35" t="n">
        <x:f>AC20</x:f>
        <x:v>7615913.992991415</x:v>
      </x:c>
      <x:c r="AE18" s="35" t="n">
        <x:f>AD20</x:f>
        <x:v>7615914.601292427</x:v>
      </x:c>
      <x:c r="AF18" s="35" t="n">
        <x:f>AE20</x:f>
        <x:v>7615914.601292426</x:v>
      </x:c>
      <x:c r="AG18" s="35" t="n">
        <x:f>AF20</x:f>
        <x:v>7615914.601292426</x:v>
      </x:c>
      <x:c r="AH18" s="35" t="n">
        <x:f>AG20</x:f>
        <x:v>7615914.601292426</x:v>
      </x:c>
      <x:c r="AI18" s="35" t="n">
        <x:f>AH20</x:f>
        <x:v>7615914.601292426</x:v>
      </x:c>
      <x:c r="AJ18" s="35" t="n">
        <x:f>AI20</x:f>
        <x:v>7615914.601292426</x:v>
      </x:c>
      <x:c r="AK18" s="35" t="n">
        <x:f>AJ20</x:f>
        <x:v>7615914.601292426</x:v>
      </x:c>
      <x:c r="AL18" s="35" t="n">
        <x:f>AK20</x:f>
        <x:v>7615914.601292426</x:v>
      </x:c>
      <x:c r="AM18" s="35" t="n">
        <x:f>AL20</x:f>
        <x:v>7615914.601292426</x:v>
      </x:c>
      <x:c r="AN18" s="35" t="n">
        <x:f>AM20</x:f>
        <x:v>7615914.601292426</x:v>
      </x:c>
      <x:c r="AO18" s="35" t="n">
        <x:f>AN20</x:f>
        <x:v>7615914.601292426</x:v>
      </x:c>
      <x:c r="AP18" s="35" t="n">
        <x:f>AO20</x:f>
        <x:v>7615914.601292426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32329049.842320956</x:v>
      </x:c>
      <x:c r="F19" s="2"/>
      <x:c r="G19" s="35" t="n">
        <x:f>G11*$E$49</x:f>
        <x:v>1347043.743430039</x:v>
      </x:c>
      <x:c r="H19" s="35" t="n">
        <x:f>H11*$E$49</x:f>
        <x:v>1347043.743430039</x:v>
      </x:c>
      <x:c r="I19" s="35" t="n">
        <x:f>I11*$E$49</x:f>
        <x:v>1347043.743430039</x:v>
      </x:c>
      <x:c r="J19" s="35" t="n">
        <x:f>J11*$E$49</x:f>
        <x:v>1347043.743430039</x:v>
      </x:c>
      <x:c r="K19" s="35" t="n">
        <x:f>K11*$E$49</x:f>
        <x:v>1347043.743430039</x:v>
      </x:c>
      <x:c r="L19" s="35" t="n">
        <x:f>L11*$E$49</x:f>
        <x:v>1347043.743430039</x:v>
      </x:c>
      <x:c r="M19" s="35" t="n">
        <x:f>M11*$E$49</x:f>
        <x:v>1347043.743430039</x:v>
      </x:c>
      <x:c r="N19" s="35" t="n">
        <x:f>N11*$E$49</x:f>
        <x:v>1347043.743430039</x:v>
      </x:c>
      <x:c r="O19" s="35" t="n">
        <x:f>O11*$E$49</x:f>
        <x:v>1347043.743430039</x:v>
      </x:c>
      <x:c r="P19" s="35" t="n">
        <x:f>P11*$E$49</x:f>
        <x:v>1347043.743430039</x:v>
      </x:c>
      <x:c r="Q19" s="35" t="n">
        <x:f>Q11*$E$49</x:f>
        <x:v>1347043.743430039</x:v>
      </x:c>
      <x:c r="R19" s="35" t="n">
        <x:f>R11*$E$49</x:f>
        <x:v>1347043.743430039</x:v>
      </x:c>
      <x:c r="S19" s="35" t="n">
        <x:f>S11*$E$49</x:f>
        <x:v>1347043.743430039</x:v>
      </x:c>
      <x:c r="T19" s="35" t="n">
        <x:f>T11*$E$49</x:f>
        <x:v>1347043.743430039</x:v>
      </x:c>
      <x:c r="U19" s="35" t="n">
        <x:f>U11*$E$49</x:f>
        <x:v>1347043.743430039</x:v>
      </x:c>
      <x:c r="V19" s="35" t="n">
        <x:f>V11*$E$49</x:f>
        <x:v>1347043.743430039</x:v>
      </x:c>
      <x:c r="W19" s="35" t="n">
        <x:f>W11*$E$49</x:f>
        <x:v>1347043.743430039</x:v>
      </x:c>
      <x:c r="X19" s="35" t="n">
        <x:f>X11*$E$49</x:f>
        <x:v>1347043.743430039</x:v>
      </x:c>
      <x:c r="Y19" s="35" t="n">
        <x:f>Y11*$E$49</x:f>
        <x:v>1347043.743430039</x:v>
      </x:c>
      <x:c r="Z19" s="35" t="n">
        <x:f>Z11*$E$49</x:f>
        <x:v>1347043.743430039</x:v>
      </x:c>
      <x:c r="AA19" s="35" t="n">
        <x:f>AA11*$E$49</x:f>
        <x:v>1347043.743430039</x:v>
      </x:c>
      <x:c r="AB19" s="35" t="n">
        <x:f>AB11*$E$49</x:f>
        <x:v>1347043.743430039</x:v>
      </x:c>
      <x:c r="AC19" s="35" t="n">
        <x:f>AC11*$E$49</x:f>
        <x:v>1347043.743430039</x:v>
      </x:c>
      <x:c r="AD19" s="35" t="n">
        <x:f>AD11*$E$49</x:f>
        <x:v>1347043.743430039</x:v>
      </x:c>
      <x:c r="AE19" s="35" t="n">
        <x:f>AE11*$E$49</x:f>
        <x:v>1347043.743430039</x:v>
      </x:c>
      <x:c r="AF19" s="35" t="n">
        <x:f>AF11*$E$49</x:f>
        <x:v>1347043.743430039</x:v>
      </x:c>
      <x:c r="AG19" s="35" t="n">
        <x:f>AG11*$E$49</x:f>
        <x:v>1347043.743430039</x:v>
      </x:c>
      <x:c r="AH19" s="35" t="n">
        <x:f>AH11*$E$49</x:f>
        <x:v>1347043.743430039</x:v>
      </x:c>
      <x:c r="AI19" s="35" t="n">
        <x:f>AI11*$E$49</x:f>
        <x:v>1347043.743430039</x:v>
      </x:c>
      <x:c r="AJ19" s="35" t="n">
        <x:f>AJ11*$E$49</x:f>
        <x:v>1347043.743430039</x:v>
      </x:c>
      <x:c r="AK19" s="35" t="n">
        <x:f>AK11*$E$49</x:f>
        <x:v>1347043.743430039</x:v>
      </x:c>
      <x:c r="AL19" s="35" t="n">
        <x:f>AL11*$E$49</x:f>
        <x:v>1347043.743430039</x:v>
      </x:c>
      <x:c r="AM19" s="35" t="n">
        <x:f>AM11*$E$49</x:f>
        <x:v>1347043.743430039</x:v>
      </x:c>
      <x:c r="AN19" s="35" t="n">
        <x:f>AN11*$E$49</x:f>
        <x:v>1347043.743430039</x:v>
      </x:c>
      <x:c r="AO19" s="35" t="n">
        <x:f>AO11*$E$49</x:f>
        <x:v>1347043.743430039</x:v>
      </x:c>
      <x:c r="AP19" s="35" t="n">
        <x:f>AP11*$E$49</x:f>
        <x:v>1347043.743430039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7615914.601292427</x:v>
      </x:c>
      <x:c r="F20" s="42"/>
      <x:c r="G20" s="43" t="n">
        <x:f>G18+G19-G15</x:f>
        <x:v>6869145.717452338</x:v>
      </x:c>
      <x:c r="H20" s="43" t="n">
        <x:f>H18+H19-H15</x:f>
        <x:v>6906817.927486362</x:v>
      </x:c>
      <x:c r="I20" s="43" t="n">
        <x:f>I18+I19-I15</x:f>
        <x:v>7003286.31168502</x:v>
      </x:c>
      <x:c r="J20" s="43" t="n">
        <x:f>J18+J19-J15</x:f>
        <x:v>7130268.7621668</x:v>
      </x:c>
      <x:c r="K20" s="43" t="n">
        <x:f>K18+K19-K15</x:f>
        <x:v>7261097.980156245</x:v>
      </x:c>
      <x:c r="L20" s="43" t="n">
        <x:f>L18+L19-L15</x:f>
        <x:v>7375513.3297162345</x:v>
      </x:c>
      <x:c r="M20" s="43" t="n">
        <x:f>M18+M19-M15</x:f>
        <x:v>7463304.324076877</x:v>
      </x:c>
      <x:c r="N20" s="43" t="n">
        <x:f>N18+N19-N15</x:f>
        <x:v>7523935.375125657</x:v>
      </x:c>
      <x:c r="O20" s="43" t="n">
        <x:f>O18+O19-O15</x:f>
        <x:v>7562585.467539224</x:v>
      </x:c>
      <x:c r="P20" s="43" t="n">
        <x:f>P18+P19-P15</x:f>
        <x:v>7585852.306025202</x:v>
      </x:c>
      <x:c r="Q20" s="43" t="n">
        <x:f>Q18+Q19-Q15</x:f>
        <x:v>7599318.311639216</x:v>
      </x:c>
      <x:c r="R20" s="43" t="n">
        <x:f>R18+R19-R15</x:f>
        <x:v>7606904.512067983</x:v>
      </x:c>
      <x:c r="S20" s="43" t="n">
        <x:f>S18+S19-S15</x:f>
        <x:v>7611096.348827953</x:v>
      </x:c>
      <x:c r="T20" s="43" t="n">
        <x:f>T18+T19-T15</x:f>
        <x:v>7613377.495038849</x:v>
      </x:c>
      <x:c r="U20" s="43" t="n">
        <x:f>U18+U19-U15</x:f>
        <x:v>7614601.937429369</x:v>
      </x:c>
      <x:c r="V20" s="43" t="n">
        <x:f>V18+V19-V15</x:f>
        <x:v>7615249.94242912</x:v>
      </x:c>
      <x:c r="W20" s="43" t="n">
        <x:f>W18+W19-W15</x:f>
        <x:v>7615587.3225278</x:v>
      </x:c>
      <x:c r="X20" s="43" t="n">
        <x:f>X18+X19-X15</x:f>
        <x:v>7615759.4023820255</x:v>
      </x:c>
      <x:c r="Y20" s="43" t="n">
        <x:f>Y18+Y19-Y15</x:f>
        <x:v>7615844.78456552</x:v>
      </x:c>
      <x:c r="Z20" s="43" t="n">
        <x:f>Z18+Z19-Z15</x:f>
        <x:v>7615885.529368104</x:v>
      </x:c>
      <x:c r="AA20" s="43" t="n">
        <x:f>AA18+AA19-AA15</x:f>
        <x:v>7615903.872374076</x:v>
      </x:c>
      <x:c r="AB20" s="43" t="n">
        <x:f>AB18+AB19-AB15</x:f>
        <x:v>7615911.391623903</x:v>
      </x:c>
      <x:c r="AC20" s="43" t="n">
        <x:f>AC18+AC19-AC15</x:f>
        <x:v>7615913.992991415</x:v>
      </x:c>
      <x:c r="AD20" s="43" t="n">
        <x:f>AD18+AD19-AD15</x:f>
        <x:v>7615914.601292427</x:v>
      </x:c>
      <x:c r="AE20" s="43" t="n">
        <x:f>AE18+AE19-AE15</x:f>
        <x:v>7615914.601292426</x:v>
      </x:c>
      <x:c r="AF20" s="43" t="n">
        <x:f>AF18+AF19-AF15</x:f>
        <x:v>7615914.601292426</x:v>
      </x:c>
      <x:c r="AG20" s="43" t="n">
        <x:f>AG18+AG19-AG15</x:f>
        <x:v>7615914.601292426</x:v>
      </x:c>
      <x:c r="AH20" s="43" t="n">
        <x:f>AH18+AH19-AH15</x:f>
        <x:v>7615914.601292426</x:v>
      </x:c>
      <x:c r="AI20" s="43" t="n">
        <x:f>AI18+AI19-AI15</x:f>
        <x:v>7615914.601292426</x:v>
      </x:c>
      <x:c r="AJ20" s="43" t="n">
        <x:f>AJ18+AJ19-AJ15</x:f>
        <x:v>7615914.601292426</x:v>
      </x:c>
      <x:c r="AK20" s="43" t="n">
        <x:f>AK18+AK19-AK15</x:f>
        <x:v>7615914.601292426</x:v>
      </x:c>
      <x:c r="AL20" s="43" t="n">
        <x:f>AL18+AL19-AL15</x:f>
        <x:v>7615914.601292426</x:v>
      </x:c>
      <x:c r="AM20" s="43" t="n">
        <x:f>AM18+AM19-AM15</x:f>
        <x:v>7615914.601292426</x:v>
      </x:c>
      <x:c r="AN20" s="43" t="n">
        <x:f>AN18+AN19-AN15</x:f>
        <x:v>7615914.601292426</x:v>
      </x:c>
      <x:c r="AO20" s="43" t="n">
        <x:f>AO18+AO19-AO15</x:f>
        <x:v>7615914.601292426</x:v>
      </x:c>
      <x:c r="AP20" s="43" t="n">
        <x:f>AP18+AP19-AP15</x:f>
        <x:v>7615914.601292426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41240260.91487944</x:v>
      </x:c>
      <x:c r="F21" s="42"/>
      <x:c r="G21" s="43" t="n">
        <x:f>G16-G20</x:f>
        <x:v>62043595.057337545</x:v>
      </x:c>
      <x:c r="H21" s="43" t="n">
        <x:f>H16-H20</x:f>
        <x:v>57120402.70647238</x:v>
      </x:c>
      <x:c r="I21" s="43" t="n">
        <x:f>I16-I20</x:f>
        <x:v>53485884.06629292</x:v>
      </x:c>
      <x:c r="J21" s="43" t="n">
        <x:f>J16-J20</x:f>
        <x:v>50653295.978802726</x:v>
      </x:c>
      <x:c r="K21" s="43" t="n">
        <x:f>K16-K20</x:f>
        <x:v>48386833.49641699</x:v>
      </x:c>
      <x:c r="L21" s="43" t="n">
        <x:f>L16-L20</x:f>
        <x:v>46549605.14471822</x:v>
      </x:c>
      <x:c r="M21" s="43" t="n">
        <x:f>M16-M20</x:f>
        <x:v>45053405.585907996</x:v>
      </x:c>
      <x:c r="N21" s="43" t="n">
        <x:f>N16-N20</x:f>
        <x:v>43837250.538328595</x:v>
      </x:c>
      <x:c r="O21" s="43" t="n">
        <x:f>O16-O20</x:f>
        <x:v>42856670.71060024</x:v>
      </x:c>
      <x:c r="P21" s="43" t="n">
        <x:f>P16-P20</x:f>
        <x:v>42077816.82261052</x:v>
      </x:c>
      <x:c r="Q21" s="43" t="n">
        <x:f>Q16-Q20</x:f>
        <x:v>41473953.495076746</x:v>
      </x:c>
      <x:c r="R21" s="43" t="n">
        <x:f>R16-R20</x:f>
        <x:v>41023196.38909861</x:v>
      </x:c>
      <x:c r="S21" s="43" t="n">
        <x:f>S16-S20</x:f>
        <x:v>40706896.51769509</x:v>
      </x:c>
      <x:c r="T21" s="43" t="n">
        <x:f>T16-T20</x:f>
        <x:v>40508339.44205982</x:v>
      </x:c>
      <x:c r="U21" s="43" t="n">
        <x:f>U16-U20</x:f>
        <x:v>40411576.53494807</x:v>
      </x:c>
      <x:c r="V21" s="43" t="n">
        <x:f>V16-V20</x:f>
        <x:v>40400341.045580156</x:v>
      </x:c>
      <x:c r="W21" s="43" t="n">
        <x:f>W16-W20</x:f>
        <x:v>40457190.27477294</x:v>
      </x:c>
      <x:c r="X21" s="43" t="n">
        <x:f>X16-X20</x:f>
        <x:v>40563229.09552911</x:v>
      </x:c>
      <x:c r="Y21" s="43" t="n">
        <x:f>Y16-Y20</x:f>
        <x:v>40698773.56607211</x:v>
      </x:c>
      <x:c r="Z21" s="43" t="n">
        <x:f>Z16-Z20</x:f>
        <x:v>40844827.59365958</x:v>
      </x:c>
      <x:c r="AA21" s="43" t="n">
        <x:f>AA16-AA20</x:f>
        <x:v>40984582.31082384</x:v>
      </x:c>
      <x:c r="AB21" s="43" t="n">
        <x:f>AB16-AB20</x:f>
        <x:v>41104142.512549326</x:v>
      </x:c>
      <x:c r="AC21" s="43" t="n">
        <x:f>AC16-AC20</x:f>
        <x:v>41192370.43472515</x:v>
      </x:c>
      <x:c r="AD21" s="43" t="n">
        <x:f>AD16-AD20</x:f>
        <x:v>41240260.91487944</x:v>
      </x:c>
      <x:c r="AE21" s="43" t="n">
        <x:f>AE16-AE20</x:f>
        <x:v>41240260.91487944</x:v>
      </x:c>
      <x:c r="AF21" s="43" t="n">
        <x:f>AF16-AF20</x:f>
        <x:v>41240260.91487944</x:v>
      </x:c>
      <x:c r="AG21" s="43" t="n">
        <x:f>AG16-AG20</x:f>
        <x:v>41240260.91487944</x:v>
      </x:c>
      <x:c r="AH21" s="43" t="n">
        <x:f>AH16-AH20</x:f>
        <x:v>41240260.91487944</x:v>
      </x:c>
      <x:c r="AI21" s="43" t="n">
        <x:f>AI16-AI20</x:f>
        <x:v>41240260.91487944</x:v>
      </x:c>
      <x:c r="AJ21" s="43" t="n">
        <x:f>AJ16-AJ20</x:f>
        <x:v>41240260.91487944</x:v>
      </x:c>
      <x:c r="AK21" s="43" t="n">
        <x:f>AK16-AK20</x:f>
        <x:v>41240260.91487944</x:v>
      </x:c>
      <x:c r="AL21" s="43" t="n">
        <x:f>AL16-AL20</x:f>
        <x:v>41240260.91487944</x:v>
      </x:c>
      <x:c r="AM21" s="43" t="n">
        <x:f>AM16-AM20</x:f>
        <x:v>41240260.91487944</x:v>
      </x:c>
      <x:c r="AN21" s="43" t="n">
        <x:f>AN16-AN20</x:f>
        <x:v>41240260.91487944</x:v>
      </x:c>
      <x:c r="AO21" s="43" t="n">
        <x:f>AO16-AO20</x:f>
        <x:v>41240260.91487944</x:v>
      </x:c>
      <x:c r="AP21" s="43" t="n">
        <x:f>AP16-AP20</x:f>
        <x:v>41240260.91487944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'Assumptions'!$F$15</x:f>
        <x:v>0.55</x:v>
      </x:c>
      <x:c r="H23" s="33" t="n">
        <x:f>'Assumptions'!$F$15</x:f>
        <x:v>0.55</x:v>
      </x:c>
      <x:c r="I23" s="33" t="n">
        <x:f>'Assumptions'!$F$15</x:f>
        <x:v>0.55</x:v>
      </x:c>
      <x:c r="J23" s="33" t="n">
        <x:f>'Assumptions'!$F$15</x:f>
        <x:v>0.55</x:v>
      </x:c>
      <x:c r="K23" s="33" t="n">
        <x:f>'Assumptions'!$F$15</x:f>
        <x:v>0.55</x:v>
      </x:c>
      <x:c r="L23" s="33" t="n">
        <x:f>'Assumptions'!$F$15</x:f>
        <x:v>0.55</x:v>
      </x:c>
      <x:c r="M23" s="33" t="n">
        <x:f>'Assumptions'!$F$15</x:f>
        <x:v>0.55</x:v>
      </x:c>
      <x:c r="N23" s="33" t="n">
        <x:f>'Assumptions'!$F$15</x:f>
        <x:v>0.55</x:v>
      </x:c>
      <x:c r="O23" s="33" t="n">
        <x:f>'Assumptions'!$F$15</x:f>
        <x:v>0.55</x:v>
      </x:c>
      <x:c r="P23" s="33" t="n">
        <x:f>'Assumptions'!$F$15</x:f>
        <x:v>0.55</x:v>
      </x:c>
      <x:c r="Q23" s="33" t="n">
        <x:f>'Assumptions'!$F$15</x:f>
        <x:v>0.55</x:v>
      </x:c>
      <x:c r="R23" s="33" t="n">
        <x:f>'Assumptions'!$F$15</x:f>
        <x:v>0.55</x:v>
      </x:c>
      <x:c r="S23" s="33" t="n">
        <x:f>'Assumptions'!$F$15</x:f>
        <x:v>0.55</x:v>
      </x:c>
      <x:c r="T23" s="33" t="n">
        <x:f>'Assumptions'!$F$15</x:f>
        <x:v>0.55</x:v>
      </x:c>
      <x:c r="U23" s="33" t="n">
        <x:f>'Assumptions'!$F$15</x:f>
        <x:v>0.55</x:v>
      </x:c>
      <x:c r="V23" s="33" t="n">
        <x:f>'Assumptions'!$F$15</x:f>
        <x:v>0.55</x:v>
      </x:c>
      <x:c r="W23" s="33" t="n">
        <x:f>'Assumptions'!$F$15</x:f>
        <x:v>0.55</x:v>
      </x:c>
      <x:c r="X23" s="33" t="n">
        <x:f>'Assumptions'!$F$15</x:f>
        <x:v>0.55</x:v>
      </x:c>
      <x:c r="Y23" s="33" t="n">
        <x:f>'Assumptions'!$F$15</x:f>
        <x:v>0.55</x:v>
      </x:c>
      <x:c r="Z23" s="33" t="n">
        <x:f>'Assumptions'!$F$15</x:f>
        <x:v>0.55</x:v>
      </x:c>
      <x:c r="AA23" s="33" t="n">
        <x:f>'Assumptions'!$F$15</x:f>
        <x:v>0.55</x:v>
      </x:c>
      <x:c r="AB23" s="33" t="n">
        <x:f>'Assumptions'!$F$15</x:f>
        <x:v>0.55</x:v>
      </x:c>
      <x:c r="AC23" s="33" t="n">
        <x:f>'Assumptions'!$F$15</x:f>
        <x:v>0.55</x:v>
      </x:c>
      <x:c r="AD23" s="33" t="n">
        <x:f>'Assumptions'!$F$15</x:f>
        <x:v>0.55</x:v>
      </x:c>
      <x:c r="AE23" s="33" t="n">
        <x:f>'Assumptions'!$F$15</x:f>
        <x:v>0.55</x:v>
      </x:c>
      <x:c r="AF23" s="33" t="n">
        <x:f>'Assumptions'!$F$15</x:f>
        <x:v>0.55</x:v>
      </x:c>
      <x:c r="AG23" s="33" t="n">
        <x:f>'Assumptions'!$F$15</x:f>
        <x:v>0.55</x:v>
      </x:c>
      <x:c r="AH23" s="33" t="n">
        <x:f>'Assumptions'!$F$15</x:f>
        <x:v>0.55</x:v>
      </x:c>
      <x:c r="AI23" s="33" t="n">
        <x:f>'Assumptions'!$F$15</x:f>
        <x:v>0.55</x:v>
      </x:c>
      <x:c r="AJ23" s="33" t="n">
        <x:f>'Assumptions'!$F$15</x:f>
        <x:v>0.55</x:v>
      </x:c>
      <x:c r="AK23" s="33" t="n">
        <x:f>'Assumptions'!$F$15</x:f>
        <x:v>0.55</x:v>
      </x:c>
      <x:c r="AL23" s="33" t="n">
        <x:f>'Assumptions'!$F$15</x:f>
        <x:v>0.55</x:v>
      </x:c>
      <x:c r="AM23" s="33" t="n">
        <x:f>'Assumptions'!$F$15</x:f>
        <x:v>0.55</x:v>
      </x:c>
      <x:c r="AN23" s="33" t="n">
        <x:f>'Assumptions'!$F$15</x:f>
        <x:v>0.55</x:v>
      </x:c>
      <x:c r="AO23" s="33" t="n">
        <x:f>'Assumptions'!$F$15</x:f>
        <x:v>0.55</x:v>
      </x:c>
      <x:c r="AP23" s="33" t="n">
        <x:f>'Assumptions'!$F$15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56793800.280371785</x:v>
      </x:c>
      <x:c r="F24" s="42"/>
      <x:c r="G24" s="43" t="n">
        <x:f>(G13-G15)*G23/12</x:f>
        <x:v>3450578.8264261535</x:v>
      </x:c>
      <x:c r="H24" s="43" t="n">
        <x:f>(H13-H15)*H23/12</x:f>
        <x:v>3098487.756897219</x:v>
      </x:c>
      <x:c r="I24" s="43" t="n">
        <x:f>(I13-I15)*I23/12</x:f>
        <x:v>2877262.9084250038</x:v>
      </x:c>
      <x:c r="J24" s="43" t="n">
        <x:f>(J13-J15)*J23/12</x:f>
        <x:v>2716500.8330638604</x:v>
      </x:c>
      <x:c r="K24" s="43" t="n">
        <x:f>(K13-K15)*K23/12</x:f>
        <x:v>2592670.2182117426</x:v>
      </x:c>
      <x:c r="L24" s="43" t="n">
        <x:f>(L13-L15)*L23/12</x:f>
        <x:v>2494034.724623896</x:v>
      </x:c>
      <x:c r="M24" s="43" t="n">
        <x:f>(M13-M15)*M23/12</x:f>
        <x:v>2413852.1790792323</x:v>
      </x:c>
      <x:c r="N24" s="43" t="n">
        <x:f>(N13-N15)*N23/12</x:f>
        <x:v>2348055.2891401653</x:v>
      </x:c>
      <x:c r="O24" s="43" t="n">
        <x:f>(O13-O15)*O23/12</x:f>
        <x:v>2294086.3120283983</x:v>
      </x:c>
      <x:c r="P24" s="43" t="n">
        <x:f>(P13-P15)*P23/12</x:f>
        <x:v>2250209.4666881226</x:v>
      </x:c>
      <x:c r="Q24" s="43" t="n">
        <x:f>(Q13-Q15)*Q23/12</x:f>
        <x:v>2215129.1887459033</x:v>
      </x:c>
      <x:c r="R24" s="43" t="n">
        <x:f>(R13-R15)*R23/12</x:f>
        <x:v>2187799.820420257</x:v>
      </x:c>
      <x:c r="S24" s="43" t="n">
        <x:f>(S13-S15)*S23/12</x:f>
        <x:v>2167332.2455810905</x:v>
      </x:c>
      <x:c r="T24" s="43" t="n">
        <x:f>(T13-T15)*T23/12</x:f>
        <x:v>2152939.720676429</x:v>
      </x:c>
      <x:c r="U24" s="43" t="n">
        <x:f>(U13-U15)*U23/12</x:f>
        <x:v>2143895.308319378</x:v>
      </x:c>
      <x:c r="V24" s="43" t="n">
        <x:f>(V13-V15)*V23/12</x:f>
        <x:v>2139490.041972578</x:v>
      </x:c>
      <x:c r="W24" s="43" t="n">
        <x:f>(W13-W15)*W23/12</x:f>
        <x:v>2138990.5452977377</x:v>
      </x:c>
      <x:c r="X24" s="43" t="n">
        <x:f>(X13-X15)*X23/12</x:f>
        <x:v>2141604.0219623926</x:v>
      </x:c>
      <x:c r="Y24" s="43" t="n">
        <x:f>(Y13-Y15)*Y23/12</x:f>
        <x:v>2146468.0479304604</x:v>
      </x:c>
      <x:c r="Z24" s="43" t="n">
        <x:f>(Z13-Z15)*Z23/12</x:f>
        <x:v>2152682.3703004667</x:v>
      </x:c>
      <x:c r="AA24" s="43" t="n">
        <x:f>(AA13-AA15)*AA23/12</x:f>
        <x:v>2159377.353952666</x:v>
      </x:c>
      <x:c r="AB24" s="43" t="n">
        <x:f>(AB13-AB15)*AB23/12</x:f>
        <x:v>2165783.123121645</x:v>
      </x:c>
      <x:c r="AC24" s="43" t="n">
        <x:f>(AC13-AC15)*AC23/12</x:f>
        <x:v>2171263.084930074</x:v>
      </x:c>
      <x:c r="AD24" s="43" t="n">
        <x:f>(AD13-AD15)*AD23/12</x:f>
        <x:v>2175306.892576929</x:v>
      </x:c>
      <x:c r="AE24" s="43" t="n">
        <x:f>(AE13-AE15)*AE23/12</x:f>
        <x:v>2177501.872917334</x:v>
      </x:c>
      <x:c r="AF24" s="43" t="n">
        <x:f>(AF13-AF15)*AF23/12</x:f>
        <x:v>2177501.872917334</x:v>
      </x:c>
      <x:c r="AG24" s="43" t="n">
        <x:f>(AG13-AG15)*AG23/12</x:f>
        <x:v>2177501.872917334</x:v>
      </x:c>
      <x:c r="AH24" s="43" t="n">
        <x:f>(AH13-AH15)*AH23/12</x:f>
        <x:v>2177501.872917334</x:v>
      </x:c>
      <x:c r="AI24" s="43" t="n">
        <x:f>(AI13-AI15)*AI23/12</x:f>
        <x:v>2177501.872917334</x:v>
      </x:c>
      <x:c r="AJ24" s="43" t="n">
        <x:f>(AJ13-AJ15)*AJ23/12</x:f>
        <x:v>2177501.872917334</x:v>
      </x:c>
      <x:c r="AK24" s="43" t="n">
        <x:f>(AK13-AK15)*AK23/12</x:f>
        <x:v>2177501.872917334</x:v>
      </x:c>
      <x:c r="AL24" s="43" t="n">
        <x:f>(AL13-AL15)*AL23/12</x:f>
        <x:v>2177501.872917334</x:v>
      </x:c>
      <x:c r="AM24" s="43" t="n">
        <x:f>(AM13-AM15)*AM23/12</x:f>
        <x:v>2177501.872917334</x:v>
      </x:c>
      <x:c r="AN24" s="43" t="n">
        <x:f>(AN13-AN15)*AN23/12</x:f>
        <x:v>2177501.872917334</x:v>
      </x:c>
      <x:c r="AO24" s="43" t="n">
        <x:f>(AO13-AO15)*AO23/12</x:f>
        <x:v>2177501.872917334</x:v>
      </x:c>
      <x:c r="AP24" s="43" t="n">
        <x:f>(AP13-AP15)*AP23/12</x:f>
        <x:v>2177501.872917334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24464750.438050866</x:v>
      </x:c>
      <x:c r="F25" s="46"/>
      <x:c r="G25" s="47" t="n">
        <x:f>G24-G19</x:f>
        <x:v>2103535.0829961146</x:v>
      </x:c>
      <x:c r="H25" s="47" t="n">
        <x:f>H24-H19</x:f>
        <x:v>1751444.01346718</x:v>
      </x:c>
      <x:c r="I25" s="47" t="n">
        <x:f>I24-I19</x:f>
        <x:v>1530219.1649949648</x:v>
      </x:c>
      <x:c r="J25" s="47" t="n">
        <x:f>J24-J19</x:f>
        <x:v>1369457.0896338215</x:v>
      </x:c>
      <x:c r="K25" s="47" t="n">
        <x:f>K24-K19</x:f>
        <x:v>1245626.4747817037</x:v>
      </x:c>
      <x:c r="L25" s="47" t="n">
        <x:f>L24-L19</x:f>
        <x:v>1146990.9811938573</x:v>
      </x:c>
      <x:c r="M25" s="47" t="n">
        <x:f>M24-M19</x:f>
        <x:v>1066808.4356491934</x:v>
      </x:c>
      <x:c r="N25" s="47" t="n">
        <x:f>N24-N19</x:f>
        <x:v>1001011.5457101264</x:v>
      </x:c>
      <x:c r="O25" s="47" t="n">
        <x:f>O24-O19</x:f>
        <x:v>947042.5685983594</x:v>
      </x:c>
      <x:c r="P25" s="47" t="n">
        <x:f>P24-P19</x:f>
        <x:v>903165.7232580837</x:v>
      </x:c>
      <x:c r="Q25" s="47" t="n">
        <x:f>Q24-Q19</x:f>
        <x:v>868085.4453158644</x:v>
      </x:c>
      <x:c r="R25" s="47" t="n">
        <x:f>R24-R19</x:f>
        <x:v>840756.0769902179</x:v>
      </x:c>
      <x:c r="S25" s="47" t="n">
        <x:f>S24-S19</x:f>
        <x:v>820288.5021510515</x:v>
      </x:c>
      <x:c r="T25" s="47" t="n">
        <x:f>T24-T19</x:f>
        <x:v>805895.9772463902</x:v>
      </x:c>
      <x:c r="U25" s="47" t="n">
        <x:f>U24-U19</x:f>
        <x:v>796851.5648893393</x:v>
      </x:c>
      <x:c r="V25" s="47" t="n">
        <x:f>V24-V19</x:f>
        <x:v>792446.2985425391</x:v>
      </x:c>
      <x:c r="W25" s="47" t="n">
        <x:f>W24-W19</x:f>
        <x:v>791946.8018676988</x:v>
      </x:c>
      <x:c r="X25" s="47" t="n">
        <x:f>X24-X19</x:f>
        <x:v>794560.2785323537</x:v>
      </x:c>
      <x:c r="Y25" s="47" t="n">
        <x:f>Y24-Y19</x:f>
        <x:v>799424.3045004215</x:v>
      </x:c>
      <x:c r="Z25" s="47" t="n">
        <x:f>Z24-Z19</x:f>
        <x:v>805638.6268704277</x:v>
      </x:c>
      <x:c r="AA25" s="47" t="n">
        <x:f>AA24-AA19</x:f>
        <x:v>812333.6105226269</x:v>
      </x:c>
      <x:c r="AB25" s="47" t="n">
        <x:f>AB24-AB19</x:f>
        <x:v>818739.3796916059</x:v>
      </x:c>
      <x:c r="AC25" s="47" t="n">
        <x:f>AC24-AC19</x:f>
        <x:v>824219.341500035</x:v>
      </x:c>
      <x:c r="AD25" s="47" t="n">
        <x:f>AD24-AD19</x:f>
        <x:v>828263.1491468903</x:v>
      </x:c>
      <x:c r="AE25" s="47" t="n">
        <x:f>AE24-AE19</x:f>
        <x:v>830458.1294872952</x:v>
      </x:c>
      <x:c r="AF25" s="47" t="n">
        <x:f>AF24-AF19</x:f>
        <x:v>830458.1294872952</x:v>
      </x:c>
      <x:c r="AG25" s="47" t="n">
        <x:f>AG24-AG19</x:f>
        <x:v>830458.1294872952</x:v>
      </x:c>
      <x:c r="AH25" s="47" t="n">
        <x:f>AH24-AH19</x:f>
        <x:v>830458.1294872952</x:v>
      </x:c>
      <x:c r="AI25" s="47" t="n">
        <x:f>AI24-AI19</x:f>
        <x:v>830458.1294872952</x:v>
      </x:c>
      <x:c r="AJ25" s="47" t="n">
        <x:f>AJ24-AJ19</x:f>
        <x:v>830458.1294872952</x:v>
      </x:c>
      <x:c r="AK25" s="47" t="n">
        <x:f>AK24-AK19</x:f>
        <x:v>830458.1294872952</x:v>
      </x:c>
      <x:c r="AL25" s="47" t="n">
        <x:f>AL24-AL19</x:f>
        <x:v>830458.1294872952</x:v>
      </x:c>
      <x:c r="AM25" s="47" t="n">
        <x:f>AM24-AM19</x:f>
        <x:v>830458.1294872952</x:v>
      </x:c>
      <x:c r="AN25" s="47" t="n">
        <x:f>AN24-AN19</x:f>
        <x:v>830458.1294872952</x:v>
      </x:c>
      <x:c r="AO25" s="47" t="n">
        <x:f>AO24-AO19</x:f>
        <x:v>830458.1294872952</x:v>
      </x:c>
      <x:c r="AP25" s="47" t="n">
        <x:f>AP24-AP19</x:f>
        <x:v>830458.1294872952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6916745.76108803</x:v>
      </x:c>
      <x:c r="F27" s="2"/>
      <x:c r="G27" s="35" t="n">
        <x:f>SUMPRODUCT($E$160:$E$219,$E$52:$E$111)</x:f>
        <x:v>1394643.7870657349</x:v>
      </x:c>
      <x:c r="H27" s="35" t="n">
        <x:f>SUMPRODUCT($E$160:$E$219,$E$53:$E$112)</x:f>
        <x:v>1243742.9280147452</x:v>
      </x:c>
      <x:c r="I27" s="35" t="n">
        <x:f>SUMPRODUCT($E$160:$E$219,$E$54:$E$113)</x:f>
        <x:v>1085830.8261939134</x:v>
      </x:c>
      <x:c r="J27" s="35" t="n">
        <x:f>SUMPRODUCT($E$160:$E$219,$E$55:$E$114)</x:f>
        <x:v>915785.2900040133</x:v>
      </x:c>
      <x:c r="K27" s="35" t="n">
        <x:f>SUMPRODUCT($E$160:$E$219,$E$56:$E$115)</x:f>
        <x:v>734110.7671335539</x:v>
      </x:c>
      <x:c r="L27" s="35" t="n">
        <x:f>SUMPRODUCT($E$160:$E$219,$E$57:$E$116)</x:f>
        <x:v>551139.7806435259</x:v>
      </x:c>
      <x:c r="M27" s="35" t="n">
        <x:f>SUMPRODUCT($E$160:$E$219,$E$58:$E$117)</x:f>
        <x:v>384679.6285459413</x:v>
      </x:c>
      <x:c r="N27" s="35" t="n">
        <x:f>SUMPRODUCT($E$160:$E$219,$E$59:$E$118)</x:f>
        <x:v>250385.87483924412</x:v>
      </x:c>
      <x:c r="O27" s="35" t="n">
        <x:f>SUMPRODUCT($E$160:$E$219,$E$60:$E$119)</x:f>
        <x:v>153692.1637900094</x:v>
      </x:c>
      <x:c r="P27" s="35" t="n">
        <x:f>SUMPRODUCT($E$160:$E$219,$E$61:$E$120)</x:f>
        <x:v>90214.66068050069</x:v>
      </x:c>
      <x:c r="Q27" s="35" t="n">
        <x:f>SUMPRODUCT($E$160:$E$219,$E$62:$E$121)</x:f>
        <x:v>51266.44606132939</x:v>
      </x:c>
      <x:c r="R27" s="35" t="n">
        <x:f>SUMPRODUCT($E$160:$E$219,$E$63:$E$122)</x:f>
        <x:v>28456.09453394573</x:v>
      </x:c>
      <x:c r="S27" s="35" t="n">
        <x:f>SUMPRODUCT($E$160:$E$219,$E$64:$E$123)</x:f>
        <x:v>15512.051408632095</x:v>
      </x:c>
      <x:c r="T27" s="35" t="n">
        <x:f>SUMPRODUCT($E$160:$E$219,$E$65:$E$124)</x:f>
        <x:v>8326.890210836127</x:v>
      </x:c>
      <x:c r="U27" s="35" t="n">
        <x:f>SUMPRODUCT($E$160:$E$219,$E$66:$E$125)</x:f>
        <x:v>4404.260772337777</x:v>
      </x:c>
      <x:c r="V27" s="35" t="n">
        <x:f>SUMPRODUCT($E$160:$E$219,$E$67:$E$126)</x:f>
        <x:v>2292.7821584719627</x:v>
      </x:c>
      <x:c r="W27" s="35" t="n">
        <x:f>SUMPRODUCT($E$160:$E$219,$E$68:$E$127)</x:f>
        <x:v>1171.609179694184</x:v>
      </x:c>
      <x:c r="X27" s="35" t="n">
        <x:f>SUMPRODUCT($E$160:$E$219,$E$69:$E$128)</x:f>
        <x:v>585.0043677270136</x:v>
      </x:c>
      <x:c r="Y27" s="35" t="n">
        <x:f>SUMPRODUCT($E$160:$E$219,$E$70:$E$129)</x:f>
        <x:v>283.39227164805874</x:v>
      </x:c>
      <x:c r="Z27" s="35" t="n">
        <x:f>SUMPRODUCT($E$160:$E$219,$E$71:$E$130)</x:f>
        <x:v>131.68331005047506</x:v>
      </x:c>
      <x:c r="AA27" s="35" t="n">
        <x:f>SUMPRODUCT($E$160:$E$219,$E$72:$E$131)</x:f>
        <x:v>57.58255929165479</x:v>
      </x:c>
      <x:c r="AB27" s="35" t="n">
        <x:f>SUMPRODUCT($E$160:$E$219,$E$73:$E$132)</x:f>
        <x:v>22.8758227496831</x:v>
      </x:c>
      <x:c r="AC27" s="35" t="n">
        <x:f>SUMPRODUCT($E$160:$E$219,$E$74:$E$133)</x:f>
        <x:v>7.653945267229641</x:v>
      </x:c>
      <x:c r="AD27" s="35" t="n">
        <x:f>SUMPRODUCT($E$160:$E$219,$E$75:$E$134)</x:f>
        <x:v>1.7275748692365613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24713135.241028506</x:v>
      </x:c>
      <x:c r="F28" s="2"/>
      <x:c r="G28" s="35" t="n">
        <x:f>SUMPRODUCT($G$11:G11,$CY$150:$CY$150)</x:f>
        <x:v>0</x:v>
      </x:c>
      <x:c r="H28" s="35" t="n">
        <x:f>SUMPRODUCT($G$11:H11,$CX$150:$CY$150)</x:f>
        <x:v>65628.60538127001</x:v>
      </x:c>
      <x:c r="I28" s="35" t="n">
        <x:f>SUMPRODUCT($G$11:I11,$CW$150:$CY$150)</x:f>
        <x:v>164744.5330374673</x:v>
      </x:c>
      <x:c r="J28" s="35" t="n">
        <x:f>SUMPRODUCT($G$11:J11,$CV$150:$CY$150)</x:f>
        <x:v>304276.00294424576</x:v>
      </x:c>
      <x:c r="K28" s="35" t="n">
        <x:f>SUMPRODUCT($G$11:K11,$CU$150:$CY$150)</x:f>
        <x:v>482103.7583070405</x:v>
      </x:c>
      <x:c r="L28" s="35" t="n">
        <x:f>SUMPRODUCT($G$11:L11,$CT$150:$CY$150)</x:f>
        <x:v>681488.6132265232</x:v>
      </x:c>
      <x:c r="M28" s="35" t="n">
        <x:f>SUMPRODUCT($G$11:M11,$CS$150:$CY$150)</x:f>
        <x:v>874573.1205234542</x:v>
      </x:c>
      <x:c r="N28" s="35" t="n">
        <x:f>SUMPRODUCT($G$11:N11,$CR$150:$CY$150)</x:f>
        <x:v>1036026.8175420156</x:v>
      </x:c>
      <x:c r="O28" s="35" t="n">
        <x:f>SUMPRODUCT($G$11:O11,$CQ$150:$CY$150)</x:f>
        <x:v>1154701.4872264618</x:v>
      </x:c>
      <x:c r="P28" s="35" t="n">
        <x:f>SUMPRODUCT($G$11:P11,$CP$150:$CY$150)</x:f>
        <x:v>1233562.2442635589</x:v>
      </x:c>
      <x:c r="Q28" s="35" t="n">
        <x:f>SUMPRODUCT($G$11:Q11,$CO$150:$CY$150)</x:f>
        <x:v>1282311.291754695</x:v>
      </x:c>
      <x:c r="R28" s="35" t="n">
        <x:f>SUMPRODUCT($G$11:R11,$CN$150:$CY$150)</x:f>
        <x:v>1311001.4484673261</x:v>
      </x:c>
      <x:c r="S28" s="35" t="n">
        <x:f>SUMPRODUCT($G$11:S11,$CM$150:$CY$150)</x:f>
        <x:v>1327339.8552614364</x:v>
      </x:c>
      <x:c r="T28" s="35" t="n">
        <x:f>SUMPRODUCT($G$11:T11,$CL$150:$CY$150)</x:f>
        <x:v>1336435.7070083062</x:v>
      </x:c>
      <x:c r="U28" s="35" t="n">
        <x:f>SUMPRODUCT($G$11:U11,$CK$150:$CY$150)</x:f>
        <x:v>1341415.0402671823</x:v>
      </x:c>
      <x:c r="V28" s="35" t="n">
        <x:f>SUMPRODUCT($G$11:V11,$CJ$150:$CY$150)</x:f>
        <x:v>1344102.9562718172</x:v>
      </x:c>
      <x:c r="W28" s="35" t="n">
        <x:f>SUMPRODUCT($G$11:W11,$CI$150:$CY$150)</x:f>
        <x:v>1345534.7541516647</x:v>
      </x:c>
      <x:c r="X28" s="35" t="n">
        <x:f>SUMPRODUCT($G$11:X11,$CH$150:$CY$150)</x:f>
        <x:v>1346286.6592080866</x:v>
      </x:c>
      <x:c r="Y28" s="35" t="n">
        <x:f>SUMPRODUCT($G$11:Y11,$CG$150:$CY$150)</x:f>
        <x:v>1346674.968974897</x:v>
      </x:c>
      <x:c r="Z28" s="35" t="n">
        <x:f>SUMPRODUCT($G$11:Z11,$CF$150:$CY$150)</x:f>
        <x:v>1346871.315317403</x:v>
      </x:c>
      <x:c r="AA28" s="35" t="n">
        <x:f>SUMPRODUCT($G$11:AA11,$CE$150:$CY$150)</x:f>
        <x:v>1346967.8178647754</x:v>
      </x:c>
      <x:c r="AB28" s="35" t="n">
        <x:f>SUMPRODUCT($G$11:AB11,$CD$150:$CY$150)</x:f>
        <x:v>1347013.348357462</x:v>
      </x:c>
      <x:c r="AC28" s="35" t="n">
        <x:f>SUMPRODUCT($G$11:AC11,$CC$150:$CY$150)</x:f>
        <x:v>1347033.48811726</x:v>
      </x:c>
      <x:c r="AD28" s="35" t="n">
        <x:f>SUMPRODUCT($G$11:AD11,$CB$150:$CY$150)</x:f>
        <x:v>1347041.4075541587</x:v>
      </x:c>
      <x:c r="AE28" s="35" t="n">
        <x:f>SUMPRODUCT($G$11:AE11,$CA$150:$CY$150)</x:f>
        <x:v>1347043.7434300384</x:v>
      </x:c>
      <x:c r="AF28" s="35" t="n">
        <x:f>SUMPRODUCT($G$11:AF11,$BZ$150:$CY$150)</x:f>
        <x:v>1347043.7434300384</x:v>
      </x:c>
      <x:c r="AG28" s="35" t="n">
        <x:f>SUMPRODUCT($G$11:AG11,$BY$150:$CY$150)</x:f>
        <x:v>1347043.7434300384</x:v>
      </x:c>
      <x:c r="AH28" s="35" t="n">
        <x:f>SUMPRODUCT($G$11:AH11,$BX$150:$CY$150)</x:f>
        <x:v>1347043.7434300384</x:v>
      </x:c>
      <x:c r="AI28" s="35" t="n">
        <x:f>SUMPRODUCT($G$11:AI11,$BW$150:$CY$150)</x:f>
        <x:v>1347043.7434300384</x:v>
      </x:c>
      <x:c r="AJ28" s="35" t="n">
        <x:f>SUMPRODUCT($G$11:AJ11,$BV$150:$CY$150)</x:f>
        <x:v>1347043.7434300384</x:v>
      </x:c>
      <x:c r="AK28" s="35" t="n">
        <x:f>SUMPRODUCT($G$11:AK11,$BU$150:$CY$150)</x:f>
        <x:v>1347043.7434300384</x:v>
      </x:c>
      <x:c r="AL28" s="35" t="n">
        <x:f>SUMPRODUCT($G$11:AL11,$BT$150:$CY$150)</x:f>
        <x:v>1347043.7434300384</x:v>
      </x:c>
      <x:c r="AM28" s="35" t="n">
        <x:f>SUMPRODUCT($G$11:AM11,$BS$150:$CY$150)</x:f>
        <x:v>1347043.7434300384</x:v>
      </x:c>
      <x:c r="AN28" s="35" t="n">
        <x:f>SUMPRODUCT($G$11:AN11,$BR$150:$CY$150)</x:f>
        <x:v>1347043.7434300384</x:v>
      </x:c>
      <x:c r="AO28" s="35" t="n">
        <x:f>SUMPRODUCT($G$11:AO11,$BQ$150:$CY$150)</x:f>
        <x:v>1347043.7434300384</x:v>
      </x:c>
      <x:c r="AP28" s="35" t="n">
        <x:f>SUMPRODUCT($G$11:AP11,$BP$150:$CY$150)</x:f>
        <x:v>1347043.7434300384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69763254.23891196</x:v>
      </x:c>
      <x:c r="F29" s="2"/>
      <x:c r="G29" s="35" t="n">
        <x:f>SUMPRODUCT($E$160:$E$219,$F$52:$F$111)</x:f>
        <x:v>10692615.438144373</x:v>
      </x:c>
      <x:c r="H29" s="35" t="n">
        <x:f>SUMPRODUCT($E$160:$E$219,$F$53:$F$112)</x:f>
        <x:v>7795198.325421339</x:v>
      </x:c>
      <x:c r="I29" s="35" t="n">
        <x:f>SUMPRODUCT($E$160:$E$219,$F$54:$F$113)</x:f>
        <x:v>6403466.904984364</x:v>
      </x:c>
      <x:c r="J29" s="35" t="n">
        <x:f>SUMPRODUCT($E$160:$E$219,$F$55:$F$114)</x:f>
        <x:v>5497561.270403735</x:v>
      </x:c>
      <x:c r="K29" s="35" t="n">
        <x:f>SUMPRODUCT($E$160:$E$219,$F$56:$F$115)</x:f>
        <x:v>4827910.390303739</x:v>
      </x:c>
      <x:c r="L29" s="35" t="n">
        <x:f>SUMPRODUCT($E$160:$E$219,$F$57:$F$116)</x:f>
        <x:v>4296706.423806498</x:v>
      </x:c>
      <x:c r="M29" s="35" t="n">
        <x:f>SUMPRODUCT($E$160:$E$219,$F$58:$F$117)</x:f>
        <x:v>3855623.2911882927</x:v>
      </x:c>
      <x:c r="N29" s="35" t="n">
        <x:f>SUMPRODUCT($E$160:$E$219,$F$59:$F$118)</x:f>
        <x:v>3476904.425480126</x:v>
      </x:c>
      <x:c r="O29" s="35" t="n">
        <x:f>SUMPRODUCT($E$160:$E$219,$F$60:$F$119)</x:f>
        <x:v>3142894.319471907</x:v>
      </x:c>
      <x:c r="P29" s="35" t="n">
        <x:f>SUMPRODUCT($E$160:$E$219,$F$61:$F$120)</x:f>
        <x:v>2841669.7168020927</x:v>
      </x:c>
      <x:c r="Q29" s="35" t="n">
        <x:f>SUMPRODUCT($E$160:$E$219,$F$62:$F$121)</x:f>
        <x:v>2564951.059435763</x:v>
      </x:c>
      <x:c r="R29" s="35" t="n">
        <x:f>SUMPRODUCT($E$160:$E$219,$F$63:$F$122)</x:f>
        <x:v>2306960.9331634436</x:v>
      </x:c>
      <x:c r="S29" s="35" t="n">
        <x:f>SUMPRODUCT($E$160:$E$219,$F$64:$F$123)</x:f>
        <x:v>2063759.7314178501</x:v>
      </x:c>
      <x:c r="T29" s="35" t="n">
        <x:f>SUMPRODUCT($E$160:$E$219,$F$65:$F$124)</x:f>
        <x:v>1832874.245065739</x:v>
      </x:c>
      <x:c r="U29" s="35" t="n">
        <x:f>SUMPRODUCT($E$160:$E$219,$F$66:$F$125)</x:f>
        <x:v>1613109.869771263</x:v>
      </x:c>
      <x:c r="V29" s="35" t="n">
        <x:f>SUMPRODUCT($E$160:$E$219,$F$67:$F$126)</x:f>
        <x:v>1404423.1702085456</x:v>
      </x:c>
      <x:c r="W29" s="35" t="n">
        <x:f>SUMPRODUCT($E$160:$E$219,$F$68:$F$127)</x:f>
        <x:v>1207666.4642846962</x:v>
      </x:c>
      <x:c r="X29" s="35" t="n">
        <x:f>SUMPRODUCT($E$160:$E$219,$F$69:$F$128)</x:f>
        <x:v>1023987.3414505977</x:v>
      </x:c>
      <x:c r="Y29" s="35" t="n">
        <x:f>SUMPRODUCT($E$160:$E$219,$F$70:$F$129)</x:f>
        <x:v>853876.3571854053</x:v>
      </x:c>
      <x:c r="Z29" s="35" t="n">
        <x:f>SUMPRODUCT($E$160:$E$219,$F$71:$F$130)</x:f>
        <x:v>696346.2250213561</x:v>
      </x:c>
      <x:c r="AA29" s="35" t="n">
        <x:f>SUMPRODUCT($E$160:$E$219,$F$72:$F$131)</x:f>
        <x:v>548904.1278113973</x:v>
      </x:c>
      <x:c r="AB29" s="35" t="n">
        <x:f>SUMPRODUCT($E$160:$E$219,$F$73:$F$132)</x:f>
        <x:v>408321.38370957994</x:v>
      </x:c>
      <x:c r="AC29" s="35" t="n">
        <x:f>SUMPRODUCT($E$160:$E$219,$F$74:$F$133)</x:f>
        <x:v>271513.86074169446</x:v>
      </x:c>
      <x:c r="AD29" s="35" t="n">
        <x:f>SUMPRODUCT($E$160:$E$219,$F$75:$F$134)</x:f>
        <x:v>136008.96363815645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30110689.242799647</x:v>
      </x:c>
      <x:c r="F30" s="2"/>
      <x:c r="G30" s="35" t="n">
        <x:f>SUMPRODUCT($G$11:G11,$CY$151:$CY$151)</x:f>
        <x:v>0</x:v>
      </x:c>
      <x:c r="H30" s="35" t="n">
        <x:f>SUMPRODUCT($G$11:H11,$CX$151:$CY$151)</x:f>
        <x:v>100950.28201379068</x:v>
      </x:c>
      <x:c r="I30" s="35" t="n">
        <x:f>SUMPRODUCT($G$11:I11,$CW$151:$CY$151)</x:f>
        <x:v>204007.99176505604</x:v>
      </x:c>
      <x:c r="J30" s="35" t="n">
        <x:f>SUMPRODUCT($G$11:J11,$CV$151:$CY$151)</x:f>
        <x:v>307983.0736564135</x:v>
      </x:c>
      <x:c r="K30" s="35" t="n">
        <x:f>SUMPRODUCT($G$11:K11,$CU$151:$CY$151)</x:f>
        <x:v>411508.34865195246</x:v>
      </x:c>
      <x:c r="L30" s="35" t="n">
        <x:f>SUMPRODUCT($G$11:L11,$CT$151:$CY$151)</x:f>
        <x:v>513478.1844622355</x:v>
      </x:c>
      <x:c r="M30" s="35" t="n">
        <x:f>SUMPRODUCT($G$11:M11,$CS$151:$CY$151)</x:f>
        <x:v>613532.5241919041</x:v>
      </x:c>
      <x:c r="N30" s="35" t="n">
        <x:f>SUMPRODUCT($G$11:N11,$CR$151:$CY$151)</x:f>
        <x:v>712206.8786692326</x:v>
      </x:c>
      <x:c r="O30" s="35" t="n">
        <x:f>SUMPRODUCT($G$11:O11,$CQ$151:$CY$151)</x:f>
        <x:v>810641.7648264077</x:v>
      </x:c>
      <x:c r="P30" s="35" t="n">
        <x:f>SUMPRODUCT($G$11:P11,$CP$151:$CY$151)</x:f>
        <x:v>910140.4277575874</x:v>
      </x:c>
      <x:c r="Q30" s="35" t="n">
        <x:f>SUMPRODUCT($G$11:Q11,$CO$151:$CY$151)</x:f>
        <x:v>1011868.5246679678</x:v>
      </x:c>
      <x:c r="R30" s="35" t="n">
        <x:f>SUMPRODUCT($G$11:R11,$CN$151:$CY$151)</x:f>
        <x:v>1116752.4293846642</x:v>
      </x:c>
      <x:c r="S30" s="35" t="n">
        <x:f>SUMPRODUCT($G$11:S11,$CM$151:$CY$151)</x:f>
        <x:v>1225496.3965556251</x:v>
      </x:c>
      <x:c r="T30" s="35" t="n">
        <x:f>SUMPRODUCT($G$11:T11,$CL$151:$CY$151)</x:f>
        <x:v>1338639.0871394926</x:v>
      </x:c>
      <x:c r="U30" s="35" t="n">
        <x:f>SUMPRODUCT($G$11:U11,$CK$151:$CY$151)</x:f>
        <x:v>1456609.2939104547</x:v>
      </x:c>
      <x:c r="V30" s="35" t="n">
        <x:f>SUMPRODUCT($G$11:V11,$CJ$151:$CY$151)</x:f>
        <x:v>1579768.5757293317</x:v>
      </x:c>
      <x:c r="W30" s="35" t="n">
        <x:f>SUMPRODUCT($G$11:W11,$CI$151:$CY$151)</x:f>
        <x:v>1708440.5630924876</x:v>
      </x:c>
      <x:c r="X30" s="35" t="n">
        <x:f>SUMPRODUCT($G$11:X11,$CH$151:$CY$151)</x:f>
        <x:v>1842930.0943631933</x:v>
      </x:c>
      <x:c r="Y30" s="35" t="n">
        <x:f>SUMPRODUCT($G$11:Y11,$CG$151:$CY$151)</x:f>
        <x:v>1983535.428841552</x:v>
      </x:c>
      <x:c r="Z30" s="35" t="n">
        <x:f>SUMPRODUCT($G$11:Z11,$CF$151:$CY$151)</x:f>
        <x:v>2130556.0039611403</x:v>
      </x:c>
      <x:c r="AA30" s="35" t="n">
        <x:f>SUMPRODUCT($G$11:AA11,$CE$151:$CY$151)</x:f>
        <x:v>2284297.411594299</x:v>
      </x:c>
      <x:c r="AB30" s="35" t="n">
        <x:f>SUMPRODUCT($G$11:AB11,$CD$151:$CY$151)</x:f>
        <x:v>2445074.671134892</x:v>
      </x:c>
      <x:c r="AC30" s="35" t="n">
        <x:f>SUMPRODUCT($G$11:AC11,$CC$151:$CY$151)</x:f>
        <x:v>2613214.47365244</x:v>
      </x:c>
      <x:c r="AD30" s="35" t="n">
        <x:f>SUMPRODUCT($G$11:AD11,$CB$151:$CY$151)</x:f>
        <x:v>2789056.812777523</x:v>
      </x:c>
      <x:c r="AE30" s="35" t="n">
        <x:f>SUMPRODUCT($G$11:AE11,$CA$151:$CY$151)</x:f>
        <x:v>2972956.25656996</x:v>
      </x:c>
      <x:c r="AF30" s="35" t="n">
        <x:f>SUMPRODUCT($G$11:AF11,$BZ$151:$CY$151)</x:f>
        <x:v>2972956.25656996</x:v>
      </x:c>
      <x:c r="AG30" s="35" t="n">
        <x:f>SUMPRODUCT($G$11:AG11,$BY$151:$CY$151)</x:f>
        <x:v>2972956.25656996</x:v>
      </x:c>
      <x:c r="AH30" s="35" t="n">
        <x:f>SUMPRODUCT($G$11:AH11,$BX$151:$CY$151)</x:f>
        <x:v>2972956.25656996</x:v>
      </x:c>
      <x:c r="AI30" s="35" t="n">
        <x:f>SUMPRODUCT($G$11:AI11,$BW$151:$CY$151)</x:f>
        <x:v>2972956.25656996</x:v>
      </x:c>
      <x:c r="AJ30" s="35" t="n">
        <x:f>SUMPRODUCT($G$11:AJ11,$BV$151:$CY$151)</x:f>
        <x:v>2972956.25656996</x:v>
      </x:c>
      <x:c r="AK30" s="35" t="n">
        <x:f>SUMPRODUCT($G$11:AK11,$BU$151:$CY$151)</x:f>
        <x:v>2972956.25656996</x:v>
      </x:c>
      <x:c r="AL30" s="35" t="n">
        <x:f>SUMPRODUCT($G$11:AL11,$BT$151:$CY$151)</x:f>
        <x:v>2972956.25656996</x:v>
      </x:c>
      <x:c r="AM30" s="35" t="n">
        <x:f>SUMPRODUCT($G$11:AM11,$BS$151:$CY$151)</x:f>
        <x:v>2972956.25656996</x:v>
      </x:c>
      <x:c r="AN30" s="35" t="n">
        <x:f>SUMPRODUCT($G$11:AN11,$BR$151:$CY$151)</x:f>
        <x:v>2972956.25656996</x:v>
      </x:c>
      <x:c r="AO30" s="35" t="n">
        <x:f>SUMPRODUCT($G$11:AO11,$BQ$151:$CY$151)</x:f>
        <x:v>2972956.25656996</x:v>
      </x:c>
      <x:c r="AP30" s="35" t="n">
        <x:f>SUMPRODUCT($G$11:AP11,$BP$151:$CY$151)</x:f>
        <x:v>2972956.25656996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23022472.93860933</x:v>
      </x:c>
      <x:c r="F32" s="2"/>
      <x:c r="G32" s="35" t="n">
        <x:f>($E$44-G27)*G23/12</x:f>
        <x:v>3450578.8264261535</x:v>
      </x:c>
      <x:c r="H32" s="35" t="n">
        <x:f>(G34-H27)*H23/12</x:f>
        <x:v>2903495.7346438603</x:v>
      </x:c>
      <x:c r="I32" s="35" t="n">
        <x:f>(H34-I27)*I23/12</x:f>
        <x:v>2496448.565194828</x:v>
      </x:c>
      <x:c r="J32" s="35" t="n">
        <x:f>(I34-J27)*J23/12</x:f>
        <x:v>2160982.8395911944</x:v>
      </x:c>
      <x:c r="K32" s="35" t="n">
        <x:f>(J34-K27)*K23/12</x:f>
        <x:v>1875364.537870735</x:v>
      </x:c>
      <x:c r="L32" s="35" t="n">
        <x:f>(K34-L27)*L23/12</x:f>
        <x:v>1628824.7383689855</x:v>
      </x:c>
      <x:c r="M32" s="35" t="n">
        <x:f>(L34-M27)*M23/12</x:f>
        <x:v>1414261.2109694986</x:v>
      </x:c>
      <x:c r="N32" s="35" t="n">
        <x:f>(M34-N27)*N23/12</x:f>
        <x:v>1226069.1241932367</x:v>
      </x:c>
      <x:c r="O32" s="35" t="n">
        <x:f>(N34-O27)*O23/12</x:f>
        <x:v>1059666.7805183555</x:v>
      </x:c>
      <x:c r="P32" s="35" t="n">
        <x:f>(O34-P27)*P23/12</x:f>
        <x:v>911482.6189280368</x:v>
      </x:c>
      <x:c r="Q32" s="35" t="n">
        <x:f>(P34-Q27)*Q23/12</x:f>
        <x:v>778889.7114634634</x:v>
      </x:c>
      <x:c r="R32" s="35" t="n">
        <x:f>(Q34-R27)*R23/12</x:f>
        <x:v>660025.2169065183</x:v>
      </x:c>
      <x:c r="S32" s="35" t="n">
        <x:f>(R34-S27)*S23/12</x:f>
        <x:v>553578.5384469648</x:v>
      </x:c>
      <x:c r="T32" s="35" t="n">
        <x:f>(S34-T27)*T23/12</x:f>
        <x:v>458607.9016223168</x:v>
      </x:c>
      <x:c r="U32" s="35" t="n">
        <x:f>(T34-U27)*U23/12</x:f>
        <x:v>374399.30343807157</x:v>
      </x:c>
      <x:c r="V32" s="35" t="n">
        <x:f>(U34-V27)*V23/12</x:f>
        <x:v>300360.0152246254</x:v>
      </x:c>
      <x:c r="W32" s="35" t="n">
        <x:f>(V34-W27)*W23/12</x:f>
        <x:v>235936.92116933106</x:v>
      </x:c>
      <x:c r="X32" s="35" t="n">
        <x:f>(W34-X27)*X23/12</x:f>
        <x:v>180558.72885609503</x:v>
      </x:c>
      <x:c r="Y32" s="35" t="n">
        <x:f>(X34-Y27)*Y23/12</x:f>
        <x:v>133612.9868938254</x:v>
      </x:c>
      <x:c r="Z32" s="35" t="n">
        <x:f>(Y34-Z27)*Z23/12</x:f>
        <x:v>94470.95170445036</x:v>
      </x:c>
      <x:c r="AA32" s="35" t="n">
        <x:f>(Z34-AA27)*AA23/12</x:f>
        <x:v>62552.44385700399</x:v>
      </x:c>
      <x:c r="AB32" s="35" t="n">
        <x:f>(AA34-AB27)*AB23/12</x:f>
        <x:v>37393.28952377225</x:v>
      </x:c>
      <x:c r="AC32" s="35" t="n">
        <x:f>(AB34-AC27)*AC23/12</x:f>
        <x:v>18678.208631258418</x:v>
      </x:c>
      <x:c r="AD32" s="35" t="n">
        <x:f>(AC34-AD27)*AD23/12</x:f>
        <x:v>6233.744166749247</x:v>
      </x:c>
      <x:c r="AE32" s="35" t="n">
        <x:f>(AD34-AE27)*AE23/12</x:f>
        <x:v>4.095151477182905e-10</x:v>
      </x:c>
      <x:c r="AF32" s="35" t="n">
        <x:f>(AE34-AF27)*AF23/12</x:f>
        <x:v>4.095151477182905e-10</x:v>
      </x:c>
      <x:c r="AG32" s="35" t="n">
        <x:f>(AF34-AG27)*AG23/12</x:f>
        <x:v>4.095151477182905e-10</x:v>
      </x:c>
      <x:c r="AH32" s="35" t="n">
        <x:f>(AG34-AH27)*AH23/12</x:f>
        <x:v>4.095151477182905e-10</x:v>
      </x:c>
      <x:c r="AI32" s="35" t="n">
        <x:f>(AH34-AI27)*AI23/12</x:f>
        <x:v>4.095151477182905e-10</x:v>
      </x:c>
      <x:c r="AJ32" s="35" t="n">
        <x:f>(AI34-AJ27)*AJ23/12</x:f>
        <x:v>4.095151477182905e-10</x:v>
      </x:c>
      <x:c r="AK32" s="35" t="n">
        <x:f>(AJ34-AK27)*AK23/12</x:f>
        <x:v>4.095151477182905e-10</x:v>
      </x:c>
      <x:c r="AL32" s="35" t="n">
        <x:f>(AK34-AL27)*AL23/12</x:f>
        <x:v>4.095151477182905e-10</x:v>
      </x:c>
      <x:c r="AM32" s="35" t="n">
        <x:f>(AL34-AM27)*AM23/12</x:f>
        <x:v>4.095151477182905e-10</x:v>
      </x:c>
      <x:c r="AN32" s="35" t="n">
        <x:f>(AM34-AN27)*AN23/12</x:f>
        <x:v>4.095151477182905e-10</x:v>
      </x:c>
      <x:c r="AO32" s="35" t="n">
        <x:f>(AN34-AO27)*AO23/12</x:f>
        <x:v>4.095151477182905e-10</x:v>
      </x:c>
      <x:c r="AP32" s="35" t="n">
        <x:f>(AO34-AP27)*AP23/12</x:f>
        <x:v>4.095151477182905e-10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33771327.341762476</x:v>
      </x:c>
      <x:c r="F33" s="2"/>
      <x:c r="G33" s="35" t="n">
        <x:f>G24-G32</x:f>
        <x:v>0</x:v>
      </x:c>
      <x:c r="H33" s="35" t="n">
        <x:f>H24-H32</x:f>
        <x:v>194992.02225335874</x:v>
      </x:c>
      <x:c r="I33" s="35" t="n">
        <x:f>I24-I32</x:f>
        <x:v>380814.3432301758</x:v>
      </x:c>
      <x:c r="J33" s="35" t="n">
        <x:f>J24-J32</x:f>
        <x:v>555517.993472666</x:v>
      </x:c>
      <x:c r="K33" s="35" t="n">
        <x:f>K24-K32</x:f>
        <x:v>717305.6803410077</x:v>
      </x:c>
      <x:c r="L33" s="35" t="n">
        <x:f>L24-L32</x:f>
        <x:v>865209.9862549107</x:v>
      </x:c>
      <x:c r="M33" s="35" t="n">
        <x:f>M24-M32</x:f>
        <x:v>999590.9681097337</x:v>
      </x:c>
      <x:c r="N33" s="35" t="n">
        <x:f>N24-N32</x:f>
        <x:v>1121986.1649469286</x:v>
      </x:c>
      <x:c r="O33" s="35" t="n">
        <x:f>O24-O32</x:f>
        <x:v>1234419.5315100427</x:v>
      </x:c>
      <x:c r="P33" s="35" t="n">
        <x:f>P24-P32</x:f>
        <x:v>1338726.847760086</x:v>
      </x:c>
      <x:c r="Q33" s="35" t="n">
        <x:f>Q24-Q32</x:f>
        <x:v>1436239.4772824398</x:v>
      </x:c>
      <x:c r="R33" s="35" t="n">
        <x:f>R24-R32</x:f>
        <x:v>1527774.6035137386</x:v>
      </x:c>
      <x:c r="S33" s="35" t="n">
        <x:f>S24-S32</x:f>
        <x:v>1613753.7071341258</x:v>
      </x:c>
      <x:c r="T33" s="35" t="n">
        <x:f>T24-T32</x:f>
        <x:v>1694331.8190541123</x:v>
      </x:c>
      <x:c r="U33" s="35" t="n">
        <x:f>U24-U32</x:f>
        <x:v>1769496.0048813066</x:v>
      </x:c>
      <x:c r="V33" s="35" t="n">
        <x:f>V24-V32</x:f>
        <x:v>1839130.0267479527</x:v>
      </x:c>
      <x:c r="W33" s="35" t="n">
        <x:f>W24-W32</x:f>
        <x:v>1903053.6241284066</x:v>
      </x:c>
      <x:c r="X33" s="35" t="n">
        <x:f>X24-X32</x:f>
        <x:v>1961045.2931062975</x:v>
      </x:c>
      <x:c r="Y33" s="35" t="n">
        <x:f>Y24-Y32</x:f>
        <x:v>2012855.061036635</x:v>
      </x:c>
      <x:c r="Z33" s="35" t="n">
        <x:f>Z24-Z32</x:f>
        <x:v>2058211.4185960162</x:v>
      </x:c>
      <x:c r="AA33" s="35" t="n">
        <x:f>AA24-AA32</x:f>
        <x:v>2096824.9100956619</x:v>
      </x:c>
      <x:c r="AB33" s="35" t="n">
        <x:f>AB24-AB32</x:f>
        <x:v>2128389.8335978724</x:v>
      </x:c>
      <x:c r="AC33" s="35" t="n">
        <x:f>AC24-AC32</x:f>
        <x:v>2152584.8762988155</x:v>
      </x:c>
      <x:c r="AD33" s="35" t="n">
        <x:f>AD24-AD32</x:f>
        <x:v>2169073.14841018</x:v>
      </x:c>
      <x:c r="AE33" s="35" t="n">
        <x:f>AE24-AE32</x:f>
        <x:v>2177501.8729173336</x:v>
      </x:c>
      <x:c r="AF33" s="35" t="n">
        <x:f>AF24-AF32</x:f>
        <x:v>2177501.8729173336</x:v>
      </x:c>
      <x:c r="AG33" s="35" t="n">
        <x:f>AG24-AG32</x:f>
        <x:v>2177501.8729173336</x:v>
      </x:c>
      <x:c r="AH33" s="35" t="n">
        <x:f>AH24-AH32</x:f>
        <x:v>2177501.8729173336</x:v>
      </x:c>
      <x:c r="AI33" s="35" t="n">
        <x:f>AI24-AI32</x:f>
        <x:v>2177501.8729173336</x:v>
      </x:c>
      <x:c r="AJ33" s="35" t="n">
        <x:f>AJ24-AJ32</x:f>
        <x:v>2177501.8729173336</x:v>
      </x:c>
      <x:c r="AK33" s="35" t="n">
        <x:f>AK24-AK32</x:f>
        <x:v>2177501.8729173336</x:v>
      </x:c>
      <x:c r="AL33" s="35" t="n">
        <x:f>AL24-AL32</x:f>
        <x:v>2177501.8729173336</x:v>
      </x:c>
      <x:c r="AM33" s="35" t="n">
        <x:f>AM24-AM32</x:f>
        <x:v>2177501.8729173336</x:v>
      </x:c>
      <x:c r="AN33" s="35" t="n">
        <x:f>AN24-AN32</x:f>
        <x:v>2177501.8729173336</x:v>
      </x:c>
      <x:c r="AO33" s="35" t="n">
        <x:f>AO24-AO32</x:f>
        <x:v>2177501.8729173336</x:v>
      </x:c>
      <x:c r="AP33" s="35" t="n">
        <x:f>AP24-AP32</x:f>
        <x:v>2177501.8729173336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8.934875950217247e-9</x:v>
      </x:c>
      <x:c r="F34" s="2"/>
      <x:c r="G34" s="35" t="n">
        <x:f>$E$44-G27-G29</x:f>
        <x:v>64592740.774789885</x:v>
      </x:c>
      <x:c r="H34" s="35" t="n">
        <x:f>G34-H27-H29</x:f>
        <x:v>55553799.521353796</x:v>
      </x:c>
      <x:c r="I34" s="35" t="n">
        <x:f>H34-I27-I29</x:f>
        <x:v>48064501.79017552</x:v>
      </x:c>
      <x:c r="J34" s="35" t="n">
        <x:f>I34-J27-J29</x:f>
        <x:v>41651155.22976777</x:v>
      </x:c>
      <x:c r="K34" s="35" t="n">
        <x:f>J34-K27-K29</x:f>
        <x:v>36089134.072330475</x:v>
      </x:c>
      <x:c r="L34" s="35" t="n">
        <x:f>K34-L27-L29</x:f>
        <x:v>31241287.867880456</x:v>
      </x:c>
      <x:c r="M34" s="35" t="n">
        <x:f>L34-M27-M29</x:f>
        <x:v>27000984.948146224</x:v>
      </x:c>
      <x:c r="N34" s="35" t="n">
        <x:f>M34-N27-N29</x:f>
        <x:v>23273694.647826854</x:v>
      </x:c>
      <x:c r="O34" s="35" t="n">
        <x:f>N34-O27-O29</x:f>
        <x:v>19977108.164564937</x:v>
      </x:c>
      <x:c r="P34" s="35" t="n">
        <x:f>O34-P27-P29</x:f>
        <x:v>17045223.787082344</x:v>
      </x:c>
      <x:c r="Q34" s="35" t="n">
        <x:f>P34-Q27-Q29</x:f>
        <x:v>14429006.281585254</x:v>
      </x:c>
      <x:c r="R34" s="35" t="n">
        <x:f>Q34-R27-R29</x:f>
        <x:v>12093589.253887864</x:v>
      </x:c>
      <x:c r="S34" s="35" t="n">
        <x:f>R34-S27-S29</x:f>
        <x:v>10014317.471061382</x:v>
      </x:c>
      <x:c r="T34" s="35" t="n">
        <x:f>S34-T27-T29</x:f>
        <x:v>8173116.335784808</x:v>
      </x:c>
      <x:c r="U34" s="35" t="n">
        <x:f>T34-U27-U29</x:f>
        <x:v>6555602.205241207</x:v>
      </x:c>
      <x:c r="V34" s="35" t="n">
        <x:f>U34-V27-V29</x:f>
        <x:v>5148886.25287419</x:v>
      </x:c>
      <x:c r="W34" s="35" t="n">
        <x:f>V34-W27-W29</x:f>
        <x:v>3940048.1794097996</x:v>
      </x:c>
      <x:c r="X34" s="35" t="n">
        <x:f>W34-X27-X29</x:f>
        <x:v>2915475.833591475</x:v>
      </x:c>
      <x:c r="Y34" s="35" t="n">
        <x:f>X34-Y27-Y29</x:f>
        <x:v>2061316.0841344218</x:v>
      </x:c>
      <x:c r="Z34" s="35" t="n">
        <x:f>Y34-Z27-Z29</x:f>
        <x:v>1364838.175803015</x:v>
      </x:c>
      <x:c r="AA34" s="35" t="n">
        <x:f>Z34-AA27-AA29</x:f>
        <x:v>815876.465432326</x:v>
      </x:c>
      <x:c r="AB34" s="35" t="n">
        <x:f>AA34-AB27-AB29</x:f>
        <x:v>407532.20589999633</x:v>
      </x:c>
      <x:c r="AC34" s="35" t="n">
        <x:f>AB34-AC27-AC29</x:f>
        <x:v>136010.69121303462</x:v>
      </x:c>
      <x:c r="AD34" s="35" t="n">
        <x:f>AC34-AD27-AD29</x:f>
        <x:v>8.934875950217247e-9</x:v>
      </x:c>
      <x:c r="AE34" s="35" t="n">
        <x:f>AD34-AE27-AE29</x:f>
        <x:v>8.934875950217247e-9</x:v>
      </x:c>
      <x:c r="AF34" s="35" t="n">
        <x:f>AE34-AF27-AF29</x:f>
        <x:v>8.934875950217247e-9</x:v>
      </x:c>
      <x:c r="AG34" s="35" t="n">
        <x:f>AF34-AG27-AG29</x:f>
        <x:v>8.934875950217247e-9</x:v>
      </x:c>
      <x:c r="AH34" s="35" t="n">
        <x:f>AG34-AH27-AH29</x:f>
        <x:v>8.934875950217247e-9</x:v>
      </x:c>
      <x:c r="AI34" s="35" t="n">
        <x:f>AH34-AI27-AI29</x:f>
        <x:v>8.934875950217247e-9</x:v>
      </x:c>
      <x:c r="AJ34" s="35" t="n">
        <x:f>AI34-AJ27-AJ29</x:f>
        <x:v>8.934875950217247e-9</x:v>
      </x:c>
      <x:c r="AK34" s="35" t="n">
        <x:f>AJ34-AK27-AK29</x:f>
        <x:v>8.934875950217247e-9</x:v>
      </x:c>
      <x:c r="AL34" s="35" t="n">
        <x:f>AK34-AL27-AL29</x:f>
        <x:v>8.934875950217247e-9</x:v>
      </x:c>
      <x:c r="AM34" s="35" t="n">
        <x:f>AL34-AM27-AM29</x:f>
        <x:v>8.934875950217247e-9</x:v>
      </x:c>
      <x:c r="AN34" s="35" t="n">
        <x:f>AM34-AN27-AN29</x:f>
        <x:v>8.934875950217247e-9</x:v>
      </x:c>
      <x:c r="AO34" s="35" t="n">
        <x:f>AN34-AO27-AO29</x:f>
        <x:v>8.934875950217247e-9</x:v>
      </x:c>
      <x:c r="AP34" s="35" t="n">
        <x:f>AO34-AP27-AP29</x:f>
        <x:v>8.934875950217247e-9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'Assumptions'!F58</x:f>
        <x:v>0.36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'Assumptions'!F59</x:f>
        <x:v>5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'Assumptions'!F15/12</x:f>
        <x:v>0.04583333333333334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'Assumptions'!F16</x:f>
        <x:v>24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'Assumptions'!F17*'Assumptions'!$E$30</x:f>
        <x:v>76679999.99999999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'Assumptions'!F19</x:f>
        <x:v>6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'Assumptions'!F18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'Assumptions'!F27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6916745.761088034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0.3118156813495461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$E$40*(1/(1+EXP(-$E$47*(C51-$E$41)))-1/(1+EXP($E$47*$E$41)))/(1-1/(1+EXP($E$47*$E$41)))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0.3118156813495461</x:v>
      </x:c>
      <x:c r="H51" s="30" t="n">
        <x:f>IF($E$42=0,1-MIN(C51,$E$43)/$E$43,((1+$E$42)^$E$43-(1+$E$42)^MIN(C51,$E$43))/((1+$E$42)^$E$43-1))</x:f>
        <x:v>1</x:v>
      </x:c>
      <x:c r="I51" s="30" t="n">
        <x:f>1-D51</x:f>
        <x:v>1</x:v>
      </x:c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$E$40*(1/(1+EXP(-$E$47*(C52-$E$41)))-1/(1+EXP($E$47*$E$41)))/(1-1/(1+EXP($E$47*$E$41)))</x:f>
        <x:v>0.015191806801219914</x:v>
      </x:c>
      <x:c r="E52" s="30" t="n">
        <x:f>(D52-D51)*H51</x:f>
        <x:v>0.015191806801219914</x:v>
      </x:c>
      <x:c r="F52" s="30" t="n">
        <x:f>I52*(H51-H52)</x:f>
        <x:v>0.023368120836525626</x:v>
      </x:c>
      <x:c r="G52" s="30" t="n">
        <x:f>SUM(E53:E147)</x:f>
        <x:v>0.2966238745483262</x:v>
      </x:c>
      <x:c r="H52" s="30" t="n">
        <x:f>IF($E$42=0,1-MIN(C52,$E$43)/$E$43,((1+$E$42)^$E$43-(1+$E$42)^MIN(C52,$E$43))/((1+$E$42)^$E$43-1))</x:f>
        <x:v>0.9762713988389728</x:v>
      </x:c>
      <x:c r="I52" s="30" t="n">
        <x:f>1-D52</x:f>
        <x:v>0.9848081931987801</x:v>
      </x:c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$E$40*(1/(1+EXP(-$E$47*(C53-$E$41)))-1/(1+EXP($E$47*$E$41)))/(1-1/(1+EXP($E$47*$E$41)))</x:f>
        <x:v>0.03869295801752449</x:v>
      </x:c>
      <x:c r="E53" s="30" t="n">
        <x:f>(D53-D52)*H52</x:f>
        <x:v>0.022943501772267897</x:v>
      </x:c>
      <x:c r="F53" s="30" t="n">
        <x:f>I53*(H52-H53)</x:f>
        <x:v>0.02385595133131143</x:v>
      </x:c>
      <x:c r="G53" s="30" t="n">
        <x:f>SUM(E54:E147)</x:f>
        <x:v>0.2736803727760583</x:v>
      </x:c>
      <x:c r="H53" s="30" t="n">
        <x:f>IF($E$42=0,1-MIN(C53,$E$43)/$E$43,((1+$E$42)^$E$43-(1+$E$42)^MIN(C53,$E$43))/((1+$E$42)^$E$43-1))</x:f>
        <x:v>0.9514552367913985</x:v>
      </x:c>
      <x:c r="I53" s="30" t="n">
        <x:f>1-D53</x:f>
        <x:v>0.9613070419824755</x:v>
      </x:c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$E$40*(1/(1+EXP(-$E$47*(C54-$E$41)))-1/(1+EXP($E$47*$E$41)))/(1-1/(1+EXP($E$47*$E$41)))</x:f>
        <x:v>0.07263985338196843</x:v>
      </x:c>
      <x:c r="E54" s="30" t="n">
        <x:f>(D54-D53)*H53</x:f>
        <x:v>0.03229895136730984</x:v>
      </x:c>
      <x:c r="F54" s="30" t="n">
        <x:f>I54*(H53-H54)</x:f>
        <x:v>0.024068305993369777</x:v>
      </x:c>
      <x:c r="G54" s="30" t="n">
        <x:f>SUM(E55:E147)</x:f>
        <x:v>0.24138142140874835</x:v>
      </x:c>
      <x:c r="H54" s="30" t="n">
        <x:f>IF($E$42=0,1-MIN(C54,$E$43)/$E$43,((1+$E$42)^$E$43-(1+$E$42)^MIN(C54,$E$43))/((1+$E$42)^$E$43-1))</x:f>
        <x:v>0.9255016673166439</x:v>
      </x:c>
      <x:c r="I54" s="30" t="n">
        <x:f>1-D54</x:f>
        <x:v>0.9273601466180316</x:v>
      </x:c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$E$40*(1/(1+EXP(-$E$47*(C55-$E$41)))-1/(1+EXP($E$47*$E$41)))/(1-1/(1+EXP($E$47*$E$41)))</x:f>
        <x:v>0.11711717169869787</x:v>
      </x:c>
      <x:c r="E55" s="30" t="n">
        <x:f>(D55-D54)*H54</x:f>
        <x:v>0.0411638322599062</x:v>
      </x:c>
      <x:c r="F55" s="30" t="n">
        <x:f>I55*(H54-H55)</x:f>
        <x:v>0.023964184026745147</x:v>
      </x:c>
      <x:c r="G55" s="30" t="n">
        <x:f>SUM(E56:E147)</x:f>
        <x:v>0.2002175891488422</x:v>
      </x:c>
      <x:c r="H55" s="30" t="n">
        <x:f>IF($E$42=0,1-MIN(C55,$E$43)/$E$43,((1+$E$42)^$E$43-(1+$E$42)^MIN(C55,$E$43))/((1+$E$42)^$E$43-1))</x:f>
        <x:v>0.8983585592409629</x:v>
      </x:c>
      <x:c r="I55" s="30" t="n">
        <x:f>1-D55</x:f>
        <x:v>0.8828828283013022</x:v>
      </x:c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$E$40*(1/(1+EXP(-$E$47*(C56-$E$41)))-1/(1+EXP($E$47*$E$41)))/(1-1/(1+EXP($E$47*$E$41)))</x:f>
        <x:v>0.16849298498279264</x:v>
      </x:c>
      <x:c r="E56" s="30" t="n">
        <x:f>(D56-D55)*H55</x:f>
        <x:v>0.0461539016017321</x:v>
      </x:c>
      <x:c r="F56" s="30" t="n">
        <x:f>I56*(H55-H56)</x:f>
        <x:v>0.023604128659787737</x:v>
      </x:c>
      <x:c r="G56" s="30" t="n">
        <x:f>SUM(E57:E147)</x:f>
        <x:v>0.15406368754711008</x:v>
      </x:c>
      <x:c r="H56" s="30" t="n">
        <x:f>IF($E$42=0,1-MIN(C56,$E$43)/$E$43,((1+$E$42)^$E$43-(1+$E$42)^MIN(C56,$E$43))/((1+$E$42)^$E$43-1))</x:f>
        <x:v>0.8699713920451464</x:v>
      </x:c>
      <x:c r="I56" s="30" t="n">
        <x:f>1-D56</x:f>
        <x:v>0.8315070150172074</x:v>
      </x:c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$E$40*(1/(1+EXP(-$E$47*(C57-$E$41)))-1/(1+EXP($E$47*$E$41)))/(1-1/(1+EXP($E$47*$E$41)))</x:f>
        <x:v>0.21986879826688743</x:v>
      </x:c>
      <x:c r="E57" s="30" t="n">
        <x:f>(D57-D56)*H56</x:f>
        <x:v>0.044695487800215476</x:v>
      </x:c>
      <x:c r="F57" s="30" t="n">
        <x:f>I57*(H56-H57)</x:f>
        <x:v>0.023160726789275145</x:v>
      </x:c>
      <x:c r="G57" s="30" t="n">
        <x:f>SUM(E58:E147)</x:f>
        <x:v>0.10936819974689461</x:v>
      </x:c>
      <x:c r="H57" s="30" t="n">
        <x:f>IF($E$42=0,1-MIN(C57,$E$43)/$E$43,((1+$E$42)^$E$43-(1+$E$42)^MIN(C57,$E$43))/((1+$E$42)^$E$43-1))</x:f>
        <x:v>0.8402831463528551</x:v>
      </x:c>
      <x:c r="I57" s="30" t="n">
        <x:f>1-D57</x:f>
        <x:v>0.7801312017331126</x:v>
      </x:c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$E$40*(1/(1+EXP(-$E$47*(C58-$E$41)))-1/(1+EXP($E$47*$E$41)))/(1-1/(1+EXP($E$47*$E$41)))</x:f>
        <x:v>0.26434611658361684</x:v>
      </x:c>
      <x:c r="E58" s="30" t="n">
        <x:f>(D58-D57)*H57</x:f>
        <x:v>0.037373540976518856</x:v>
      </x:c>
      <x:c r="F58" s="30" t="n">
        <x:f>I58*(H57-H58)</x:f>
        <x:v>0.022841285758640858</x:v>
      </x:c>
      <x:c r="G58" s="30" t="n">
        <x:f>SUM(E59:E147)</x:f>
        <x:v>0.07199465877037575</x:v>
      </x:c>
      <x:c r="H58" s="30" t="n">
        <x:f>IF($E$42=0,1-MIN(C58,$E$43)/$E$43,((1+$E$42)^$E$43-(1+$E$42)^MIN(C58,$E$43))/((1+$E$42)^$E$43-1))</x:f>
        <x:v>0.8092341893996671</x:v>
      </x:c>
      <x:c r="I58" s="30" t="n">
        <x:f>1-D58</x:f>
        <x:v>0.7356538834163832</x:v>
      </x:c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$E$40*(1/(1+EXP(-$E$47*(C59-$E$41)))-1/(1+EXP($E$47*$E$41)))/(1-1/(1+EXP($E$47*$E$41)))</x:f>
        <x:v>0.2982930119480608</x:v>
      </x:c>
      <x:c r="E59" s="30" t="n">
        <x:f>(D59-D58)*H58</x:f>
        <x:v>0.02747098835288112</x:v>
      </x:c>
      <x:c r="F59" s="30" t="n">
        <x:f>I59*(H58-H59)</x:f>
        <x:v>0.02278585327712388</x:v>
      </x:c>
      <x:c r="G59" s="30" t="n">
        <x:f>SUM(E60:E147)</x:f>
        <x:v>0.04452367041749463</x:v>
      </x:c>
      <x:c r="H59" s="30" t="n">
        <x:f>IF($E$42=0,1-MIN(C59,$E$43)/$E$43,((1+$E$42)^$E$43-(1+$E$42)^MIN(C59,$E$43))/((1+$E$42)^$E$43-1))</x:f>
        <x:v>0.7767621552527914</x:v>
      </x:c>
      <x:c r="I59" s="30" t="n">
        <x:f>1-D59</x:f>
        <x:v>0.7017069880519392</x:v>
      </x:c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$E$40*(1/(1+EXP(-$E$47*(C60-$E$41)))-1/(1+EXP($E$47*$E$41)))/(1-1/(1+EXP($E$47*$E$41)))</x:f>
        <x:v>0.3217941631643653</x:v>
      </x:c>
      <x:c r="E60" s="30" t="n">
        <x:f>(D60-D59)*H59</x:f>
        <x:v>0.018254804869698465</x:v>
      </x:c>
      <x:c r="F60" s="30" t="n">
        <x:f>I60*(H59-H60)</x:f>
        <x:v>0.023032097900736046</x:v>
      </x:c>
      <x:c r="G60" s="30" t="n">
        <x:f>SUM(E61:E147)</x:f>
        <x:v>0.026268865547796158</x:v>
      </x:c>
      <x:c r="H60" s="30" t="n">
        <x:f>IF($E$42=0,1-MIN(C60,$E$43)/$E$43,((1+$E$42)^$E$43-(1+$E$42)^MIN(C60,$E$43))/((1+$E$42)^$E$43-1))</x:f>
        <x:v>0.7428018195408503</x:v>
      </x:c>
      <x:c r="I60" s="30" t="n">
        <x:f>1-D60</x:f>
        <x:v>0.6782058368356347</x:v>
      </x:c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$E$40*(1/(1+EXP(-$E$47*(C61-$E$41)))-1/(1+EXP($E$47*$E$41)))/(1-1/(1+EXP($E$47*$E$41)))</x:f>
        <x:v>0.3369859699655853</x:v>
      </x:c>
      <x:c r="E61" s="30" t="n">
        <x:f>(D61-D60)*H60</x:f>
        <x:v>0.011284501734059246</x:v>
      </x:c>
      <x:c r="F61" s="30" t="n">
        <x:f>I61*(H60-H61)</x:f>
        <x:v>0.023548170581106607</x:v>
      </x:c>
      <x:c r="G61" s="30" t="n">
        <x:f>SUM(E62:E147)</x:f>
        <x:v>0.014984363813736915</x:v>
      </x:c>
      <x:c r="H61" s="30" t="n">
        <x:f>IF($E$42=0,1-MIN(C61,$E$43)/$E$43,((1+$E$42)^$E$43-(1+$E$42)^MIN(C61,$E$43))/((1+$E$42)^$E$43-1))</x:f>
        <x:v>0.7072849684421122</x:v>
      </x:c>
      <x:c r="I61" s="30" t="n">
        <x:f>1-D61</x:f>
        <x:v>0.6630140300344147</x:v>
      </x:c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$E$40*(1/(1+EXP(-$E$47*(C62-$E$41)))-1/(1+EXP($E$47*$E$41)))/(1-1/(1+EXP($E$47*$E$41)))</x:f>
        <x:v>0.3463757354435707</x:v>
      </x:c>
      <x:c r="E62" s="30" t="n">
        <x:f>(D62-D61)*H61</x:f>
        <x:v>0.006641239979775755</x:v>
      </x:c>
      <x:c r="F62" s="30" t="n">
        <x:f>I62*(H61-H62)</x:f>
        <x:v>0.024278681647383428</x:v>
      </x:c>
      <x:c r="G62" s="30" t="n">
        <x:f>SUM(E63:E147)</x:f>
        <x:v>0.008343123833961161</x:v>
      </x:c>
      <x:c r="H62" s="30" t="n">
        <x:f>IF($E$42=0,1-MIN(C62,$E$43)/$E$43,((1+$E$42)^$E$43-(1+$E$42)^MIN(C62,$E$43))/((1+$E$42)^$E$43-1))</x:f>
        <x:v>0.6701402616680151</x:v>
      </x:c>
      <x:c r="I62" s="30" t="n">
        <x:f>1-D62</x:f>
        <x:v>0.6536242645564293</x:v>
      </x:c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$E$40*(1/(1+EXP(-$E$47*(C63-$E$41)))-1/(1+EXP($E$47*$E$41)))/(1-1/(1+EXP($E$47*$E$41)))</x:f>
        <x:v>0.3520193877147147</x:v>
      </x:c>
      <x:c r="E63" s="30" t="n">
        <x:f>(D63-D62)*H62</x:f>
        <x:v>0.0037820386097477247</x:v>
      </x:c>
      <x:c r="F63" s="30" t="n">
        <x:f>I63*(H62-H63)</x:f>
        <x:v>0.025172214622907634</x:v>
      </x:c>
      <x:c r="G63" s="30" t="n">
        <x:f>SUM(E64:E147)</x:f>
        <x:v>0.004561085224213431</x:v>
      </x:c>
      <x:c r="H63" s="30" t="n">
        <x:f>IF($E$42=0,1-MIN(C63,$E$43)/$E$43,((1+$E$42)^$E$43-(1+$E$42)^MIN(C63,$E$43))/((1+$E$42)^$E$43-1))</x:f>
        <x:v>0.631293089166772</x:v>
      </x:c>
      <x:c r="I63" s="30" t="n">
        <x:f>1-D63</x:f>
        <x:v>0.6479806122852854</x:v>
      </x:c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$E$40*(1/(1+EXP(-$E$47*(C64-$E$41)))-1/(1+EXP($E$47*$E$41)))/(1-1/(1+EXP($E$47*$E$41)))</x:f>
        <x:v>0.35535463923866273</x:v>
      </x:c>
      <x:c r="E64" s="30" t="n">
        <x:f>(D64-D63)*H63</x:f>
        <x:v>0.002105521237701339</x:v>
      </x:c>
      <x:c r="F64" s="30" t="n">
        <x:f>I64*(H63-H64)</x:f>
        <x:v>0.026190437635154527</x:v>
      </x:c>
      <x:c r="G64" s="30" t="n">
        <x:f>SUM(E65:E147)</x:f>
        <x:v>0.0024555639865120947</x:v>
      </x:c>
      <x:c r="H64" s="30" t="n">
        <x:f>IF($E$42=0,1-MIN(C64,$E$43)/$E$43,((1+$E$42)^$E$43-(1+$E$42)^MIN(C64,$E$43))/((1+$E$42)^$E$43-1))</x:f>
        <x:v>0.5906654212592217</x:v>
      </x:c>
      <x:c r="I64" s="30" t="n">
        <x:f>1-D64</x:f>
        <x:v>0.6446453607613373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$E$40*(1/(1+EXP(-$E$47*(C65-$E$41)))-1/(1+EXP($E$47*$E$41)))/(1-1/(1+EXP($E$47*$E$41)))</x:f>
        <x:v>0.357306037438167</x:v>
      </x:c>
      <x:c r="E65" s="30" t="n">
        <x:f>(D65-D64)*H64</x:f>
        <x:v>0.0011526234395546912</x:v>
      </x:c>
      <x:c r="F65" s="30" t="n">
        <x:f>I65*(H64-H65)</x:f>
        <x:v>0.027307918234018957</x:v>
      </x:c>
      <x:c r="G65" s="30" t="n">
        <x:f>SUM(E66:E147)</x:f>
        <x:v>0.0013029405469574028</x:v>
      </x:c>
      <x:c r="H65" s="30" t="n">
        <x:f>IF($E$42=0,1-MIN(C65,$E$43)/$E$43,((1+$E$42)^$E$43-(1+$E$42)^MIN(C65,$E$43))/((1+$E$42)^$E$43-1))</x:f>
        <x:v>0.5481756519059089</x:v>
      </x:c>
      <x:c r="I65" s="30" t="n">
        <x:f>1-D65</x:f>
        <x:v>0.642693962561833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$E$40*(1/(1+EXP(-$E$47*(C66-$E$41)))-1/(1+EXP($E$47*$E$41)))/(1-1/(1+EXP($E$47*$E$41)))</x:f>
        <x:v>0.3584410801506395</x:v>
      </x:c>
      <x:c r="E66" s="30" t="n">
        <x:f>(D66-D65)*H65</x:f>
        <x:v>0.0006222027788506641</x:v>
      </x:c>
      <x:c r="F66" s="30" t="n">
        <x:f>I66*(H65-H66)</x:f>
        <x:v>0.028509093013628896</x:v>
      </x:c>
      <x:c r="G66" s="30" t="n">
        <x:f>SUM(E67:E147)</x:f>
        <x:v>0.000680737768106739</x:v>
      </x:c>
      <x:c r="H66" s="30" t="n">
        <x:f>IF($E$42=0,1-MIN(C66,$E$43)/$E$43,((1+$E$42)^$E$43-(1+$E$42)^MIN(C66,$E$43))/((1+$E$42)^$E$43-1))</x:f>
        <x:v>0.5037384347905691</x:v>
      </x:c>
      <x:c r="I66" s="30" t="n">
        <x:f>1-D66</x:f>
        <x:v>0.6415589198493605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$E$40*(1/(1+EXP(-$E$47*(C67-$E$41)))-1/(1+EXP($E$47*$E$41)))/(1-1/(1+EXP($E$47*$E$41)))</x:f>
        <x:v>0.35909903013324695</x:v>
      </x:c>
      <x:c r="E67" s="30" t="n">
        <x:f>(D67-D66)*H66</x:f>
        <x:v>0.0003314346944091494</x:v>
      </x:c>
      <x:c r="F67" s="30" t="n">
        <x:f>I67*(H66-H67)</x:f>
        <x:v>0.02978518225998987</x:v>
      </x:c>
      <x:c r="G67" s="30" t="n">
        <x:f>SUM(E68:E147)</x:f>
        <x:v>0.0003493030736975897</x:v>
      </x:c>
      <x:c r="H67" s="30" t="n">
        <x:f>IF($E$42=0,1-MIN(C67,$E$43)/$E$43,((1+$E$42)^$E$43-(1+$E$42)^MIN(C67,$E$43))/((1+$E$42)^$E$43-1))</x:f>
        <x:v>0.4572645118907764</x:v>
      </x:c>
      <x:c r="I67" s="30" t="n">
        <x:f>1-D67</x:f>
        <x:v>0.640900969866753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$E$40*(1/(1+EXP(-$E$47*(C68-$E$41)))-1/(1+EXP($E$47*$E$41)))/(1-1/(1+EXP($E$47*$E$41)))</x:f>
        <x:v>0.35947966779890406</x:v>
      </x:c>
      <x:c r="E68" s="30" t="n">
        <x:f>(D68-D67)*H67</x:f>
        <x:v>0.00017405209639393928</x:v>
      </x:c>
      <x:c r="F68" s="30" t="n">
        <x:f>I68*(H67-H68)</x:f>
        <x:v>0.03113183594229298</x:v>
      </x:c>
      <x:c r="G68" s="30" t="n">
        <x:f>SUM(E69:E147)</x:f>
        <x:v>0.0001752509773036503</x:v>
      </x:c>
      <x:c r="H68" s="30" t="n">
        <x:f>IF($E$42=0,1-MIN(C68,$E$43)/$E$43,((1+$E$42)^$E$43-(1+$E$42)^MIN(C68,$E$43))/((1+$E$42)^$E$43-1))</x:f>
        <x:v>0.40866053419140974</x:v>
      </x:c>
      <x:c r="I68" s="30" t="n">
        <x:f>1-D68</x:f>
        <x:v>0.6405203322010959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$E$40*(1/(1+EXP(-$E$47*(C69-$E$41)))-1/(1+EXP($E$47*$E$41)))/(1-1/(1+EXP($E$47*$E$41)))</x:f>
        <x:v>0.3596996218012469</x:v>
      </x:c>
      <x:c r="E69" s="30" t="n">
        <x:f>(D69-D68)*H68</x:f>
        <x:v>0.00008988652009497597</x:v>
      </x:c>
      <x:c r="F69" s="30" t="n">
        <x:f>I69*(H68-H69)</x:f>
        <x:v>0.032547531129249734</x:v>
      </x:c>
      <x:c r="G69" s="30" t="n">
        <x:f>SUM(E70:E147)</x:f>
        <x:v>0.00008536445720867438</x:v>
      </x:c>
      <x:c r="H69" s="30" t="n">
        <x:f>IF($E$42=0,1-MIN(C69,$E$43)/$E$43,((1+$E$42)^$E$43-(1+$E$42)^MIN(C69,$E$43))/((1+$E$42)^$E$43-1))</x:f>
        <x:v>0.35782887418082204</x:v>
      </x:c>
      <x:c r="I69" s="30" t="n">
        <x:f>1-D69</x:f>
        <x:v>0.6403003781987531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$E$40*(1/(1+EXP(-$E$47*(C70-$E$41)))-1/(1+EXP($E$47*$E$41)))/(1-1/(1+EXP($E$47*$E$41)))</x:f>
        <x:v>0.3598266393381935</x:v>
      </x:c>
      <x:c r="E70" s="30" t="n">
        <x:f>(D70-D69)*H69</x:f>
        <x:v>0.00004545054224680489</x:v>
      </x:c>
      <x:c r="F70" s="30" t="n">
        <x:f>I70*(H69-H70)</x:f>
        <x:v>0.034032540536941804</x:v>
      </x:c>
      <x:c r="G70" s="30" t="n">
        <x:f>SUM(E71:E147)</x:f>
        <x:v>0.00003991391496186947</x:v>
      </x:c>
      <x:c r="H70" s="30" t="n">
        <x:f>IF($E$42=0,1-MIN(C70,$E$43)/$E$43,((1+$E$42)^$E$43-(1+$E$42)^MIN(C70,$E$43))/((1+$E$42)^$E$43-1))</x:f>
        <x:v>0.30466742975308264</x:v>
      </x:c>
      <x:c r="I70" s="30" t="n">
        <x:f>1-D70</x:f>
        <x:v>0.6401733606618065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$E$40*(1/(1+EXP(-$E$47*(C71-$E$41)))-1/(1+EXP($E$47*$E$41)))/(1-1/(1+EXP($E$47*$E$41)))</x:f>
        <x:v>0.35989996044327716</x:v>
      </x:c>
      <x:c r="E71" s="30" t="n">
        <x:f>(D71-D70)*H70</x:f>
        <x:v>0.00002233855263250018</x:v>
      </x:c>
      <x:c r="F71" s="30" t="n">
        <x:f>I71*(H70-H71)</x:f>
        <x:v>0.03558828880397192</x:v>
      </x:c>
      <x:c r="G71" s="30" t="n">
        <x:f>SUM(E72:E147)</x:f>
        <x:v>0.000017575362329369284</x:v>
      </x:c>
      <x:c r="H71" s="30" t="n">
        <x:f>IF($E$42=0,1-MIN(C71,$E$43)/$E$43,((1+$E$42)^$E$43-(1+$E$42)^MIN(C71,$E$43))/((1+$E$42)^$E$43-1))</x:f>
        <x:v>0.2490694191224049</x:v>
      </x:c>
      <x:c r="I71" s="30" t="n">
        <x:f>1-D71</x:f>
        <x:v>0.6401000395567229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$E$40*(1/(1+EXP(-$E$47*(C72-$E$41)))-1/(1+EXP($E$47*$E$41)))/(1-1/(1+EXP($E$47*$E$41)))</x:f>
        <x:v>0.3599422758183916</x:v>
      </x:c>
      <x:c r="E72" s="30" t="n">
        <x:f>(D72-D71)*H71</x:f>
        <x:v>0.000010539465899703849</x:v>
      </x:c>
      <x:c r="F72" s="30" t="n">
        <x:f>I72*(H71-H72)</x:f>
        <x:v>0.03721695822698907</x:v>
      </x:c>
      <x:c r="G72" s="30" t="n">
        <x:f>SUM(E73:E147)</x:f>
        <x:v>0.000007035896429665436</x:v>
      </x:c>
      <x:c r="H72" s="30" t="n">
        <x:f>IF($E$42=0,1-MIN(C72,$E$43)/$E$43,((1+$E$42)^$E$43-(1+$E$42)^MIN(C72,$E$43))/((1+$E$42)^$E$43-1))</x:f>
        <x:v>0.19092316633782133</x:v>
      </x:c>
      <x:c r="I72" s="30" t="n">
        <x:f>1-D72</x:f>
        <x:v>0.6400577241816083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$E$40*(1/(1+EXP(-$E$47*(C73-$E$41)))-1/(1+EXP($E$47*$E$41)))/(1-1/(1+EXP($E$47*$E$41)))</x:f>
        <x:v>0.3599666939208361</x:v>
      </x:c>
      <x:c r="E73" s="30" t="n">
        <x:f>(D73-D72)*H72</x:f>
        <x:v>0.0000046619814346590964</x:v>
      </x:c>
      <x:c r="F73" s="30" t="n">
        <x:f>I73*(H72-H73)</x:f>
        <x:v>0.038921250582765764</x:v>
      </x:c>
      <x:c r="G73" s="30" t="n">
        <x:f>SUM(E74:E147)</x:f>
        <x:v>0.00000237391499500634</x:v>
      </x:c>
      <x:c r="H73" s="30" t="n">
        <x:f>IF($E$42=0,1-MIN(C73,$E$43)/$E$43,((1+$E$42)^$E$43-(1+$E$42)^MIN(C73,$E$43))/((1+$E$42)^$E$43-1))</x:f>
        <x:v>0.1301118769672777</x:v>
      </x:c>
      <x:c r="I73" s="30" t="n">
        <x:f>1-D73</x:f>
        <x:v>0.6400333060791639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$E$40*(1/(1+EXP(-$E$47*(C74-$E$41)))-1/(1+EXP($E$47*$E$41)))/(1-1/(1+EXP($E$47*$E$41)))</x:f>
        <x:v>0.3599807833570089</x:v>
      </x:c>
      <x:c r="E74" s="30" t="n">
        <x:f>(D74-D73)*H73</x:f>
        <x:v>0.0000018332029858556166</x:v>
      </x:c>
      <x:c r="F74" s="30" t="n">
        <x:f>I74*(H73-H74)</x:f>
        <x:v>0.04070424516784343</x:v>
      </x:c>
      <x:c r="G74" s="30" t="n">
        <x:f>SUM(E75:E147)</x:f>
        <x:v>5.407120091507235e-7</x:v>
      </x:c>
      <x:c r="H74" s="30" t="n">
        <x:f>IF($E$42=0,1-MIN(C74,$E$43)/$E$43,((1+$E$42)^$E$43-(1+$E$42)^MIN(C74,$E$43))/((1+$E$42)^$E$43-1))</x:f>
        <x:v>0.06651340350058388</x:v>
      </x:c>
      <x:c r="I74" s="30" t="n">
        <x:f>1-D74</x:f>
        <x:v>0.6400192166429911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$E$40*(1/(1+EXP(-$E$47*(C75-$E$41)))-1/(1+EXP($E$47*$E$41)))/(1-1/(1+EXP($E$47*$E$41)))</x:f>
        <x:v>0.3599889127261389</x:v>
      </x:c>
      <x:c r="E75" s="30" t="n">
        <x:f>(D75-D74)*H74</x:f>
        <x:v>5.407120091507235e-7</x:v>
      </x:c>
      <x:c r="F75" s="30" t="n">
        <x:f>I75*(H74-H75)</x:f>
        <x:v>0.04256931569269373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1-D75</x:f>
        <x:v>0.6400110872738611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$E$40*(1/(1+EXP(-$E$47*(C76-$E$41)))-1/(1+EXP($E$47*$E$41)))/(1-1/(1+EXP($E$47*$E$41)))</x:f>
        <x:v>0.3599936031211107</x:v>
      </x:c>
      <x:c r="E76" s="30" t="n">
        <x:f>(D76-D75)*H75</x:f>
        <x:v>0</x:v>
      </x:c>
      <x:c r="F76" s="30" t="n">
        <x:f>I76*(H75-H76)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1-D76</x:f>
        <x:v>0.6400063968788894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$E$40*(1/(1+EXP(-$E$47*(C77-$E$41)))-1/(1+EXP($E$47*$E$41)))/(1-1/(1+EXP($E$47*$E$41)))</x:f>
        <x:v>0.35999630929586096</x:v>
      </x:c>
      <x:c r="E77" s="30" t="n">
        <x:f>(D77-D76)*H76</x:f>
        <x:v>0</x:v>
      </x:c>
      <x:c r="F77" s="30" t="n">
        <x:f>I77*(H76-H77)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1-D77</x:f>
        <x:v>0.6400036907041391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$E$40*(1/(1+EXP(-$E$47*(C78-$E$41)))-1/(1+EXP($E$47*$E$41)))/(1-1/(1+EXP($E$47*$E$41)))</x:f>
        <x:v>0.35999787064026656</x:v>
      </x:c>
      <x:c r="E78" s="30" t="n">
        <x:f>(D78-D77)*H77</x:f>
        <x:v>0</x:v>
      </x:c>
      <x:c r="F78" s="30" t="n">
        <x:f>I78*(H77-H78)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1-D78</x:f>
        <x:v>0.6400021293597334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$E$40*(1/(1+EXP(-$E$47*(C79-$E$41)))-1/(1+EXP($E$47*$E$41)))/(1-1/(1+EXP($E$47*$E$41)))</x:f>
        <x:v>0.359998771463416</x:v>
      </x:c>
      <x:c r="E79" s="30" t="n">
        <x:f>(D79-D78)*H78</x:f>
        <x:v>0</x:v>
      </x:c>
      <x:c r="F79" s="30" t="n">
        <x:f>I79*(H78-H79)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1-D79</x:f>
        <x:v>0.6400012285365839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$E$40*(1/(1+EXP(-$E$47*(C80-$E$41)))-1/(1+EXP($E$47*$E$41)))/(1-1/(1+EXP($E$47*$E$41)))</x:f>
        <x:v>0.359999291195089</x:v>
      </x:c>
      <x:c r="E80" s="30" t="n">
        <x:f>(D80-D79)*H79</x:f>
        <x:v>0</x:v>
      </x:c>
      <x:c r="F80" s="30" t="n">
        <x:f>I80*(H79-H80)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1-D80</x:f>
        <x:v>0.640000708804911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$E$40*(1/(1+EXP(-$E$47*(C81-$E$41)))-1/(1+EXP($E$47*$E$41)))/(1-1/(1+EXP($E$47*$E$41)))</x:f>
        <x:v>0.3599995910548208</x:v>
      </x:c>
      <x:c r="E81" s="30" t="n">
        <x:f>(D81-D80)*H80</x:f>
        <x:v>0</x:v>
      </x:c>
      <x:c r="F81" s="30" t="n">
        <x:f>I81*(H80-H81)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1-D81</x:f>
        <x:v>0.6400004089451792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$E$40*(1/(1+EXP(-$E$47*(C82-$E$41)))-1/(1+EXP($E$47*$E$41)))/(1-1/(1+EXP($E$47*$E$41)))</x:f>
        <x:v>0.3599997640590499</x:v>
      </x:c>
      <x:c r="E82" s="30" t="n">
        <x:f>(D82-D81)*H81</x:f>
        <x:v>0</x:v>
      </x:c>
      <x:c r="F82" s="30" t="n">
        <x:f>I82*(H81-H82)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1-D82</x:f>
        <x:v>0.6400002359409501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$E$40*(1/(1+EXP(-$E$47*(C83-$E$41)))-1/(1+EXP($E$47*$E$41)))/(1-1/(1+EXP($E$47*$E$41)))</x:f>
        <x:v>0.35999986387387806</x:v>
      </x:c>
      <x:c r="E83" s="30" t="n">
        <x:f>(D83-D82)*H82</x:f>
        <x:v>0</x:v>
      </x:c>
      <x:c r="F83" s="30" t="n">
        <x:f>I83*(H82-H83)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1-D83</x:f>
        <x:v>0.6400001361261219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$E$40*(1/(1+EXP(-$E$47*(C84-$E$41)))-1/(1+EXP($E$47*$E$41)))/(1-1/(1+EXP($E$47*$E$41)))</x:f>
        <x:v>0.359999921462048</x:v>
      </x:c>
      <x:c r="E84" s="30" t="n">
        <x:f>(D84-D83)*H83</x:f>
        <x:v>0</x:v>
      </x:c>
      <x:c r="F84" s="30" t="n">
        <x:f>I84*(H83-H84)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1-D84</x:f>
        <x:v>0.640000078537952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$E$40*(1/(1+EXP(-$E$47*(C85-$E$41)))-1/(1+EXP($E$47*$E$41)))/(1-1/(1+EXP($E$47*$E$41)))</x:f>
        <x:v>0.35999995468753954</x:v>
      </x:c>
      <x:c r="E85" s="30" t="n">
        <x:f>(D85-D84)*H84</x:f>
        <x:v>0</x:v>
      </x:c>
      <x:c r="F85" s="30" t="n">
        <x:f>I85*(H84-H85)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1-D85</x:f>
        <x:v>0.6400000453124605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$E$40*(1/(1+EXP(-$E$47*(C86-$E$41)))-1/(1+EXP($E$47*$E$41)))/(1-1/(1+EXP($E$47*$E$41)))</x:f>
        <x:v>0.35999997385698324</x:v>
      </x:c>
      <x:c r="E86" s="30" t="n">
        <x:f>(D86-D85)*H85</x:f>
        <x:v>0</x:v>
      </x:c>
      <x:c r="F86" s="30" t="n">
        <x:f>I86*(H85-H86)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1-D86</x:f>
        <x:v>0.6400000261430168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$E$40*(1/(1+EXP(-$E$47*(C87-$E$41)))-1/(1+EXP($E$47*$E$41)))/(1-1/(1+EXP($E$47*$E$41)))</x:f>
        <x:v>0.35999998491679097</x:v>
      </x:c>
      <x:c r="E87" s="30" t="n">
        <x:f>(D87-D86)*H86</x:f>
        <x:v>0</x:v>
      </x:c>
      <x:c r="F87" s="30" t="n">
        <x:f>I87*(H86-H87)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1-D87</x:f>
        <x:v>0.640000015083209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$E$40*(1/(1+EXP(-$E$47*(C88-$E$41)))-1/(1+EXP($E$47*$E$41)))/(1-1/(1+EXP($E$47*$E$41)))</x:f>
        <x:v>0.3599999912977453</x:v>
      </x:c>
      <x:c r="E88" s="30" t="n">
        <x:f>(D88-D87)*H87</x:f>
        <x:v>0</x:v>
      </x:c>
      <x:c r="F88" s="30" t="n">
        <x:f>I88*(H87-H88)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1-D88</x:f>
        <x:v>0.6400000087022547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$E$40*(1/(1+EXP(-$E$47*(C89-$E$41)))-1/(1+EXP($E$47*$E$41)))/(1-1/(1+EXP($E$47*$E$41)))</x:f>
        <x:v>0.35999999497923574</x:v>
      </x:c>
      <x:c r="E89" s="30" t="n">
        <x:f>(D89-D88)*H88</x:f>
        <x:v>0</x:v>
      </x:c>
      <x:c r="F89" s="30" t="n">
        <x:f>I89*(H88-H89)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1-D89</x:f>
        <x:v>0.6400000050207643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$E$40*(1/(1+EXP(-$E$47*(C90-$E$41)))-1/(1+EXP($E$47*$E$41)))/(1-1/(1+EXP($E$47*$E$41)))</x:f>
        <x:v>0.359999997103271</x:v>
      </x:c>
      <x:c r="E90" s="30" t="n">
        <x:f>(D90-D89)*H89</x:f>
        <x:v>0</x:v>
      </x:c>
      <x:c r="F90" s="30" t="n">
        <x:f>I90*(H89-H90)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1-D90</x:f>
        <x:v>0.640000002896729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$E$40*(1/(1+EXP(-$E$47*(C91-$E$41)))-1/(1+EXP($E$47*$E$41)))/(1-1/(1+EXP($E$47*$E$41)))</x:f>
        <x:v>0.35999999832873275</x:v>
      </x:c>
      <x:c r="E91" s="30" t="n">
        <x:f>(D91-D90)*H90</x:f>
        <x:v>0</x:v>
      </x:c>
      <x:c r="F91" s="30" t="n">
        <x:f>I91*(H90-H91)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1-D91</x:f>
        <x:v>0.6400000016712672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$E$40*(1/(1+EXP(-$E$47*(C92-$E$41)))-1/(1+EXP($E$47*$E$41)))/(1-1/(1+EXP($E$47*$E$41)))</x:f>
        <x:v>0.35999999903576263</x:v>
      </x:c>
      <x:c r="E92" s="30" t="n">
        <x:f>(D92-D91)*H91</x:f>
        <x:v>0</x:v>
      </x:c>
      <x:c r="F92" s="30" t="n">
        <x:f>I92*(H91-H92)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1-D92</x:f>
        <x:v>0.6400000009642374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$E$40*(1/(1+EXP(-$E$47*(C93-$E$41)))-1/(1+EXP($E$47*$E$41)))/(1-1/(1+EXP($E$47*$E$41)))</x:f>
        <x:v>0.35999999944368344</x:v>
      </x:c>
      <x:c r="E93" s="30" t="n">
        <x:f>(D93-D92)*H92</x:f>
        <x:v>0</x:v>
      </x:c>
      <x:c r="F93" s="30" t="n">
        <x:f>I93*(H92-H93)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1-D93</x:f>
        <x:v>0.6400000005563166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$E$40*(1/(1+EXP(-$E$47*(C94-$E$41)))-1/(1+EXP($E$47*$E$41)))/(1-1/(1+EXP($E$47*$E$41)))</x:f>
        <x:v>0.3599999996790333</x:v>
      </x:c>
      <x:c r="E94" s="30" t="n">
        <x:f>(D94-D93)*H93</x:f>
        <x:v>0</x:v>
      </x:c>
      <x:c r="F94" s="30" t="n">
        <x:f>I94*(H93-H94)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1-D94</x:f>
        <x:v>0.6400000003209667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$E$40*(1/(1+EXP(-$E$47*(C95-$E$41)))-1/(1+EXP($E$47*$E$41)))/(1-1/(1+EXP($E$47*$E$41)))</x:f>
        <x:v>0.3599999998148183</x:v>
      </x:c>
      <x:c r="E95" s="30" t="n">
        <x:f>(D95-D94)*H94</x:f>
        <x:v>0</x:v>
      </x:c>
      <x:c r="F95" s="30" t="n">
        <x:f>I95*(H94-H95)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1-D95</x:f>
        <x:v>0.6400000001851818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$E$40*(1/(1+EXP(-$E$47*(C96-$E$41)))-1/(1+EXP($E$47*$E$41)))/(1-1/(1+EXP($E$47*$E$41)))</x:f>
        <x:v>0.35999999989315945</x:v>
      </x:c>
      <x:c r="E96" s="30" t="n">
        <x:f>(D96-D95)*H95</x:f>
        <x:v>0</x:v>
      </x:c>
      <x:c r="F96" s="30" t="n">
        <x:f>I96*(H95-H96)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1-D96</x:f>
        <x:v>0.6400000001068405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$E$40*(1/(1+EXP(-$E$47*(C97-$E$41)))-1/(1+EXP($E$47*$E$41)))/(1-1/(1+EXP($E$47*$E$41)))</x:f>
        <x:v>0.3599999999383583</x:v>
      </x:c>
      <x:c r="E97" s="30" t="n">
        <x:f>(D97-D96)*H96</x:f>
        <x:v>0</x:v>
      </x:c>
      <x:c r="F97" s="30" t="n">
        <x:f>I97*(H96-H97)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1-D97</x:f>
        <x:v>0.6400000000616417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$E$40*(1/(1+EXP(-$E$47*(C98-$E$41)))-1/(1+EXP($E$47*$E$41)))/(1-1/(1+EXP($E$47*$E$41)))</x:f>
        <x:v>0.3599999999644359</x:v>
      </x:c>
      <x:c r="E98" s="30" t="n">
        <x:f>(D98-D97)*H97</x:f>
        <x:v>0</x:v>
      </x:c>
      <x:c r="F98" s="30" t="n">
        <x:f>I98*(H97-H98)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1-D98</x:f>
        <x:v>0.6400000000355641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$E$40*(1/(1+EXP(-$E$47*(C99-$E$41)))-1/(1+EXP($E$47*$E$41)))/(1-1/(1+EXP($E$47*$E$41)))</x:f>
        <x:v>0.35999999997948123</x:v>
      </x:c>
      <x:c r="E99" s="30" t="n">
        <x:f>(D99-D98)*H98</x:f>
        <x:v>0</x:v>
      </x:c>
      <x:c r="F99" s="30" t="n">
        <x:f>I99*(H98-H99)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1-D99</x:f>
        <x:v>0.6400000000205188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$E$40*(1/(1+EXP(-$E$47*(C100-$E$41)))-1/(1+EXP($E$47*$E$41)))/(1-1/(1+EXP($E$47*$E$41)))</x:f>
        <x:v>0.35999999998816173</x:v>
      </x:c>
      <x:c r="E100" s="30" t="n">
        <x:f>(D100-D99)*H99</x:f>
        <x:v>0</x:v>
      </x:c>
      <x:c r="F100" s="30" t="n">
        <x:f>I100*(H99-H100)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1-D100</x:f>
        <x:v>0.6400000000118382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$E$40*(1/(1+EXP(-$E$47*(C101-$E$41)))-1/(1+EXP($E$47*$E$41)))/(1-1/(1+EXP($E$47*$E$41)))</x:f>
        <x:v>0.35999999999316995</x:v>
      </x:c>
      <x:c r="E101" s="30" t="n">
        <x:f>(D101-D100)*H100</x:f>
        <x:v>0</x:v>
      </x:c>
      <x:c r="F101" s="30" t="n">
        <x:f>I101*(H100-H101)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1-D101</x:f>
        <x:v>0.64000000000683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$E$40*(1/(1+EXP(-$E$47*(C102-$E$41)))-1/(1+EXP($E$47*$E$41)))/(1-1/(1+EXP($E$47*$E$41)))</x:f>
        <x:v>0.35999999999605936</x:v>
      </x:c>
      <x:c r="E102" s="30" t="n">
        <x:f>(D102-D101)*H101</x:f>
        <x:v>0</x:v>
      </x:c>
      <x:c r="F102" s="30" t="n">
        <x:f>I102*(H101-H102)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1-D102</x:f>
        <x:v>0.6400000000039406</x:v>
      </x:c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$E$40*(1/(1+EXP(-$E$47*(C103-$E$41)))-1/(1+EXP($E$47*$E$41)))/(1-1/(1+EXP($E$47*$E$41)))</x:f>
        <x:v>0.35999999999772647</x:v>
      </x:c>
      <x:c r="E103" s="30" t="n">
        <x:f>(D103-D102)*H102</x:f>
        <x:v>0</x:v>
      </x:c>
      <x:c r="F103" s="30" t="n">
        <x:f>I103*(H102-H103)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1-D103</x:f>
        <x:v>0.6400000000022735</x:v>
      </x:c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$E$40*(1/(1+EXP(-$E$47*(C104-$E$41)))-1/(1+EXP($E$47*$E$41)))/(1-1/(1+EXP($E$47*$E$41)))</x:f>
        <x:v>0.35999999999868826</x:v>
      </x:c>
      <x:c r="E104" s="30" t="n">
        <x:f>(D104-D103)*H103</x:f>
        <x:v>0</x:v>
      </x:c>
      <x:c r="F104" s="30" t="n">
        <x:f>I104*(H103-H104)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1-D104</x:f>
        <x:v>0.6400000000013117</x:v>
      </x:c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$E$40*(1/(1+EXP(-$E$47*(C105-$E$41)))-1/(1+EXP($E$47*$E$41)))/(1-1/(1+EXP($E$47*$E$41)))</x:f>
        <x:v>0.3599999999992432</x:v>
      </x:c>
      <x:c r="E105" s="30" t="n">
        <x:f>(D105-D104)*H104</x:f>
        <x:v>0</x:v>
      </x:c>
      <x:c r="F105" s="30" t="n">
        <x:f>I105*(H104-H105)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1-D105</x:f>
        <x:v>0.6400000000007569</x:v>
      </x:c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$E$40*(1/(1+EXP(-$E$47*(C106-$E$41)))-1/(1+EXP($E$47*$E$41)))/(1-1/(1+EXP($E$47*$E$41)))</x:f>
        <x:v>0.35999999999956334</x:v>
      </x:c>
      <x:c r="E106" s="30" t="n">
        <x:f>(D106-D105)*H105</x:f>
        <x:v>0</x:v>
      </x:c>
      <x:c r="F106" s="30" t="n">
        <x:f>I106*(H105-H106)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1-D106</x:f>
        <x:v>0.6400000000004367</x:v>
      </x:c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$E$40*(1/(1+EXP(-$E$47*(C107-$E$41)))-1/(1+EXP($E$47*$E$41)))/(1-1/(1+EXP($E$47*$E$41)))</x:f>
        <x:v>0.3599999999997481</x:v>
      </x:c>
      <x:c r="E107" s="30" t="n">
        <x:f>(D107-D106)*H106</x:f>
        <x:v>0</x:v>
      </x:c>
      <x:c r="F107" s="30" t="n">
        <x:f>I107*(H106-H107)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1-D107</x:f>
        <x:v>0.6400000000002519</x:v>
      </x:c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$E$40*(1/(1+EXP(-$E$47*(C108-$E$41)))-1/(1+EXP($E$47*$E$41)))/(1-1/(1+EXP($E$47*$E$41)))</x:f>
        <x:v>0.35999999999985466</x:v>
      </x:c>
      <x:c r="E108" s="30" t="n">
        <x:f>(D108-D107)*H107</x:f>
        <x:v>0</x:v>
      </x:c>
      <x:c r="F108" s="30" t="n">
        <x:f>I108*(H107-H108)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1-D108</x:f>
        <x:v>0.6400000000001453</x:v>
      </x:c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$E$40*(1/(1+EXP(-$E$47*(C109-$E$41)))-1/(1+EXP($E$47*$E$41)))/(1-1/(1+EXP($E$47*$E$41)))</x:f>
        <x:v>0.3599999999999161</x:v>
      </x:c>
      <x:c r="E109" s="30" t="n">
        <x:f>(D109-D108)*H108</x:f>
        <x:v>0</x:v>
      </x:c>
      <x:c r="F109" s="30" t="n">
        <x:f>I109*(H108-H109)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1-D109</x:f>
        <x:v>0.6400000000000838</x:v>
      </x:c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$E$40*(1/(1+EXP(-$E$47*(C110-$E$41)))-1/(1+EXP($E$47*$E$41)))/(1-1/(1+EXP($E$47*$E$41)))</x:f>
        <x:v>0.35999999999995164</x:v>
      </x:c>
      <x:c r="E110" s="30" t="n">
        <x:f>(D110-D109)*H109</x:f>
        <x:v>0</x:v>
      </x:c>
      <x:c r="F110" s="30" t="n">
        <x:f>I110*(H109-H110)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1-D110</x:f>
        <x:v>0.6400000000000483</x:v>
      </x:c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$E$40*(1/(1+EXP(-$E$47*(C111-$E$41)))-1/(1+EXP($E$47*$E$41)))/(1-1/(1+EXP($E$47*$E$41)))</x:f>
        <x:v>0.3599999999999721</x:v>
      </x:c>
      <x:c r="E111" s="30" t="n">
        <x:f>(D111-D110)*H110</x:f>
        <x:v>0</x:v>
      </x:c>
      <x:c r="F111" s="30" t="n">
        <x:f>I111*(H110-H111)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1-D111</x:f>
        <x:v>0.6400000000000279</x:v>
      </x:c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$E$40*(1/(1+EXP(-$E$47*(C112-$E$41)))-1/(1+EXP($E$47*$E$41)))/(1-1/(1+EXP($E$47*$E$41)))</x:f>
        <x:v>0.3599999999999839</x:v>
      </x:c>
      <x:c r="E112" s="30" t="n">
        <x:f>(D112-D111)*H111</x:f>
        <x:v>0</x:v>
      </x:c>
      <x:c r="F112" s="30" t="n">
        <x:f>I112*(H111-H112)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1-D112</x:f>
        <x:v>0.6400000000000161</x:v>
      </x:c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$E$40*(1/(1+EXP(-$E$47*(C113-$E$41)))-1/(1+EXP($E$47*$E$41)))/(1-1/(1+EXP($E$47*$E$41)))</x:f>
        <x:v>0.3599999999999907</x:v>
      </x:c>
      <x:c r="E113" s="30" t="n">
        <x:f>(D113-D112)*H112</x:f>
        <x:v>0</x:v>
      </x:c>
      <x:c r="F113" s="30" t="n">
        <x:f>I113*(H112-H113)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1-D113</x:f>
        <x:v>0.6400000000000092</x:v>
      </x:c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$E$40*(1/(1+EXP(-$E$47*(C114-$E$41)))-1/(1+EXP($E$47*$E$41)))/(1-1/(1+EXP($E$47*$E$41)))</x:f>
        <x:v>0.3599999999999946</x:v>
      </x:c>
      <x:c r="E114" s="30" t="n">
        <x:f>(D114-D113)*H113</x:f>
        <x:v>0</x:v>
      </x:c>
      <x:c r="F114" s="30" t="n">
        <x:f>I114*(H113-H114)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1-D114</x:f>
        <x:v>0.6400000000000055</x:v>
      </x:c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$E$40*(1/(1+EXP(-$E$47*(C115-$E$41)))-1/(1+EXP($E$47*$E$41)))/(1-1/(1+EXP($E$47*$E$41)))</x:f>
        <x:v>0.35999999999999693</x:v>
      </x:c>
      <x:c r="E115" s="30" t="n">
        <x:f>(D115-D114)*H114</x:f>
        <x:v>0</x:v>
      </x:c>
      <x:c r="F115" s="30" t="n">
        <x:f>I115*(H114-H115)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1-D115</x:f>
        <x:v>0.640000000000003</x:v>
      </x:c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$E$40*(1/(1+EXP(-$E$47*(C116-$E$41)))-1/(1+EXP($E$47*$E$41)))/(1-1/(1+EXP($E$47*$E$41)))</x:f>
        <x:v>0.3599999999999982</x:v>
      </x:c>
      <x:c r="E116" s="30" t="n">
        <x:f>(D116-D115)*H115</x:f>
        <x:v>0</x:v>
      </x:c>
      <x:c r="F116" s="30" t="n">
        <x:f>I116*(H115-H116)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1-D116</x:f>
        <x:v>0.6400000000000018</x:v>
      </x:c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$E$40*(1/(1+EXP(-$E$47*(C117-$E$41)))-1/(1+EXP($E$47*$E$41)))/(1-1/(1+EXP($E$47*$E$41)))</x:f>
        <x:v>0.359999999999999</x:v>
      </x:c>
      <x:c r="E117" s="30" t="n">
        <x:f>(D117-D116)*H116</x:f>
        <x:v>0</x:v>
      </x:c>
      <x:c r="F117" s="30" t="n">
        <x:f>I117*(H116-H117)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1-D117</x:f>
        <x:v>0.640000000000001</x:v>
      </x:c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$E$40*(1/(1+EXP(-$E$47*(C118-$E$41)))-1/(1+EXP($E$47*$E$41)))/(1-1/(1+EXP($E$47*$E$41)))</x:f>
        <x:v>0.3599999999999994</x:v>
      </x:c>
      <x:c r="E118" s="30" t="n">
        <x:f>(D118-D117)*H117</x:f>
        <x:v>0</x:v>
      </x:c>
      <x:c r="F118" s="30" t="n">
        <x:f>I118*(H117-H118)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1-D118</x:f>
        <x:v>0.6400000000000006</x:v>
      </x:c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$E$40*(1/(1+EXP(-$E$47*(C119-$E$41)))-1/(1+EXP($E$47*$E$41)))/(1-1/(1+EXP($E$47*$E$41)))</x:f>
        <x:v>0.3599999999999996</x:v>
      </x:c>
      <x:c r="E119" s="30" t="n">
        <x:f>(D119-D118)*H118</x:f>
        <x:v>0</x:v>
      </x:c>
      <x:c r="F119" s="30" t="n">
        <x:f>I119*(H118-H119)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1-D119</x:f>
        <x:v>0.6400000000000003</x:v>
      </x:c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$E$40*(1/(1+EXP(-$E$47*(C120-$E$41)))-1/(1+EXP($E$47*$E$41)))/(1-1/(1+EXP($E$47*$E$41)))</x:f>
        <x:v>0.3599999999999998</x:v>
      </x:c>
      <x:c r="E120" s="30" t="n">
        <x:f>(D120-D119)*H119</x:f>
        <x:v>0</x:v>
      </x:c>
      <x:c r="F120" s="30" t="n">
        <x:f>I120*(H119-H120)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1-D120</x:f>
        <x:v>0.6400000000000001</x:v>
      </x:c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$E$40*(1/(1+EXP(-$E$47*(C121-$E$41)))-1/(1+EXP($E$47*$E$41)))/(1-1/(1+EXP($E$47*$E$41)))</x:f>
        <x:v>0.35999999999999993</x:v>
      </x:c>
      <x:c r="E121" s="30" t="n">
        <x:f>(D121-D120)*H120</x:f>
        <x:v>0</x:v>
      </x:c>
      <x:c r="F121" s="30" t="n">
        <x:f>I121*(H120-H121)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1-D121</x:f>
        <x:v>0.6400000000000001</x:v>
      </x:c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$E$40*(1/(1+EXP(-$E$47*(C122-$E$41)))-1/(1+EXP($E$47*$E$41)))/(1-1/(1+EXP($E$47*$E$41)))</x:f>
        <x:v>0.35999999999999993</x:v>
      </x:c>
      <x:c r="E122" s="30" t="n">
        <x:f>(D122-D121)*H121</x:f>
        <x:v>0</x:v>
      </x:c>
      <x:c r="F122" s="30" t="n">
        <x:f>I122*(H121-H122)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1-D122</x:f>
        <x:v>0.6400000000000001</x:v>
      </x:c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$E$40*(1/(1+EXP(-$E$47*(C123-$E$41)))-1/(1+EXP($E$47*$E$41)))/(1-1/(1+EXP($E$47*$E$41)))</x:f>
        <x:v>0.36</x:v>
      </x:c>
      <x:c r="E123" s="30" t="n">
        <x:f>(D123-D122)*H122</x:f>
        <x:v>0</x:v>
      </x:c>
      <x:c r="F123" s="30" t="n">
        <x:f>I123*(H122-H123)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1-D123</x:f>
        <x:v>0.64</x:v>
      </x:c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$E$40*(1/(1+EXP(-$E$47*(C124-$E$41)))-1/(1+EXP($E$47*$E$41)))/(1-1/(1+EXP($E$47*$E$41)))</x:f>
        <x:v>0.36</x:v>
      </x:c>
      <x:c r="E124" s="30" t="n">
        <x:f>(D124-D123)*H123</x:f>
        <x:v>0</x:v>
      </x:c>
      <x:c r="F124" s="30" t="n">
        <x:f>I124*(H123-H124)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1-D124</x:f>
        <x:v>0.64</x:v>
      </x:c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$E$40*(1/(1+EXP(-$E$47*(C125-$E$41)))-1/(1+EXP($E$47*$E$41)))/(1-1/(1+EXP($E$47*$E$41)))</x:f>
        <x:v>0.36</x:v>
      </x:c>
      <x:c r="E125" s="30" t="n">
        <x:f>(D125-D124)*H124</x:f>
        <x:v>0</x:v>
      </x:c>
      <x:c r="F125" s="30" t="n">
        <x:f>I125*(H124-H125)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1-D125</x:f>
        <x:v>0.64</x:v>
      </x:c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$E$40*(1/(1+EXP(-$E$47*(C126-$E$41)))-1/(1+EXP($E$47*$E$41)))/(1-1/(1+EXP($E$47*$E$41)))</x:f>
        <x:v>0.36</x:v>
      </x:c>
      <x:c r="E126" s="30" t="n">
        <x:f>(D126-D125)*H125</x:f>
        <x:v>0</x:v>
      </x:c>
      <x:c r="F126" s="30" t="n">
        <x:f>I126*(H125-H126)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1-D126</x:f>
        <x:v>0.64</x:v>
      </x:c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$E$40*(1/(1+EXP(-$E$47*(C127-$E$41)))-1/(1+EXP($E$47*$E$41)))/(1-1/(1+EXP($E$47*$E$41)))</x:f>
        <x:v>0.36</x:v>
      </x:c>
      <x:c r="E127" s="30" t="n">
        <x:f>(D127-D126)*H126</x:f>
        <x:v>0</x:v>
      </x:c>
      <x:c r="F127" s="30" t="n">
        <x:f>I127*(H126-H127)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1-D127</x:f>
        <x:v>0.64</x:v>
      </x:c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$E$40*(1/(1+EXP(-$E$47*(C128-$E$41)))-1/(1+EXP($E$47*$E$41)))/(1-1/(1+EXP($E$47*$E$41)))</x:f>
        <x:v>0.36</x:v>
      </x:c>
      <x:c r="E128" s="30" t="n">
        <x:f>(D128-D127)*H127</x:f>
        <x:v>0</x:v>
      </x:c>
      <x:c r="F128" s="30" t="n">
        <x:f>I128*(H127-H128)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1-D128</x:f>
        <x:v>0.64</x:v>
      </x:c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$E$40*(1/(1+EXP(-$E$47*(C129-$E$41)))-1/(1+EXP($E$47*$E$41)))/(1-1/(1+EXP($E$47*$E$41)))</x:f>
        <x:v>0.36</x:v>
      </x:c>
      <x:c r="E129" s="30" t="n">
        <x:f>(D129-D128)*H128</x:f>
        <x:v>0</x:v>
      </x:c>
      <x:c r="F129" s="30" t="n">
        <x:f>I129*(H128-H129)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1-D129</x:f>
        <x:v>0.64</x:v>
      </x:c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$E$40*(1/(1+EXP(-$E$47*(C130-$E$41)))-1/(1+EXP($E$47*$E$41)))/(1-1/(1+EXP($E$47*$E$41)))</x:f>
        <x:v>0.36</x:v>
      </x:c>
      <x:c r="E130" s="30" t="n">
        <x:f>(D130-D129)*H129</x:f>
        <x:v>0</x:v>
      </x:c>
      <x:c r="F130" s="30" t="n">
        <x:f>I130*(H129-H130)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1-D130</x:f>
        <x:v>0.64</x:v>
      </x:c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$E$40*(1/(1+EXP(-$E$47*(C131-$E$41)))-1/(1+EXP($E$47*$E$41)))/(1-1/(1+EXP($E$47*$E$41)))</x:f>
        <x:v>0.36</x:v>
      </x:c>
      <x:c r="E131" s="30" t="n">
        <x:f>(D131-D130)*H130</x:f>
        <x:v>0</x:v>
      </x:c>
      <x:c r="F131" s="30" t="n">
        <x:f>I131*(H130-H131)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1-D131</x:f>
        <x:v>0.64</x:v>
      </x:c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$E$40*(1/(1+EXP(-$E$47*(C132-$E$41)))-1/(1+EXP($E$47*$E$41)))/(1-1/(1+EXP($E$47*$E$41)))</x:f>
        <x:v>0.36</x:v>
      </x:c>
      <x:c r="E132" s="30" t="n">
        <x:f>(D132-D131)*H131</x:f>
        <x:v>0</x:v>
      </x:c>
      <x:c r="F132" s="30" t="n">
        <x:f>I132*(H131-H132)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1-D132</x:f>
        <x:v>0.64</x:v>
      </x:c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$E$40*(1/(1+EXP(-$E$47*(C133-$E$41)))-1/(1+EXP($E$47*$E$41)))/(1-1/(1+EXP($E$47*$E$41)))</x:f>
        <x:v>0.36</x:v>
      </x:c>
      <x:c r="E133" s="30" t="n">
        <x:f>(D133-D132)*H132</x:f>
        <x:v>0</x:v>
      </x:c>
      <x:c r="F133" s="30" t="n">
        <x:f>I133*(H132-H133)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1-D133</x:f>
        <x:v>0.64</x:v>
      </x:c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$E$40*(1/(1+EXP(-$E$47*(C134-$E$41)))-1/(1+EXP($E$47*$E$41)))/(1-1/(1+EXP($E$47*$E$41)))</x:f>
        <x:v>0.36</x:v>
      </x:c>
      <x:c r="E134" s="30" t="n">
        <x:f>(D134-D133)*H133</x:f>
        <x:v>0</x:v>
      </x:c>
      <x:c r="F134" s="30" t="n">
        <x:f>I134*(H133-H134)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1-D134</x:f>
        <x:v>0.64</x:v>
      </x:c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$E$40*(1/(1+EXP(-$E$47*(C135-$E$41)))-1/(1+EXP($E$47*$E$41)))/(1-1/(1+EXP($E$47*$E$41)))</x:f>
        <x:v>0.36</x:v>
      </x:c>
      <x:c r="E135" s="30" t="n">
        <x:f>(D135-D134)*H134</x:f>
        <x:v>0</x:v>
      </x:c>
      <x:c r="F135" s="30" t="n">
        <x:f>I135*(H134-H135)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1-D135</x:f>
        <x:v>0.64</x:v>
      </x:c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$E$40*(1/(1+EXP(-$E$47*(C136-$E$41)))-1/(1+EXP($E$47*$E$41)))/(1-1/(1+EXP($E$47*$E$41)))</x:f>
        <x:v>0.36</x:v>
      </x:c>
      <x:c r="E136" s="30" t="n">
        <x:f>(D136-D135)*H135</x:f>
        <x:v>0</x:v>
      </x:c>
      <x:c r="F136" s="30" t="n">
        <x:f>I136*(H135-H136)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1-D136</x:f>
        <x:v>0.64</x:v>
      </x:c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$E$40*(1/(1+EXP(-$E$47*(C137-$E$41)))-1/(1+EXP($E$47*$E$41)))/(1-1/(1+EXP($E$47*$E$41)))</x:f>
        <x:v>0.36</x:v>
      </x:c>
      <x:c r="E137" s="30" t="n">
        <x:f>(D137-D136)*H136</x:f>
        <x:v>0</x:v>
      </x:c>
      <x:c r="F137" s="30" t="n">
        <x:f>I137*(H136-H137)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1-D137</x:f>
        <x:v>0.64</x:v>
      </x:c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$E$40*(1/(1+EXP(-$E$47*(C138-$E$41)))-1/(1+EXP($E$47*$E$41)))/(1-1/(1+EXP($E$47*$E$41)))</x:f>
        <x:v>0.36</x:v>
      </x:c>
      <x:c r="E138" s="30" t="n">
        <x:f>(D138-D137)*H137</x:f>
        <x:v>0</x:v>
      </x:c>
      <x:c r="F138" s="30" t="n">
        <x:f>I138*(H137-H138)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1-D138</x:f>
        <x:v>0.64</x:v>
      </x:c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$E$40*(1/(1+EXP(-$E$47*(C139-$E$41)))-1/(1+EXP($E$47*$E$41)))/(1-1/(1+EXP($E$47*$E$41)))</x:f>
        <x:v>0.36</x:v>
      </x:c>
      <x:c r="E139" s="30" t="n">
        <x:f>(D139-D138)*H138</x:f>
        <x:v>0</x:v>
      </x:c>
      <x:c r="F139" s="30" t="n">
        <x:f>I139*(H138-H139)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1-D139</x:f>
        <x:v>0.64</x:v>
      </x:c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$E$40*(1/(1+EXP(-$E$47*(C140-$E$41)))-1/(1+EXP($E$47*$E$41)))/(1-1/(1+EXP($E$47*$E$41)))</x:f>
        <x:v>0.36</x:v>
      </x:c>
      <x:c r="E140" s="30" t="n">
        <x:f>(D140-D139)*H139</x:f>
        <x:v>0</x:v>
      </x:c>
      <x:c r="F140" s="30" t="n">
        <x:f>I140*(H139-H140)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1-D140</x:f>
        <x:v>0.64</x:v>
      </x:c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$E$40*(1/(1+EXP(-$E$47*(C141-$E$41)))-1/(1+EXP($E$47*$E$41)))/(1-1/(1+EXP($E$47*$E$41)))</x:f>
        <x:v>0.36</x:v>
      </x:c>
      <x:c r="E141" s="30" t="n">
        <x:f>(D141-D140)*H140</x:f>
        <x:v>0</x:v>
      </x:c>
      <x:c r="F141" s="30" t="n">
        <x:f>I141*(H140-H141)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1-D141</x:f>
        <x:v>0.64</x:v>
      </x:c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$E$40*(1/(1+EXP(-$E$47*(C142-$E$41)))-1/(1+EXP($E$47*$E$41)))/(1-1/(1+EXP($E$47*$E$41)))</x:f>
        <x:v>0.36</x:v>
      </x:c>
      <x:c r="E142" s="30" t="n">
        <x:f>(D142-D141)*H141</x:f>
        <x:v>0</x:v>
      </x:c>
      <x:c r="F142" s="30" t="n">
        <x:f>I142*(H141-H142)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1-D142</x:f>
        <x:v>0.64</x:v>
      </x:c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$E$40*(1/(1+EXP(-$E$47*(C143-$E$41)))-1/(1+EXP($E$47*$E$41)))/(1-1/(1+EXP($E$47*$E$41)))</x:f>
        <x:v>0.36</x:v>
      </x:c>
      <x:c r="E143" s="30" t="n">
        <x:f>(D143-D142)*H142</x:f>
        <x:v>0</x:v>
      </x:c>
      <x:c r="F143" s="30" t="n">
        <x:f>I143*(H142-H143)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1-D143</x:f>
        <x:v>0.64</x:v>
      </x:c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$E$40*(1/(1+EXP(-$E$47*(C144-$E$41)))-1/(1+EXP($E$47*$E$41)))/(1-1/(1+EXP($E$47*$E$41)))</x:f>
        <x:v>0.36</x:v>
      </x:c>
      <x:c r="E144" s="30" t="n">
        <x:f>(D144-D143)*H143</x:f>
        <x:v>0</x:v>
      </x:c>
      <x:c r="F144" s="30" t="n">
        <x:f>I144*(H143-H144)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1-D144</x:f>
        <x:v>0.64</x:v>
      </x:c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$E$40*(1/(1+EXP(-$E$47*(C145-$E$41)))-1/(1+EXP($E$47*$E$41)))/(1-1/(1+EXP($E$47*$E$41)))</x:f>
        <x:v>0.36</x:v>
      </x:c>
      <x:c r="E145" s="30" t="n">
        <x:f>(D145-D144)*H144</x:f>
        <x:v>0</x:v>
      </x:c>
      <x:c r="F145" s="30" t="n">
        <x:f>I145*(H144-H145)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1-D145</x:f>
        <x:v>0.64</x:v>
      </x:c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$E$40*(1/(1+EXP(-$E$47*(C146-$E$41)))-1/(1+EXP($E$47*$E$41)))/(1-1/(1+EXP($E$47*$E$41)))</x:f>
        <x:v>0.36</x:v>
      </x:c>
      <x:c r="E146" s="30" t="n">
        <x:f>(D146-D145)*H145</x:f>
        <x:v>0</x:v>
      </x:c>
      <x:c r="F146" s="30" t="n">
        <x:f>I146*(H145-H146)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1-D146</x:f>
        <x:v>0.64</x:v>
      </x:c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$E$40*(1/(1+EXP(-$E$47*(C147-$E$41)))-1/(1+EXP($E$47*$E$41)))/(1-1/(1+EXP($E$47*$E$41)))</x:f>
        <x:v>0.36</x:v>
      </x:c>
      <x:c r="E147" s="30" t="n">
        <x:f>(D147-D146)*H146</x:f>
        <x:v>0</x:v>
      </x:c>
      <x:c r="F147" s="30" t="n">
        <x:f>I147*(H146-H147)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1-D147</x:f>
        <x:v>0.64</x:v>
      </x:c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5.407120091507235e-7</x:v>
      </x:c>
      <x:c r="CB150" s="30" t="n">
        <x:f>E74</x:f>
        <x:v>0.0000018332029858556166</x:v>
      </x:c>
      <x:c r="CC150" s="30" t="n">
        <x:f>E73</x:f>
        <x:v>0.0000046619814346590964</x:v>
      </x:c>
      <x:c r="CD150" s="30" t="n">
        <x:f>E72</x:f>
        <x:v>0.000010539465899703849</x:v>
      </x:c>
      <x:c r="CE150" s="30" t="n">
        <x:f>E71</x:f>
        <x:v>0.00002233855263250018</x:v>
      </x:c>
      <x:c r="CF150" s="30" t="n">
        <x:f>E70</x:f>
        <x:v>0.00004545054224680489</x:v>
      </x:c>
      <x:c r="CG150" s="30" t="n">
        <x:f>E69</x:f>
        <x:v>0.00008988652009497597</x:v>
      </x:c>
      <x:c r="CH150" s="30" t="n">
        <x:f>E68</x:f>
        <x:v>0.00017405209639393928</x:v>
      </x:c>
      <x:c r="CI150" s="30" t="n">
        <x:f>E67</x:f>
        <x:v>0.0003314346944091494</x:v>
      </x:c>
      <x:c r="CJ150" s="30" t="n">
        <x:f>E66</x:f>
        <x:v>0.0006222027788506641</x:v>
      </x:c>
      <x:c r="CK150" s="30" t="n">
        <x:f>E65</x:f>
        <x:v>0.0011526234395546912</x:v>
      </x:c>
      <x:c r="CL150" s="30" t="n">
        <x:f>E64</x:f>
        <x:v>0.002105521237701339</x:v>
      </x:c>
      <x:c r="CM150" s="30" t="n">
        <x:f>E63</x:f>
        <x:v>0.0037820386097477247</x:v>
      </x:c>
      <x:c r="CN150" s="30" t="n">
        <x:f>E62</x:f>
        <x:v>0.006641239979775755</x:v>
      </x:c>
      <x:c r="CO150" s="30" t="n">
        <x:f>E61</x:f>
        <x:v>0.011284501734059246</x:v>
      </x:c>
      <x:c r="CP150" s="30" t="n">
        <x:f>E60</x:f>
        <x:v>0.018254804869698465</x:v>
      </x:c>
      <x:c r="CQ150" s="30" t="n">
        <x:f>E59</x:f>
        <x:v>0.02747098835288112</x:v>
      </x:c>
      <x:c r="CR150" s="30" t="n">
        <x:f>E58</x:f>
        <x:v>0.037373540976518856</x:v>
      </x:c>
      <x:c r="CS150" s="30" t="n">
        <x:f>E57</x:f>
        <x:v>0.044695487800215476</x:v>
      </x:c>
      <x:c r="CT150" s="30" t="n">
        <x:f>E56</x:f>
        <x:v>0.0461539016017321</x:v>
      </x:c>
      <x:c r="CU150" s="30" t="n">
        <x:f>E55</x:f>
        <x:v>0.0411638322599062</x:v>
      </x:c>
      <x:c r="CV150" s="30" t="n">
        <x:f>E54</x:f>
        <x:v>0.03229895136730984</x:v>
      </x:c>
      <x:c r="CW150" s="30" t="n">
        <x:f>E53</x:f>
        <x:v>0.022943501772267897</x:v>
      </x:c>
      <x:c r="CX150" s="30" t="n">
        <x:f>E52</x:f>
        <x:v>0.015191806801219914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0.04256931569269373</x:v>
      </x:c>
      <x:c r="CB151" s="30" t="n">
        <x:f>F74</x:f>
        <x:v>0.04070424516784343</x:v>
      </x:c>
      <x:c r="CC151" s="30" t="n">
        <x:f>F73</x:f>
        <x:v>0.038921250582765764</x:v>
      </x:c>
      <x:c r="CD151" s="30" t="n">
        <x:f>F72</x:f>
        <x:v>0.03721695822698907</x:v>
      </x:c>
      <x:c r="CE151" s="30" t="n">
        <x:f>F71</x:f>
        <x:v>0.03558828880397192</x:v>
      </x:c>
      <x:c r="CF151" s="30" t="n">
        <x:f>F70</x:f>
        <x:v>0.034032540536941804</x:v>
      </x:c>
      <x:c r="CG151" s="30" t="n">
        <x:f>F69</x:f>
        <x:v>0.032547531129249734</x:v>
      </x:c>
      <x:c r="CH151" s="30" t="n">
        <x:f>F68</x:f>
        <x:v>0.03113183594229298</x:v>
      </x:c>
      <x:c r="CI151" s="30" t="n">
        <x:f>F67</x:f>
        <x:v>0.02978518225998987</x:v>
      </x:c>
      <x:c r="CJ151" s="30" t="n">
        <x:f>F66</x:f>
        <x:v>0.028509093013628896</x:v>
      </x:c>
      <x:c r="CK151" s="30" t="n">
        <x:f>F65</x:f>
        <x:v>0.027307918234018957</x:v>
      </x:c>
      <x:c r="CL151" s="30" t="n">
        <x:f>F64</x:f>
        <x:v>0.026190437635154527</x:v>
      </x:c>
      <x:c r="CM151" s="30" t="n">
        <x:f>F63</x:f>
        <x:v>0.025172214622907634</x:v>
      </x:c>
      <x:c r="CN151" s="30" t="n">
        <x:f>F62</x:f>
        <x:v>0.024278681647383428</x:v>
      </x:c>
      <x:c r="CO151" s="30" t="n">
        <x:f>F61</x:f>
        <x:v>0.023548170581106607</x:v>
      </x:c>
      <x:c r="CP151" s="30" t="n">
        <x:f>F60</x:f>
        <x:v>0.023032097900736046</x:v>
      </x:c>
      <x:c r="CQ151" s="30" t="n">
        <x:f>F59</x:f>
        <x:v>0.02278585327712388</x:v>
      </x:c>
      <x:c r="CR151" s="30" t="n">
        <x:f>F58</x:f>
        <x:v>0.022841285758640858</x:v>
      </x:c>
      <x:c r="CS151" s="30" t="n">
        <x:f>F57</x:f>
        <x:v>0.023160726789275145</x:v>
      </x:c>
      <x:c r="CT151" s="30" t="n">
        <x:f>F56</x:f>
        <x:v>0.023604128659787737</x:v>
      </x:c>
      <x:c r="CU151" s="30" t="n">
        <x:f>F55</x:f>
        <x:v>0.023964184026745147</x:v>
      </x:c>
      <x:c r="CV151" s="30" t="n">
        <x:f>F54</x:f>
        <x:v>0.024068305993369777</x:v>
      </x:c>
      <x:c r="CW151" s="30" t="n">
        <x:f>F53</x:f>
        <x:v>0.02385595133131143</x:v>
      </x:c>
      <x:c r="CX151" s="30" t="n">
        <x:f>F52</x:f>
        <x:v>0.023368120836525626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IF(C160&gt;=$E$43,0,IF($E$46=0,$E$44/$E$43,IF(C160=$E$45,$E$44,0)))</x:f>
        <x:v>3194999.9999999995</x:v>
      </x:c>
      <x:c r="E160" s="31" t="n">
        <x:f>IF(D160=0,0,D160/(INDEX($I$51:$I$147,C160+1)*INDEX($H$51:$H$147,C160+1)))</x:f>
        <x:v>3194999.9999999995</x:v>
      </x:c>
      <x:c r="F160" s="31" t="n">
        <x:f>E160*INDEX($G$51:$G$147,C160+1)</x:f>
        <x:v>996251.1019117997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IF(C161&gt;=$E$43,0,IF($E$46=0,$E$44/$E$43,IF(C161=$E$45,$E$44,0)))</x:f>
        <x:v>3194999.9999999995</x:v>
      </x:c>
      <x:c r="E161" s="31" t="n">
        <x:f>IF(D161=0,0,D161/(INDEX($I$51:$I$147,C161+1)*INDEX($H$51:$H$147,C161+1)))</x:f>
        <x:v>3323140.039451338</x:v>
      </x:c>
      <x:c r="F161" s="31" t="n">
        <x:f>E161*INDEX($G$51:$G$147,C161+1)</x:f>
        <x:v>985722.6741687335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IF(C162&gt;=$E$43,0,IF($E$46=0,$E$44/$E$43,IF(C162=$E$45,$E$44,0)))</x:f>
        <x:v>3194999.9999999995</x:v>
      </x:c>
      <x:c r="E162" s="31" t="n">
        <x:f>IF(D162=0,0,D162/(INDEX($I$51:$I$147,C162+1)*INDEX($H$51:$H$147,C162+1)))</x:f>
        <x:v>3493175.278602406</x:v>
      </x:c>
      <x:c r="F162" s="31" t="n">
        <x:f>E162*INDEX($G$51:$G$147,C162+1)</x:f>
        <x:v>956013.5124200177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IF(C163&gt;=$E$43,0,IF($E$46=0,$E$44/$E$43,IF(C163=$E$45,$E$44,0)))</x:f>
        <x:v>3194999.9999999995</x:v>
      </x:c>
      <x:c r="E163" s="31" t="n">
        <x:f>IF(D163=0,0,D163/(INDEX($I$51:$I$147,C163+1)*INDEX($H$51:$H$147,C163+1)))</x:f>
        <x:v>3722590.1930994806</x:v>
      </x:c>
      <x:c r="F163" s="31" t="n">
        <x:f>E163*INDEX($G$51:$G$147,C163+1)</x:f>
        <x:v>898564.1121326196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IF(C164&gt;=$E$43,0,IF($E$46=0,$E$44/$E$43,IF(C164=$E$45,$E$44,0)))</x:f>
        <x:v>3194999.9999999995</x:v>
      </x:c>
      <x:c r="E164" s="31" t="n">
        <x:f>IF(D164=0,0,D164/(INDEX($I$51:$I$147,C164+1)*INDEX($H$51:$H$147,C164+1)))</x:f>
        <x:v>4028265.4593873243</x:v>
      </x:c>
      <x:c r="F164" s="31" t="n">
        <x:f>E164*INDEX($G$51:$G$147,C164+1)</x:f>
        <x:v>806529.5987300833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IF(C165&gt;=$E$43,0,IF($E$46=0,$E$44/$E$43,IF(C165=$E$45,$E$44,0)))</x:f>
        <x:v>3194999.9999999995</x:v>
      </x:c>
      <x:c r="E165" s="31" t="n">
        <x:f>IF(D165=0,0,D165/(INDEX($I$51:$I$147,C165+1)*INDEX($H$51:$H$147,C165+1)))</x:f>
        <x:v>4416721.07348872</x:v>
      </x:c>
      <x:c r="F165" s="31" t="n">
        <x:f>E165*INDEX($G$51:$G$147,C165+1)</x:f>
        <x:v>680456.3354487028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IF(C166&gt;=$E$43,0,IF($E$46=0,$E$44/$E$43,IF(C166=$E$45,$E$44,0)))</x:f>
        <x:v>3194999.9999999995</x:v>
      </x:c>
      <x:c r="E166" s="31" t="n">
        <x:f>IF(D166=0,0,D166/(INDEX($I$51:$I$147,C166+1)*INDEX($H$51:$H$147,C166+1)))</x:f>
        <x:v>4873910.629555487</x:v>
      </x:c>
      <x:c r="F166" s="31" t="n">
        <x:f>E166*INDEX($G$51:$G$147,C166+1)</x:f>
        <x:v>533050.8312817374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IF(C167&gt;=$E$43,0,IF($E$46=0,$E$44/$E$43,IF(C167=$E$45,$E$44,0)))</x:f>
        <x:v>3194999.9999999995</x:v>
      </x:c>
      <x:c r="E167" s="31" t="n">
        <x:f>IF(D167=0,0,D167/(INDEX($I$51:$I$147,C167+1)*INDEX($H$51:$H$147,C167+1)))</x:f>
        <x:v>5366895.11005186</x:v>
      </x:c>
      <x:c r="F167" s="31" t="n">
        <x:f>E167*INDEX($G$51:$G$147,C167+1)</x:f>
        <x:v>386387.7821045819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IF(C168&gt;=$E$43,0,IF($E$46=0,$E$44/$E$43,IF(C168=$E$45,$E$44,0)))</x:f>
        <x:v>3194999.9999999995</x:v>
      </x:c>
      <x:c r="E168" s="31" t="n">
        <x:f>IF(D168=0,0,D168/(INDEX($I$51:$I$147,C168+1)*INDEX($H$51:$H$147,C168+1)))</x:f>
        <x:v>5861746.096127769</x:v>
      </x:c>
      <x:c r="F168" s="31" t="n">
        <x:f>E168*INDEX($G$51:$G$147,C168+1)</x:f>
        <x:v>260986.45125502857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IF(C169&gt;=$E$43,0,IF($E$46=0,$E$44/$E$43,IF(C169=$E$45,$E$44,0)))</x:f>
        <x:v>3194999.9999999995</x:v>
      </x:c>
      <x:c r="E169" s="31" t="n">
        <x:f>IF(D169=0,0,D169/(INDEX($I$51:$I$147,C169+1)*INDEX($H$51:$H$147,C169+1)))</x:f>
        <x:v>6342148.11669066</x:v>
      </x:c>
      <x:c r="F169" s="31" t="n">
        <x:f>E169*INDEX($G$51:$G$147,C169+1)</x:f>
        <x:v>166601.03616155556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IF(C170&gt;=$E$43,0,IF($E$46=0,$E$44/$E$43,IF(C170=$E$45,$E$44,0)))</x:f>
        <x:v>3194999.9999999995</x:v>
      </x:c>
      <x:c r="E170" s="31" t="n">
        <x:f>IF(D170=0,0,D170/(INDEX($I$51:$I$147,C170+1)*INDEX($H$51:$H$147,C170+1)))</x:f>
        <x:v>6813240.440534432</x:v>
      </x:c>
      <x:c r="F170" s="31" t="n">
        <x:f>E170*INDEX($G$51:$G$147,C170+1)</x:f>
        <x:v>102092.0735114331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IF(C171&gt;=$E$43,0,IF($E$46=0,$E$44/$E$43,IF(C171=$E$45,$E$44,0)))</x:f>
        <x:v>3194999.9999999995</x:v>
      </x:c>
      <x:c r="E171" s="31" t="n">
        <x:f>IF(D171=0,0,D171/(INDEX($I$51:$I$147,C171+1)*INDEX($H$51:$H$147,C171+1)))</x:f>
        <x:v>7294188.551081302</x:v>
      </x:c>
      <x:c r="F171" s="31" t="n">
        <x:f>E171*INDEX($G$51:$G$147,C171+1)</x:f>
        <x:v>60856.31834993304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IF(C172&gt;=$E$43,0,IF($E$46=0,$E$44/$E$43,IF(C172=$E$45,$E$44,0)))</x:f>
        <x:v>3194999.9999999995</x:v>
      </x:c>
      <x:c r="E172" s="31" t="n">
        <x:f>IF(D172=0,0,D172/(INDEX($I$51:$I$147,C172+1)*INDEX($H$51:$H$147,C172+1)))</x:f>
        <x:v>7810481.634309286</x:v>
      </x:c>
      <x:c r="F172" s="31" t="n">
        <x:f>E172*INDEX($G$51:$G$147,C172+1)</x:f>
        <x:v>35624.272376238456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IF(C173&gt;=$E$43,0,IF($E$46=0,$E$44/$E$43,IF(C173=$E$45,$E$44,0)))</x:f>
        <x:v>3194999.9999999995</x:v>
      </x:c>
      <x:c r="E173" s="31" t="n">
        <x:f>IF(D173=0,0,D173/(INDEX($I$51:$I$147,C173+1)*INDEX($H$51:$H$147,C173+1)))</x:f>
        <x:v>8390898.231053168</x:v>
      </x:c>
      <x:c r="F173" s="31" t="n">
        <x:f>E173*INDEX($G$51:$G$147,C173+1)</x:f>
        <x:v>20604.3875106622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IF(C174&gt;=$E$43,0,IF($E$46=0,$E$44/$E$43,IF(C174=$E$45,$E$44,0)))</x:f>
        <x:v>3194999.9999999995</x:v>
      </x:c>
      <x:c r="E174" s="31" t="n">
        <x:f>IF(D174=0,0,D174/(INDEX($I$51:$I$147,C174+1)*INDEX($H$51:$H$147,C174+1)))</x:f>
        <x:v>9068738.948951729</x:v>
      </x:c>
      <x:c r="F174" s="31" t="n">
        <x:f>E174*INDEX($G$51:$G$147,C174+1)</x:f>
        <x:v>11816.027686361067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IF(C175&gt;=$E$43,0,IF($E$46=0,$E$44/$E$43,IF(C175=$E$45,$E$44,0)))</x:f>
        <x:v>3194999.9999999995</x:v>
      </x:c>
      <x:c r="E175" s="31" t="n">
        <x:f>IF(D175=0,0,D175/(INDEX($I$51:$I$147,C175+1)*INDEX($H$51:$H$147,C175+1)))</x:f>
        <x:v>9886196.232201863</x:v>
      </x:c>
      <x:c r="F175" s="31" t="n">
        <x:f>E175*INDEX($G$51:$G$147,C175+1)</x:f>
        <x:v>6729.907158174348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IF(C176&gt;=$E$43,0,IF($E$46=0,$E$44/$E$43,IF(C176=$E$45,$E$44,0)))</x:f>
        <x:v>3194999.9999999995</x:v>
      </x:c>
      <x:c r="E176" s="31" t="n">
        <x:f>IF(D176=0,0,D176/(INDEX($I$51:$I$147,C176+1)*INDEX($H$51:$H$147,C176+1)))</x:f>
        <x:v>10902157.112731263</x:v>
      </x:c>
      <x:c r="F176" s="31" t="n">
        <x:f>E176*INDEX($G$51:$G$147,C176+1)</x:f>
        <x:v>3808.1569894110703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IF(C177&gt;=$E$43,0,IF($E$46=0,$E$44/$E$43,IF(C177=$E$45,$E$44,0)))</x:f>
        <x:v>3194999.9999999995</x:v>
      </x:c>
      <x:c r="E177" s="31" t="n">
        <x:f>IF(D177=0,0,D177/(INDEX($I$51:$I$147,C177+1)*INDEX($H$51:$H$147,C177+1)))</x:f>
        <x:v>12206052.790038444</x:v>
      </x:c>
      <x:c r="F177" s="31" t="n">
        <x:f>E177*INDEX($G$51:$G$147,C177+1)</x:f>
        <x:v>2139.122680474185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IF(C178&gt;=$E$43,0,IF($E$46=0,$E$44/$E$43,IF(C178=$E$45,$E$44,0)))</x:f>
        <x:v>3194999.9999999995</x:v>
      </x:c>
      <x:c r="E178" s="31" t="n">
        <x:f>IF(D178=0,0,D178/(INDEX($I$51:$I$147,C178+1)*INDEX($H$51:$H$147,C178+1)))</x:f>
        <x:v>13944781.76932842</x:v>
      </x:c>
      <x:c r="F178" s="31" t="n">
        <x:f>E178*INDEX($G$51:$G$147,C178+1)</x:f>
        <x:v>1190.3887266321385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IF(C179&gt;=$E$43,0,IF($E$46=0,$E$44/$E$43,IF(C179=$E$45,$E$44,0)))</x:f>
        <x:v>3194999.9999999995</x:v>
      </x:c>
      <x:c r="E179" s="31" t="n">
        <x:f>IF(D179=0,0,D179/(INDEX($I$51:$I$147,C179+1)*INDEX($H$51:$H$147,C179+1)))</x:f>
        <x:v>16381257.44616079</x:v>
      </x:c>
      <x:c r="F179" s="31" t="n">
        <x:f>E179*INDEX($G$51:$G$147,C179+1)</x:f>
        <x:v>653.8401166745527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IF(C180&gt;=$E$43,0,IF($E$46=0,$E$44/$E$43,IF(C180=$E$45,$E$44,0)))</x:f>
        <x:v>3194999.9999999995</x:v>
      </x:c>
      <x:c r="E180" s="31" t="n">
        <x:f>IF(D180=0,0,D180/(INDEX($I$51:$I$147,C180+1)*INDEX($H$51:$H$147,C180+1)))</x:f>
        <x:v>20040225.33835449</x:v>
      </x:c>
      <x:c r="F180" s="31" t="n">
        <x:f>E180*INDEX($G$51:$G$147,C180+1)</x:f>
        <x:v>352.2142214837873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IF(C181&gt;=$E$43,0,IF($E$46=0,$E$44/$E$43,IF(C181=$E$45,$E$44,0)))</x:f>
        <x:v>3194999.9999999995</x:v>
      </x:c>
      <x:c r="E181" s="31" t="n">
        <x:f>IF(D181=0,0,D181/(INDEX($I$51:$I$147,C181+1)*INDEX($H$51:$H$147,C181+1)))</x:f>
        <x:v>26145267.600722928</x:v>
      </x:c>
      <x:c r="F181" s="31" t="n">
        <x:f>E181*INDEX($G$51:$G$147,C181+1)</x:f>
        <x:v>183.95539496457386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IF(C182&gt;=$E$43,0,IF($E$46=0,$E$44/$E$43,IF(C182=$E$45,$E$44,0)))</x:f>
        <x:v>3194999.9999999995</x:v>
      </x:c>
      <x:c r="E182" s="31" t="n">
        <x:f>IF(D182=0,0,D182/(INDEX($I$51:$I$147,C182+1)*INDEX($H$51:$H$147,C182+1)))</x:f>
        <x:v>38366426.1303344</x:v>
      </x:c>
      <x:c r="F182" s="31" t="n">
        <x:f>E182*INDEX($G$51:$G$147,C182+1)</x:f>
        <x:v>91.0786342956039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IF(C183&gt;=$E$43,0,IF($E$46=0,$E$44/$E$43,IF(C183=$E$45,$E$44,0)))</x:f>
        <x:v>3194999.9999999995</x:v>
      </x:c>
      <x:c r="E183" s="31" t="n">
        <x:f>IF(D183=0,0,D183/(INDEX($I$51:$I$147,C183+1)*INDEX($H$51:$H$147,C183+1)))</x:f>
        <x:v>75053107.28854218</x:v>
      </x:c>
      <x:c r="F183" s="31" t="n">
        <x:f>E183*INDEX($G$51:$G$147,C183+1)</x:f>
        <x:v>40.58211643499245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IF(C184&gt;=$E$43,0,IF($E$46=0,$E$44/$E$43,IF(C184=$E$45,$E$44,0)))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IF(C185&gt;=$E$43,0,IF($E$46=0,$E$44/$E$43,IF(C185=$E$45,$E$44,0)))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IF(C186&gt;=$E$43,0,IF($E$46=0,$E$44/$E$43,IF(C186=$E$45,$E$44,0)))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IF(C187&gt;=$E$43,0,IF($E$46=0,$E$44/$E$43,IF(C187=$E$45,$E$44,0)))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IF(C188&gt;=$E$43,0,IF($E$46=0,$E$44/$E$43,IF(C188=$E$45,$E$44,0)))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IF(C189&gt;=$E$43,0,IF($E$46=0,$E$44/$E$43,IF(C189=$E$45,$E$44,0)))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IF(C190&gt;=$E$43,0,IF($E$46=0,$E$44/$E$43,IF(C190=$E$45,$E$44,0)))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IF(C191&gt;=$E$43,0,IF($E$46=0,$E$44/$E$43,IF(C191=$E$45,$E$44,0)))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IF(C192&gt;=$E$43,0,IF($E$46=0,$E$44/$E$43,IF(C192=$E$45,$E$44,0)))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IF(C193&gt;=$E$43,0,IF($E$46=0,$E$44/$E$43,IF(C193=$E$45,$E$44,0)))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IF(C194&gt;=$E$43,0,IF($E$46=0,$E$44/$E$43,IF(C194=$E$45,$E$44,0)))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IF(C195&gt;=$E$43,0,IF($E$46=0,$E$44/$E$43,IF(C195=$E$45,$E$44,0)))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IF(C196&gt;=$E$43,0,IF($E$46=0,$E$44/$E$43,IF(C196=$E$45,$E$44,0)))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IF(C197&gt;=$E$43,0,IF($E$46=0,$E$44/$E$43,IF(C197=$E$45,$E$44,0)))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IF(C198&gt;=$E$43,0,IF($E$46=0,$E$44/$E$43,IF(C198=$E$45,$E$44,0)))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IF(C199&gt;=$E$43,0,IF($E$46=0,$E$44/$E$43,IF(C199=$E$45,$E$44,0)))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IF(C200&gt;=$E$43,0,IF($E$46=0,$E$44/$E$43,IF(C200=$E$45,$E$44,0)))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IF(C201&gt;=$E$43,0,IF($E$46=0,$E$44/$E$43,IF(C201=$E$45,$E$44,0)))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IF(C202&gt;=$E$43,0,IF($E$46=0,$E$44/$E$43,IF(C202=$E$45,$E$44,0)))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IF(C203&gt;=$E$43,0,IF($E$46=0,$E$44/$E$43,IF(C203=$E$45,$E$44,0)))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IF(C204&gt;=$E$43,0,IF($E$46=0,$E$44/$E$43,IF(C204=$E$45,$E$44,0)))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IF(C205&gt;=$E$43,0,IF($E$46=0,$E$44/$E$43,IF(C205=$E$45,$E$44,0)))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IF(C206&gt;=$E$43,0,IF($E$46=0,$E$44/$E$43,IF(C206=$E$45,$E$44,0)))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IF(C207&gt;=$E$43,0,IF($E$46=0,$E$44/$E$43,IF(C207=$E$45,$E$44,0)))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IF(C208&gt;=$E$43,0,IF($E$46=0,$E$44/$E$43,IF(C208=$E$45,$E$44,0)))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IF(C209&gt;=$E$43,0,IF($E$46=0,$E$44/$E$43,IF(C209=$E$45,$E$44,0)))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IF(C210&gt;=$E$43,0,IF($E$46=0,$E$44/$E$43,IF(C210=$E$45,$E$44,0)))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IF(C211&gt;=$E$43,0,IF($E$46=0,$E$44/$E$43,IF(C211=$E$45,$E$44,0)))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IF(C212&gt;=$E$43,0,IF($E$46=0,$E$44/$E$43,IF(C212=$E$45,$E$44,0)))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IF(C213&gt;=$E$43,0,IF($E$46=0,$E$44/$E$43,IF(C213=$E$45,$E$44,0)))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IF(C214&gt;=$E$43,0,IF($E$46=0,$E$44/$E$43,IF(C214=$E$45,$E$44,0)))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IF(C215&gt;=$E$43,0,IF($E$46=0,$E$44/$E$43,IF(C215=$E$45,$E$44,0)))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IF(C216&gt;=$E$43,0,IF($E$46=0,$E$44/$E$43,IF(C216=$E$45,$E$44,0)))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IF(C217&gt;=$E$43,0,IF($E$46=0,$E$44/$E$43,IF(C217=$E$45,$E$44,0)))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IF(C218&gt;=$E$43,0,IF($E$46=0,$E$44/$E$43,IF(C218=$E$45,$E$44,0)))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IF(C219&gt;=$E$43,0,IF($E$46=0,$E$44/$E$43,IF(C219=$E$45,$E$44,0)))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3" priority="1">
      <x:formula>ABS(G35)&gt;0.01</x:formula>
    </x:cfRule>
  </x:conditionalFormatting>
  <x:pageMargins left="0.7" right="0.7" top="0.75" bottom="0.75" header="0.3" footer="0.3"/>
</x:worksheet>
</file>