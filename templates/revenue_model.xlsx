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6c41f772f49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94310a1cb7cd4e01"/>
    <x:sheet xmlns:r="http://schemas.openxmlformats.org/officeDocument/2006/relationships" name="Assumptions" sheetId="2" r:id="Rde1d21a6d1864481"/>
    <x:sheet xmlns:r="http://schemas.openxmlformats.org/officeDocument/2006/relationships" name="Short-Term build" sheetId="3" r:id="Ra4422d276c674905"/>
    <x:sheet xmlns:r="http://schemas.openxmlformats.org/officeDocument/2006/relationships" name="Installment build" sheetId="4" r:id="R84335ac5daea4f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e0a674da2c4d26" /><Relationship Type="http://schemas.openxmlformats.org/officeDocument/2006/relationships/theme" Target="/xl/theme/theme1.xml" Id="R8a1c482948464a08" /><Relationship Type="http://schemas.openxmlformats.org/officeDocument/2006/relationships/sharedStrings" Target="/xl/sharedStrings.xml" Id="Rdaf4f6ea4a3f473d" /><Relationship Type="http://schemas.openxmlformats.org/officeDocument/2006/relationships/worksheet" Target="/xl/worksheets/sheet1.xml" Id="R94310a1cb7cd4e01" /><Relationship Type="http://schemas.openxmlformats.org/officeDocument/2006/relationships/worksheet" Target="/xl/worksheets/sheet2.xml" Id="Rde1d21a6d1864481" /><Relationship Type="http://schemas.openxmlformats.org/officeDocument/2006/relationships/worksheet" Target="/xl/worksheets/sheet3.xml" Id="Ra4422d276c674905" /><Relationship Type="http://schemas.openxmlformats.org/officeDocument/2006/relationships/worksheet" Target="/xl/worksheets/sheet4.xml" Id="R84335ac5daea4f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Inputs are on Assumptions; product builds contain every calculation.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IF(G8*G9=0,0,G11/(G8*G9))</x:f>
        <x:v>2437.5</x:v>
      </x:c>
      <x:c r="H10" s="48" t="n">
        <x:f>IF(H8*H9=0,0,H11/(H8*H9))</x:f>
        <x:v>2437.5</x:v>
      </x:c>
      <x:c r="I10" s="48" t="n">
        <x:f>IF(I8*I9=0,0,I11/(I8*I9))</x:f>
        <x:v>2437.5</x:v>
      </x:c>
      <x:c r="J10" s="48" t="n">
        <x:f>IF(J8*J9=0,0,J11/(J8*J9))</x:f>
        <x:v>2437.5</x:v>
      </x:c>
      <x:c r="K10" s="48" t="n">
        <x:f>IF(K8*K9=0,0,K11/(K8*K9))</x:f>
        <x:v>2437.5</x:v>
      </x:c>
      <x:c r="L10" s="48" t="n">
        <x:f>IF(L8*L9=0,0,L11/(L8*L9))</x:f>
        <x:v>2437.5</x:v>
      </x:c>
      <x:c r="M10" s="48" t="n">
        <x:f>IF(M8*M9=0,0,M11/(M8*M9))</x:f>
        <x:v>2437.5</x:v>
      </x:c>
      <x:c r="N10" s="48" t="n">
        <x:f>IF(N8*N9=0,0,N11/(N8*N9))</x:f>
        <x:v>2437.5</x:v>
      </x:c>
      <x:c r="O10" s="48" t="n">
        <x:f>IF(O8*O9=0,0,O11/(O8*O9))</x:f>
        <x:v>2437.5</x:v>
      </x:c>
      <x:c r="P10" s="48" t="n">
        <x:f>IF(P8*P9=0,0,P11/(P8*P9))</x:f>
        <x:v>2437.5</x:v>
      </x:c>
      <x:c r="Q10" s="48" t="n">
        <x:f>IF(Q8*Q9=0,0,Q11/(Q8*Q9))</x:f>
        <x:v>2437.5</x:v>
      </x:c>
      <x:c r="R10" s="48" t="n">
        <x:f>IF(R8*R9=0,0,R11/(R8*R9))</x:f>
        <x:v>2437.5</x:v>
      </x:c>
      <x:c r="S10" s="48" t="n">
        <x:f>IF(S8*S9=0,0,S11/(S8*S9))</x:f>
        <x:v>2437.5</x:v>
      </x:c>
      <x:c r="T10" s="48" t="n">
        <x:f>IF(T8*T9=0,0,T11/(T8*T9))</x:f>
        <x:v>2437.5</x:v>
      </x:c>
      <x:c r="U10" s="48" t="n">
        <x:f>IF(U8*U9=0,0,U11/(U8*U9))</x:f>
        <x:v>2437.5</x:v>
      </x:c>
      <x:c r="V10" s="48" t="n">
        <x:f>IF(V8*V9=0,0,V11/(V8*V9))</x:f>
        <x:v>2437.5</x:v>
      </x:c>
      <x:c r="W10" s="48" t="n">
        <x:f>IF(W8*W9=0,0,W11/(W8*W9))</x:f>
        <x:v>2437.5</x:v>
      </x:c>
      <x:c r="X10" s="48" t="n">
        <x:f>IF(X8*X9=0,0,X11/(X8*X9))</x:f>
        <x:v>2437.5</x:v>
      </x:c>
      <x:c r="Y10" s="48" t="n">
        <x:f>IF(Y8*Y9=0,0,Y11/(Y8*Y9))</x:f>
        <x:v>2437.5</x:v>
      </x:c>
      <x:c r="Z10" s="48" t="n">
        <x:f>IF(Z8*Z9=0,0,Z11/(Z8*Z9))</x:f>
        <x:v>2437.5</x:v>
      </x:c>
      <x:c r="AA10" s="48" t="n">
        <x:f>IF(AA8*AA9=0,0,AA11/(AA8*AA9))</x:f>
        <x:v>2437.5</x:v>
      </x:c>
      <x:c r="AB10" s="48" t="n">
        <x:f>IF(AB8*AB9=0,0,AB11/(AB8*AB9))</x:f>
        <x:v>2437.5</x:v>
      </x:c>
      <x:c r="AC10" s="48" t="n">
        <x:f>IF(AC8*AC9=0,0,AC11/(AC8*AC9))</x:f>
        <x:v>2437.5</x:v>
      </x:c>
      <x:c r="AD10" s="48" t="n">
        <x:f>IF(AD8*AD9=0,0,AD11/(AD8*AD9))</x:f>
        <x:v>2437.5</x:v>
      </x:c>
      <x:c r="AE10" s="48" t="n">
        <x:f>IF(AE8*AE9=0,0,AE11/(AE8*AE9))</x:f>
        <x:v>2437.5</x:v>
      </x:c>
      <x:c r="AF10" s="48" t="n">
        <x:f>IF(AF8*AF9=0,0,AF11/(AF8*AF9))</x:f>
        <x:v>2437.5</x:v>
      </x:c>
      <x:c r="AG10" s="48" t="n">
        <x:f>IF(AG8*AG9=0,0,AG11/(AG8*AG9))</x:f>
        <x:v>2437.5</x:v>
      </x:c>
      <x:c r="AH10" s="48" t="n">
        <x:f>IF(AH8*AH9=0,0,AH11/(AH8*AH9))</x:f>
        <x:v>2437.5</x:v>
      </x:c>
      <x:c r="AI10" s="48" t="n">
        <x:f>IF(AI8*AI9=0,0,AI11/(AI8*AI9))</x:f>
        <x:v>2437.5</x:v>
      </x:c>
      <x:c r="AJ10" s="48" t="n">
        <x:f>IF(AJ8*AJ9=0,0,AJ11/(AJ8*AJ9))</x:f>
        <x:v>2437.5</x:v>
      </x:c>
      <x:c r="AK10" s="48" t="n">
        <x:f>IF(AK8*AK9=0,0,AK11/(AK8*AK9))</x:f>
        <x:v>2437.5</x:v>
      </x:c>
      <x:c r="AL10" s="48" t="n">
        <x:f>IF(AL8*AL9=0,0,AL11/(AL8*AL9))</x:f>
        <x:v>2437.5</x:v>
      </x:c>
      <x:c r="AM10" s="48" t="n">
        <x:f>IF(AM8*AM9=0,0,AM11/(AM8*AM9))</x:f>
        <x:v>2437.5</x:v>
      </x:c>
      <x:c r="AN10" s="48" t="n">
        <x:f>IF(AN8*AN9=0,0,AN11/(AN8*AN9))</x:f>
        <x:v>2437.5</x:v>
      </x:c>
      <x:c r="AO10" s="48" t="n">
        <x:f>IF(AO8*AO9=0,0,AO11/(AO8*AO9))</x:f>
        <x:v>2437.5</x:v>
      </x:c>
      <x:c r="AP10" s="48" t="n">
        <x:f>IF(AP8*AP9=0,0,AP11/(AP8*AP9))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IF('Assumptions'!$E$9=2,'Short-Term build'!G11,IF('Assumptions'!$E$9=3,'Installment build'!G11,'Short-Term build'!G11+'Installment build'!G11))</x:f>
        <x:v>35100000</x:v>
      </x:c>
      <x:c r="H11" s="43" t="n">
        <x:f>IF('Assumptions'!$E$9=2,'Short-Term build'!H11,IF('Assumptions'!$E$9=3,'Installment build'!H11,'Short-Term build'!H11+'Installment build'!H11))</x:f>
        <x:v>35100000</x:v>
      </x:c>
      <x:c r="I11" s="43" t="n">
        <x:f>IF('Assumptions'!$E$9=2,'Short-Term build'!I11,IF('Assumptions'!$E$9=3,'Installment build'!I11,'Short-Term build'!I11+'Installment build'!I11))</x:f>
        <x:v>35100000</x:v>
      </x:c>
      <x:c r="J11" s="43" t="n">
        <x:f>IF('Assumptions'!$E$9=2,'Short-Term build'!J11,IF('Assumptions'!$E$9=3,'Installment build'!J11,'Short-Term build'!J11+'Installment build'!J11))</x:f>
        <x:v>35100000</x:v>
      </x:c>
      <x:c r="K11" s="43" t="n">
        <x:f>IF('Assumptions'!$E$9=2,'Short-Term build'!K11,IF('Assumptions'!$E$9=3,'Installment build'!K11,'Short-Term build'!K11+'Installment build'!K11))</x:f>
        <x:v>35100000</x:v>
      </x:c>
      <x:c r="L11" s="43" t="n">
        <x:f>IF('Assumptions'!$E$9=2,'Short-Term build'!L11,IF('Assumptions'!$E$9=3,'Installment build'!L11,'Short-Term build'!L11+'Installment build'!L11))</x:f>
        <x:v>35100000</x:v>
      </x:c>
      <x:c r="M11" s="43" t="n">
        <x:f>IF('Assumptions'!$E$9=2,'Short-Term build'!M11,IF('Assumptions'!$E$9=3,'Installment build'!M11,'Short-Term build'!M11+'Installment build'!M11))</x:f>
        <x:v>35100000</x:v>
      </x:c>
      <x:c r="N11" s="43" t="n">
        <x:f>IF('Assumptions'!$E$9=2,'Short-Term build'!N11,IF('Assumptions'!$E$9=3,'Installment build'!N11,'Short-Term build'!N11+'Installment build'!N11))</x:f>
        <x:v>35100000</x:v>
      </x:c>
      <x:c r="O11" s="43" t="n">
        <x:f>IF('Assumptions'!$E$9=2,'Short-Term build'!O11,IF('Assumptions'!$E$9=3,'Installment build'!O11,'Short-Term build'!O11+'Installment build'!O11))</x:f>
        <x:v>35100000</x:v>
      </x:c>
      <x:c r="P11" s="43" t="n">
        <x:f>IF('Assumptions'!$E$9=2,'Short-Term build'!P11,IF('Assumptions'!$E$9=3,'Installment build'!P11,'Short-Term build'!P11+'Installment build'!P11))</x:f>
        <x:v>35100000</x:v>
      </x:c>
      <x:c r="Q11" s="43" t="n">
        <x:f>IF('Assumptions'!$E$9=2,'Short-Term build'!Q11,IF('Assumptions'!$E$9=3,'Installment build'!Q11,'Short-Term build'!Q11+'Installment build'!Q11))</x:f>
        <x:v>35100000</x:v>
      </x:c>
      <x:c r="R11" s="43" t="n">
        <x:f>IF('Assumptions'!$E$9=2,'Short-Term build'!R11,IF('Assumptions'!$E$9=3,'Installment build'!R11,'Short-Term build'!R11+'Installment build'!R11))</x:f>
        <x:v>35100000</x:v>
      </x:c>
      <x:c r="S11" s="43" t="n">
        <x:f>IF('Assumptions'!$E$9=2,'Short-Term build'!S11,IF('Assumptions'!$E$9=3,'Installment build'!S11,'Short-Term build'!S11+'Installment build'!S11))</x:f>
        <x:v>35100000</x:v>
      </x:c>
      <x:c r="T11" s="43" t="n">
        <x:f>IF('Assumptions'!$E$9=2,'Short-Term build'!T11,IF('Assumptions'!$E$9=3,'Installment build'!T11,'Short-Term build'!T11+'Installment build'!T11))</x:f>
        <x:v>35100000</x:v>
      </x:c>
      <x:c r="U11" s="43" t="n">
        <x:f>IF('Assumptions'!$E$9=2,'Short-Term build'!U11,IF('Assumptions'!$E$9=3,'Installment build'!U11,'Short-Term build'!U11+'Installment build'!U11))</x:f>
        <x:v>35100000</x:v>
      </x:c>
      <x:c r="V11" s="43" t="n">
        <x:f>IF('Assumptions'!$E$9=2,'Short-Term build'!V11,IF('Assumptions'!$E$9=3,'Installment build'!V11,'Short-Term build'!V11+'Installment build'!V11))</x:f>
        <x:v>35100000</x:v>
      </x:c>
      <x:c r="W11" s="43" t="n">
        <x:f>IF('Assumptions'!$E$9=2,'Short-Term build'!W11,IF('Assumptions'!$E$9=3,'Installment build'!W11,'Short-Term build'!W11+'Installment build'!W11))</x:f>
        <x:v>35100000</x:v>
      </x:c>
      <x:c r="X11" s="43" t="n">
        <x:f>IF('Assumptions'!$E$9=2,'Short-Term build'!X11,IF('Assumptions'!$E$9=3,'Installment build'!X11,'Short-Term build'!X11+'Installment build'!X11))</x:f>
        <x:v>35100000</x:v>
      </x:c>
      <x:c r="Y11" s="43" t="n">
        <x:f>IF('Assumptions'!$E$9=2,'Short-Term build'!Y11,IF('Assumptions'!$E$9=3,'Installment build'!Y11,'Short-Term build'!Y11+'Installment build'!Y11))</x:f>
        <x:v>35100000</x:v>
      </x:c>
      <x:c r="Z11" s="43" t="n">
        <x:f>IF('Assumptions'!$E$9=2,'Short-Term build'!Z11,IF('Assumptions'!$E$9=3,'Installment build'!Z11,'Short-Term build'!Z11+'Installment build'!Z11))</x:f>
        <x:v>35100000</x:v>
      </x:c>
      <x:c r="AA11" s="43" t="n">
        <x:f>IF('Assumptions'!$E$9=2,'Short-Term build'!AA11,IF('Assumptions'!$E$9=3,'Installment build'!AA11,'Short-Term build'!AA11+'Installment build'!AA11))</x:f>
        <x:v>35100000</x:v>
      </x:c>
      <x:c r="AB11" s="43" t="n">
        <x:f>IF('Assumptions'!$E$9=2,'Short-Term build'!AB11,IF('Assumptions'!$E$9=3,'Installment build'!AB11,'Short-Term build'!AB11+'Installment build'!AB11))</x:f>
        <x:v>35100000</x:v>
      </x:c>
      <x:c r="AC11" s="43" t="n">
        <x:f>IF('Assumptions'!$E$9=2,'Short-Term build'!AC11,IF('Assumptions'!$E$9=3,'Installment build'!AC11,'Short-Term build'!AC11+'Installment build'!AC11))</x:f>
        <x:v>35100000</x:v>
      </x:c>
      <x:c r="AD11" s="43" t="n">
        <x:f>IF('Assumptions'!$E$9=2,'Short-Term build'!AD11,IF('Assumptions'!$E$9=3,'Installment build'!AD11,'Short-Term build'!AD11+'Installment build'!AD11))</x:f>
        <x:v>35100000</x:v>
      </x:c>
      <x:c r="AE11" s="43" t="n">
        <x:f>IF('Assumptions'!$E$9=2,'Short-Term build'!AE11,IF('Assumptions'!$E$9=3,'Installment build'!AE11,'Short-Term build'!AE11+'Installment build'!AE11))</x:f>
        <x:v>35100000</x:v>
      </x:c>
      <x:c r="AF11" s="43" t="n">
        <x:f>IF('Assumptions'!$E$9=2,'Short-Term build'!AF11,IF('Assumptions'!$E$9=3,'Installment build'!AF11,'Short-Term build'!AF11+'Installment build'!AF11))</x:f>
        <x:v>35100000</x:v>
      </x:c>
      <x:c r="AG11" s="43" t="n">
        <x:f>IF('Assumptions'!$E$9=2,'Short-Term build'!AG11,IF('Assumptions'!$E$9=3,'Installment build'!AG11,'Short-Term build'!AG11+'Installment build'!AG11))</x:f>
        <x:v>35100000</x:v>
      </x:c>
      <x:c r="AH11" s="43" t="n">
        <x:f>IF('Assumptions'!$E$9=2,'Short-Term build'!AH11,IF('Assumptions'!$E$9=3,'Installment build'!AH11,'Short-Term build'!AH11+'Installment build'!AH11))</x:f>
        <x:v>35100000</x:v>
      </x:c>
      <x:c r="AI11" s="43" t="n">
        <x:f>IF('Assumptions'!$E$9=2,'Short-Term build'!AI11,IF('Assumptions'!$E$9=3,'Installment build'!AI11,'Short-Term build'!AI11+'Installment build'!AI11))</x:f>
        <x:v>35100000</x:v>
      </x:c>
      <x:c r="AJ11" s="43" t="n">
        <x:f>IF('Assumptions'!$E$9=2,'Short-Term build'!AJ11,IF('Assumptions'!$E$9=3,'Installment build'!AJ11,'Short-Term build'!AJ11+'Installment build'!AJ11))</x:f>
        <x:v>35100000</x:v>
      </x:c>
      <x:c r="AK11" s="43" t="n">
        <x:f>IF('Assumptions'!$E$9=2,'Short-Term build'!AK11,IF('Assumptions'!$E$9=3,'Installment build'!AK11,'Short-Term build'!AK11+'Installment build'!AK11))</x:f>
        <x:v>35100000</x:v>
      </x:c>
      <x:c r="AL11" s="43" t="n">
        <x:f>IF('Assumptions'!$E$9=2,'Short-Term build'!AL11,IF('Assumptions'!$E$9=3,'Installment build'!AL11,'Short-Term build'!AL11+'Installment build'!AL11))</x:f>
        <x:v>35100000</x:v>
      </x:c>
      <x:c r="AM11" s="43" t="n">
        <x:f>IF('Assumptions'!$E$9=2,'Short-Term build'!AM11,IF('Assumptions'!$E$9=3,'Installment build'!AM11,'Short-Term build'!AM11+'Installment build'!AM11))</x:f>
        <x:v>35100000</x:v>
      </x:c>
      <x:c r="AN11" s="43" t="n">
        <x:f>IF('Assumptions'!$E$9=2,'Short-Term build'!AN11,IF('Assumptions'!$E$9=3,'Installment build'!AN11,'Short-Term build'!AN11+'Installment build'!AN11))</x:f>
        <x:v>35100000</x:v>
      </x:c>
      <x:c r="AO11" s="43" t="n">
        <x:f>IF('Assumptions'!$E$9=2,'Short-Term build'!AO11,IF('Assumptions'!$E$9=3,'Installment build'!AO11,'Short-Term build'!AO11+'Installment build'!AO11))</x:f>
        <x:v>35100000</x:v>
      </x:c>
      <x:c r="AP11" s="43" t="n">
        <x:f>IF('Assumptions'!$E$9=2,'Short-Term build'!AP11,IF('Assumptions'!$E$9=3,'Installment build'!AP11,'Short-Term build'!AP11+'Installment build'!AP11))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IF('Assumptions'!$E$9=2,'Short-Term build'!H13,IF('Assumptions'!$E$9=3,'Installment build'!H13,'Short-Term build'!H13+'Installment build'!H13))</x:f>
        <x:v>557914965.2123135</x:v>
      </x:c>
      <x:c r="I13" s="35" t="n">
        <x:f>IF('Assumptions'!$E$9=2,'Short-Term build'!I13,IF('Assumptions'!$E$9=3,'Installment build'!I13,'Short-Term build'!I13+'Installment build'!I13))</x:f>
        <x:v>508664362.46557736</x:v>
      </x:c>
      <x:c r="J13" s="35" t="n">
        <x:f>IF('Assumptions'!$E$9=2,'Short-Term build'!J13,IF('Assumptions'!$E$9=3,'Installment build'!J13,'Short-Term build'!J13+'Installment build'!J13))</x:f>
        <x:v>473999157.6257053</x:v>
      </x:c>
      <x:c r="K13" s="35" t="n">
        <x:f>IF('Assumptions'!$E$9=2,'Short-Term build'!K13,IF('Assumptions'!$E$9=3,'Installment build'!K13,'Short-Term build'!K13+'Installment build'!K13))</x:f>
        <x:v>448361027.3449191</x:v>
      </x:c>
      <x:c r="L13" s="35" t="n">
        <x:f>IF('Assumptions'!$E$9=2,'Short-Term build'!L13,IF('Assumptions'!$E$9=3,'Installment build'!L13,'Short-Term build'!L13+'Installment build'!L13))</x:f>
        <x:v>429035228.1403315</x:v>
      </x:c>
      <x:c r="M13" s="35" t="n">
        <x:f>IF('Assumptions'!$E$9=2,'Short-Term build'!M13,IF('Assumptions'!$E$9=3,'Installment build'!M13,'Short-Term build'!M13+'Installment build'!M13))</x:f>
        <x:v>414425665.33199334</x:v>
      </x:c>
      <x:c r="N13" s="35" t="n">
        <x:f>IF('Assumptions'!$E$9=2,'Short-Term build'!N13,IF('Assumptions'!$E$9=3,'Installment build'!N13,'Short-Term build'!N13+'Installment build'!N13))</x:f>
        <x:v>403494223.54006577</x:v>
      </x:c>
      <x:c r="O13" s="35" t="n">
        <x:f>IF('Assumptions'!$E$9=2,'Short-Term build'!O13,IF('Assumptions'!$E$9=3,'Installment build'!O13,'Short-Term build'!O13+'Installment build'!O13))</x:f>
        <x:v>395519118.8624768</x:v>
      </x:c>
      <x:c r="P13" s="35" t="n">
        <x:f>IF('Assumptions'!$E$9=2,'Short-Term build'!P13,IF('Assumptions'!$E$9=3,'Installment build'!P13,'Short-Term build'!P13+'Installment build'!P13))</x:f>
        <x:v>389969200.7442228</x:v>
      </x:c>
      <x:c r="Q13" s="35" t="n">
        <x:f>IF('Assumptions'!$E$9=2,'Short-Term build'!Q13,IF('Assumptions'!$E$9=3,'Installment build'!Q13,'Short-Term build'!Q13+'Installment build'!Q13))</x:f>
        <x:v>386433967.92710316</x:v>
      </x:c>
      <x:c r="R13" s="35" t="n">
        <x:f>IF('Assumptions'!$E$9=2,'Short-Term build'!R13,IF('Assumptions'!$E$9=3,'Installment build'!R13,'Short-Term build'!R13+'Installment build'!R13))</x:f>
        <x:v>384586490.1749295</x:v>
      </x:c>
      <x:c r="S13" s="35" t="n">
        <x:f>IF('Assumptions'!$E$9=2,'Short-Term build'!S13,IF('Assumptions'!$E$9=3,'Installment build'!S13,'Short-Term build'!S13+'Installment build'!S13))</x:f>
        <x:v>384164909.47031003</x:v>
      </x:c>
      <x:c r="T13" s="35" t="n">
        <x:f>IF('Assumptions'!$E$9=2,'Short-Term build'!T13,IF('Assumptions'!$E$9=3,'Installment build'!T13,'Short-Term build'!T13+'Installment build'!T13))</x:f>
        <x:v>384961339.804128</x:v>
      </x:c>
      <x:c r="U13" s="35" t="n">
        <x:f>IF('Assumptions'!$E$9=2,'Short-Term build'!U13,IF('Assumptions'!$E$9=3,'Installment build'!U13,'Short-Term build'!U13+'Installment build'!U13))</x:f>
        <x:v>386034019.8496518</x:v>
      </x:c>
      <x:c r="V13" s="35" t="n">
        <x:f>IF('Assumptions'!$E$9=2,'Short-Term build'!V13,IF('Assumptions'!$E$9=3,'Installment build'!V13,'Short-Term build'!V13+'Installment build'!V13))</x:f>
        <x:v>387307077.4189996</x:v>
      </x:c>
      <x:c r="W13" s="35" t="n">
        <x:f>IF('Assumptions'!$E$9=2,'Short-Term build'!W13,IF('Assumptions'!$E$9=3,'Installment build'!W13,'Short-Term build'!W13+'Installment build'!W13))</x:f>
        <x:v>388711420.3205891</x:v>
      </x:c>
      <x:c r="X13" s="35" t="n">
        <x:f>IF('Assumptions'!$E$9=2,'Short-Term build'!X13,IF('Assumptions'!$E$9=3,'Installment build'!X13,'Short-Term build'!X13+'Installment build'!X13))</x:f>
        <x:v>390182535.0691737</x:v>
      </x:c>
      <x:c r="Y13" s="35" t="n">
        <x:f>IF('Assumptions'!$E$9=2,'Short-Term build'!Y13,IF('Assumptions'!$E$9=3,'Installment build'!Y13,'Short-Term build'!Y13+'Installment build'!Y13))</x:f>
        <x:v>391658818.1195633</x:v>
      </x:c>
      <x:c r="Z13" s="35" t="n">
        <x:f>IF('Assumptions'!$E$9=2,'Short-Term build'!Z13,IF('Assumptions'!$E$9=3,'Installment build'!Z13,'Short-Term build'!Z13+'Installment build'!Z13))</x:f>
        <x:v>393080692.144574</x:v>
      </x:c>
      <x:c r="AA13" s="35" t="n">
        <x:f>IF('Assumptions'!$E$9=2,'Short-Term build'!AA13,IF('Assumptions'!$E$9=3,'Installment build'!AA13,'Short-Term build'!AA13+'Installment build'!AA13))</x:f>
        <x:v>394390693.66067326</x:v>
      </x:c>
      <x:c r="AB13" s="35" t="n">
        <x:f>IF('Assumptions'!$E$9=2,'Short-Term build'!AB13,IF('Assumptions'!$E$9=3,'Installment build'!AB13,'Short-Term build'!AB13+'Installment build'!AB13))</x:f>
        <x:v>395534235.0489144</x:v>
      </x:c>
      <x:c r="AC13" s="35" t="n">
        <x:f>IF('Assumptions'!$E$9=2,'Short-Term build'!AC13,IF('Assumptions'!$E$9=3,'Installment build'!AC13,'Short-Term build'!AC13+'Installment build'!AC13))</x:f>
        <x:v>396460281.869271</x:v>
      </x:c>
      <x:c r="AD13" s="35" t="n">
        <x:f>IF('Assumptions'!$E$9=2,'Short-Term build'!AD13,IF('Assumptions'!$E$9=3,'Installment build'!AD13,'Short-Term build'!AD13+'Installment build'!AD13))</x:f>
        <x:v>397121379.2919006</x:v>
      </x:c>
      <x:c r="AE13" s="35" t="n">
        <x:f>IF('Assumptions'!$E$9=2,'Short-Term build'!AE13,IF('Assumptions'!$E$9=3,'Installment build'!AE13,'Short-Term build'!AE13+'Installment build'!AE13))</x:f>
        <x:v>397473070.11118895</x:v>
      </x:c>
      <x:c r="AF13" s="35" t="n">
        <x:f>IF('Assumptions'!$E$9=2,'Short-Term build'!AF13,IF('Assumptions'!$E$9=3,'Installment build'!AF13,'Short-Term build'!AF13+'Installment build'!AF13))</x:f>
        <x:v>397473070.11118895</x:v>
      </x:c>
      <x:c r="AG13" s="35" t="n">
        <x:f>IF('Assumptions'!$E$9=2,'Short-Term build'!AG13,IF('Assumptions'!$E$9=3,'Installment build'!AG13,'Short-Term build'!AG13+'Installment build'!AG13))</x:f>
        <x:v>397473070.11118895</x:v>
      </x:c>
      <x:c r="AH13" s="35" t="n">
        <x:f>IF('Assumptions'!$E$9=2,'Short-Term build'!AH13,IF('Assumptions'!$E$9=3,'Installment build'!AH13,'Short-Term build'!AH13+'Installment build'!AH13))</x:f>
        <x:v>397473070.11118895</x:v>
      </x:c>
      <x:c r="AI13" s="35" t="n">
        <x:f>IF('Assumptions'!$E$9=2,'Short-Term build'!AI13,IF('Assumptions'!$E$9=3,'Installment build'!AI13,'Short-Term build'!AI13+'Installment build'!AI13))</x:f>
        <x:v>397473070.11118895</x:v>
      </x:c>
      <x:c r="AJ13" s="35" t="n">
        <x:f>IF('Assumptions'!$E$9=2,'Short-Term build'!AJ13,IF('Assumptions'!$E$9=3,'Installment build'!AJ13,'Short-Term build'!AJ13+'Installment build'!AJ13))</x:f>
        <x:v>397473070.11118895</x:v>
      </x:c>
      <x:c r="AK13" s="35" t="n">
        <x:f>IF('Assumptions'!$E$9=2,'Short-Term build'!AK13,IF('Assumptions'!$E$9=3,'Installment build'!AK13,'Short-Term build'!AK13+'Installment build'!AK13))</x:f>
        <x:v>397473070.11118895</x:v>
      </x:c>
      <x:c r="AL13" s="35" t="n">
        <x:f>IF('Assumptions'!$E$9=2,'Short-Term build'!AL13,IF('Assumptions'!$E$9=3,'Installment build'!AL13,'Short-Term build'!AL13+'Installment build'!AL13))</x:f>
        <x:v>397473070.11118895</x:v>
      </x:c>
      <x:c r="AM13" s="35" t="n">
        <x:f>IF('Assumptions'!$E$9=2,'Short-Term build'!AM13,IF('Assumptions'!$E$9=3,'Installment build'!AM13,'Short-Term build'!AM13+'Installment build'!AM13))</x:f>
        <x:v>397473070.11118895</x:v>
      </x:c>
      <x:c r="AN13" s="35" t="n">
        <x:f>IF('Assumptions'!$E$9=2,'Short-Term build'!AN13,IF('Assumptions'!$E$9=3,'Installment build'!AN13,'Short-Term build'!AN13+'Installment build'!AN13))</x:f>
        <x:v>397473070.11118895</x:v>
      </x:c>
      <x:c r="AO13" s="35" t="n">
        <x:f>IF('Assumptions'!$E$9=2,'Short-Term build'!AO13,IF('Assumptions'!$E$9=3,'Installment build'!AO13,'Short-Term build'!AO13+'Installment build'!AO13))</x:f>
        <x:v>397473070.11118895</x:v>
      </x:c>
      <x:c r="AP13" s="35" t="n">
        <x:f>IF('Assumptions'!$E$9=2,'Short-Term build'!AP13,IF('Assumptions'!$E$9=3,'Installment build'!AP13,'Short-Term build'!AP13+'Installment build'!AP13))</x:f>
        <x:v>397473070.11118895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1022085031.8884364</x:v>
      </x:c>
      <x:c r="F14" s="2"/>
      <x:c r="G14" s="35" t="n">
        <x:f>IF('Assumptions'!$E$9=2,'Short-Term build'!G14,IF('Assumptions'!$E$9=3,'Installment build'!G14,'Short-Term build'!G14+'Installment build'!G14))</x:f>
        <x:v>112515798.63795754</x:v>
      </x:c>
      <x:c r="H14" s="35" t="n">
        <x:f>IF('Assumptions'!$E$9=2,'Short-Term build'!H14,IF('Assumptions'!$E$9=3,'Installment build'!H14,'Short-Term build'!H14+'Installment build'!H14))</x:f>
        <x:v>81073707.10508043</x:v>
      </x:c>
      <x:c r="I14" s="35" t="n">
        <x:f>IF('Assumptions'!$E$9=2,'Short-Term build'!I14,IF('Assumptions'!$E$9=3,'Installment build'!I14,'Short-Term build'!I14+'Installment build'!I14))</x:f>
        <x:v>66804223.37521707</x:v>
      </x:c>
      <x:c r="J14" s="35" t="n">
        <x:f>IF('Assumptions'!$E$9=2,'Short-Term build'!J14,IF('Assumptions'!$E$9=3,'Installment build'!J14,'Short-Term build'!J14+'Installment build'!J14))</x:f>
        <x:v>58014254.05240491</x:v>
      </x:c>
      <x:c r="K14" s="35" t="n">
        <x:f>IF('Assumptions'!$E$9=2,'Short-Term build'!K14,IF('Assumptions'!$E$9=3,'Installment build'!K14,'Short-Term build'!K14+'Installment build'!K14))</x:f>
        <x:v>51858098.98026345</x:v>
      </x:c>
      <x:c r="L14" s="35" t="n">
        <x:f>IF('Assumptions'!$E$9=2,'Short-Term build'!L14,IF('Assumptions'!$E$9=3,'Installment build'!L14,'Short-Term build'!L14+'Installment build'!L14))</x:f>
        <x:v>47227763.47530255</x:v>
      </x:c>
      <x:c r="M14" s="35" t="n">
        <x:f>IF('Assumptions'!$E$9=2,'Short-Term build'!M14,IF('Assumptions'!$E$9=3,'Installment build'!M14,'Short-Term build'!M14+'Installment build'!M14))</x:f>
        <x:v>43586310.17098065</x:v>
      </x:c>
      <x:c r="N14" s="35" t="n">
        <x:f>IF('Assumptions'!$E$9=2,'Short-Term build'!N14,IF('Assumptions'!$E$9=3,'Installment build'!N14,'Short-Term build'!N14+'Installment build'!N14))</x:f>
        <x:v>40639329.774172336</x:v>
      </x:c>
      <x:c r="O14" s="35" t="n">
        <x:f>IF('Assumptions'!$E$9=2,'Short-Term build'!O14,IF('Assumptions'!$E$9=3,'Installment build'!O14,'Short-Term build'!O14+'Installment build'!O14))</x:f>
        <x:v>38211927.77791609</x:v>
      </x:c>
      <x:c r="P14" s="35" t="n">
        <x:f>IF('Assumptions'!$E$9=2,'Short-Term build'!P14,IF('Assumptions'!$E$9=3,'Installment build'!P14,'Short-Term build'!P14+'Installment build'!P14))</x:f>
        <x:v>36191877.91421716</x:v>
      </x:c>
      <x:c r="Q14" s="35" t="n">
        <x:f>IF('Assumptions'!$E$9=2,'Short-Term build'!Q14,IF('Assumptions'!$E$9=3,'Installment build'!Q14,'Short-Term build'!Q14+'Installment build'!Q14))</x:f>
        <x:v>34499026.48261182</x:v>
      </x:c>
      <x:c r="R14" s="35" t="n">
        <x:f>IF('Assumptions'!$E$9=2,'Short-Term build'!R14,IF('Assumptions'!$E$9=3,'Installment build'!R14,'Short-Term build'!R14+'Installment build'!R14))</x:f>
        <x:v>33069238.77458649</x:v>
      </x:c>
      <x:c r="S14" s="35" t="n">
        <x:f>IF('Assumptions'!$E$9=2,'Short-Term build'!S14,IF('Assumptions'!$E$9=3,'Installment build'!S14,'Short-Term build'!S14+'Installment build'!S14))</x:f>
        <x:v>31848533.28002223</x:v>
      </x:c>
      <x:c r="T14" s="35" t="n">
        <x:f>IF('Assumptions'!$E$9=2,'Short-Term build'!T14,IF('Assumptions'!$E$9=3,'Installment build'!T14,'Short-Term build'!T14+'Installment build'!T14))</x:f>
        <x:v>31570518.595461152</x:v>
      </x:c>
      <x:c r="U14" s="35" t="n">
        <x:f>IF('Assumptions'!$E$9=2,'Short-Term build'!U14,IF('Assumptions'!$E$9=3,'Installment build'!U14,'Short-Term build'!U14+'Installment build'!U14))</x:f>
        <x:v>31369170.62538614</x:v>
      </x:c>
      <x:c r="V14" s="35" t="n">
        <x:f>IF('Assumptions'!$E$9=2,'Short-Term build'!V14,IF('Assumptions'!$E$9=3,'Installment build'!V14,'Short-Term build'!V14+'Installment build'!V14))</x:f>
        <x:v>31237359.08549817</x:v>
      </x:c>
      <x:c r="W14" s="35" t="n">
        <x:f>IF('Assumptions'!$E$9=2,'Short-Term build'!W14,IF('Assumptions'!$E$9=3,'Installment build'!W14,'Short-Term build'!W14+'Installment build'!W14))</x:f>
        <x:v>31170305.55899718</x:v>
      </x:c>
      <x:c r="X14" s="35" t="n">
        <x:f>IF('Assumptions'!$E$9=2,'Short-Term build'!X14,IF('Assumptions'!$E$9=3,'Installment build'!X14,'Short-Term build'!X14+'Installment build'!X14))</x:f>
        <x:v>31164988.495129373</x:v>
      </x:c>
      <x:c r="Y14" s="35" t="n">
        <x:f>IF('Assumptions'!$E$9=2,'Short-Term build'!Y14,IF('Assumptions'!$E$9=3,'Installment build'!Y14,'Short-Term build'!Y14+'Installment build'!Y14))</x:f>
        <x:v>31219320.178046197</x:v>
      </x:c>
      <x:c r="Z14" s="35" t="n">
        <x:f>IF('Assumptions'!$E$9=2,'Short-Term build'!Z14,IF('Assumptions'!$E$9=3,'Installment build'!Z14,'Short-Term build'!Z14+'Installment build'!Z14))</x:f>
        <x:v>31331153.26207496</x:v>
      </x:c>
      <x:c r="AA14" s="35" t="n">
        <x:f>IF('Assumptions'!$E$9=2,'Short-Term build'!AA14,IF('Assumptions'!$E$9=3,'Installment build'!AA14,'Short-Term build'!AA14+'Installment build'!AA14))</x:f>
        <x:v>31497593.82159103</x:v>
      </x:c>
      <x:c r="AB14" s="35" t="n">
        <x:f>IF('Assumptions'!$E$9=2,'Short-Term build'!AB14,IF('Assumptions'!$E$9=3,'Installment build'!AB14,'Short-Term build'!AB14+'Installment build'!AB14))</x:f>
        <x:v>31715079.045369364</x:v>
      </x:c>
      <x:c r="AC14" s="35" t="n">
        <x:f>IF('Assumptions'!$E$9=2,'Short-Term build'!AC14,IF('Assumptions'!$E$9=3,'Installment build'!AC14,'Short-Term build'!AC14+'Installment build'!AC14))</x:f>
        <x:v>31980024.248351313</x:v>
      </x:c>
      <x:c r="AD14" s="35" t="n">
        <x:f>IF('Assumptions'!$E$9=2,'Short-Term build'!AD14,IF('Assumptions'!$E$9=3,'Installment build'!AD14,'Short-Term build'!AD14+'Installment build'!AD14))</x:f>
        <x:v>32289429.171798997</x:v>
      </x:c>
      <x:c r="AE14" s="35" t="n">
        <x:f>IF('Assumptions'!$E$9=2,'Short-Term build'!AE14,IF('Assumptions'!$E$9=3,'Installment build'!AE14,'Short-Term build'!AE14+'Installment build'!AE14))</x:f>
        <x:v>32641119.484169878</x:v>
      </x:c>
      <x:c r="AF14" s="35" t="n">
        <x:f>IF('Assumptions'!$E$9=2,'Short-Term build'!AF14,IF('Assumptions'!$E$9=3,'Installment build'!AF14,'Short-Term build'!AF14+'Installment build'!AF14))</x:f>
        <x:v>32641119.484169878</x:v>
      </x:c>
      <x:c r="AG14" s="35" t="n">
        <x:f>IF('Assumptions'!$E$9=2,'Short-Term build'!AG14,IF('Assumptions'!$E$9=3,'Installment build'!AG14,'Short-Term build'!AG14+'Installment build'!AG14))</x:f>
        <x:v>32641119.484169878</x:v>
      </x:c>
      <x:c r="AH14" s="35" t="n">
        <x:f>IF('Assumptions'!$E$9=2,'Short-Term build'!AH14,IF('Assumptions'!$E$9=3,'Installment build'!AH14,'Short-Term build'!AH14+'Installment build'!AH14))</x:f>
        <x:v>32641119.484169878</x:v>
      </x:c>
      <x:c r="AI14" s="35" t="n">
        <x:f>IF('Assumptions'!$E$9=2,'Short-Term build'!AI14,IF('Assumptions'!$E$9=3,'Installment build'!AI14,'Short-Term build'!AI14+'Installment build'!AI14))</x:f>
        <x:v>32641119.484169878</x:v>
      </x:c>
      <x:c r="AJ14" s="35" t="n">
        <x:f>IF('Assumptions'!$E$9=2,'Short-Term build'!AJ14,IF('Assumptions'!$E$9=3,'Installment build'!AJ14,'Short-Term build'!AJ14+'Installment build'!AJ14))</x:f>
        <x:v>32641119.484169878</x:v>
      </x:c>
      <x:c r="AK14" s="35" t="n">
        <x:f>IF('Assumptions'!$E$9=2,'Short-Term build'!AK14,IF('Assumptions'!$E$9=3,'Installment build'!AK14,'Short-Term build'!AK14+'Installment build'!AK14))</x:f>
        <x:v>32641119.484169878</x:v>
      </x:c>
      <x:c r="AL14" s="35" t="n">
        <x:f>IF('Assumptions'!$E$9=2,'Short-Term build'!AL14,IF('Assumptions'!$E$9=3,'Installment build'!AL14,'Short-Term build'!AL14+'Installment build'!AL14))</x:f>
        <x:v>32641119.484169878</x:v>
      </x:c>
      <x:c r="AM14" s="35" t="n">
        <x:f>IF('Assumptions'!$E$9=2,'Short-Term build'!AM14,IF('Assumptions'!$E$9=3,'Installment build'!AM14,'Short-Term build'!AM14+'Installment build'!AM14))</x:f>
        <x:v>32641119.484169878</x:v>
      </x:c>
      <x:c r="AN14" s="35" t="n">
        <x:f>IF('Assumptions'!$E$9=2,'Short-Term build'!AN14,IF('Assumptions'!$E$9=3,'Installment build'!AN14,'Short-Term build'!AN14+'Installment build'!AN14))</x:f>
        <x:v>32641119.484169878</x:v>
      </x:c>
      <x:c r="AO14" s="35" t="n">
        <x:f>IF('Assumptions'!$E$9=2,'Short-Term build'!AO14,IF('Assumptions'!$E$9=3,'Installment build'!AO14,'Short-Term build'!AO14+'Installment build'!AO14))</x:f>
        <x:v>32641119.484169878</x:v>
      </x:c>
      <x:c r="AP14" s="35" t="n">
        <x:f>IF('Assumptions'!$E$9=2,'Short-Term build'!AP14,IF('Assumptions'!$E$9=3,'Installment build'!AP14,'Short-Term build'!AP14+'Installment build'!AP14))</x:f>
        <x:v>32641119.484169878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61841898.00037434</x:v>
      </x:c>
      <x:c r="F15" s="2"/>
      <x:c r="G15" s="35" t="n">
        <x:f>IF('Assumptions'!$E$9=2,'Short-Term build'!G15,IF('Assumptions'!$E$9=3,'Installment build'!G15,'Short-Term build'!G15+'Installment build'!G15))</x:f>
        <x:v>3669236.149728842</x:v>
      </x:c>
      <x:c r="H15" s="35" t="n">
        <x:f>IF('Assumptions'!$E$9=2,'Short-Term build'!H15,IF('Assumptions'!$E$9=3,'Installment build'!H15,'Short-Term build'!H15+'Installment build'!H15))</x:f>
        <x:v>3276895.6416557436</x:v>
      </x:c>
      <x:c r="I15" s="35" t="n">
        <x:f>IF('Assumptions'!$E$9=2,'Short-Term build'!I15,IF('Assumptions'!$E$9=3,'Installment build'!I15,'Short-Term build'!I15+'Installment build'!I15))</x:f>
        <x:v>2960981.464655036</x:v>
      </x:c>
      <x:c r="J15" s="35" t="n">
        <x:f>IF('Assumptions'!$E$9=2,'Short-Term build'!J15,IF('Assumptions'!$E$9=3,'Installment build'!J15,'Short-Term build'!J15+'Installment build'!J15))</x:f>
        <x:v>2723876.2283812687</x:v>
      </x:c>
      <x:c r="K15" s="35" t="n">
        <x:f>IF('Assumptions'!$E$9=2,'Short-Term build'!K15,IF('Assumptions'!$E$9=3,'Installment build'!K15,'Short-Term build'!K15+'Installment build'!K15))</x:f>
        <x:v>2567700.2243241617</x:v>
      </x:c>
      <x:c r="L15" s="35" t="n">
        <x:f>IF('Assumptions'!$E$9=2,'Short-Term build'!L15,IF('Assumptions'!$E$9=3,'Installment build'!L15,'Short-Term build'!L15+'Installment build'!L15))</x:f>
        <x:v>2481799.3330355613</x:v>
      </x:c>
      <x:c r="M15" s="35" t="n">
        <x:f>IF('Assumptions'!$E$9=2,'Short-Term build'!M15,IF('Assumptions'!$E$9=3,'Installment build'!M15,'Short-Term build'!M15+'Installment build'!M15))</x:f>
        <x:v>2445131.6209468697</x:v>
      </x:c>
      <x:c r="N15" s="35" t="n">
        <x:f>IF('Assumptions'!$E$9=2,'Short-Term build'!N15,IF('Assumptions'!$E$9=3,'Installment build'!N15,'Short-Term build'!N15+'Installment build'!N15))</x:f>
        <x:v>2435774.9034166327</x:v>
      </x:c>
      <x:c r="O15" s="35" t="n">
        <x:f>IF('Assumptions'!$E$9=2,'Short-Term build'!O15,IF('Assumptions'!$E$9=3,'Installment build'!O15,'Short-Term build'!O15+'Installment build'!O15))</x:f>
        <x:v>2437990.340337932</x:v>
      </x:c>
      <x:c r="P15" s="35" t="n">
        <x:f>IF('Assumptions'!$E$9=2,'Short-Term build'!P15,IF('Assumptions'!$E$9=3,'Installment build'!P15,'Short-Term build'!P15+'Installment build'!P15))</x:f>
        <x:v>2443354.9029025426</x:v>
      </x:c>
      <x:c r="Q15" s="35" t="n">
        <x:f>IF('Assumptions'!$E$9=2,'Short-Term build'!Q15,IF('Assumptions'!$E$9=3,'Installment build'!Q15,'Short-Term build'!Q15+'Installment build'!Q15))</x:f>
        <x:v>2448451.2695618086</x:v>
      </x:c>
      <x:c r="R15" s="35" t="n">
        <x:f>IF('Assumptions'!$E$9=2,'Short-Term build'!R15,IF('Assumptions'!$E$9=3,'Installment build'!R15,'Short-Term build'!R15+'Installment build'!R15))</x:f>
        <x:v>2452341.9300329704</x:v>
      </x:c>
      <x:c r="S15" s="35" t="n">
        <x:f>IF('Assumptions'!$E$9=2,'Short-Term build'!S15,IF('Assumptions'!$E$9=3,'Installment build'!S15,'Short-Term build'!S15+'Installment build'!S15))</x:f>
        <x:v>2455036.3861597995</x:v>
      </x:c>
      <x:c r="T15" s="35" t="n">
        <x:f>IF('Assumptions'!$E$9=2,'Short-Term build'!T15,IF('Assumptions'!$E$9=3,'Installment build'!T15,'Short-Term build'!T15+'Installment build'!T15))</x:f>
        <x:v>2456801.35901503</x:v>
      </x:c>
      <x:c r="U15" s="35" t="n">
        <x:f>IF('Assumptions'!$E$9=2,'Short-Term build'!U15,IF('Assumptions'!$E$9=3,'Installment build'!U15,'Short-Term build'!U15+'Installment build'!U15))</x:f>
        <x:v>2457771.805266056</x:v>
      </x:c>
      <x:c r="V15" s="35" t="n">
        <x:f>IF('Assumptions'!$E$9=2,'Short-Term build'!V15,IF('Assumptions'!$E$9=3,'Installment build'!V15,'Short-Term build'!V15+'Installment build'!V15))</x:f>
        <x:v>2458298.0129122967</x:v>
      </x:c>
      <x:c r="W15" s="35" t="n">
        <x:f>IF('Assumptions'!$E$9=2,'Short-Term build'!W15,IF('Assumptions'!$E$9=3,'Installment build'!W15,'Short-Term build'!W15+'Installment build'!W15))</x:f>
        <x:v>2458579.692418233</x:v>
      </x:c>
      <x:c r="X15" s="35" t="n">
        <x:f>IF('Assumptions'!$E$9=2,'Short-Term build'!X15,IF('Assumptions'!$E$9=3,'Installment build'!X15,'Short-Term build'!X15+'Installment build'!X15))</x:f>
        <x:v>2458728.4544810634</x:v>
      </x:c>
      <x:c r="Y15" s="35" t="n">
        <x:f>IF('Assumptions'!$E$9=2,'Short-Term build'!Y15,IF('Assumptions'!$E$9=3,'Installment build'!Y15,'Short-Term build'!Y15+'Installment build'!Y15))</x:f>
        <x:v>2458805.7969430974</x:v>
      </x:c>
      <x:c r="Z15" s="35" t="n">
        <x:f>IF('Assumptions'!$E$9=2,'Short-Term build'!Z15,IF('Assumptions'!$E$9=3,'Installment build'!Z15,'Short-Term build'!Z15+'Installment build'!Z15))</x:f>
        <x:v>2458845.221825758</x:v>
      </x:c>
      <x:c r="AA15" s="35" t="n">
        <x:f>IF('Assumptions'!$E$9=2,'Short-Term build'!AA15,IF('Assumptions'!$E$9=3,'Installment build'!AA15,'Short-Term build'!AA15+'Installment build'!AA15))</x:f>
        <x:v>2458864.7901678723</x:v>
      </x:c>
      <x:c r="AB15" s="35" t="n">
        <x:f>IF('Assumptions'!$E$9=2,'Short-Term build'!AB15,IF('Assumptions'!$E$9=3,'Installment build'!AB15,'Short-Term build'!AB15+'Installment build'!AB15))</x:f>
        <x:v>2458874.1342740487</x:v>
      </x:c>
      <x:c r="AC15" s="35" t="n">
        <x:f>IF('Assumptions'!$E$9=2,'Short-Term build'!AC15,IF('Assumptions'!$E$9=3,'Installment build'!AC15,'Short-Term build'!AC15+'Installment build'!AC15))</x:f>
        <x:v>2458878.329019093</x:v>
      </x:c>
      <x:c r="AD15" s="35" t="n">
        <x:f>IF('Assumptions'!$E$9=2,'Short-Term build'!AD15,IF('Assumptions'!$E$9=3,'Installment build'!AD15,'Short-Term build'!AD15+'Installment build'!AD15))</x:f>
        <x:v>2458880.008912613</x:v>
      </x:c>
      <x:c r="AE15" s="35" t="n">
        <x:f>IF('Assumptions'!$E$9=2,'Short-Term build'!AE15,IF('Assumptions'!$E$9=3,'Installment build'!AE15,'Short-Term build'!AE15+'Installment build'!AE15))</x:f>
        <x:v>2458880.515830122</x:v>
      </x:c>
      <x:c r="AF15" s="35" t="n">
        <x:f>IF('Assumptions'!$E$9=2,'Short-Term build'!AF15,IF('Assumptions'!$E$9=3,'Installment build'!AF15,'Short-Term build'!AF15+'Installment build'!AF15))</x:f>
        <x:v>2458880.515830122</x:v>
      </x:c>
      <x:c r="AG15" s="35" t="n">
        <x:f>IF('Assumptions'!$E$9=2,'Short-Term build'!AG15,IF('Assumptions'!$E$9=3,'Installment build'!AG15,'Short-Term build'!AG15+'Installment build'!AG15))</x:f>
        <x:v>2458880.515830122</x:v>
      </x:c>
      <x:c r="AH15" s="35" t="n">
        <x:f>IF('Assumptions'!$E$9=2,'Short-Term build'!AH15,IF('Assumptions'!$E$9=3,'Installment build'!AH15,'Short-Term build'!AH15+'Installment build'!AH15))</x:f>
        <x:v>2458880.515830122</x:v>
      </x:c>
      <x:c r="AI15" s="35" t="n">
        <x:f>IF('Assumptions'!$E$9=2,'Short-Term build'!AI15,IF('Assumptions'!$E$9=3,'Installment build'!AI15,'Short-Term build'!AI15+'Installment build'!AI15))</x:f>
        <x:v>2458880.515830122</x:v>
      </x:c>
      <x:c r="AJ15" s="35" t="n">
        <x:f>IF('Assumptions'!$E$9=2,'Short-Term build'!AJ15,IF('Assumptions'!$E$9=3,'Installment build'!AJ15,'Short-Term build'!AJ15+'Installment build'!AJ15))</x:f>
        <x:v>2458880.515830122</x:v>
      </x:c>
      <x:c r="AK15" s="35" t="n">
        <x:f>IF('Assumptions'!$E$9=2,'Short-Term build'!AK15,IF('Assumptions'!$E$9=3,'Installment build'!AK15,'Short-Term build'!AK15+'Installment build'!AK15))</x:f>
        <x:v>2458880.515830122</x:v>
      </x:c>
      <x:c r="AL15" s="35" t="n">
        <x:f>IF('Assumptions'!$E$9=2,'Short-Term build'!AL15,IF('Assumptions'!$E$9=3,'Installment build'!AL15,'Short-Term build'!AL15+'Installment build'!AL15))</x:f>
        <x:v>2458880.515830122</x:v>
      </x:c>
      <x:c r="AM15" s="35" t="n">
        <x:f>IF('Assumptions'!$E$9=2,'Short-Term build'!AM15,IF('Assumptions'!$E$9=3,'Installment build'!AM15,'Short-Term build'!AM15+'Installment build'!AM15))</x:f>
        <x:v>2458880.515830122</x:v>
      </x:c>
      <x:c r="AN15" s="35" t="n">
        <x:f>IF('Assumptions'!$E$9=2,'Short-Term build'!AN15,IF('Assumptions'!$E$9=3,'Installment build'!AN15,'Short-Term build'!AN15+'Installment build'!AN15))</x:f>
        <x:v>2458880.515830122</x:v>
      </x:c>
      <x:c r="AO15" s="35" t="n">
        <x:f>IF('Assumptions'!$E$9=2,'Short-Term build'!AO15,IF('Assumptions'!$E$9=3,'Installment build'!AO15,'Short-Term build'!AO15+'Installment build'!AO15))</x:f>
        <x:v>2458880.515830122</x:v>
      </x:c>
      <x:c r="AP15" s="35" t="n">
        <x:f>IF('Assumptions'!$E$9=2,'Short-Term build'!AP15,IF('Assumptions'!$E$9=3,'Installment build'!AP15,'Short-Term build'!AP15+'Installment build'!AP15))</x:f>
        <x:v>2458880.515830122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397473070.11118895</x:v>
      </x:c>
      <x:c r="F16" s="42"/>
      <x:c r="G16" s="43" t="n">
        <x:f>IF('Assumptions'!$E$9=2,'Short-Term build'!G16,IF('Assumptions'!$E$9=3,'Installment build'!G16,'Short-Term build'!G16+'Installment build'!G16))</x:f>
        <x:v>557914965.2123135</x:v>
      </x:c>
      <x:c r="H16" s="43" t="n">
        <x:f>IF('Assumptions'!$E$9=2,'Short-Term build'!H16,IF('Assumptions'!$E$9=3,'Installment build'!H16,'Short-Term build'!H16+'Installment build'!H16))</x:f>
        <x:v>508664362.46557736</x:v>
      </x:c>
      <x:c r="I16" s="43" t="n">
        <x:f>IF('Assumptions'!$E$9=2,'Short-Term build'!I16,IF('Assumptions'!$E$9=3,'Installment build'!I16,'Short-Term build'!I16+'Installment build'!I16))</x:f>
        <x:v>473999157.6257053</x:v>
      </x:c>
      <x:c r="J16" s="43" t="n">
        <x:f>IF('Assumptions'!$E$9=2,'Short-Term build'!J16,IF('Assumptions'!$E$9=3,'Installment build'!J16,'Short-Term build'!J16+'Installment build'!J16))</x:f>
        <x:v>448361027.3449191</x:v>
      </x:c>
      <x:c r="K16" s="43" t="n">
        <x:f>IF('Assumptions'!$E$9=2,'Short-Term build'!K16,IF('Assumptions'!$E$9=3,'Installment build'!K16,'Short-Term build'!K16+'Installment build'!K16))</x:f>
        <x:v>429035228.1403315</x:v>
      </x:c>
      <x:c r="L16" s="43" t="n">
        <x:f>IF('Assumptions'!$E$9=2,'Short-Term build'!L16,IF('Assumptions'!$E$9=3,'Installment build'!L16,'Short-Term build'!L16+'Installment build'!L16))</x:f>
        <x:v>414425665.33199334</x:v>
      </x:c>
      <x:c r="M16" s="43" t="n">
        <x:f>IF('Assumptions'!$E$9=2,'Short-Term build'!M16,IF('Assumptions'!$E$9=3,'Installment build'!M16,'Short-Term build'!M16+'Installment build'!M16))</x:f>
        <x:v>403494223.54006577</x:v>
      </x:c>
      <x:c r="N16" s="43" t="n">
        <x:f>IF('Assumptions'!$E$9=2,'Short-Term build'!N16,IF('Assumptions'!$E$9=3,'Installment build'!N16,'Short-Term build'!N16+'Installment build'!N16))</x:f>
        <x:v>395519118.8624768</x:v>
      </x:c>
      <x:c r="O16" s="43" t="n">
        <x:f>IF('Assumptions'!$E$9=2,'Short-Term build'!O16,IF('Assumptions'!$E$9=3,'Installment build'!O16,'Short-Term build'!O16+'Installment build'!O16))</x:f>
        <x:v>389969200.7442228</x:v>
      </x:c>
      <x:c r="P16" s="43" t="n">
        <x:f>IF('Assumptions'!$E$9=2,'Short-Term build'!P16,IF('Assumptions'!$E$9=3,'Installment build'!P16,'Short-Term build'!P16+'Installment build'!P16))</x:f>
        <x:v>386433967.92710316</x:v>
      </x:c>
      <x:c r="Q16" s="43" t="n">
        <x:f>IF('Assumptions'!$E$9=2,'Short-Term build'!Q16,IF('Assumptions'!$E$9=3,'Installment build'!Q16,'Short-Term build'!Q16+'Installment build'!Q16))</x:f>
        <x:v>384586490.1749295</x:v>
      </x:c>
      <x:c r="R16" s="43" t="n">
        <x:f>IF('Assumptions'!$E$9=2,'Short-Term build'!R16,IF('Assumptions'!$E$9=3,'Installment build'!R16,'Short-Term build'!R16+'Installment build'!R16))</x:f>
        <x:v>384164909.47031003</x:v>
      </x:c>
      <x:c r="S16" s="43" t="n">
        <x:f>IF('Assumptions'!$E$9=2,'Short-Term build'!S16,IF('Assumptions'!$E$9=3,'Installment build'!S16,'Short-Term build'!S16+'Installment build'!S16))</x:f>
        <x:v>384961339.804128</x:v>
      </x:c>
      <x:c r="T16" s="43" t="n">
        <x:f>IF('Assumptions'!$E$9=2,'Short-Term build'!T16,IF('Assumptions'!$E$9=3,'Installment build'!T16,'Short-Term build'!T16+'Installment build'!T16))</x:f>
        <x:v>386034019.8496518</x:v>
      </x:c>
      <x:c r="U16" s="43" t="n">
        <x:f>IF('Assumptions'!$E$9=2,'Short-Term build'!U16,IF('Assumptions'!$E$9=3,'Installment build'!U16,'Short-Term build'!U16+'Installment build'!U16))</x:f>
        <x:v>387307077.4189996</x:v>
      </x:c>
      <x:c r="V16" s="43" t="n">
        <x:f>IF('Assumptions'!$E$9=2,'Short-Term build'!V16,IF('Assumptions'!$E$9=3,'Installment build'!V16,'Short-Term build'!V16+'Installment build'!V16))</x:f>
        <x:v>388711420.3205891</x:v>
      </x:c>
      <x:c r="W16" s="43" t="n">
        <x:f>IF('Assumptions'!$E$9=2,'Short-Term build'!W16,IF('Assumptions'!$E$9=3,'Installment build'!W16,'Short-Term build'!W16+'Installment build'!W16))</x:f>
        <x:v>390182535.0691737</x:v>
      </x:c>
      <x:c r="X16" s="43" t="n">
        <x:f>IF('Assumptions'!$E$9=2,'Short-Term build'!X16,IF('Assumptions'!$E$9=3,'Installment build'!X16,'Short-Term build'!X16+'Installment build'!X16))</x:f>
        <x:v>391658818.1195633</x:v>
      </x:c>
      <x:c r="Y16" s="43" t="n">
        <x:f>IF('Assumptions'!$E$9=2,'Short-Term build'!Y16,IF('Assumptions'!$E$9=3,'Installment build'!Y16,'Short-Term build'!Y16+'Installment build'!Y16))</x:f>
        <x:v>393080692.144574</x:v>
      </x:c>
      <x:c r="Z16" s="43" t="n">
        <x:f>IF('Assumptions'!$E$9=2,'Short-Term build'!Z16,IF('Assumptions'!$E$9=3,'Installment build'!Z16,'Short-Term build'!Z16+'Installment build'!Z16))</x:f>
        <x:v>394390693.66067326</x:v>
      </x:c>
      <x:c r="AA16" s="43" t="n">
        <x:f>IF('Assumptions'!$E$9=2,'Short-Term build'!AA16,IF('Assumptions'!$E$9=3,'Installment build'!AA16,'Short-Term build'!AA16+'Installment build'!AA16))</x:f>
        <x:v>395534235.0489144</x:v>
      </x:c>
      <x:c r="AB16" s="43" t="n">
        <x:f>IF('Assumptions'!$E$9=2,'Short-Term build'!AB16,IF('Assumptions'!$E$9=3,'Installment build'!AB16,'Short-Term build'!AB16+'Installment build'!AB16))</x:f>
        <x:v>396460281.869271</x:v>
      </x:c>
      <x:c r="AC16" s="43" t="n">
        <x:f>IF('Assumptions'!$E$9=2,'Short-Term build'!AC16,IF('Assumptions'!$E$9=3,'Installment build'!AC16,'Short-Term build'!AC16+'Installment build'!AC16))</x:f>
        <x:v>397121379.2919006</x:v>
      </x:c>
      <x:c r="AD16" s="43" t="n">
        <x:f>IF('Assumptions'!$E$9=2,'Short-Term build'!AD16,IF('Assumptions'!$E$9=3,'Installment build'!AD16,'Short-Term build'!AD16+'Installment build'!AD16))</x:f>
        <x:v>397473070.11118895</x:v>
      </x:c>
      <x:c r="AE16" s="43" t="n">
        <x:f>IF('Assumptions'!$E$9=2,'Short-Term build'!AE16,IF('Assumptions'!$E$9=3,'Installment build'!AE16,'Short-Term build'!AE16+'Installment build'!AE16))</x:f>
        <x:v>397473070.11118895</x:v>
      </x:c>
      <x:c r="AF16" s="43" t="n">
        <x:f>IF('Assumptions'!$E$9=2,'Short-Term build'!AF16,IF('Assumptions'!$E$9=3,'Installment build'!AF16,'Short-Term build'!AF16+'Installment build'!AF16))</x:f>
        <x:v>397473070.11118895</x:v>
      </x:c>
      <x:c r="AG16" s="43" t="n">
        <x:f>IF('Assumptions'!$E$9=2,'Short-Term build'!AG16,IF('Assumptions'!$E$9=3,'Installment build'!AG16,'Short-Term build'!AG16+'Installment build'!AG16))</x:f>
        <x:v>397473070.11118895</x:v>
      </x:c>
      <x:c r="AH16" s="43" t="n">
        <x:f>IF('Assumptions'!$E$9=2,'Short-Term build'!AH16,IF('Assumptions'!$E$9=3,'Installment build'!AH16,'Short-Term build'!AH16+'Installment build'!AH16))</x:f>
        <x:v>397473070.11118895</x:v>
      </x:c>
      <x:c r="AI16" s="43" t="n">
        <x:f>IF('Assumptions'!$E$9=2,'Short-Term build'!AI16,IF('Assumptions'!$E$9=3,'Installment build'!AI16,'Short-Term build'!AI16+'Installment build'!AI16))</x:f>
        <x:v>397473070.11118895</x:v>
      </x:c>
      <x:c r="AJ16" s="43" t="n">
        <x:f>IF('Assumptions'!$E$9=2,'Short-Term build'!AJ16,IF('Assumptions'!$E$9=3,'Installment build'!AJ16,'Short-Term build'!AJ16+'Installment build'!AJ16))</x:f>
        <x:v>397473070.11118895</x:v>
      </x:c>
      <x:c r="AK16" s="43" t="n">
        <x:f>IF('Assumptions'!$E$9=2,'Short-Term build'!AK16,IF('Assumptions'!$E$9=3,'Installment build'!AK16,'Short-Term build'!AK16+'Installment build'!AK16))</x:f>
        <x:v>397473070.11118895</x:v>
      </x:c>
      <x:c r="AL16" s="43" t="n">
        <x:f>IF('Assumptions'!$E$9=2,'Short-Term build'!AL16,IF('Assumptions'!$E$9=3,'Installment build'!AL16,'Short-Term build'!AL16+'Installment build'!AL16))</x:f>
        <x:v>397473070.11118895</x:v>
      </x:c>
      <x:c r="AM16" s="43" t="n">
        <x:f>IF('Assumptions'!$E$9=2,'Short-Term build'!AM16,IF('Assumptions'!$E$9=3,'Installment build'!AM16,'Short-Term build'!AM16+'Installment build'!AM16))</x:f>
        <x:v>397473070.11118895</x:v>
      </x:c>
      <x:c r="AN16" s="43" t="n">
        <x:f>IF('Assumptions'!$E$9=2,'Short-Term build'!AN16,IF('Assumptions'!$E$9=3,'Installment build'!AN16,'Short-Term build'!AN16+'Installment build'!AN16))</x:f>
        <x:v>397473070.11118895</x:v>
      </x:c>
      <x:c r="AO16" s="43" t="n">
        <x:f>IF('Assumptions'!$E$9=2,'Short-Term build'!AO16,IF('Assumptions'!$E$9=3,'Installment build'!AO16,'Short-Term build'!AO16+'Installment build'!AO16))</x:f>
        <x:v>397473070.11118895</x:v>
      </x:c>
      <x:c r="AP16" s="43" t="n">
        <x:f>IF('Assumptions'!$E$9=2,'Short-Term build'!AP16,IF('Assumptions'!$E$9=3,'Installment build'!AP16,'Short-Term build'!AP16+'Installment build'!AP16))</x:f>
        <x:v>397473070.11118895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13697766.9956282</x:v>
      </x:c>
      <x:c r="F18" s="2"/>
      <x:c r="G18" s="35" t="n">
        <x:f>IF('Assumptions'!$E$9=2,'Short-Term build'!G18,IF('Assumptions'!$E$9=3,'Installment build'!G18,'Short-Term build'!G18+'Installment build'!G18))</x:f>
        <x:v>13697766.9956282</x:v>
      </x:c>
      <x:c r="H18" s="35" t="n">
        <x:f>IF('Assumptions'!$E$9=2,'Short-Term build'!H18,IF('Assumptions'!$E$9=3,'Installment build'!H18,'Short-Term build'!H18+'Installment build'!H18))</x:f>
        <x:v>12487411.361729478</x:v>
      </x:c>
      <x:c r="I18" s="35" t="n">
        <x:f>IF('Assumptions'!$E$9=2,'Short-Term build'!I18,IF('Assumptions'!$E$9=3,'Installment build'!I18,'Short-Term build'!I18+'Installment build'!I18))</x:f>
        <x:v>11669396.235903855</x:v>
      </x:c>
      <x:c r="J18" s="35" t="n">
        <x:f>IF('Assumptions'!$E$9=2,'Short-Term build'!J18,IF('Assumptions'!$E$9=3,'Installment build'!J18,'Short-Term build'!J18+'Installment build'!J18))</x:f>
        <x:v>11167295.28707894</x:v>
      </x:c>
      <x:c r="K18" s="35" t="n">
        <x:f>IF('Assumptions'!$E$9=2,'Short-Term build'!K18,IF('Assumptions'!$E$9=3,'Installment build'!K18,'Short-Term build'!K18+'Installment build'!K18))</x:f>
        <x:v>10902299.574527793</x:v>
      </x:c>
      <x:c r="L18" s="35" t="n">
        <x:f>IF('Assumptions'!$E$9=2,'Short-Term build'!L18,IF('Assumptions'!$E$9=3,'Installment build'!L18,'Short-Term build'!L18+'Installment build'!L18))</x:f>
        <x:v>10793479.866033752</x:v>
      </x:c>
      <x:c r="M18" s="35" t="n">
        <x:f>IF('Assumptions'!$E$9=2,'Short-Term build'!M18,IF('Assumptions'!$E$9=3,'Installment build'!M18,'Short-Term build'!M18+'Installment build'!M18))</x:f>
        <x:v>10770561.048828313</x:v>
      </x:c>
      <x:c r="N18" s="35" t="n">
        <x:f>IF('Assumptions'!$E$9=2,'Short-Term build'!N18,IF('Assumptions'!$E$9=3,'Installment build'!N18,'Short-Term build'!N18+'Installment build'!N18))</x:f>
        <x:v>10784309.943711564</x:v>
      </x:c>
      <x:c r="O18" s="35" t="n">
        <x:f>IF('Assumptions'!$E$9=2,'Short-Term build'!O18,IF('Assumptions'!$E$9=3,'Installment build'!O18,'Short-Term build'!O18+'Installment build'!O18))</x:f>
        <x:v>10807415.556125052</x:v>
      </x:c>
      <x:c r="P18" s="35" t="n">
        <x:f>IF('Assumptions'!$E$9=2,'Short-Term build'!P18,IF('Assumptions'!$E$9=3,'Installment build'!P18,'Short-Term build'!P18+'Installment build'!P18))</x:f>
        <x:v>10828305.731617242</x:v>
      </x:c>
      <x:c r="Q18" s="35" t="n">
        <x:f>IF('Assumptions'!$E$9=2,'Short-Term build'!Q18,IF('Assumptions'!$E$9=3,'Installment build'!Q18,'Short-Term build'!Q18+'Installment build'!Q18))</x:f>
        <x:v>10843831.34454482</x:v>
      </x:c>
      <x:c r="R18" s="35" t="n">
        <x:f>IF('Assumptions'!$E$9=2,'Short-Term build'!R18,IF('Assumptions'!$E$9=3,'Installment build'!R18,'Short-Term build'!R18+'Installment build'!R18))</x:f>
        <x:v>10854260.590813132</x:v>
      </x:c>
      <x:c r="S18" s="35" t="n">
        <x:f>IF('Assumptions'!$E$9=2,'Short-Term build'!S18,IF('Assumptions'!$E$9=3,'Installment build'!S18,'Short-Term build'!S18+'Installment build'!S18))</x:f>
        <x:v>10860799.176610284</x:v>
      </x:c>
      <x:c r="T18" s="35" t="n">
        <x:f>IF('Assumptions'!$E$9=2,'Short-Term build'!T18,IF('Assumptions'!$E$9=3,'Installment build'!T18,'Short-Term build'!T18+'Installment build'!T18))</x:f>
        <x:v>10864643.306280605</x:v>
      </x:c>
      <x:c r="U18" s="35" t="n">
        <x:f>IF('Assumptions'!$E$9=2,'Short-Term build'!U18,IF('Assumptions'!$E$9=3,'Installment build'!U18,'Short-Term build'!U18+'Installment build'!U18))</x:f>
        <x:v>10866722.463095695</x:v>
      </x:c>
      <x:c r="V18" s="35" t="n">
        <x:f>IF('Assumptions'!$E$9=2,'Short-Term build'!V18,IF('Assumptions'!$E$9=3,'Installment build'!V18,'Short-Term build'!V18+'Installment build'!V18))</x:f>
        <x:v>10867831.17365976</x:v>
      </x:c>
      <x:c r="W18" s="35" t="n">
        <x:f>IF('Assumptions'!$E$9=2,'Short-Term build'!W18,IF('Assumptions'!$E$9=3,'Installment build'!W18,'Short-Term build'!W18+'Installment build'!W18))</x:f>
        <x:v>10868413.676577585</x:v>
      </x:c>
      <x:c r="X18" s="35" t="n">
        <x:f>IF('Assumptions'!$E$9=2,'Short-Term build'!X18,IF('Assumptions'!$E$9=3,'Installment build'!X18,'Short-Term build'!X18+'Installment build'!X18))</x:f>
        <x:v>10868714.499989472</x:v>
      </x:c>
      <x:c r="Y18" s="35" t="n">
        <x:f>IF('Assumptions'!$E$9=2,'Short-Term build'!Y18,IF('Assumptions'!$E$9=3,'Installment build'!Y18,'Short-Term build'!Y18+'Installment build'!Y18))</x:f>
        <x:v>10868866.56133853</x:v>
      </x:c>
      <x:c r="Z18" s="35" t="n">
        <x:f>IF('Assumptions'!$E$9=2,'Short-Term build'!Z18,IF('Assumptions'!$E$9=3,'Installment build'!Z18,'Short-Term build'!Z18+'Installment build'!Z18))</x:f>
        <x:v>10868941.280225554</x:v>
      </x:c>
      <x:c r="AA18" s="35" t="n">
        <x:f>IF('Assumptions'!$E$9=2,'Short-Term build'!AA18,IF('Assumptions'!$E$9=3,'Installment build'!AA18,'Short-Term build'!AA18+'Installment build'!AA18))</x:f>
        <x:v>10868976.574229918</x:v>
      </x:c>
      <x:c r="AB18" s="35" t="n">
        <x:f>IF('Assumptions'!$E$9=2,'Short-Term build'!AB18,IF('Assumptions'!$E$9=3,'Installment build'!AB18,'Short-Term build'!AB18+'Installment build'!AB18))</x:f>
        <x:v>10868992.299892165</x:v>
      </x:c>
      <x:c r="AC18" s="35" t="n">
        <x:f>IF('Assumptions'!$E$9=2,'Short-Term build'!AC18,IF('Assumptions'!$E$9=3,'Installment build'!AC18,'Short-Term build'!AC18+'Installment build'!AC18))</x:f>
        <x:v>10868998.681448238</x:v>
      </x:c>
      <x:c r="AD18" s="35" t="n">
        <x:f>IF('Assumptions'!$E$9=2,'Short-Term build'!AD18,IF('Assumptions'!$E$9=3,'Installment build'!AD18,'Short-Term build'!AD18+'Installment build'!AD18))</x:f>
        <x:v>10869000.868259266</x:v>
      </x:c>
      <x:c r="AE18" s="35" t="n">
        <x:f>IF('Assumptions'!$E$9=2,'Short-Term build'!AE18,IF('Assumptions'!$E$9=3,'Installment build'!AE18,'Short-Term build'!AE18+'Installment build'!AE18))</x:f>
        <x:v>10869001.375176772</x:v>
      </x:c>
      <x:c r="AF18" s="35" t="n">
        <x:f>IF('Assumptions'!$E$9=2,'Short-Term build'!AF18,IF('Assumptions'!$E$9=3,'Installment build'!AF18,'Short-Term build'!AF18+'Installment build'!AF18))</x:f>
        <x:v>10869001.375176772</x:v>
      </x:c>
      <x:c r="AG18" s="35" t="n">
        <x:f>IF('Assumptions'!$E$9=2,'Short-Term build'!AG18,IF('Assumptions'!$E$9=3,'Installment build'!AG18,'Short-Term build'!AG18+'Installment build'!AG18))</x:f>
        <x:v>10869001.375176772</x:v>
      </x:c>
      <x:c r="AH18" s="35" t="n">
        <x:f>IF('Assumptions'!$E$9=2,'Short-Term build'!AH18,IF('Assumptions'!$E$9=3,'Installment build'!AH18,'Short-Term build'!AH18+'Installment build'!AH18))</x:f>
        <x:v>10869001.37517677</x:v>
      </x:c>
      <x:c r="AI18" s="35" t="n">
        <x:f>IF('Assumptions'!$E$9=2,'Short-Term build'!AI18,IF('Assumptions'!$E$9=3,'Installment build'!AI18,'Short-Term build'!AI18+'Installment build'!AI18))</x:f>
        <x:v>10869001.375176769</x:v>
      </x:c>
      <x:c r="AJ18" s="35" t="n">
        <x:f>IF('Assumptions'!$E$9=2,'Short-Term build'!AJ18,IF('Assumptions'!$E$9=3,'Installment build'!AJ18,'Short-Term build'!AJ18+'Installment build'!AJ18))</x:f>
        <x:v>10869001.375176769</x:v>
      </x:c>
      <x:c r="AK18" s="35" t="n">
        <x:f>IF('Assumptions'!$E$9=2,'Short-Term build'!AK18,IF('Assumptions'!$E$9=3,'Installment build'!AK18,'Short-Term build'!AK18+'Installment build'!AK18))</x:f>
        <x:v>10869001.375176769</x:v>
      </x:c>
      <x:c r="AL18" s="35" t="n">
        <x:f>IF('Assumptions'!$E$9=2,'Short-Term build'!AL18,IF('Assumptions'!$E$9=3,'Installment build'!AL18,'Short-Term build'!AL18+'Installment build'!AL18))</x:f>
        <x:v>10869001.375176767</x:v>
      </x:c>
      <x:c r="AM18" s="35" t="n">
        <x:f>IF('Assumptions'!$E$9=2,'Short-Term build'!AM18,IF('Assumptions'!$E$9=3,'Installment build'!AM18,'Short-Term build'!AM18+'Installment build'!AM18))</x:f>
        <x:v>10869001.375176765</x:v>
      </x:c>
      <x:c r="AN18" s="35" t="n">
        <x:f>IF('Assumptions'!$E$9=2,'Short-Term build'!AN18,IF('Assumptions'!$E$9=3,'Installment build'!AN18,'Short-Term build'!AN18+'Installment build'!AN18))</x:f>
        <x:v>10869001.375176765</x:v>
      </x:c>
      <x:c r="AO18" s="35" t="n">
        <x:f>IF('Assumptions'!$E$9=2,'Short-Term build'!AO18,IF('Assumptions'!$E$9=3,'Installment build'!AO18,'Short-Term build'!AO18+'Installment build'!AO18))</x:f>
        <x:v>10869001.375176765</x:v>
      </x:c>
      <x:c r="AP18" s="35" t="n">
        <x:f>IF('Assumptions'!$E$9=2,'Short-Term build'!AP18,IF('Assumptions'!$E$9=3,'Installment build'!AP18,'Short-Term build'!AP18+'Installment build'!AP18))</x:f>
        <x:v>10869001.375176763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59013132.37992292</x:v>
      </x:c>
      <x:c r="F19" s="2"/>
      <x:c r="G19" s="35" t="n">
        <x:f>IF('Assumptions'!$E$9=2,'Short-Term build'!G19,IF('Assumptions'!$E$9=3,'Installment build'!G19,'Short-Term build'!G19+'Installment build'!G19))</x:f>
        <x:v>2458880.515830121</x:v>
      </x:c>
      <x:c r="H19" s="35" t="n">
        <x:f>IF('Assumptions'!$E$9=2,'Short-Term build'!H19,IF('Assumptions'!$E$9=3,'Installment build'!H19,'Short-Term build'!H19+'Installment build'!H19))</x:f>
        <x:v>2458880.515830121</x:v>
      </x:c>
      <x:c r="I19" s="35" t="n">
        <x:f>IF('Assumptions'!$E$9=2,'Short-Term build'!I19,IF('Assumptions'!$E$9=3,'Installment build'!I19,'Short-Term build'!I19+'Installment build'!I19))</x:f>
        <x:v>2458880.515830121</x:v>
      </x:c>
      <x:c r="J19" s="35" t="n">
        <x:f>IF('Assumptions'!$E$9=2,'Short-Term build'!J19,IF('Assumptions'!$E$9=3,'Installment build'!J19,'Short-Term build'!J19+'Installment build'!J19))</x:f>
        <x:v>2458880.515830121</x:v>
      </x:c>
      <x:c r="K19" s="35" t="n">
        <x:f>IF('Assumptions'!$E$9=2,'Short-Term build'!K19,IF('Assumptions'!$E$9=3,'Installment build'!K19,'Short-Term build'!K19+'Installment build'!K19))</x:f>
        <x:v>2458880.515830121</x:v>
      </x:c>
      <x:c r="L19" s="35" t="n">
        <x:f>IF('Assumptions'!$E$9=2,'Short-Term build'!L19,IF('Assumptions'!$E$9=3,'Installment build'!L19,'Short-Term build'!L19+'Installment build'!L19))</x:f>
        <x:v>2458880.515830121</x:v>
      </x:c>
      <x:c r="M19" s="35" t="n">
        <x:f>IF('Assumptions'!$E$9=2,'Short-Term build'!M19,IF('Assumptions'!$E$9=3,'Installment build'!M19,'Short-Term build'!M19+'Installment build'!M19))</x:f>
        <x:v>2458880.515830121</x:v>
      </x:c>
      <x:c r="N19" s="35" t="n">
        <x:f>IF('Assumptions'!$E$9=2,'Short-Term build'!N19,IF('Assumptions'!$E$9=3,'Installment build'!N19,'Short-Term build'!N19+'Installment build'!N19))</x:f>
        <x:v>2458880.515830121</x:v>
      </x:c>
      <x:c r="O19" s="35" t="n">
        <x:f>IF('Assumptions'!$E$9=2,'Short-Term build'!O19,IF('Assumptions'!$E$9=3,'Installment build'!O19,'Short-Term build'!O19+'Installment build'!O19))</x:f>
        <x:v>2458880.515830121</x:v>
      </x:c>
      <x:c r="P19" s="35" t="n">
        <x:f>IF('Assumptions'!$E$9=2,'Short-Term build'!P19,IF('Assumptions'!$E$9=3,'Installment build'!P19,'Short-Term build'!P19+'Installment build'!P19))</x:f>
        <x:v>2458880.515830121</x:v>
      </x:c>
      <x:c r="Q19" s="35" t="n">
        <x:f>IF('Assumptions'!$E$9=2,'Short-Term build'!Q19,IF('Assumptions'!$E$9=3,'Installment build'!Q19,'Short-Term build'!Q19+'Installment build'!Q19))</x:f>
        <x:v>2458880.515830121</x:v>
      </x:c>
      <x:c r="R19" s="35" t="n">
        <x:f>IF('Assumptions'!$E$9=2,'Short-Term build'!R19,IF('Assumptions'!$E$9=3,'Installment build'!R19,'Short-Term build'!R19+'Installment build'!R19))</x:f>
        <x:v>2458880.515830121</x:v>
      </x:c>
      <x:c r="S19" s="35" t="n">
        <x:f>IF('Assumptions'!$E$9=2,'Short-Term build'!S19,IF('Assumptions'!$E$9=3,'Installment build'!S19,'Short-Term build'!S19+'Installment build'!S19))</x:f>
        <x:v>2458880.515830121</x:v>
      </x:c>
      <x:c r="T19" s="35" t="n">
        <x:f>IF('Assumptions'!$E$9=2,'Short-Term build'!T19,IF('Assumptions'!$E$9=3,'Installment build'!T19,'Short-Term build'!T19+'Installment build'!T19))</x:f>
        <x:v>2458880.515830121</x:v>
      </x:c>
      <x:c r="U19" s="35" t="n">
        <x:f>IF('Assumptions'!$E$9=2,'Short-Term build'!U19,IF('Assumptions'!$E$9=3,'Installment build'!U19,'Short-Term build'!U19+'Installment build'!U19))</x:f>
        <x:v>2458880.515830121</x:v>
      </x:c>
      <x:c r="V19" s="35" t="n">
        <x:f>IF('Assumptions'!$E$9=2,'Short-Term build'!V19,IF('Assumptions'!$E$9=3,'Installment build'!V19,'Short-Term build'!V19+'Installment build'!V19))</x:f>
        <x:v>2458880.515830121</x:v>
      </x:c>
      <x:c r="W19" s="35" t="n">
        <x:f>IF('Assumptions'!$E$9=2,'Short-Term build'!W19,IF('Assumptions'!$E$9=3,'Installment build'!W19,'Short-Term build'!W19+'Installment build'!W19))</x:f>
        <x:v>2458880.515830121</x:v>
      </x:c>
      <x:c r="X19" s="35" t="n">
        <x:f>IF('Assumptions'!$E$9=2,'Short-Term build'!X19,IF('Assumptions'!$E$9=3,'Installment build'!X19,'Short-Term build'!X19+'Installment build'!X19))</x:f>
        <x:v>2458880.515830121</x:v>
      </x:c>
      <x:c r="Y19" s="35" t="n">
        <x:f>IF('Assumptions'!$E$9=2,'Short-Term build'!Y19,IF('Assumptions'!$E$9=3,'Installment build'!Y19,'Short-Term build'!Y19+'Installment build'!Y19))</x:f>
        <x:v>2458880.515830121</x:v>
      </x:c>
      <x:c r="Z19" s="35" t="n">
        <x:f>IF('Assumptions'!$E$9=2,'Short-Term build'!Z19,IF('Assumptions'!$E$9=3,'Installment build'!Z19,'Short-Term build'!Z19+'Installment build'!Z19))</x:f>
        <x:v>2458880.515830121</x:v>
      </x:c>
      <x:c r="AA19" s="35" t="n">
        <x:f>IF('Assumptions'!$E$9=2,'Short-Term build'!AA19,IF('Assumptions'!$E$9=3,'Installment build'!AA19,'Short-Term build'!AA19+'Installment build'!AA19))</x:f>
        <x:v>2458880.515830121</x:v>
      </x:c>
      <x:c r="AB19" s="35" t="n">
        <x:f>IF('Assumptions'!$E$9=2,'Short-Term build'!AB19,IF('Assumptions'!$E$9=3,'Installment build'!AB19,'Short-Term build'!AB19+'Installment build'!AB19))</x:f>
        <x:v>2458880.515830121</x:v>
      </x:c>
      <x:c r="AC19" s="35" t="n">
        <x:f>IF('Assumptions'!$E$9=2,'Short-Term build'!AC19,IF('Assumptions'!$E$9=3,'Installment build'!AC19,'Short-Term build'!AC19+'Installment build'!AC19))</x:f>
        <x:v>2458880.515830121</x:v>
      </x:c>
      <x:c r="AD19" s="35" t="n">
        <x:f>IF('Assumptions'!$E$9=2,'Short-Term build'!AD19,IF('Assumptions'!$E$9=3,'Installment build'!AD19,'Short-Term build'!AD19+'Installment build'!AD19))</x:f>
        <x:v>2458880.515830121</x:v>
      </x:c>
      <x:c r="AE19" s="35" t="n">
        <x:f>IF('Assumptions'!$E$9=2,'Short-Term build'!AE19,IF('Assumptions'!$E$9=3,'Installment build'!AE19,'Short-Term build'!AE19+'Installment build'!AE19))</x:f>
        <x:v>2458880.515830121</x:v>
      </x:c>
      <x:c r="AF19" s="35" t="n">
        <x:f>IF('Assumptions'!$E$9=2,'Short-Term build'!AF19,IF('Assumptions'!$E$9=3,'Installment build'!AF19,'Short-Term build'!AF19+'Installment build'!AF19))</x:f>
        <x:v>2458880.515830121</x:v>
      </x:c>
      <x:c r="AG19" s="35" t="n">
        <x:f>IF('Assumptions'!$E$9=2,'Short-Term build'!AG19,IF('Assumptions'!$E$9=3,'Installment build'!AG19,'Short-Term build'!AG19+'Installment build'!AG19))</x:f>
        <x:v>2458880.515830121</x:v>
      </x:c>
      <x:c r="AH19" s="35" t="n">
        <x:f>IF('Assumptions'!$E$9=2,'Short-Term build'!AH19,IF('Assumptions'!$E$9=3,'Installment build'!AH19,'Short-Term build'!AH19+'Installment build'!AH19))</x:f>
        <x:v>2458880.515830121</x:v>
      </x:c>
      <x:c r="AI19" s="35" t="n">
        <x:f>IF('Assumptions'!$E$9=2,'Short-Term build'!AI19,IF('Assumptions'!$E$9=3,'Installment build'!AI19,'Short-Term build'!AI19+'Installment build'!AI19))</x:f>
        <x:v>2458880.515830121</x:v>
      </x:c>
      <x:c r="AJ19" s="35" t="n">
        <x:f>IF('Assumptions'!$E$9=2,'Short-Term build'!AJ19,IF('Assumptions'!$E$9=3,'Installment build'!AJ19,'Short-Term build'!AJ19+'Installment build'!AJ19))</x:f>
        <x:v>2458880.515830121</x:v>
      </x:c>
      <x:c r="AK19" s="35" t="n">
        <x:f>IF('Assumptions'!$E$9=2,'Short-Term build'!AK19,IF('Assumptions'!$E$9=3,'Installment build'!AK19,'Short-Term build'!AK19+'Installment build'!AK19))</x:f>
        <x:v>2458880.515830121</x:v>
      </x:c>
      <x:c r="AL19" s="35" t="n">
        <x:f>IF('Assumptions'!$E$9=2,'Short-Term build'!AL19,IF('Assumptions'!$E$9=3,'Installment build'!AL19,'Short-Term build'!AL19+'Installment build'!AL19))</x:f>
        <x:v>2458880.515830121</x:v>
      </x:c>
      <x:c r="AM19" s="35" t="n">
        <x:f>IF('Assumptions'!$E$9=2,'Short-Term build'!AM19,IF('Assumptions'!$E$9=3,'Installment build'!AM19,'Short-Term build'!AM19+'Installment build'!AM19))</x:f>
        <x:v>2458880.515830121</x:v>
      </x:c>
      <x:c r="AN19" s="35" t="n">
        <x:f>IF('Assumptions'!$E$9=2,'Short-Term build'!AN19,IF('Assumptions'!$E$9=3,'Installment build'!AN19,'Short-Term build'!AN19+'Installment build'!AN19))</x:f>
        <x:v>2458880.515830121</x:v>
      </x:c>
      <x:c r="AO19" s="35" t="n">
        <x:f>IF('Assumptions'!$E$9=2,'Short-Term build'!AO19,IF('Assumptions'!$E$9=3,'Installment build'!AO19,'Short-Term build'!AO19+'Installment build'!AO19))</x:f>
        <x:v>2458880.515830121</x:v>
      </x:c>
      <x:c r="AP19" s="35" t="n">
        <x:f>IF('Assumptions'!$E$9=2,'Short-Term build'!AP19,IF('Assumptions'!$E$9=3,'Installment build'!AP19,'Short-Term build'!AP19+'Installment build'!AP19))</x:f>
        <x:v>2458880.515830121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10869001.375176772</x:v>
      </x:c>
      <x:c r="F20" s="42"/>
      <x:c r="G20" s="43" t="n">
        <x:f>IF('Assumptions'!$E$9=2,'Short-Term build'!G20,IF('Assumptions'!$E$9=3,'Installment build'!G20,'Short-Term build'!G20+'Installment build'!G20))</x:f>
        <x:v>12487411.361729478</x:v>
      </x:c>
      <x:c r="H20" s="43" t="n">
        <x:f>IF('Assumptions'!$E$9=2,'Short-Term build'!H20,IF('Assumptions'!$E$9=3,'Installment build'!H20,'Short-Term build'!H20+'Installment build'!H20))</x:f>
        <x:v>11669396.235903855</x:v>
      </x:c>
      <x:c r="I20" s="43" t="n">
        <x:f>IF('Assumptions'!$E$9=2,'Short-Term build'!I20,IF('Assumptions'!$E$9=3,'Installment build'!I20,'Short-Term build'!I20+'Installment build'!I20))</x:f>
        <x:v>11167295.28707894</x:v>
      </x:c>
      <x:c r="J20" s="43" t="n">
        <x:f>IF('Assumptions'!$E$9=2,'Short-Term build'!J20,IF('Assumptions'!$E$9=3,'Installment build'!J20,'Short-Term build'!J20+'Installment build'!J20))</x:f>
        <x:v>10902299.574527793</x:v>
      </x:c>
      <x:c r="K20" s="43" t="n">
        <x:f>IF('Assumptions'!$E$9=2,'Short-Term build'!K20,IF('Assumptions'!$E$9=3,'Installment build'!K20,'Short-Term build'!K20+'Installment build'!K20))</x:f>
        <x:v>10793479.866033752</x:v>
      </x:c>
      <x:c r="L20" s="43" t="n">
        <x:f>IF('Assumptions'!$E$9=2,'Short-Term build'!L20,IF('Assumptions'!$E$9=3,'Installment build'!L20,'Short-Term build'!L20+'Installment build'!L20))</x:f>
        <x:v>10770561.048828313</x:v>
      </x:c>
      <x:c r="M20" s="43" t="n">
        <x:f>IF('Assumptions'!$E$9=2,'Short-Term build'!M20,IF('Assumptions'!$E$9=3,'Installment build'!M20,'Short-Term build'!M20+'Installment build'!M20))</x:f>
        <x:v>10784309.943711564</x:v>
      </x:c>
      <x:c r="N20" s="43" t="n">
        <x:f>IF('Assumptions'!$E$9=2,'Short-Term build'!N20,IF('Assumptions'!$E$9=3,'Installment build'!N20,'Short-Term build'!N20+'Installment build'!N20))</x:f>
        <x:v>10807415.556125052</x:v>
      </x:c>
      <x:c r="O20" s="43" t="n">
        <x:f>IF('Assumptions'!$E$9=2,'Short-Term build'!O20,IF('Assumptions'!$E$9=3,'Installment build'!O20,'Short-Term build'!O20+'Installment build'!O20))</x:f>
        <x:v>10828305.731617242</x:v>
      </x:c>
      <x:c r="P20" s="43" t="n">
        <x:f>IF('Assumptions'!$E$9=2,'Short-Term build'!P20,IF('Assumptions'!$E$9=3,'Installment build'!P20,'Short-Term build'!P20+'Installment build'!P20))</x:f>
        <x:v>10843831.34454482</x:v>
      </x:c>
      <x:c r="Q20" s="43" t="n">
        <x:f>IF('Assumptions'!$E$9=2,'Short-Term build'!Q20,IF('Assumptions'!$E$9=3,'Installment build'!Q20,'Short-Term build'!Q20+'Installment build'!Q20))</x:f>
        <x:v>10854260.590813132</x:v>
      </x:c>
      <x:c r="R20" s="43" t="n">
        <x:f>IF('Assumptions'!$E$9=2,'Short-Term build'!R20,IF('Assumptions'!$E$9=3,'Installment build'!R20,'Short-Term build'!R20+'Installment build'!R20))</x:f>
        <x:v>10860799.176610284</x:v>
      </x:c>
      <x:c r="S20" s="43" t="n">
        <x:f>IF('Assumptions'!$E$9=2,'Short-Term build'!S20,IF('Assumptions'!$E$9=3,'Installment build'!S20,'Short-Term build'!S20+'Installment build'!S20))</x:f>
        <x:v>10864643.306280605</x:v>
      </x:c>
      <x:c r="T20" s="43" t="n">
        <x:f>IF('Assumptions'!$E$9=2,'Short-Term build'!T20,IF('Assumptions'!$E$9=3,'Installment build'!T20,'Short-Term build'!T20+'Installment build'!T20))</x:f>
        <x:v>10866722.463095695</x:v>
      </x:c>
      <x:c r="U20" s="43" t="n">
        <x:f>IF('Assumptions'!$E$9=2,'Short-Term build'!U20,IF('Assumptions'!$E$9=3,'Installment build'!U20,'Short-Term build'!U20+'Installment build'!U20))</x:f>
        <x:v>10867831.17365976</x:v>
      </x:c>
      <x:c r="V20" s="43" t="n">
        <x:f>IF('Assumptions'!$E$9=2,'Short-Term build'!V20,IF('Assumptions'!$E$9=3,'Installment build'!V20,'Short-Term build'!V20+'Installment build'!V20))</x:f>
        <x:v>10868413.676577585</x:v>
      </x:c>
      <x:c r="W20" s="43" t="n">
        <x:f>IF('Assumptions'!$E$9=2,'Short-Term build'!W20,IF('Assumptions'!$E$9=3,'Installment build'!W20,'Short-Term build'!W20+'Installment build'!W20))</x:f>
        <x:v>10868714.499989472</x:v>
      </x:c>
      <x:c r="X20" s="43" t="n">
        <x:f>IF('Assumptions'!$E$9=2,'Short-Term build'!X20,IF('Assumptions'!$E$9=3,'Installment build'!X20,'Short-Term build'!X20+'Installment build'!X20))</x:f>
        <x:v>10868866.56133853</x:v>
      </x:c>
      <x:c r="Y20" s="43" t="n">
        <x:f>IF('Assumptions'!$E$9=2,'Short-Term build'!Y20,IF('Assumptions'!$E$9=3,'Installment build'!Y20,'Short-Term build'!Y20+'Installment build'!Y20))</x:f>
        <x:v>10868941.280225554</x:v>
      </x:c>
      <x:c r="Z20" s="43" t="n">
        <x:f>IF('Assumptions'!$E$9=2,'Short-Term build'!Z20,IF('Assumptions'!$E$9=3,'Installment build'!Z20,'Short-Term build'!Z20+'Installment build'!Z20))</x:f>
        <x:v>10868976.574229918</x:v>
      </x:c>
      <x:c r="AA20" s="43" t="n">
        <x:f>IF('Assumptions'!$E$9=2,'Short-Term build'!AA20,IF('Assumptions'!$E$9=3,'Installment build'!AA20,'Short-Term build'!AA20+'Installment build'!AA20))</x:f>
        <x:v>10868992.299892165</x:v>
      </x:c>
      <x:c r="AB20" s="43" t="n">
        <x:f>IF('Assumptions'!$E$9=2,'Short-Term build'!AB20,IF('Assumptions'!$E$9=3,'Installment build'!AB20,'Short-Term build'!AB20+'Installment build'!AB20))</x:f>
        <x:v>10868998.681448238</x:v>
      </x:c>
      <x:c r="AC20" s="43" t="n">
        <x:f>IF('Assumptions'!$E$9=2,'Short-Term build'!AC20,IF('Assumptions'!$E$9=3,'Installment build'!AC20,'Short-Term build'!AC20+'Installment build'!AC20))</x:f>
        <x:v>10869000.868259266</x:v>
      </x:c>
      <x:c r="AD20" s="43" t="n">
        <x:f>IF('Assumptions'!$E$9=2,'Short-Term build'!AD20,IF('Assumptions'!$E$9=3,'Installment build'!AD20,'Short-Term build'!AD20+'Installment build'!AD20))</x:f>
        <x:v>10869001.375176772</x:v>
      </x:c>
      <x:c r="AE20" s="43" t="n">
        <x:f>IF('Assumptions'!$E$9=2,'Short-Term build'!AE20,IF('Assumptions'!$E$9=3,'Installment build'!AE20,'Short-Term build'!AE20+'Installment build'!AE20))</x:f>
        <x:v>10869001.375176772</x:v>
      </x:c>
      <x:c r="AF20" s="43" t="n">
        <x:f>IF('Assumptions'!$E$9=2,'Short-Term build'!AF20,IF('Assumptions'!$E$9=3,'Installment build'!AF20,'Short-Term build'!AF20+'Installment build'!AF20))</x:f>
        <x:v>10869001.375176772</x:v>
      </x:c>
      <x:c r="AG20" s="43" t="n">
        <x:f>IF('Assumptions'!$E$9=2,'Short-Term build'!AG20,IF('Assumptions'!$E$9=3,'Installment build'!AG20,'Short-Term build'!AG20+'Installment build'!AG20))</x:f>
        <x:v>10869001.37517677</x:v>
      </x:c>
      <x:c r="AH20" s="43" t="n">
        <x:f>IF('Assumptions'!$E$9=2,'Short-Term build'!AH20,IF('Assumptions'!$E$9=3,'Installment build'!AH20,'Short-Term build'!AH20+'Installment build'!AH20))</x:f>
        <x:v>10869001.375176769</x:v>
      </x:c>
      <x:c r="AI20" s="43" t="n">
        <x:f>IF('Assumptions'!$E$9=2,'Short-Term build'!AI20,IF('Assumptions'!$E$9=3,'Installment build'!AI20,'Short-Term build'!AI20+'Installment build'!AI20))</x:f>
        <x:v>10869001.375176769</x:v>
      </x:c>
      <x:c r="AJ20" s="43" t="n">
        <x:f>IF('Assumptions'!$E$9=2,'Short-Term build'!AJ20,IF('Assumptions'!$E$9=3,'Installment build'!AJ20,'Short-Term build'!AJ20+'Installment build'!AJ20))</x:f>
        <x:v>10869001.375176769</x:v>
      </x:c>
      <x:c r="AK20" s="43" t="n">
        <x:f>IF('Assumptions'!$E$9=2,'Short-Term build'!AK20,IF('Assumptions'!$E$9=3,'Installment build'!AK20,'Short-Term build'!AK20+'Installment build'!AK20))</x:f>
        <x:v>10869001.375176767</x:v>
      </x:c>
      <x:c r="AL20" s="43" t="n">
        <x:f>IF('Assumptions'!$E$9=2,'Short-Term build'!AL20,IF('Assumptions'!$E$9=3,'Installment build'!AL20,'Short-Term build'!AL20+'Installment build'!AL20))</x:f>
        <x:v>10869001.375176765</x:v>
      </x:c>
      <x:c r="AM20" s="43" t="n">
        <x:f>IF('Assumptions'!$E$9=2,'Short-Term build'!AM20,IF('Assumptions'!$E$9=3,'Installment build'!AM20,'Short-Term build'!AM20+'Installment build'!AM20))</x:f>
        <x:v>10869001.375176765</x:v>
      </x:c>
      <x:c r="AN20" s="43" t="n">
        <x:f>IF('Assumptions'!$E$9=2,'Short-Term build'!AN20,IF('Assumptions'!$E$9=3,'Installment build'!AN20,'Short-Term build'!AN20+'Installment build'!AN20))</x:f>
        <x:v>10869001.375176765</x:v>
      </x:c>
      <x:c r="AO20" s="43" t="n">
        <x:f>IF('Assumptions'!$E$9=2,'Short-Term build'!AO20,IF('Assumptions'!$E$9=3,'Installment build'!AO20,'Short-Term build'!AO20+'Installment build'!AO20))</x:f>
        <x:v>10869001.375176763</x:v>
      </x:c>
      <x:c r="AP20" s="43" t="n">
        <x:f>IF('Assumptions'!$E$9=2,'Short-Term build'!AP20,IF('Assumptions'!$E$9=3,'Installment build'!AP20,'Short-Term build'!AP20+'Installment build'!AP20))</x:f>
        <x:v>10869001.375176761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386604068.73601216</x:v>
      </x:c>
      <x:c r="F21" s="42"/>
      <x:c r="G21" s="43" t="n">
        <x:f>IF('Assumptions'!$E$9=2,'Short-Term build'!G21,IF('Assumptions'!$E$9=3,'Installment build'!G21,'Short-Term build'!G21+'Installment build'!G21))</x:f>
        <x:v>545427553.850584</x:v>
      </x:c>
      <x:c r="H21" s="43" t="n">
        <x:f>IF('Assumptions'!$E$9=2,'Short-Term build'!H21,IF('Assumptions'!$E$9=3,'Installment build'!H21,'Short-Term build'!H21+'Installment build'!H21))</x:f>
        <x:v>496994966.2296735</x:v>
      </x:c>
      <x:c r="I21" s="43" t="n">
        <x:f>IF('Assumptions'!$E$9=2,'Short-Term build'!I21,IF('Assumptions'!$E$9=3,'Installment build'!I21,'Short-Term build'!I21+'Installment build'!I21))</x:f>
        <x:v>462831862.3386264</x:v>
      </x:c>
      <x:c r="J21" s="43" t="n">
        <x:f>IF('Assumptions'!$E$9=2,'Short-Term build'!J21,IF('Assumptions'!$E$9=3,'Installment build'!J21,'Short-Term build'!J21+'Installment build'!J21))</x:f>
        <x:v>437458727.7703913</x:v>
      </x:c>
      <x:c r="K21" s="43" t="n">
        <x:f>IF('Assumptions'!$E$9=2,'Short-Term build'!K21,IF('Assumptions'!$E$9=3,'Installment build'!K21,'Short-Term build'!K21+'Installment build'!K21))</x:f>
        <x:v>418241748.2742977</x:v>
      </x:c>
      <x:c r="L21" s="43" t="n">
        <x:f>IF('Assumptions'!$E$9=2,'Short-Term build'!L21,IF('Assumptions'!$E$9=3,'Installment build'!L21,'Short-Term build'!L21+'Installment build'!L21))</x:f>
        <x:v>403655104.28316504</x:v>
      </x:c>
      <x:c r="M21" s="43" t="n">
        <x:f>IF('Assumptions'!$E$9=2,'Short-Term build'!M21,IF('Assumptions'!$E$9=3,'Installment build'!M21,'Short-Term build'!M21+'Installment build'!M21))</x:f>
        <x:v>392709913.59635425</x:v>
      </x:c>
      <x:c r="N21" s="43" t="n">
        <x:f>IF('Assumptions'!$E$9=2,'Short-Term build'!N21,IF('Assumptions'!$E$9=3,'Installment build'!N21,'Short-Term build'!N21+'Installment build'!N21))</x:f>
        <x:v>384711703.3063518</x:v>
      </x:c>
      <x:c r="O21" s="43" t="n">
        <x:f>IF('Assumptions'!$E$9=2,'Short-Term build'!O21,IF('Assumptions'!$E$9=3,'Installment build'!O21,'Short-Term build'!O21+'Installment build'!O21))</x:f>
        <x:v>379140895.0126056</x:v>
      </x:c>
      <x:c r="P21" s="43" t="n">
        <x:f>IF('Assumptions'!$E$9=2,'Short-Term build'!P21,IF('Assumptions'!$E$9=3,'Installment build'!P21,'Short-Term build'!P21+'Installment build'!P21))</x:f>
        <x:v>375590136.5825583</x:v>
      </x:c>
      <x:c r="Q21" s="43" t="n">
        <x:f>IF('Assumptions'!$E$9=2,'Short-Term build'!Q21,IF('Assumptions'!$E$9=3,'Installment build'!Q21,'Short-Term build'!Q21+'Installment build'!Q21))</x:f>
        <x:v>373732229.5841164</x:v>
      </x:c>
      <x:c r="R21" s="43" t="n">
        <x:f>IF('Assumptions'!$E$9=2,'Short-Term build'!R21,IF('Assumptions'!$E$9=3,'Installment build'!R21,'Short-Term build'!R21+'Installment build'!R21))</x:f>
        <x:v>373304110.29369974</x:v>
      </x:c>
      <x:c r="S21" s="43" t="n">
        <x:f>IF('Assumptions'!$E$9=2,'Short-Term build'!S21,IF('Assumptions'!$E$9=3,'Installment build'!S21,'Short-Term build'!S21+'Installment build'!S21))</x:f>
        <x:v>374096696.4978474</x:v>
      </x:c>
      <x:c r="T21" s="43" t="n">
        <x:f>IF('Assumptions'!$E$9=2,'Short-Term build'!T21,IF('Assumptions'!$E$9=3,'Installment build'!T21,'Short-Term build'!T21+'Installment build'!T21))</x:f>
        <x:v>375167297.3865561</x:v>
      </x:c>
      <x:c r="U21" s="43" t="n">
        <x:f>IF('Assumptions'!$E$9=2,'Short-Term build'!U21,IF('Assumptions'!$E$9=3,'Installment build'!U21,'Short-Term build'!U21+'Installment build'!U21))</x:f>
        <x:v>376439246.2453398</x:v>
      </x:c>
      <x:c r="V21" s="43" t="n">
        <x:f>IF('Assumptions'!$E$9=2,'Short-Term build'!V21,IF('Assumptions'!$E$9=3,'Installment build'!V21,'Short-Term build'!V21+'Installment build'!V21))</x:f>
        <x:v>377843006.6440115</x:v>
      </x:c>
      <x:c r="W21" s="43" t="n">
        <x:f>IF('Assumptions'!$E$9=2,'Short-Term build'!W21,IF('Assumptions'!$E$9=3,'Installment build'!W21,'Short-Term build'!W21+'Installment build'!W21))</x:f>
        <x:v>379313820.5691842</x:v>
      </x:c>
      <x:c r="X21" s="43" t="n">
        <x:f>IF('Assumptions'!$E$9=2,'Short-Term build'!X21,IF('Assumptions'!$E$9=3,'Installment build'!X21,'Short-Term build'!X21+'Installment build'!X21))</x:f>
        <x:v>380789951.55822474</x:v>
      </x:c>
      <x:c r="Y21" s="43" t="n">
        <x:f>IF('Assumptions'!$E$9=2,'Short-Term build'!Y21,IF('Assumptions'!$E$9=3,'Installment build'!Y21,'Short-Term build'!Y21+'Installment build'!Y21))</x:f>
        <x:v>382211750.8643484</x:v>
      </x:c>
      <x:c r="Z21" s="43" t="n">
        <x:f>IF('Assumptions'!$E$9=2,'Short-Term build'!Z21,IF('Assumptions'!$E$9=3,'Installment build'!Z21,'Short-Term build'!Z21+'Installment build'!Z21))</x:f>
        <x:v>383521717.0864433</x:v>
      </x:c>
      <x:c r="AA21" s="43" t="n">
        <x:f>IF('Assumptions'!$E$9=2,'Short-Term build'!AA21,IF('Assumptions'!$E$9=3,'Installment build'!AA21,'Short-Term build'!AA21+'Installment build'!AA21))</x:f>
        <x:v>384665242.7490222</x:v>
      </x:c>
      <x:c r="AB21" s="43" t="n">
        <x:f>IF('Assumptions'!$E$9=2,'Short-Term build'!AB21,IF('Assumptions'!$E$9=3,'Installment build'!AB21,'Short-Term build'!AB21+'Installment build'!AB21))</x:f>
        <x:v>385591283.1878227</x:v>
      </x:c>
      <x:c r="AC21" s="43" t="n">
        <x:f>IF('Assumptions'!$E$9=2,'Short-Term build'!AC21,IF('Assumptions'!$E$9=3,'Installment build'!AC21,'Short-Term build'!AC21+'Installment build'!AC21))</x:f>
        <x:v>386252378.42364126</x:v>
      </x:c>
      <x:c r="AD21" s="43" t="n">
        <x:f>IF('Assumptions'!$E$9=2,'Short-Term build'!AD21,IF('Assumptions'!$E$9=3,'Installment build'!AD21,'Short-Term build'!AD21+'Installment build'!AD21))</x:f>
        <x:v>386604068.73601216</x:v>
      </x:c>
      <x:c r="AE21" s="43" t="n">
        <x:f>IF('Assumptions'!$E$9=2,'Short-Term build'!AE21,IF('Assumptions'!$E$9=3,'Installment build'!AE21,'Short-Term build'!AE21+'Installment build'!AE21))</x:f>
        <x:v>386604068.73601216</x:v>
      </x:c>
      <x:c r="AF21" s="43" t="n">
        <x:f>IF('Assumptions'!$E$9=2,'Short-Term build'!AF21,IF('Assumptions'!$E$9=3,'Installment build'!AF21,'Short-Term build'!AF21+'Installment build'!AF21))</x:f>
        <x:v>386604068.73601216</x:v>
      </x:c>
      <x:c r="AG21" s="43" t="n">
        <x:f>IF('Assumptions'!$E$9=2,'Short-Term build'!AG21,IF('Assumptions'!$E$9=3,'Installment build'!AG21,'Short-Term build'!AG21+'Installment build'!AG21))</x:f>
        <x:v>386604068.73601216</x:v>
      </x:c>
      <x:c r="AH21" s="43" t="n">
        <x:f>IF('Assumptions'!$E$9=2,'Short-Term build'!AH21,IF('Assumptions'!$E$9=3,'Installment build'!AH21,'Short-Term build'!AH21+'Installment build'!AH21))</x:f>
        <x:v>386604068.73601216</x:v>
      </x:c>
      <x:c r="AI21" s="43" t="n">
        <x:f>IF('Assumptions'!$E$9=2,'Short-Term build'!AI21,IF('Assumptions'!$E$9=3,'Installment build'!AI21,'Short-Term build'!AI21+'Installment build'!AI21))</x:f>
        <x:v>386604068.73601216</x:v>
      </x:c>
      <x:c r="AJ21" s="43" t="n">
        <x:f>IF('Assumptions'!$E$9=2,'Short-Term build'!AJ21,IF('Assumptions'!$E$9=3,'Installment build'!AJ21,'Short-Term build'!AJ21+'Installment build'!AJ21))</x:f>
        <x:v>386604068.73601216</x:v>
      </x:c>
      <x:c r="AK21" s="43" t="n">
        <x:f>IF('Assumptions'!$E$9=2,'Short-Term build'!AK21,IF('Assumptions'!$E$9=3,'Installment build'!AK21,'Short-Term build'!AK21+'Installment build'!AK21))</x:f>
        <x:v>386604068.73601216</x:v>
      </x:c>
      <x:c r="AL21" s="43" t="n">
        <x:f>IF('Assumptions'!$E$9=2,'Short-Term build'!AL21,IF('Assumptions'!$E$9=3,'Installment build'!AL21,'Short-Term build'!AL21+'Installment build'!AL21))</x:f>
        <x:v>386604068.73601216</x:v>
      </x:c>
      <x:c r="AM21" s="43" t="n">
        <x:f>IF('Assumptions'!$E$9=2,'Short-Term build'!AM21,IF('Assumptions'!$E$9=3,'Installment build'!AM21,'Short-Term build'!AM21+'Installment build'!AM21))</x:f>
        <x:v>386604068.73601216</x:v>
      </x:c>
      <x:c r="AN21" s="43" t="n">
        <x:f>IF('Assumptions'!$E$9=2,'Short-Term build'!AN21,IF('Assumptions'!$E$9=3,'Installment build'!AN21,'Short-Term build'!AN21+'Installment build'!AN21))</x:f>
        <x:v>386604068.73601216</x:v>
      </x:c>
      <x:c r="AO21" s="43" t="n">
        <x:f>IF('Assumptions'!$E$9=2,'Short-Term build'!AO21,IF('Assumptions'!$E$9=3,'Installment build'!AO21,'Short-Term build'!AO21+'Installment build'!AO21))</x:f>
        <x:v>386604068.73601216</x:v>
      </x:c>
      <x:c r="AP21" s="43" t="n">
        <x:f>IF('Assumptions'!$E$9=2,'Short-Term build'!AP21,IF('Assumptions'!$E$9=3,'Installment build'!AP21,'Short-Term build'!AP21+'Installment build'!AP21))</x:f>
        <x:v>386604068.73601216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0.7291385601575261</x:v>
      </x:c>
      <x:c r="H23" s="12" t="n">
        <x:f>IF(H13-H15=0,0,H24*12/(H13-H15))</x:f>
        <x:v>0.7165433134830637</x:v>
      </x:c>
      <x:c r="I23" s="12" t="n">
        <x:f>IF(I13-I15=0,0,I24*12/(I13-I15))</x:f>
        <x:v>0.7062599677283332</x:v>
      </x:c>
      <x:c r="J23" s="12" t="n">
        <x:f>IF(J13-J15=0,0,J24*12/(J13-J15))</x:f>
        <x:v>0.6972529551696202</x:v>
      </x:c>
      <x:c r="K23" s="12" t="n">
        <x:f>IF(K13-K15=0,0,K24*12/(K13-K15))</x:f>
        <x:v>0.6892966851316525</x:v>
      </x:c>
      <x:c r="L23" s="12" t="n">
        <x:f>IF(L13-L15=0,0,L24*12/(L13-L15))</x:f>
        <x:v>0.6823268233860526</x:v>
      </x:c>
      <x:c r="M23" s="12" t="n">
        <x:f>IF(M13-M15=0,0,M24*12/(M13-M15))</x:f>
        <x:v>0.676322342438026</x:v>
      </x:c>
      <x:c r="N23" s="12" t="n">
        <x:f>IF(N13-N15=0,0,N24*12/(N13-N15))</x:f>
        <x:v>0.6712698543399819</x:v>
      </x:c>
      <x:c r="O23" s="12" t="n">
        <x:f>IF(O13-O15=0,0,O24*12/(O13-O15))</x:f>
        <x:v>0.6671482345883342</x:v>
      </x:c>
      <x:c r="P23" s="12" t="n">
        <x:f>IF(P13-P15=0,0,P24*12/(P13-P15))</x:f>
        <x:v>0.6639212769703773</x:v>
      </x:c>
      <x:c r="Q23" s="12" t="n">
        <x:f>IF(Q13-Q15=0,0,Q24*12/(Q13-Q15))</x:f>
        <x:v>0.6615369299547853</x:v>
      </x:c>
      <x:c r="R23" s="12" t="n">
        <x:f>IF(R13-R15=0,0,R24*12/(R13-R15))</x:f>
        <x:v>0.6599329522042626</x:v>
      </x:c>
      <x:c r="S23" s="12" t="n">
        <x:f>IF(S13-S15=0,0,S24*12/(S13-S15))</x:f>
        <x:v>0.6590460407596347</x:v>
      </x:c>
      <x:c r="T23" s="12" t="n">
        <x:f>IF(T13-T15=0,0,T24*12/(T13-T15))</x:f>
        <x:v>0.6588194941369617</x:v>
      </x:c>
      <x:c r="U23" s="12" t="n">
        <x:f>IF(U13-U15=0,0,U24*12/(U13-U15))</x:f>
        <x:v>0.6585154531619296</x:v>
      </x:c>
      <x:c r="V23" s="12" t="n">
        <x:f>IF(V13-V15=0,0,V24*12/(V13-V15))</x:f>
        <x:v>0.6581566386748707</x:v>
      </x:c>
      <x:c r="W23" s="12" t="n">
        <x:f>IF(W13-W15=0,0,W24*12/(W13-W15))</x:f>
        <x:v>0.6577634802918092</x:v>
      </x:c>
      <x:c r="X23" s="12" t="n">
        <x:f>IF(X13-X15=0,0,X24*12/(X13-X15))</x:f>
        <x:v>0.6573546418057681</x:v>
      </x:c>
      <x:c r="Y23" s="12" t="n">
        <x:f>IF(Y13-Y15=0,0,Y24*12/(Y13-Y15))</x:f>
        <x:v>0.6569474539075445</x:v>
      </x:c>
      <x:c r="Z23" s="12" t="n">
        <x:f>IF(Z13-Z15=0,0,Z24*12/(Z13-Z15))</x:f>
        <x:v>0.6565581730939926</x:v>
      </x:c>
      <x:c r="AA23" s="12" t="n">
        <x:f>IF(AA13-AA15=0,0,AA24*12/(AA13-AA15))</x:f>
        <x:v>0.6562020160461166</x:v>
      </x:c>
      <x:c r="AB23" s="12" t="n">
        <x:f>IF(AB13-AB15=0,0,AB24*12/(AB13-AB15))</x:f>
        <x:v>0.6558930538964213</x:v>
      </x:c>
      <x:c r="AC23" s="12" t="n">
        <x:f>IF(AC13-AC15=0,0,AC24*12/(AC13-AC15))</x:f>
        <x:v>0.6556441677737243</x:v>
      </x:c>
      <x:c r="AD23" s="12" t="n">
        <x:f>IF(AD13-AD15=0,0,AD24*12/(AD13-AD15))</x:f>
        <x:v>0.6554672041410332</x:v>
      </x:c>
      <x:c r="AE23" s="12" t="n">
        <x:f>IF(AE13-AE15=0,0,AE24*12/(AE13-AE15))</x:f>
        <x:v>0.6553733042383302</x:v>
      </x:c>
      <x:c r="AF23" s="12" t="n">
        <x:f>IF(AF13-AF15=0,0,AF24*12/(AF13-AF15))</x:f>
        <x:v>0.6553733042383302</x:v>
      </x:c>
      <x:c r="AG23" s="12" t="n">
        <x:f>IF(AG13-AG15=0,0,AG24*12/(AG13-AG15))</x:f>
        <x:v>0.6553733042383302</x:v>
      </x:c>
      <x:c r="AH23" s="12" t="n">
        <x:f>IF(AH13-AH15=0,0,AH24*12/(AH13-AH15))</x:f>
        <x:v>0.6553733042383302</x:v>
      </x:c>
      <x:c r="AI23" s="12" t="n">
        <x:f>IF(AI13-AI15=0,0,AI24*12/(AI13-AI15))</x:f>
        <x:v>0.6553733042383302</x:v>
      </x:c>
      <x:c r="AJ23" s="12" t="n">
        <x:f>IF(AJ13-AJ15=0,0,AJ24*12/(AJ13-AJ15))</x:f>
        <x:v>0.6553733042383302</x:v>
      </x:c>
      <x:c r="AK23" s="12" t="n">
        <x:f>IF(AK13-AK15=0,0,AK24*12/(AK13-AK15))</x:f>
        <x:v>0.6553733042383302</x:v>
      </x:c>
      <x:c r="AL23" s="12" t="n">
        <x:f>IF(AL13-AL15=0,0,AL24*12/(AL13-AL15))</x:f>
        <x:v>0.6553733042383302</x:v>
      </x:c>
      <x:c r="AM23" s="12" t="n">
        <x:f>IF(AM13-AM15=0,0,AM24*12/(AM13-AM15))</x:f>
        <x:v>0.6553733042383302</x:v>
      </x:c>
      <x:c r="AN23" s="12" t="n">
        <x:f>IF(AN13-AN15=0,0,AN24*12/(AN13-AN15))</x:f>
        <x:v>0.6553733042383302</x:v>
      </x:c>
      <x:c r="AO23" s="12" t="n">
        <x:f>IF(AO13-AO15=0,0,AO24*12/(AO13-AO15))</x:f>
        <x:v>0.6553733042383302</x:v>
      </x:c>
      <x:c r="AP23" s="12" t="n">
        <x:f>IF(AP13-AP15=0,0,AP24*12/(AP13-AP15))</x:f>
        <x:v>0.6553733042383302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565073851.394411</x:v>
      </x:c>
      <x:c r="F24" s="42"/>
      <x:c r="G24" s="43" t="n">
        <x:f>IF('Assumptions'!$E$9=2,'Short-Term build'!G24,IF('Assumptions'!$E$9=3,'Installment build'!G24,'Short-Term build'!G24+'Installment build'!G24))</x:f>
        <x:v>38603679.864797324</x:v>
      </x:c>
      <x:c r="H24" s="43" t="n">
        <x:f>IF('Assumptions'!$E$9=2,'Short-Term build'!H24,IF('Assumptions'!$E$9=3,'Installment build'!H24,'Short-Term build'!H24+'Installment build'!H24))</x:f>
        <x:v>33118516.67950076</x:v>
      </x:c>
      <x:c r="I24" s="43" t="n">
        <x:f>IF('Assumptions'!$E$9=2,'Short-Term build'!I24,IF('Assumptions'!$E$9=3,'Installment build'!I24,'Short-Term build'!I24+'Installment build'!I24))</x:f>
        <x:v>29763171.128818367</x:v>
      </x:c>
      <x:c r="J24" s="43" t="n">
        <x:f>IF('Assumptions'!$E$9=2,'Short-Term build'!J24,IF('Assumptions'!$E$9=3,'Installment build'!J24,'Short-Term build'!J24+'Installment build'!J24))</x:f>
        <x:v>27383173.554389875</x:v>
      </x:c>
      <x:c r="K24" s="43" t="n">
        <x:f>IF('Assumptions'!$E$9=2,'Short-Term build'!K24,IF('Assumptions'!$E$9=3,'Installment build'!K24,'Short-Term build'!K24+'Installment build'!K24))</x:f>
        <x:v>25606988.55316971</x:v>
      </x:c>
      <x:c r="L24" s="43" t="n">
        <x:f>IF('Assumptions'!$E$9=2,'Short-Term build'!L24,IF('Assumptions'!$E$9=3,'Installment build'!L24,'Short-Term build'!L24+'Installment build'!L24))</x:f>
        <x:v>24254070.50687591</x:v>
      </x:c>
      <x:c r="M24" s="43" t="n">
        <x:f>IF('Assumptions'!$E$9=2,'Short-Term build'!M24,IF('Assumptions'!$E$9=3,'Installment build'!M24,'Short-Term build'!M24+'Installment build'!M24))</x:f>
        <x:v>23219303.29986026</x:v>
      </x:c>
      <x:c r="N24" s="43" t="n">
        <x:f>IF('Assumptions'!$E$9=2,'Short-Term build'!N24,IF('Assumptions'!$E$9=3,'Installment build'!N24,'Short-Term build'!N24+'Installment build'!N24))</x:f>
        <x:v>22434870.533178546</x:v>
      </x:c>
      <x:c r="O24" s="43" t="n">
        <x:f>IF('Assumptions'!$E$9=2,'Short-Term build'!O24,IF('Assumptions'!$E$9=3,'Installment build'!O24,'Short-Term build'!O24+'Installment build'!O24))</x:f>
        <x:v>21853615.078627918</x:v>
      </x:c>
      <x:c r="P24" s="43" t="n">
        <x:f>IF('Assumptions'!$E$9=2,'Short-Term build'!P24,IF('Assumptions'!$E$9=3,'Installment build'!P24,'Short-Term build'!P24+'Installment build'!P24))</x:f>
        <x:v>21440554.53583291</x:v>
      </x:c>
      <x:c r="Q24" s="43" t="n">
        <x:f>IF('Assumptions'!$E$9=2,'Short-Term build'!Q24,IF('Assumptions'!$E$9=3,'Installment build'!Q24,'Short-Term build'!Q24+'Installment build'!Q24))</x:f>
        <x:v>21168383.319727663</x:v>
      </x:c>
      <x:c r="R24" s="43" t="n">
        <x:f>IF('Assumptions'!$E$9=2,'Short-Term build'!R24,IF('Assumptions'!$E$9=3,'Installment build'!R24,'Short-Term build'!R24+'Installment build'!R24))</x:f>
        <x:v>21015243.04910966</x:v>
      </x:c>
      <x:c r="S24" s="43" t="n">
        <x:f>IF('Assumptions'!$E$9=2,'Short-Term build'!S24,IF('Assumptions'!$E$9=3,'Installment build'!S24,'Short-Term build'!S24+'Installment build'!S24))</x:f>
        <x:v>20963698.381247655</x:v>
      </x:c>
      <x:c r="T24" s="43" t="n">
        <x:f>IF('Assumptions'!$E$9=2,'Short-Term build'!T24,IF('Assumptions'!$E$9=3,'Installment build'!T24,'Short-Term build'!T24+'Installment build'!T24))</x:f>
        <x:v>21000120.543625113</x:v>
      </x:c>
      <x:c r="U24" s="43" t="n">
        <x:f>IF('Assumptions'!$E$9=2,'Short-Term build'!U24,IF('Assumptions'!$E$9=3,'Installment build'!U24,'Short-Term build'!U24+'Installment build'!U24))</x:f>
        <x:v>21049240.566925116</x:v>
      </x:c>
      <x:c r="V24" s="43" t="n">
        <x:f>IF('Assumptions'!$E$9=2,'Short-Term build'!V24,IF('Assumptions'!$E$9=3,'Installment build'!V24,'Short-Term build'!V24+'Installment build'!V24))</x:f>
        <x:v>21107564.921003103</x:v>
      </x:c>
      <x:c r="W24" s="43" t="n">
        <x:f>IF('Assumptions'!$E$9=2,'Short-Term build'!W24,IF('Assumptions'!$E$9=3,'Installment build'!W24,'Short-Term build'!W24+'Installment build'!W24))</x:f>
        <x:v>21171917.727015268</x:v>
      </x:c>
      <x:c r="X24" s="43" t="n">
        <x:f>IF('Assumptions'!$E$9=2,'Short-Term build'!X24,IF('Assumptions'!$E$9=3,'Installment build'!X24,'Short-Term build'!X24+'Installment build'!X24))</x:f>
        <x:v>21239337.001397517</x:v>
      </x:c>
      <x:c r="Y24" s="43" t="n">
        <x:f>IF('Assumptions'!$E$9=2,'Short-Term build'!Y24,IF('Assumptions'!$E$9=3,'Installment build'!Y24,'Short-Term build'!Y24+'Installment build'!Y24))</x:f>
        <x:v>21306996.429677527</x:v>
      </x:c>
      <x:c r="Z24" s="43" t="n">
        <x:f>IF('Assumptions'!$E$9=2,'Short-Term build'!Z24,IF('Assumptions'!$E$9=3,'Installment build'!Z24,'Short-Term build'!Z24+'Installment build'!Z24))</x:f>
        <x:v>21372163.848850064</x:v>
      </x:c>
      <x:c r="AA24" s="43" t="n">
        <x:f>IF('Assumptions'!$E$9=2,'Short-Term build'!AA24,IF('Assumptions'!$E$9=3,'Installment build'!AA24,'Short-Term build'!AA24+'Installment build'!AA24))</x:f>
        <x:v>21432204.68812227</x:v>
      </x:c>
      <x:c r="AB24" s="43" t="n">
        <x:f>IF('Assumptions'!$E$9=2,'Short-Term build'!AB24,IF('Assumptions'!$E$9=3,'Installment build'!AB24,'Short-Term build'!AB24+'Installment build'!AB24))</x:f>
        <x:v>21484616.573478453</x:v>
      </x:c>
      <x:c r="AC24" s="43" t="n">
        <x:f>IF('Assumptions'!$E$9=2,'Short-Term build'!AC24,IF('Assumptions'!$E$9=3,'Installment build'!AC24,'Short-Term build'!AC24+'Installment build'!AC24))</x:f>
        <x:v>21527060.19381898</x:v>
      </x:c>
      <x:c r="AD24" s="43" t="n">
        <x:f>IF('Assumptions'!$E$9=2,'Short-Term build'!AD24,IF('Assumptions'!$E$9=3,'Installment build'!AD24,'Short-Term build'!AD24+'Installment build'!AD24))</x:f>
        <x:v>21557360.41536105</x:v>
      </x:c>
      <x:c r="AE24" s="43" t="n">
        <x:f>IF('Assumptions'!$E$9=2,'Short-Term build'!AE24,IF('Assumptions'!$E$9=3,'Installment build'!AE24,'Short-Term build'!AE24+'Installment build'!AE24))</x:f>
        <x:v>21573479.55467805</x:v>
      </x:c>
      <x:c r="AF24" s="43" t="n">
        <x:f>IF('Assumptions'!$E$9=2,'Short-Term build'!AF24,IF('Assumptions'!$E$9=3,'Installment build'!AF24,'Short-Term build'!AF24+'Installment build'!AF24))</x:f>
        <x:v>21573479.55467805</x:v>
      </x:c>
      <x:c r="AG24" s="43" t="n">
        <x:f>IF('Assumptions'!$E$9=2,'Short-Term build'!AG24,IF('Assumptions'!$E$9=3,'Installment build'!AG24,'Short-Term build'!AG24+'Installment build'!AG24))</x:f>
        <x:v>21573479.55467805</x:v>
      </x:c>
      <x:c r="AH24" s="43" t="n">
        <x:f>IF('Assumptions'!$E$9=2,'Short-Term build'!AH24,IF('Assumptions'!$E$9=3,'Installment build'!AH24,'Short-Term build'!AH24+'Installment build'!AH24))</x:f>
        <x:v>21573479.55467805</x:v>
      </x:c>
      <x:c r="AI24" s="43" t="n">
        <x:f>IF('Assumptions'!$E$9=2,'Short-Term build'!AI24,IF('Assumptions'!$E$9=3,'Installment build'!AI24,'Short-Term build'!AI24+'Installment build'!AI24))</x:f>
        <x:v>21573479.55467805</x:v>
      </x:c>
      <x:c r="AJ24" s="43" t="n">
        <x:f>IF('Assumptions'!$E$9=2,'Short-Term build'!AJ24,IF('Assumptions'!$E$9=3,'Installment build'!AJ24,'Short-Term build'!AJ24+'Installment build'!AJ24))</x:f>
        <x:v>21573479.55467805</x:v>
      </x:c>
      <x:c r="AK24" s="43" t="n">
        <x:f>IF('Assumptions'!$E$9=2,'Short-Term build'!AK24,IF('Assumptions'!$E$9=3,'Installment build'!AK24,'Short-Term build'!AK24+'Installment build'!AK24))</x:f>
        <x:v>21573479.55467805</x:v>
      </x:c>
      <x:c r="AL24" s="43" t="n">
        <x:f>IF('Assumptions'!$E$9=2,'Short-Term build'!AL24,IF('Assumptions'!$E$9=3,'Installment build'!AL24,'Short-Term build'!AL24+'Installment build'!AL24))</x:f>
        <x:v>21573479.55467805</x:v>
      </x:c>
      <x:c r="AM24" s="43" t="n">
        <x:f>IF('Assumptions'!$E$9=2,'Short-Term build'!AM24,IF('Assumptions'!$E$9=3,'Installment build'!AM24,'Short-Term build'!AM24+'Installment build'!AM24))</x:f>
        <x:v>21573479.55467805</x:v>
      </x:c>
      <x:c r="AN24" s="43" t="n">
        <x:f>IF('Assumptions'!$E$9=2,'Short-Term build'!AN24,IF('Assumptions'!$E$9=3,'Installment build'!AN24,'Short-Term build'!AN24+'Installment build'!AN24))</x:f>
        <x:v>21573479.55467805</x:v>
      </x:c>
      <x:c r="AO24" s="43" t="n">
        <x:f>IF('Assumptions'!$E$9=2,'Short-Term build'!AO24,IF('Assumptions'!$E$9=3,'Installment build'!AO24,'Short-Term build'!AO24+'Installment build'!AO24))</x:f>
        <x:v>21573479.55467805</x:v>
      </x:c>
      <x:c r="AP24" s="43" t="n">
        <x:f>IF('Assumptions'!$E$9=2,'Short-Term build'!AP24,IF('Assumptions'!$E$9=3,'Installment build'!AP24,'Short-Term build'!AP24+'Installment build'!AP24))</x:f>
        <x:v>21573479.55467805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506060719.0144883</x:v>
      </x:c>
      <x:c r="F25" s="46"/>
      <x:c r="G25" s="47" t="n">
        <x:f>IF('Assumptions'!$E$9=2,'Short-Term build'!G25,IF('Assumptions'!$E$9=3,'Installment build'!G25,'Short-Term build'!G25+'Installment build'!G25))</x:f>
        <x:v>36144799.3489672</x:v>
      </x:c>
      <x:c r="H25" s="47" t="n">
        <x:f>IF('Assumptions'!$E$9=2,'Short-Term build'!H25,IF('Assumptions'!$E$9=3,'Installment build'!H25,'Short-Term build'!H25+'Installment build'!H25))</x:f>
        <x:v>30659636.163670637</x:v>
      </x:c>
      <x:c r="I25" s="47" t="n">
        <x:f>IF('Assumptions'!$E$9=2,'Short-Term build'!I25,IF('Assumptions'!$E$9=3,'Installment build'!I25,'Short-Term build'!I25+'Installment build'!I25))</x:f>
        <x:v>27304290.612988245</x:v>
      </x:c>
      <x:c r="J25" s="47" t="n">
        <x:f>IF('Assumptions'!$E$9=2,'Short-Term build'!J25,IF('Assumptions'!$E$9=3,'Installment build'!J25,'Short-Term build'!J25+'Installment build'!J25))</x:f>
        <x:v>24924293.038559753</x:v>
      </x:c>
      <x:c r="K25" s="47" t="n">
        <x:f>IF('Assumptions'!$E$9=2,'Short-Term build'!K25,IF('Assumptions'!$E$9=3,'Installment build'!K25,'Short-Term build'!K25+'Installment build'!K25))</x:f>
        <x:v>23148108.037339587</x:v>
      </x:c>
      <x:c r="L25" s="47" t="n">
        <x:f>IF('Assumptions'!$E$9=2,'Short-Term build'!L25,IF('Assumptions'!$E$9=3,'Installment build'!L25,'Short-Term build'!L25+'Installment build'!L25))</x:f>
        <x:v>21795189.991045788</x:v>
      </x:c>
      <x:c r="M25" s="47" t="n">
        <x:f>IF('Assumptions'!$E$9=2,'Short-Term build'!M25,IF('Assumptions'!$E$9=3,'Installment build'!M25,'Short-Term build'!M25+'Installment build'!M25))</x:f>
        <x:v>20760422.78403014</x:v>
      </x:c>
      <x:c r="N25" s="47" t="n">
        <x:f>IF('Assumptions'!$E$9=2,'Short-Term build'!N25,IF('Assumptions'!$E$9=3,'Installment build'!N25,'Short-Term build'!N25+'Installment build'!N25))</x:f>
        <x:v>19975990.017348424</x:v>
      </x:c>
      <x:c r="O25" s="47" t="n">
        <x:f>IF('Assumptions'!$E$9=2,'Short-Term build'!O25,IF('Assumptions'!$E$9=3,'Installment build'!O25,'Short-Term build'!O25+'Installment build'!O25))</x:f>
        <x:v>19394734.562797796</x:v>
      </x:c>
      <x:c r="P25" s="47" t="n">
        <x:f>IF('Assumptions'!$E$9=2,'Short-Term build'!P25,IF('Assumptions'!$E$9=3,'Installment build'!P25,'Short-Term build'!P25+'Installment build'!P25))</x:f>
        <x:v>18981674.02000279</x:v>
      </x:c>
      <x:c r="Q25" s="47" t="n">
        <x:f>IF('Assumptions'!$E$9=2,'Short-Term build'!Q25,IF('Assumptions'!$E$9=3,'Installment build'!Q25,'Short-Term build'!Q25+'Installment build'!Q25))</x:f>
        <x:v>18709502.80389754</x:v>
      </x:c>
      <x:c r="R25" s="47" t="n">
        <x:f>IF('Assumptions'!$E$9=2,'Short-Term build'!R25,IF('Assumptions'!$E$9=3,'Installment build'!R25,'Short-Term build'!R25+'Installment build'!R25))</x:f>
        <x:v>18556362.53327954</x:v>
      </x:c>
      <x:c r="S25" s="47" t="n">
        <x:f>IF('Assumptions'!$E$9=2,'Short-Term build'!S25,IF('Assumptions'!$E$9=3,'Installment build'!S25,'Short-Term build'!S25+'Installment build'!S25))</x:f>
        <x:v>18504817.865417533</x:v>
      </x:c>
      <x:c r="T25" s="47" t="n">
        <x:f>IF('Assumptions'!$E$9=2,'Short-Term build'!T25,IF('Assumptions'!$E$9=3,'Installment build'!T25,'Short-Term build'!T25+'Installment build'!T25))</x:f>
        <x:v>18541240.02779499</x:v>
      </x:c>
      <x:c r="U25" s="47" t="n">
        <x:f>IF('Assumptions'!$E$9=2,'Short-Term build'!U25,IF('Assumptions'!$E$9=3,'Installment build'!U25,'Short-Term build'!U25+'Installment build'!U25))</x:f>
        <x:v>18590360.051094994</x:v>
      </x:c>
      <x:c r="V25" s="47" t="n">
        <x:f>IF('Assumptions'!$E$9=2,'Short-Term build'!V25,IF('Assumptions'!$E$9=3,'Installment build'!V25,'Short-Term build'!V25+'Installment build'!V25))</x:f>
        <x:v>18648684.40517298</x:v>
      </x:c>
      <x:c r="W25" s="47" t="n">
        <x:f>IF('Assumptions'!$E$9=2,'Short-Term build'!W25,IF('Assumptions'!$E$9=3,'Installment build'!W25,'Short-Term build'!W25+'Installment build'!W25))</x:f>
        <x:v>18713037.211185146</x:v>
      </x:c>
      <x:c r="X25" s="47" t="n">
        <x:f>IF('Assumptions'!$E$9=2,'Short-Term build'!X25,IF('Assumptions'!$E$9=3,'Installment build'!X25,'Short-Term build'!X25+'Installment build'!X25))</x:f>
        <x:v>18780456.485567395</x:v>
      </x:c>
      <x:c r="Y25" s="47" t="n">
        <x:f>IF('Assumptions'!$E$9=2,'Short-Term build'!Y25,IF('Assumptions'!$E$9=3,'Installment build'!Y25,'Short-Term build'!Y25+'Installment build'!Y25))</x:f>
        <x:v>18848115.913847405</x:v>
      </x:c>
      <x:c r="Z25" s="47" t="n">
        <x:f>IF('Assumptions'!$E$9=2,'Short-Term build'!Z25,IF('Assumptions'!$E$9=3,'Installment build'!Z25,'Short-Term build'!Z25+'Installment build'!Z25))</x:f>
        <x:v>18913283.333019942</x:v>
      </x:c>
      <x:c r="AA25" s="47" t="n">
        <x:f>IF('Assumptions'!$E$9=2,'Short-Term build'!AA25,IF('Assumptions'!$E$9=3,'Installment build'!AA25,'Short-Term build'!AA25+'Installment build'!AA25))</x:f>
        <x:v>18973324.172292147</x:v>
      </x:c>
      <x:c r="AB25" s="47" t="n">
        <x:f>IF('Assumptions'!$E$9=2,'Short-Term build'!AB25,IF('Assumptions'!$E$9=3,'Installment build'!AB25,'Short-Term build'!AB25+'Installment build'!AB25))</x:f>
        <x:v>19025736.05764833</x:v>
      </x:c>
      <x:c r="AC25" s="47" t="n">
        <x:f>IF('Assumptions'!$E$9=2,'Short-Term build'!AC25,IF('Assumptions'!$E$9=3,'Installment build'!AC25,'Short-Term build'!AC25+'Installment build'!AC25))</x:f>
        <x:v>19068179.677988857</x:v>
      </x:c>
      <x:c r="AD25" s="47" t="n">
        <x:f>IF('Assumptions'!$E$9=2,'Short-Term build'!AD25,IF('Assumptions'!$E$9=3,'Installment build'!AD25,'Short-Term build'!AD25+'Installment build'!AD25))</x:f>
        <x:v>19098479.89953093</x:v>
      </x:c>
      <x:c r="AE25" s="47" t="n">
        <x:f>IF('Assumptions'!$E$9=2,'Short-Term build'!AE25,IF('Assumptions'!$E$9=3,'Installment build'!AE25,'Short-Term build'!AE25+'Installment build'!AE25))</x:f>
        <x:v>19114599.038847927</x:v>
      </x:c>
      <x:c r="AF25" s="47" t="n">
        <x:f>IF('Assumptions'!$E$9=2,'Short-Term build'!AF25,IF('Assumptions'!$E$9=3,'Installment build'!AF25,'Short-Term build'!AF25+'Installment build'!AF25))</x:f>
        <x:v>19114599.038847927</x:v>
      </x:c>
      <x:c r="AG25" s="47" t="n">
        <x:f>IF('Assumptions'!$E$9=2,'Short-Term build'!AG25,IF('Assumptions'!$E$9=3,'Installment build'!AG25,'Short-Term build'!AG25+'Installment build'!AG25))</x:f>
        <x:v>19114599.038847927</x:v>
      </x:c>
      <x:c r="AH25" s="47" t="n">
        <x:f>IF('Assumptions'!$E$9=2,'Short-Term build'!AH25,IF('Assumptions'!$E$9=3,'Installment build'!AH25,'Short-Term build'!AH25+'Installment build'!AH25))</x:f>
        <x:v>19114599.038847927</x:v>
      </x:c>
      <x:c r="AI25" s="47" t="n">
        <x:f>IF('Assumptions'!$E$9=2,'Short-Term build'!AI25,IF('Assumptions'!$E$9=3,'Installment build'!AI25,'Short-Term build'!AI25+'Installment build'!AI25))</x:f>
        <x:v>19114599.038847927</x:v>
      </x:c>
      <x:c r="AJ25" s="47" t="n">
        <x:f>IF('Assumptions'!$E$9=2,'Short-Term build'!AJ25,IF('Assumptions'!$E$9=3,'Installment build'!AJ25,'Short-Term build'!AJ25+'Installment build'!AJ25))</x:f>
        <x:v>19114599.038847927</x:v>
      </x:c>
      <x:c r="AK25" s="47" t="n">
        <x:f>IF('Assumptions'!$E$9=2,'Short-Term build'!AK25,IF('Assumptions'!$E$9=3,'Installment build'!AK25,'Short-Term build'!AK25+'Installment build'!AK25))</x:f>
        <x:v>19114599.038847927</x:v>
      </x:c>
      <x:c r="AL25" s="47" t="n">
        <x:f>IF('Assumptions'!$E$9=2,'Short-Term build'!AL25,IF('Assumptions'!$E$9=3,'Installment build'!AL25,'Short-Term build'!AL25+'Installment build'!AL25))</x:f>
        <x:v>19114599.038847927</x:v>
      </x:c>
      <x:c r="AM25" s="47" t="n">
        <x:f>IF('Assumptions'!$E$9=2,'Short-Term build'!AM25,IF('Assumptions'!$E$9=3,'Installment build'!AM25,'Short-Term build'!AM25+'Installment build'!AM25))</x:f>
        <x:v>19114599.038847927</x:v>
      </x:c>
      <x:c r="AN25" s="47" t="n">
        <x:f>IF('Assumptions'!$E$9=2,'Short-Term build'!AN25,IF('Assumptions'!$E$9=3,'Installment build'!AN25,'Short-Term build'!AN25+'Installment build'!AN25))</x:f>
        <x:v>19114599.038847927</x:v>
      </x:c>
      <x:c r="AO25" s="47" t="n">
        <x:f>IF('Assumptions'!$E$9=2,'Short-Term build'!AO25,IF('Assumptions'!$E$9=3,'Installment build'!AO25,'Short-Term build'!AO25+'Installment build'!AO25))</x:f>
        <x:v>19114599.038847927</x:v>
      </x:c>
      <x:c r="AP25" s="47" t="n">
        <x:f>IF('Assumptions'!$E$9=2,'Short-Term build'!AP25,IF('Assumptions'!$E$9=3,'Installment build'!AP25,'Short-Term build'!AP25+'Installment build'!AP25))</x:f>
        <x:v>19114599.038847927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13697766.9956282</x:v>
      </x:c>
      <x:c r="F27" s="2"/>
      <x:c r="G27" s="35" t="n">
        <x:f>IF('Assumptions'!$E$9=2,'Short-Term build'!G27,IF('Assumptions'!$E$9=3,'Installment build'!G27,'Short-Term build'!G27+'Installment build'!G27))</x:f>
        <x:v>3669236.149728842</x:v>
      </x:c>
      <x:c r="H27" s="35" t="n">
        <x:f>IF('Assumptions'!$E$9=2,'Short-Term build'!H27,IF('Assumptions'!$E$9=3,'Installment build'!H27,'Short-Term build'!H27+'Installment build'!H27))</x:f>
        <x:v>2971463.1448627347</x:v>
      </x:c>
      <x:c r="I27" s="35" t="n">
        <x:f>IF('Assumptions'!$E$9=2,'Short-Term build'!I27,IF('Assumptions'!$E$9=3,'Installment build'!I27,'Short-Term build'!I27+'Installment build'!I27))</x:f>
        <x:v>2298283.0486181</x:v>
      </x:c>
      <x:c r="J27" s="35" t="n">
        <x:f>IF('Assumptions'!$E$9=2,'Short-Term build'!J27,IF('Assumptions'!$E$9=3,'Installment build'!J27,'Short-Term build'!J27+'Installment build'!J27))</x:f>
        <x:v>1686442.3180097784</x:v>
      </x:c>
      <x:c r="K27" s="35" t="n">
        <x:f>IF('Assumptions'!$E$9=2,'Short-Term build'!K27,IF('Assumptions'!$E$9=3,'Installment build'!K27,'Short-Term build'!K27+'Installment build'!K27))</x:f>
        <x:v>1173524.795811609</x:v>
      </x:c>
      <x:c r="L27" s="35" t="n">
        <x:f>IF('Assumptions'!$E$9=2,'Short-Term build'!L27,IF('Assumptions'!$E$9=3,'Installment build'!L27,'Short-Term build'!L27+'Installment build'!L27))</x:f>
        <x:v>774865.1348639618</x:v>
      </x:c>
      <x:c r="M27" s="35" t="n">
        <x:f>IF('Assumptions'!$E$9=2,'Short-Term build'!M27,IF('Assumptions'!$E$9=3,'Installment build'!M27,'Short-Term build'!M27+'Installment build'!M27))</x:f>
        <x:v>485228.0399210324</x:v>
      </x:c>
      <x:c r="N27" s="35" t="n">
        <x:f>IF('Assumptions'!$E$9=2,'Short-Term build'!N27,IF('Assumptions'!$E$9=3,'Installment build'!N27,'Short-Term build'!N27+'Installment build'!N27))</x:f>
        <x:v>288414.8763996072</x:v>
      </x:c>
      <x:c r="O27" s="35" t="n">
        <x:f>IF('Assumptions'!$E$9=2,'Short-Term build'!O27,IF('Assumptions'!$E$9=3,'Installment build'!O27,'Short-Term build'!O27+'Installment build'!O27))</x:f>
        <x:v>163451.74250020765</x:v>
      </x:c>
      <x:c r="P27" s="35" t="n">
        <x:f>IF('Assumptions'!$E$9=2,'Short-Term build'!P27,IF('Assumptions'!$E$9=3,'Installment build'!P27,'Short-Term build'!P27+'Installment build'!P27))</x:f>
        <x:v>88978.15010372666</x:v>
      </x:c>
      <x:c r="Q27" s="35" t="n">
        <x:f>IF('Assumptions'!$E$9=2,'Short-Term build'!Q27,IF('Assumptions'!$E$9=3,'Installment build'!Q27,'Short-Term build'!Q27+'Installment build'!Q27))</x:f>
        <x:v>46948.09648649822</x:v>
      </x:c>
      <x:c r="R27" s="35" t="n">
        <x:f>IF('Assumptions'!$E$9=2,'Short-Term build'!R27,IF('Assumptions'!$E$9=3,'Installment build'!R27,'Short-Term build'!R27+'Installment build'!R27))</x:f>
        <x:v>24294.02788359259</x:v>
      </x:c>
      <x:c r="S27" s="35" t="n">
        <x:f>IF('Assumptions'!$E$9=2,'Short-Term build'!S27,IF('Assumptions'!$E$9=3,'Installment build'!S27,'Short-Term build'!S27+'Installment build'!S27))</x:f>
        <x:v>12575.777136846149</x:v>
      </x:c>
      <x:c r="T27" s="35" t="n">
        <x:f>IF('Assumptions'!$E$9=2,'Short-Term build'!T27,IF('Assumptions'!$E$9=3,'Installment build'!T27,'Short-Term build'!T27+'Installment build'!T27))</x:f>
        <x:v>6760.873536352107</x:v>
      </x:c>
      <x:c r="U27" s="35" t="n">
        <x:f>IF('Assumptions'!$E$9=2,'Short-Term build'!U27,IF('Assumptions'!$E$9=3,'Installment build'!U27,'Short-Term build'!U27+'Installment build'!U27))</x:f>
        <x:v>3581.875404981018</x:v>
      </x:c>
      <x:c r="V27" s="35" t="n">
        <x:f>IF('Assumptions'!$E$9=2,'Short-Term build'!V27,IF('Assumptions'!$E$9=3,'Installment build'!V27,'Short-Term build'!V27+'Installment build'!V27))</x:f>
        <x:v>1868.1530473591781</x:v>
      </x:c>
      <x:c r="W27" s="35" t="n">
        <x:f>IF('Assumptions'!$E$9=2,'Short-Term build'!W27,IF('Assumptions'!$E$9=3,'Installment build'!W27,'Short-Term build'!W27+'Installment build'!W27))</x:f>
        <x:v>956.6676534226106</x:v>
      </x:c>
      <x:c r="X27" s="35" t="n">
        <x:f>IF('Assumptions'!$E$9=2,'Short-Term build'!X27,IF('Assumptions'!$E$9=3,'Installment build'!X27,'Short-Term build'!X27+'Installment build'!X27))</x:f>
        <x:v>478.84216923520387</x:v>
      </x:c>
      <x:c r="Y27" s="35" t="n">
        <x:f>IF('Assumptions'!$E$9=2,'Short-Term build'!Y27,IF('Assumptions'!$E$9=3,'Installment build'!Y27,'Short-Term build'!Y27+'Installment build'!Y27))</x:f>
        <x:v>232.59315892729927</x:v>
      </x:c>
      <x:c r="Z27" s="35" t="n">
        <x:f>IF('Assumptions'!$E$9=2,'Short-Term build'!Z27,IF('Assumptions'!$E$9=3,'Installment build'!Z27,'Short-Term build'!Z27+'Installment build'!Z27))</x:f>
        <x:v>108.39608949909581</x:v>
      </x:c>
      <x:c r="AA27" s="35" t="n">
        <x:f>IF('Assumptions'!$E$9=2,'Short-Term build'!AA27,IF('Assumptions'!$E$9=3,'Installment build'!AA27,'Short-Term build'!AA27+'Installment build'!AA27))</x:f>
        <x:v>47.545642136265926</x:v>
      </x:c>
      <x:c r="AB27" s="35" t="n">
        <x:f>IF('Assumptions'!$E$9=2,'Short-Term build'!AB27,IF('Assumptions'!$E$9=3,'Installment build'!AB27,'Short-Term build'!AB27+'Installment build'!AB27))</x:f>
        <x:v>18.947671073719178</x:v>
      </x:c>
      <x:c r="AC27" s="35" t="n">
        <x:f>IF('Assumptions'!$E$9=2,'Short-Term build'!AC27,IF('Assumptions'!$E$9=3,'Installment build'!AC27,'Short-Term build'!AC27+'Installment build'!AC27))</x:f>
        <x:v>6.3592829530681385</x:v>
      </x:c>
      <x:c r="AD27" s="35" t="n">
        <x:f>IF('Assumptions'!$E$9=2,'Short-Term build'!AD27,IF('Assumptions'!$E$9=3,'Installment build'!AD27,'Short-Term build'!AD27+'Installment build'!AD27))</x:f>
        <x:v>1.4396457243711742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48144131.004746124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305432.4967930092</x:v>
      </x:c>
      <x:c r="I28" s="35" t="n">
        <x:f>IF('Assumptions'!$E$9=2,'Short-Term build'!I28,IF('Assumptions'!$E$9=3,'Installment build'!I28,'Short-Term build'!I28+'Installment build'!I28))</x:f>
        <x:v>662698.416036936</x:v>
      </x:c>
      <x:c r="J28" s="35" t="n">
        <x:f>IF('Assumptions'!$E$9=2,'Short-Term build'!J28,IF('Assumptions'!$E$9=3,'Installment build'!J28,'Short-Term build'!J28+'Installment build'!J28))</x:f>
        <x:v>1037433.9103714902</x:v>
      </x:c>
      <x:c r="K28" s="35" t="n">
        <x:f>IF('Assumptions'!$E$9=2,'Short-Term build'!K28,IF('Assumptions'!$E$9=3,'Installment build'!K28,'Short-Term build'!K28+'Installment build'!K28))</x:f>
        <x:v>1394175.428512553</x:v>
      </x:c>
      <x:c r="L28" s="35" t="n">
        <x:f>IF('Assumptions'!$E$9=2,'Short-Term build'!L28,IF('Assumptions'!$E$9=3,'Installment build'!L28,'Short-Term build'!L28+'Installment build'!L28))</x:f>
        <x:v>1706934.198171599</x:v>
      </x:c>
      <x:c r="M28" s="35" t="n">
        <x:f>IF('Assumptions'!$E$9=2,'Short-Term build'!M28,IF('Assumptions'!$E$9=3,'Installment build'!M28,'Short-Term build'!M28+'Installment build'!M28))</x:f>
        <x:v>1959903.5810258372</x:v>
      </x:c>
      <x:c r="N28" s="35" t="n">
        <x:f>IF('Assumptions'!$E$9=2,'Short-Term build'!N28,IF('Assumptions'!$E$9=3,'Installment build'!N28,'Short-Term build'!N28+'Installment build'!N28))</x:f>
        <x:v>2147360.0270170253</x:v>
      </x:c>
      <x:c r="O28" s="35" t="n">
        <x:f>IF('Assumptions'!$E$9=2,'Short-Term build'!O28,IF('Assumptions'!$E$9=3,'Installment build'!O28,'Short-Term build'!O28+'Installment build'!O28))</x:f>
        <x:v>2274538.5978377247</x:v>
      </x:c>
      <x:c r="P28" s="35" t="n">
        <x:f>IF('Assumptions'!$E$9=2,'Short-Term build'!P28,IF('Assumptions'!$E$9=3,'Installment build'!P28,'Short-Term build'!P28+'Installment build'!P28))</x:f>
        <x:v>2354376.7527988157</x:v>
      </x:c>
      <x:c r="Q28" s="35" t="n">
        <x:f>IF('Assumptions'!$E$9=2,'Short-Term build'!Q28,IF('Assumptions'!$E$9=3,'Installment build'!Q28,'Short-Term build'!Q28+'Installment build'!Q28))</x:f>
        <x:v>2401503.1730753104</x:v>
      </x:c>
      <x:c r="R28" s="35" t="n">
        <x:f>IF('Assumptions'!$E$9=2,'Short-Term build'!R28,IF('Assumptions'!$E$9=3,'Installment build'!R28,'Short-Term build'!R28+'Installment build'!R28))</x:f>
        <x:v>2428047.9021493783</x:v>
      </x:c>
      <x:c r="S28" s="35" t="n">
        <x:f>IF('Assumptions'!$E$9=2,'Short-Term build'!S28,IF('Assumptions'!$E$9=3,'Installment build'!S28,'Short-Term build'!S28+'Installment build'!S28))</x:f>
        <x:v>2442460.6090229535</x:v>
      </x:c>
      <x:c r="T28" s="35" t="n">
        <x:f>IF('Assumptions'!$E$9=2,'Short-Term build'!T28,IF('Assumptions'!$E$9=3,'Installment build'!T28,'Short-Term build'!T28+'Installment build'!T28))</x:f>
        <x:v>2450040.485478678</x:v>
      </x:c>
      <x:c r="U28" s="35" t="n">
        <x:f>IF('Assumptions'!$E$9=2,'Short-Term build'!U28,IF('Assumptions'!$E$9=3,'Installment build'!U28,'Short-Term build'!U28+'Installment build'!U28))</x:f>
        <x:v>2454189.9298610752</x:v>
      </x:c>
      <x:c r="V28" s="35" t="n">
        <x:f>IF('Assumptions'!$E$9=2,'Short-Term build'!V28,IF('Assumptions'!$E$9=3,'Installment build'!V28,'Short-Term build'!V28+'Installment build'!V28))</x:f>
        <x:v>2456429.8598649376</x:v>
      </x:c>
      <x:c r="W28" s="35" t="n">
        <x:f>IF('Assumptions'!$E$9=2,'Short-Term build'!W28,IF('Assumptions'!$E$9=3,'Installment build'!W28,'Short-Term build'!W28+'Installment build'!W28))</x:f>
        <x:v>2457623.0247648107</x:v>
      </x:c>
      <x:c r="X28" s="35" t="n">
        <x:f>IF('Assumptions'!$E$9=2,'Short-Term build'!X28,IF('Assumptions'!$E$9=3,'Installment build'!X28,'Short-Term build'!X28+'Installment build'!X28))</x:f>
        <x:v>2458249.6123118284</x:v>
      </x:c>
      <x:c r="Y28" s="35" t="n">
        <x:f>IF('Assumptions'!$E$9=2,'Short-Term build'!Y28,IF('Assumptions'!$E$9=3,'Installment build'!Y28,'Short-Term build'!Y28+'Installment build'!Y28))</x:f>
        <x:v>2458573.2037841706</x:v>
      </x:c>
      <x:c r="Z28" s="35" t="n">
        <x:f>IF('Assumptions'!$E$9=2,'Short-Term build'!Z28,IF('Assumptions'!$E$9=3,'Installment build'!Z28,'Short-Term build'!Z28+'Installment build'!Z28))</x:f>
        <x:v>2458736.825736259</x:v>
      </x:c>
      <x:c r="AA28" s="35" t="n">
        <x:f>IF('Assumptions'!$E$9=2,'Short-Term build'!AA28,IF('Assumptions'!$E$9=3,'Installment build'!AA28,'Short-Term build'!AA28+'Installment build'!AA28))</x:f>
        <x:v>2458817.244525736</x:v>
      </x:c>
      <x:c r="AB28" s="35" t="n">
        <x:f>IF('Assumptions'!$E$9=2,'Short-Term build'!AB28,IF('Assumptions'!$E$9=3,'Installment build'!AB28,'Short-Term build'!AB28+'Installment build'!AB28))</x:f>
        <x:v>2458855.1866029752</x:v>
      </x:c>
      <x:c r="AC28" s="35" t="n">
        <x:f>IF('Assumptions'!$E$9=2,'Short-Term build'!AC28,IF('Assumptions'!$E$9=3,'Installment build'!AC28,'Short-Term build'!AC28+'Installment build'!AC28))</x:f>
        <x:v>2458871.9697361398</x:v>
      </x:c>
      <x:c r="AD28" s="35" t="n">
        <x:f>IF('Assumptions'!$E$9=2,'Short-Term build'!AD28,IF('Assumptions'!$E$9=3,'Installment build'!AD28,'Short-Term build'!AD28+'Installment build'!AD28))</x:f>
        <x:v>2458878.569266889</x:v>
      </x:c>
      <x:c r="AE28" s="35" t="n">
        <x:f>IF('Assumptions'!$E$9=2,'Short-Term build'!AE28,IF('Assumptions'!$E$9=3,'Installment build'!AE28,'Short-Term build'!AE28+'Installment build'!AE28))</x:f>
        <x:v>2458880.515830122</x:v>
      </x:c>
      <x:c r="AF28" s="35" t="n">
        <x:f>IF('Assumptions'!$E$9=2,'Short-Term build'!AF28,IF('Assumptions'!$E$9=3,'Installment build'!AF28,'Short-Term build'!AF28+'Installment build'!AF28))</x:f>
        <x:v>2458880.515830122</x:v>
      </x:c>
      <x:c r="AG28" s="35" t="n">
        <x:f>IF('Assumptions'!$E$9=2,'Short-Term build'!AG28,IF('Assumptions'!$E$9=3,'Installment build'!AG28,'Short-Term build'!AG28+'Installment build'!AG28))</x:f>
        <x:v>2458880.515830122</x:v>
      </x:c>
      <x:c r="AH28" s="35" t="n">
        <x:f>IF('Assumptions'!$E$9=2,'Short-Term build'!AH28,IF('Assumptions'!$E$9=3,'Installment build'!AH28,'Short-Term build'!AH28+'Installment build'!AH28))</x:f>
        <x:v>2458880.515830122</x:v>
      </x:c>
      <x:c r="AI28" s="35" t="n">
        <x:f>IF('Assumptions'!$E$9=2,'Short-Term build'!AI28,IF('Assumptions'!$E$9=3,'Installment build'!AI28,'Short-Term build'!AI28+'Installment build'!AI28))</x:f>
        <x:v>2458880.515830122</x:v>
      </x:c>
      <x:c r="AJ28" s="35" t="n">
        <x:f>IF('Assumptions'!$E$9=2,'Short-Term build'!AJ28,IF('Assumptions'!$E$9=3,'Installment build'!AJ28,'Short-Term build'!AJ28+'Installment build'!AJ28))</x:f>
        <x:v>2458880.515830122</x:v>
      </x:c>
      <x:c r="AK28" s="35" t="n">
        <x:f>IF('Assumptions'!$E$9=2,'Short-Term build'!AK28,IF('Assumptions'!$E$9=3,'Installment build'!AK28,'Short-Term build'!AK28+'Installment build'!AK28))</x:f>
        <x:v>2458880.515830122</x:v>
      </x:c>
      <x:c r="AL28" s="35" t="n">
        <x:f>IF('Assumptions'!$E$9=2,'Short-Term build'!AL28,IF('Assumptions'!$E$9=3,'Installment build'!AL28,'Short-Term build'!AL28+'Installment build'!AL28))</x:f>
        <x:v>2458880.515830122</x:v>
      </x:c>
      <x:c r="AM28" s="35" t="n">
        <x:f>IF('Assumptions'!$E$9=2,'Short-Term build'!AM28,IF('Assumptions'!$E$9=3,'Installment build'!AM28,'Short-Term build'!AM28+'Installment build'!AM28))</x:f>
        <x:v>2458880.515830122</x:v>
      </x:c>
      <x:c r="AN28" s="35" t="n">
        <x:f>IF('Assumptions'!$E$9=2,'Short-Term build'!AN28,IF('Assumptions'!$E$9=3,'Installment build'!AN28,'Short-Term build'!AN28+'Installment build'!AN28))</x:f>
        <x:v>2458880.515830122</x:v>
      </x:c>
      <x:c r="AO28" s="35" t="n">
        <x:f>IF('Assumptions'!$E$9=2,'Short-Term build'!AO28,IF('Assumptions'!$E$9=3,'Installment build'!AO28,'Short-Term build'!AO28+'Installment build'!AO28))</x:f>
        <x:v>2458880.515830122</x:v>
      </x:c>
      <x:c r="AP28" s="35" t="n">
        <x:f>IF('Assumptions'!$E$9=2,'Short-Term build'!AP28,IF('Assumptions'!$E$9=3,'Installment build'!AP28,'Short-Term build'!AP28+'Installment build'!AP28))</x:f>
        <x:v>2458880.515830122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625302233.0043718</x:v>
      </x:c>
      <x:c r="F29" s="2"/>
      <x:c r="G29" s="35" t="n">
        <x:f>IF('Assumptions'!$E$9=2,'Short-Term build'!G29,IF('Assumptions'!$E$9=3,'Installment build'!G29,'Short-Term build'!G29+'Installment build'!G29))</x:f>
        <x:v>112515798.63795754</x:v>
      </x:c>
      <x:c r="H29" s="35" t="n">
        <x:f>IF('Assumptions'!$E$9=2,'Short-Term build'!H29,IF('Assumptions'!$E$9=3,'Installment build'!H29,'Short-Term build'!H29+'Installment build'!H29))</x:f>
        <x:v>79877978.09802017</x:v>
      </x:c>
      <x:c r="I29" s="35" t="n">
        <x:f>IF('Assumptions'!$E$9=2,'Short-Term build'!I29,IF('Assumptions'!$E$9=3,'Installment build'!I29,'Short-Term build'!I29+'Installment build'!I29))</x:f>
        <x:v>64350602.3728798</x:v>
      </x:c>
      <x:c r="J29" s="35" t="n">
        <x:f>IF('Assumptions'!$E$9=2,'Short-Term build'!J29,IF('Assumptions'!$E$9=3,'Installment build'!J29,'Short-Term build'!J29+'Installment build'!J29))</x:f>
        <x:v>54238620.820254795</x:v>
      </x:c>
      <x:c r="K29" s="35" t="n">
        <x:f>IF('Assumptions'!$E$9=2,'Short-Term build'!K29,IF('Assumptions'!$E$9=3,'Installment build'!K29,'Short-Term build'!K29+'Installment build'!K29))</x:f>
        <x:v>46691869.620882615</x:v>
      </x:c>
      <x:c r="L29" s="35" t="n">
        <x:f>IF('Assumptions'!$E$9=2,'Short-Term build'!L29,IF('Assumptions'!$E$9=3,'Installment build'!L29,'Short-Term build'!L29+'Installment build'!L29))</x:f>
        <x:v>40595479.98415491</x:v>
      </x:c>
      <x:c r="M29" s="35" t="n">
        <x:f>IF('Assumptions'!$E$9=2,'Short-Term build'!M29,IF('Assumptions'!$E$9=3,'Installment build'!M29,'Short-Term build'!M29+'Installment build'!M29))</x:f>
        <x:v>35403853.42169964</x:v>
      </x:c>
      <x:c r="N29" s="35" t="n">
        <x:f>IF('Assumptions'!$E$9=2,'Short-Term build'!N29,IF('Assumptions'!$E$9=3,'Installment build'!N29,'Short-Term build'!N29+'Installment build'!N29))</x:f>
        <x:v>30812808.728672244</x:v>
      </x:c>
      <x:c r="O29" s="35" t="n">
        <x:f>IF('Assumptions'!$E$9=2,'Short-Term build'!O29,IF('Assumptions'!$E$9=3,'Installment build'!O29,'Short-Term build'!O29+'Installment build'!O29))</x:f>
        <x:v>26637136.155165453</x:v>
      </x:c>
      <x:c r="P29" s="35" t="n">
        <x:f>IF('Assumptions'!$E$9=2,'Short-Term build'!P29,IF('Assumptions'!$E$9=3,'Installment build'!P29,'Short-Term build'!P29+'Installment build'!P29))</x:f>
        <x:v>22754112.716252733</x:v>
      </x:c>
      <x:c r="Q29" s="35" t="n">
        <x:f>IF('Assumptions'!$E$9=2,'Short-Term build'!Q29,IF('Assumptions'!$E$9=3,'Installment build'!Q29,'Short-Term build'!Q29+'Installment build'!Q29))</x:f>
        <x:v>19073011.3212219</x:v>
      </x:c>
      <x:c r="R29" s="35" t="n">
        <x:f>IF('Assumptions'!$E$9=2,'Short-Term build'!R29,IF('Assumptions'!$E$9=3,'Installment build'!R29,'Short-Term build'!R29+'Installment build'!R29))</x:f>
        <x:v>15518960.045916837</x:v>
      </x:c>
      <x:c r="S29" s="35" t="n">
        <x:f>IF('Assumptions'!$E$9=2,'Short-Term build'!S29,IF('Assumptions'!$E$9=3,'Installment build'!S29,'Short-Term build'!S29+'Installment build'!S29))</x:f>
        <x:v>12026905.950866193</x:v>
      </x:c>
      <x:c r="T29" s="35" t="n">
        <x:f>IF('Assumptions'!$E$9=2,'Short-Term build'!T29,IF('Assumptions'!$E$9=3,'Installment build'!T29,'Short-Term build'!T29+'Installment build'!T29))</x:f>
        <x:v>10923307.668482658</x:v>
      </x:c>
      <x:c r="U29" s="35" t="n">
        <x:f>IF('Assumptions'!$E$9=2,'Short-Term build'!U29,IF('Assumptions'!$E$9=3,'Installment build'!U29,'Short-Term build'!U29+'Installment build'!U29))</x:f>
        <x:v>9858835.344405545</x:v>
      </x:c>
      <x:c r="V29" s="35" t="n">
        <x:f>IF('Assumptions'!$E$9=2,'Short-Term build'!V29,IF('Assumptions'!$E$9=3,'Installment build'!V29,'Short-Term build'!V29+'Installment build'!V29))</x:f>
        <x:v>8824521.161592396</x:v>
      </x:c>
      <x:c r="W29" s="35" t="n">
        <x:f>IF('Assumptions'!$E$9=2,'Short-Term build'!W29,IF('Assumptions'!$E$9=3,'Installment build'!W29,'Short-Term build'!W29+'Installment build'!W29))</x:f>
        <x:v>7813710.366759171</x:v>
      </x:c>
      <x:c r="X29" s="35" t="n">
        <x:f>IF('Assumptions'!$E$9=2,'Short-Term build'!X29,IF('Assumptions'!$E$9=3,'Installment build'!X29,'Short-Term build'!X29+'Installment build'!X29))</x:f>
        <x:v>6821447.094910509</x:v>
      </x:c>
      <x:c r="Y29" s="35" t="n">
        <x:f>IF('Assumptions'!$E$9=2,'Short-Term build'!Y29,IF('Assumptions'!$E$9=3,'Installment build'!Y29,'Short-Term build'!Y29+'Installment build'!Y29))</x:f>
        <x:v>5843637.785571455</x:v>
      </x:c>
      <x:c r="Z29" s="35" t="n">
        <x:f>IF('Assumptions'!$E$9=2,'Short-Term build'!Z29,IF('Assumptions'!$E$9=3,'Installment build'!Z29,'Short-Term build'!Z29+'Installment build'!Z29))</x:f>
        <x:v>4876047.723967916</x:v>
      </x:c>
      <x:c r="AA29" s="35" t="n">
        <x:f>IF('Assumptions'!$E$9=2,'Short-Term build'!AA29,IF('Assumptions'!$E$9=3,'Installment build'!AA29,'Short-Term build'!AA29+'Installment build'!AA29))</x:f>
        <x:v>3913606.25243749</x:v>
      </x:c>
      <x:c r="AB29" s="35" t="n">
        <x:f>IF('Assumptions'!$E$9=2,'Short-Term build'!AB29,IF('Assumptions'!$E$9=3,'Installment build'!AB29,'Short-Term build'!AB29+'Installment build'!AB29))</x:f>
        <x:v>2950477.8764761584</x:v>
      </x:c>
      <x:c r="AC29" s="35" t="n">
        <x:f>IF('Assumptions'!$E$9=2,'Short-Term build'!AC29,IF('Assumptions'!$E$9=3,'Installment build'!AC29,'Short-Term build'!AC29+'Installment build'!AC29))</x:f>
        <x:v>1980703.3686903636</x:v>
      </x:c>
      <x:c r="AD29" s="35" t="n">
        <x:f>IF('Assumptions'!$E$9=2,'Short-Term build'!AD29,IF('Assumptions'!$E$9=3,'Installment build'!AD29,'Short-Term build'!AD29+'Installment build'!AD29))</x:f>
        <x:v>998800.48713332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396782798.88406485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1195729.0070602635</x:v>
      </x:c>
      <x:c r="I30" s="35" t="n">
        <x:f>IF('Assumptions'!$E$9=2,'Short-Term build'!I30,IF('Assumptions'!$E$9=3,'Installment build'!I30,'Short-Term build'!I30+'Installment build'!I30))</x:f>
        <x:v>2453621.002337272</x:v>
      </x:c>
      <x:c r="J30" s="35" t="n">
        <x:f>IF('Assumptions'!$E$9=2,'Short-Term build'!J30,IF('Assumptions'!$E$9=3,'Installment build'!J30,'Short-Term build'!J30+'Installment build'!J30))</x:f>
        <x:v>3775633.232150116</x:v>
      </x:c>
      <x:c r="K30" s="35" t="n">
        <x:f>IF('Assumptions'!$E$9=2,'Short-Term build'!K30,IF('Assumptions'!$E$9=3,'Installment build'!K30,'Short-Term build'!K30+'Installment build'!K30))</x:f>
        <x:v>5166229.3593808375</x:v>
      </x:c>
      <x:c r="L30" s="35" t="n">
        <x:f>IF('Assumptions'!$E$9=2,'Short-Term build'!L30,IF('Assumptions'!$E$9=3,'Installment build'!L30,'Short-Term build'!L30+'Installment build'!L30))</x:f>
        <x:v>6632283.491147642</x:v>
      </x:c>
      <x:c r="M30" s="35" t="n">
        <x:f>IF('Assumptions'!$E$9=2,'Short-Term build'!M30,IF('Assumptions'!$E$9=3,'Installment build'!M30,'Short-Term build'!M30+'Installment build'!M30))</x:f>
        <x:v>8182456.7492809985</x:v>
      </x:c>
      <x:c r="N30" s="35" t="n">
        <x:f>IF('Assumptions'!$E$9=2,'Short-Term build'!N30,IF('Assumptions'!$E$9=3,'Installment build'!N30,'Short-Term build'!N30+'Installment build'!N30))</x:f>
        <x:v>9826521.045500092</x:v>
      </x:c>
      <x:c r="O30" s="35" t="n">
        <x:f>IF('Assumptions'!$E$9=2,'Short-Term build'!O30,IF('Assumptions'!$E$9=3,'Installment build'!O30,'Short-Term build'!O30+'Installment build'!O30))</x:f>
        <x:v>11574791.622750636</x:v>
      </x:c>
      <x:c r="P30" s="35" t="n">
        <x:f>IF('Assumptions'!$E$9=2,'Short-Term build'!P30,IF('Assumptions'!$E$9=3,'Installment build'!P30,'Short-Term build'!P30+'Installment build'!P30))</x:f>
        <x:v>13437765.197964428</x:v>
      </x:c>
      <x:c r="Q30" s="35" t="n">
        <x:f>IF('Assumptions'!$E$9=2,'Short-Term build'!Q30,IF('Assumptions'!$E$9=3,'Installment build'!Q30,'Short-Term build'!Q30+'Installment build'!Q30))</x:f>
        <x:v>15426015.161389917</x:v>
      </x:c>
      <x:c r="R30" s="35" t="n">
        <x:f>IF('Assumptions'!$E$9=2,'Short-Term build'!R30,IF('Assumptions'!$E$9=3,'Installment build'!R30,'Short-Term build'!R30+'Installment build'!R30))</x:f>
        <x:v>17550278.72866965</x:v>
      </x:c>
      <x:c r="S30" s="35" t="n">
        <x:f>IF('Assumptions'!$E$9=2,'Short-Term build'!S30,IF('Assumptions'!$E$9=3,'Installment build'!S30,'Short-Term build'!S30+'Installment build'!S30))</x:f>
        <x:v>19821627.329156037</x:v>
      </x:c>
      <x:c r="T30" s="35" t="n">
        <x:f>IF('Assumptions'!$E$9=2,'Short-Term build'!T30,IF('Assumptions'!$E$9=3,'Installment build'!T30,'Short-Term build'!T30+'Installment build'!T30))</x:f>
        <x:v>20647210.9269785</x:v>
      </x:c>
      <x:c r="U30" s="35" t="n">
        <x:f>IF('Assumptions'!$E$9=2,'Short-Term build'!U30,IF('Assumptions'!$E$9=3,'Installment build'!U30,'Short-Term build'!U30+'Installment build'!U30))</x:f>
        <x:v>21510335.280980594</x:v>
      </x:c>
      <x:c r="V30" s="35" t="n">
        <x:f>IF('Assumptions'!$E$9=2,'Short-Term build'!V30,IF('Assumptions'!$E$9=3,'Installment build'!V30,'Short-Term build'!V30+'Installment build'!V30))</x:f>
        <x:v>22412837.923905775</x:v>
      </x:c>
      <x:c r="W30" s="35" t="n">
        <x:f>IF('Assumptions'!$E$9=2,'Short-Term build'!W30,IF('Assumptions'!$E$9=3,'Installment build'!W30,'Short-Term build'!W30+'Installment build'!W30))</x:f>
        <x:v>23356595.19223801</x:v>
      </x:c>
      <x:c r="X30" s="35" t="n">
        <x:f>IF('Assumptions'!$E$9=2,'Short-Term build'!X30,IF('Assumptions'!$E$9=3,'Installment build'!X30,'Short-Term build'!X30+'Installment build'!X30))</x:f>
        <x:v>24343541.400218863</x:v>
      </x:c>
      <x:c r="Y30" s="35" t="n">
        <x:f>IF('Assumptions'!$E$9=2,'Short-Term build'!Y30,IF('Assumptions'!$E$9=3,'Installment build'!Y30,'Short-Term build'!Y30+'Installment build'!Y30))</x:f>
        <x:v>25375682.39247474</x:v>
      </x:c>
      <x:c r="Z30" s="35" t="n">
        <x:f>IF('Assumptions'!$E$9=2,'Short-Term build'!Z30,IF('Assumptions'!$E$9=3,'Installment build'!Z30,'Short-Term build'!Z30+'Installment build'!Z30))</x:f>
        <x:v>26455105.53810704</x:v>
      </x:c>
      <x:c r="AA30" s="35" t="n">
        <x:f>IF('Assumptions'!$E$9=2,'Short-Term build'!AA30,IF('Assumptions'!$E$9=3,'Installment build'!AA30,'Short-Term build'!AA30+'Installment build'!AA30))</x:f>
        <x:v>27583987.56915354</x:v>
      </x:c>
      <x:c r="AB30" s="35" t="n">
        <x:f>IF('Assumptions'!$E$9=2,'Short-Term build'!AB30,IF('Assumptions'!$E$9=3,'Installment build'!AB30,'Short-Term build'!AB30+'Installment build'!AB30))</x:f>
        <x:v>28764601.168893207</x:v>
      </x:c>
      <x:c r="AC30" s="35" t="n">
        <x:f>IF('Assumptions'!$E$9=2,'Short-Term build'!AC30,IF('Assumptions'!$E$9=3,'Installment build'!AC30,'Short-Term build'!AC30+'Installment build'!AC30))</x:f>
        <x:v>29999320.87966095</x:v>
      </x:c>
      <x:c r="AD30" s="35" t="n">
        <x:f>IF('Assumptions'!$E$9=2,'Short-Term build'!AD30,IF('Assumptions'!$E$9=3,'Installment build'!AD30,'Short-Term build'!AD30+'Installment build'!AD30))</x:f>
        <x:v>31290628.684665676</x:v>
      </x:c>
      <x:c r="AE30" s="35" t="n">
        <x:f>IF('Assumptions'!$E$9=2,'Short-Term build'!AE30,IF('Assumptions'!$E$9=3,'Installment build'!AE30,'Short-Term build'!AE30+'Installment build'!AE30))</x:f>
        <x:v>32641119.484169878</x:v>
      </x:c>
      <x:c r="AF30" s="35" t="n">
        <x:f>IF('Assumptions'!$E$9=2,'Short-Term build'!AF30,IF('Assumptions'!$E$9=3,'Installment build'!AF30,'Short-Term build'!AF30+'Installment build'!AF30))</x:f>
        <x:v>32641119.484169878</x:v>
      </x:c>
      <x:c r="AG30" s="35" t="n">
        <x:f>IF('Assumptions'!$E$9=2,'Short-Term build'!AG30,IF('Assumptions'!$E$9=3,'Installment build'!AG30,'Short-Term build'!AG30+'Installment build'!AG30))</x:f>
        <x:v>32641119.484169878</x:v>
      </x:c>
      <x:c r="AH30" s="35" t="n">
        <x:f>IF('Assumptions'!$E$9=2,'Short-Term build'!AH30,IF('Assumptions'!$E$9=3,'Installment build'!AH30,'Short-Term build'!AH30+'Installment build'!AH30))</x:f>
        <x:v>32641119.484169878</x:v>
      </x:c>
      <x:c r="AI30" s="35" t="n">
        <x:f>IF('Assumptions'!$E$9=2,'Short-Term build'!AI30,IF('Assumptions'!$E$9=3,'Installment build'!AI30,'Short-Term build'!AI30+'Installment build'!AI30))</x:f>
        <x:v>32641119.484169878</x:v>
      </x:c>
      <x:c r="AJ30" s="35" t="n">
        <x:f>IF('Assumptions'!$E$9=2,'Short-Term build'!AJ30,IF('Assumptions'!$E$9=3,'Installment build'!AJ30,'Short-Term build'!AJ30+'Installment build'!AJ30))</x:f>
        <x:v>32641119.484169878</x:v>
      </x:c>
      <x:c r="AK30" s="35" t="n">
        <x:f>IF('Assumptions'!$E$9=2,'Short-Term build'!AK30,IF('Assumptions'!$E$9=3,'Installment build'!AK30,'Short-Term build'!AK30+'Installment build'!AK30))</x:f>
        <x:v>32641119.484169878</x:v>
      </x:c>
      <x:c r="AL30" s="35" t="n">
        <x:f>IF('Assumptions'!$E$9=2,'Short-Term build'!AL30,IF('Assumptions'!$E$9=3,'Installment build'!AL30,'Short-Term build'!AL30+'Installment build'!AL30))</x:f>
        <x:v>32641119.484169878</x:v>
      </x:c>
      <x:c r="AM30" s="35" t="n">
        <x:f>IF('Assumptions'!$E$9=2,'Short-Term build'!AM30,IF('Assumptions'!$E$9=3,'Installment build'!AM30,'Short-Term build'!AM30+'Installment build'!AM30))</x:f>
        <x:v>32641119.484169878</x:v>
      </x:c>
      <x:c r="AN30" s="35" t="n">
        <x:f>IF('Assumptions'!$E$9=2,'Short-Term build'!AN30,IF('Assumptions'!$E$9=3,'Installment build'!AN30,'Short-Term build'!AN30+'Installment build'!AN30))</x:f>
        <x:v>32641119.484169878</x:v>
      </x:c>
      <x:c r="AO30" s="35" t="n">
        <x:f>IF('Assumptions'!$E$9=2,'Short-Term build'!AO30,IF('Assumptions'!$E$9=3,'Installment build'!AO30,'Short-Term build'!AO30+'Installment build'!AO30))</x:f>
        <x:v>32641119.484169878</x:v>
      </x:c>
      <x:c r="AP30" s="35" t="n">
        <x:f>IF('Assumptions'!$E$9=2,'Short-Term build'!AP30,IF('Assumptions'!$E$9=3,'Installment build'!AP30,'Short-Term build'!AP30+'Installment build'!AP30))</x:f>
        <x:v>32641119.484169878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213036427.876519</x:v>
      </x:c>
      <x:c r="F32" s="2"/>
      <x:c r="G32" s="35" t="n">
        <x:f>IF('Assumptions'!$E$9=2,'Short-Term build'!G32,IF('Assumptions'!$E$9=3,'Installment build'!G32,'Short-Term build'!G32+'Installment build'!G32))</x:f>
        <x:v>38603679.864797324</x:v>
      </x:c>
      <x:c r="H32" s="35" t="n">
        <x:f>IF('Assumptions'!$E$9=2,'Short-Term build'!H32,IF('Assumptions'!$E$9=3,'Installment build'!H32,'Short-Term build'!H32+'Installment build'!H32))</x:f>
        <x:v>31026918.49364868</x:v>
      </x:c>
      <x:c r="I32" s="35" t="n">
        <x:f>IF('Assumptions'!$E$9=2,'Short-Term build'!I32,IF('Assumptions'!$E$9=3,'Installment build'!I32,'Short-Term build'!I32+'Installment build'!I32))</x:f>
        <x:v>25687122.12613701</x:v>
      </x:c>
      <x:c r="J32" s="35" t="n">
        <x:f>IF('Assumptions'!$E$9=2,'Short-Term build'!J32,IF('Assumptions'!$E$9=3,'Installment build'!J32,'Short-Term build'!J32+'Installment build'!J32))</x:f>
        <x:v>21434394.204433776</x:v>
      </x:c>
      <x:c r="K32" s="35" t="n">
        <x:f>IF('Assumptions'!$E$9=2,'Short-Term build'!K32,IF('Assumptions'!$E$9=3,'Installment build'!K32,'Short-Term build'!K32+'Installment build'!K32))</x:f>
        <x:v>17899050.003542043</x:v>
      </x:c>
      <x:c r="L32" s="35" t="n">
        <x:f>IF('Assumptions'!$E$9=2,'Short-Term build'!L32,IF('Assumptions'!$E$9=3,'Installment build'!L32,'Short-Term build'!L32+'Installment build'!L32))</x:f>
        <x:v>14901131.45947323</x:v>
      </x:c>
      <x:c r="M32" s="35" t="n">
        <x:f>IF('Assumptions'!$E$9=2,'Short-Term build'!M32,IF('Assumptions'!$E$9=3,'Installment build'!M32,'Short-Term build'!M32+'Installment build'!M32))</x:f>
        <x:v>12336233.928155042</x:v>
      </x:c>
      <x:c r="N32" s="35" t="n">
        <x:f>IF('Assumptions'!$E$9=2,'Short-Term build'!N32,IF('Assumptions'!$E$9=3,'Installment build'!N32,'Short-Term build'!N32+'Installment build'!N32))</x:f>
        <x:v>10138261.620523822</x:v>
      </x:c>
      <x:c r="O32" s="35" t="n">
        <x:f>IF('Assumptions'!$E$9=2,'Short-Term build'!O32,IF('Assumptions'!$E$9=3,'Installment build'!O32,'Short-Term build'!O32+'Installment build'!O32))</x:f>
        <x:v>8263319.994328546</x:v>
      </x:c>
      <x:c r="P32" s="35" t="n">
        <x:f>IF('Assumptions'!$E$9=2,'Short-Term build'!P32,IF('Assumptions'!$E$9=3,'Installment build'!P32,'Short-Term build'!P32+'Installment build'!P32))</x:f>
        <x:v>6681456.562340898</x:v>
      </x:c>
      <x:c r="Q32" s="35" t="n">
        <x:f>IF('Assumptions'!$E$9=2,'Short-Term build'!Q32,IF('Assumptions'!$E$9=3,'Installment build'!Q32,'Short-Term build'!Q32+'Installment build'!Q32))</x:f>
        <x:v>5372101.489110945</x:v>
      </x:c>
      <x:c r="R32" s="35" t="n">
        <x:f>IF('Assumptions'!$E$9=2,'Short-Term build'!R32,IF('Assumptions'!$E$9=3,'Installment build'!R32,'Short-Term build'!R32+'Installment build'!R32))</x:f>
        <x:v>4321627.474159164</x:v>
      </x:c>
      <x:c r="S32" s="35" t="n">
        <x:f>IF('Assumptions'!$E$9=2,'Short-Term build'!S32,IF('Assumptions'!$E$9=3,'Installment build'!S32,'Short-Term build'!S32+'Installment build'!S32))</x:f>
        <x:v>3522111.210502262</x:v>
      </x:c>
      <x:c r="T32" s="35" t="n">
        <x:f>IF('Assumptions'!$E$9=2,'Short-Term build'!T32,IF('Assumptions'!$E$9=3,'Installment build'!T32,'Short-Term build'!T32+'Installment build'!T32))</x:f>
        <x:v>2970568.1477171453</x:v>
      </x:c>
      <x:c r="U32" s="35" t="n">
        <x:f>IF('Assumptions'!$E$9=2,'Short-Term build'!U32,IF('Assumptions'!$E$9=3,'Installment build'!U32,'Short-Term build'!U32+'Installment build'!U32))</x:f>
        <x:v>2469752.3769556284</x:v>
      </x:c>
      <x:c r="V32" s="35" t="n">
        <x:f>IF('Assumptions'!$E$9=2,'Short-Term build'!V32,IF('Assumptions'!$E$9=3,'Installment build'!V32,'Short-Term build'!V32+'Installment build'!V32))</x:f>
        <x:v>2017803.4666557037</x:v>
      </x:c>
      <x:c r="W32" s="35" t="n">
        <x:f>IF('Assumptions'!$E$9=2,'Short-Term build'!W32,IF('Assumptions'!$E$9=3,'Installment build'!W32,'Short-Term build'!W32+'Installment build'!W32))</x:f>
        <x:v>1613302.399481937</x:v>
      </x:c>
      <x:c r="X32" s="35" t="n">
        <x:f>IF('Assumptions'!$E$9=2,'Short-Term build'!X32,IF('Assumptions'!$E$9=3,'Installment build'!X32,'Short-Term build'!X32+'Installment build'!X32))</x:f>
        <x:v>1255152.0607393852</x:v>
      </x:c>
      <x:c r="Y32" s="35" t="n">
        <x:f>IF('Assumptions'!$E$9=2,'Short-Term build'!Y32,IF('Assumptions'!$E$9=3,'Installment build'!Y32,'Short-Term build'!Y32+'Installment build'!Y32))</x:f>
        <x:v>942491.7417028692</x:v>
      </x:c>
      <x:c r="Z32" s="35" t="n">
        <x:f>IF('Assumptions'!$E$9=2,'Short-Term build'!Z32,IF('Assumptions'!$E$9=3,'Installment build'!Z32,'Short-Term build'!Z32+'Installment build'!Z32))</x:f>
        <x:v>674653.3750434087</x:v>
      </x:c>
      <x:c r="AA32" s="35" t="n">
        <x:f>IF('Assumptions'!$E$9=2,'Short-Term build'!AA32,IF('Assumptions'!$E$9=3,'Installment build'!AA32,'Short-Term build'!AA32+'Installment build'!AA32))</x:f>
        <x:v>451165.6751862813</x:v>
      </x:c>
      <x:c r="AB32" s="35" t="n">
        <x:f>IF('Assumptions'!$E$9=2,'Short-Term build'!AB32,IF('Assumptions'!$E$9=3,'Installment build'!AB32,'Short-Term build'!AB32+'Installment build'!AB32))</x:f>
        <x:v>271791.1868479722</x:v>
      </x:c>
      <x:c r="AC32" s="35" t="n">
        <x:f>IF('Assumptions'!$E$9=2,'Short-Term build'!AC32,IF('Assumptions'!$E$9=3,'Installment build'!AC32,'Short-Term build'!AC32+'Installment build'!AC32))</x:f>
        <x:v>136560.65937567953</x:v>
      </x:c>
      <x:c r="AD32" s="35" t="n">
        <x:f>IF('Assumptions'!$E$9=2,'Short-Term build'!AD32,IF('Assumptions'!$E$9=3,'Installment build'!AD32,'Short-Term build'!AD32+'Installment build'!AD32))</x:f>
        <x:v>45778.3556602755</x:v>
      </x:c>
      <x:c r="AE32" s="35" t="n">
        <x:f>IF('Assumptions'!$E$9=2,'Short-Term build'!AE32,IF('Assumptions'!$E$9=3,'Installment build'!AE32,'Short-Term build'!AE32+'Installment build'!AE32))</x:f>
        <x:v>-1.670559868216515e-9</x:v>
      </x:c>
      <x:c r="AF32" s="35" t="n">
        <x:f>IF('Assumptions'!$E$9=2,'Short-Term build'!AF32,IF('Assumptions'!$E$9=3,'Installment build'!AF32,'Short-Term build'!AF32+'Installment build'!AF32))</x:f>
        <x:v>-1.670559868216515e-9</x:v>
      </x:c>
      <x:c r="AG32" s="35" t="n">
        <x:f>IF('Assumptions'!$E$9=2,'Short-Term build'!AG32,IF('Assumptions'!$E$9=3,'Installment build'!AG32,'Short-Term build'!AG32+'Installment build'!AG32))</x:f>
        <x:v>-1.670559868216515e-9</x:v>
      </x:c>
      <x:c r="AH32" s="35" t="n">
        <x:f>IF('Assumptions'!$E$9=2,'Short-Term build'!AH32,IF('Assumptions'!$E$9=3,'Installment build'!AH32,'Short-Term build'!AH32+'Installment build'!AH32))</x:f>
        <x:v>-1.670559868216515e-9</x:v>
      </x:c>
      <x:c r="AI32" s="35" t="n">
        <x:f>IF('Assumptions'!$E$9=2,'Short-Term build'!AI32,IF('Assumptions'!$E$9=3,'Installment build'!AI32,'Short-Term build'!AI32+'Installment build'!AI32))</x:f>
        <x:v>-1.670559868216515e-9</x:v>
      </x:c>
      <x:c r="AJ32" s="35" t="n">
        <x:f>IF('Assumptions'!$E$9=2,'Short-Term build'!AJ32,IF('Assumptions'!$E$9=3,'Installment build'!AJ32,'Short-Term build'!AJ32+'Installment build'!AJ32))</x:f>
        <x:v>-1.670559868216515e-9</x:v>
      </x:c>
      <x:c r="AK32" s="35" t="n">
        <x:f>IF('Assumptions'!$E$9=2,'Short-Term build'!AK32,IF('Assumptions'!$E$9=3,'Installment build'!AK32,'Short-Term build'!AK32+'Installment build'!AK32))</x:f>
        <x:v>-1.670559868216515e-9</x:v>
      </x:c>
      <x:c r="AL32" s="35" t="n">
        <x:f>IF('Assumptions'!$E$9=2,'Short-Term build'!AL32,IF('Assumptions'!$E$9=3,'Installment build'!AL32,'Short-Term build'!AL32+'Installment build'!AL32))</x:f>
        <x:v>-1.670559868216515e-9</x:v>
      </x:c>
      <x:c r="AM32" s="35" t="n">
        <x:f>IF('Assumptions'!$E$9=2,'Short-Term build'!AM32,IF('Assumptions'!$E$9=3,'Installment build'!AM32,'Short-Term build'!AM32+'Installment build'!AM32))</x:f>
        <x:v>-1.670559868216515e-9</x:v>
      </x:c>
      <x:c r="AN32" s="35" t="n">
        <x:f>IF('Assumptions'!$E$9=2,'Short-Term build'!AN32,IF('Assumptions'!$E$9=3,'Installment build'!AN32,'Short-Term build'!AN32+'Installment build'!AN32))</x:f>
        <x:v>-1.670559868216515e-9</x:v>
      </x:c>
      <x:c r="AO32" s="35" t="n">
        <x:f>IF('Assumptions'!$E$9=2,'Short-Term build'!AO32,IF('Assumptions'!$E$9=3,'Installment build'!AO32,'Short-Term build'!AO32+'Installment build'!AO32))</x:f>
        <x:v>-1.670559868216515e-9</x:v>
      </x:c>
      <x:c r="AP32" s="35" t="n">
        <x:f>IF('Assumptions'!$E$9=2,'Short-Term build'!AP32,IF('Assumptions'!$E$9=3,'Installment build'!AP32,'Short-Term build'!AP32+'Installment build'!AP32))</x:f>
        <x:v>-1.670559868216515e-9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352037423.51789194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2091598.185852075</x:v>
      </x:c>
      <x:c r="I33" s="35" t="n">
        <x:f>IF('Assumptions'!$E$9=2,'Short-Term build'!I33,IF('Assumptions'!$E$9=3,'Installment build'!I33,'Short-Term build'!I33+'Installment build'!I33))</x:f>
        <x:v>4076049.002681356</x:v>
      </x:c>
      <x:c r="J33" s="35" t="n">
        <x:f>IF('Assumptions'!$E$9=2,'Short-Term build'!J33,IF('Assumptions'!$E$9=3,'Installment build'!J33,'Short-Term build'!J33+'Installment build'!J33))</x:f>
        <x:v>5948779.349956099</x:v>
      </x:c>
      <x:c r="K33" s="35" t="n">
        <x:f>IF('Assumptions'!$E$9=2,'Short-Term build'!K33,IF('Assumptions'!$E$9=3,'Installment build'!K33,'Short-Term build'!K33+'Installment build'!K33))</x:f>
        <x:v>7707938.549627666</x:v>
      </x:c>
      <x:c r="L33" s="35" t="n">
        <x:f>IF('Assumptions'!$E$9=2,'Short-Term build'!L33,IF('Assumptions'!$E$9=3,'Installment build'!L33,'Short-Term build'!L33+'Installment build'!L33))</x:f>
        <x:v>9352939.04740268</x:v>
      </x:c>
      <x:c r="M33" s="35" t="n">
        <x:f>IF('Assumptions'!$E$9=2,'Short-Term build'!M33,IF('Assumptions'!$E$9=3,'Installment build'!M33,'Short-Term build'!M33+'Installment build'!M33))</x:f>
        <x:v>10883069.371705217</x:v>
      </x:c>
      <x:c r="N33" s="35" t="n">
        <x:f>IF('Assumptions'!$E$9=2,'Short-Term build'!N33,IF('Assumptions'!$E$9=3,'Installment build'!N33,'Short-Term build'!N33+'Installment build'!N33))</x:f>
        <x:v>12296608.912654724</x:v>
      </x:c>
      <x:c r="O33" s="35" t="n">
        <x:f>IF('Assumptions'!$E$9=2,'Short-Term build'!O33,IF('Assumptions'!$E$9=3,'Installment build'!O33,'Short-Term build'!O33+'Installment build'!O33))</x:f>
        <x:v>13590295.08429937</x:v>
      </x:c>
      <x:c r="P33" s="35" t="n">
        <x:f>IF('Assumptions'!$E$9=2,'Short-Term build'!P33,IF('Assumptions'!$E$9=3,'Installment build'!P33,'Short-Term build'!P33+'Installment build'!P33))</x:f>
        <x:v>14759097.973492011</x:v>
      </x:c>
      <x:c r="Q33" s="35" t="n">
        <x:f>IF('Assumptions'!$E$9=2,'Short-Term build'!Q33,IF('Assumptions'!$E$9=3,'Installment build'!Q33,'Short-Term build'!Q33+'Installment build'!Q33))</x:f>
        <x:v>15796281.83061672</x:v>
      </x:c>
      <x:c r="R33" s="35" t="n">
        <x:f>IF('Assumptions'!$E$9=2,'Short-Term build'!R33,IF('Assumptions'!$E$9=3,'Installment build'!R33,'Short-Term build'!R33+'Installment build'!R33))</x:f>
        <x:v>16693615.574950494</x:v>
      </x:c>
      <x:c r="S33" s="35" t="n">
        <x:f>IF('Assumptions'!$E$9=2,'Short-Term build'!S33,IF('Assumptions'!$E$9=3,'Installment build'!S33,'Short-Term build'!S33+'Installment build'!S33))</x:f>
        <x:v>17441587.17074539</x:v>
      </x:c>
      <x:c r="T33" s="35" t="n">
        <x:f>IF('Assumptions'!$E$9=2,'Short-Term build'!T33,IF('Assumptions'!$E$9=3,'Installment build'!T33,'Short-Term build'!T33+'Installment build'!T33))</x:f>
        <x:v>18029552.39590797</x:v>
      </x:c>
      <x:c r="U33" s="35" t="n">
        <x:f>IF('Assumptions'!$E$9=2,'Short-Term build'!U33,IF('Assumptions'!$E$9=3,'Installment build'!U33,'Short-Term build'!U33+'Installment build'!U33))</x:f>
        <x:v>18579488.189969487</x:v>
      </x:c>
      <x:c r="V33" s="35" t="n">
        <x:f>IF('Assumptions'!$E$9=2,'Short-Term build'!V33,IF('Assumptions'!$E$9=3,'Installment build'!V33,'Short-Term build'!V33+'Installment build'!V33))</x:f>
        <x:v>19089761.4543474</x:v>
      </x:c>
      <x:c r="W33" s="35" t="n">
        <x:f>IF('Assumptions'!$E$9=2,'Short-Term build'!W33,IF('Assumptions'!$E$9=3,'Installment build'!W33,'Short-Term build'!W33+'Installment build'!W33))</x:f>
        <x:v>19558615.32753333</x:v>
      </x:c>
      <x:c r="X33" s="35" t="n">
        <x:f>IF('Assumptions'!$E$9=2,'Short-Term build'!X33,IF('Assumptions'!$E$9=3,'Installment build'!X33,'Short-Term build'!X33+'Installment build'!X33))</x:f>
        <x:v>19984184.940658133</x:v>
      </x:c>
      <x:c r="Y33" s="35" t="n">
        <x:f>IF('Assumptions'!$E$9=2,'Short-Term build'!Y33,IF('Assumptions'!$E$9=3,'Installment build'!Y33,'Short-Term build'!Y33+'Installment build'!Y33))</x:f>
        <x:v>20364504.687974658</x:v>
      </x:c>
      <x:c r="Z33" s="35" t="n">
        <x:f>IF('Assumptions'!$E$9=2,'Short-Term build'!Z33,IF('Assumptions'!$E$9=3,'Installment build'!Z33,'Short-Term build'!Z33+'Installment build'!Z33))</x:f>
        <x:v>20697510.473806653</x:v>
      </x:c>
      <x:c r="AA33" s="35" t="n">
        <x:f>IF('Assumptions'!$E$9=2,'Short-Term build'!AA33,IF('Assumptions'!$E$9=3,'Installment build'!AA33,'Short-Term build'!AA33+'Installment build'!AA33))</x:f>
        <x:v>20981039.01293599</x:v>
      </x:c>
      <x:c r="AB33" s="35" t="n">
        <x:f>IF('Assumptions'!$E$9=2,'Short-Term build'!AB33,IF('Assumptions'!$E$9=3,'Installment build'!AB33,'Short-Term build'!AB33+'Installment build'!AB33))</x:f>
        <x:v>21212825.38663048</x:v>
      </x:c>
      <x:c r="AC33" s="35" t="n">
        <x:f>IF('Assumptions'!$E$9=2,'Short-Term build'!AC33,IF('Assumptions'!$E$9=3,'Installment build'!AC33,'Short-Term build'!AC33+'Installment build'!AC33))</x:f>
        <x:v>21390499.5344433</x:v>
      </x:c>
      <x:c r="AD33" s="35" t="n">
        <x:f>IF('Assumptions'!$E$9=2,'Short-Term build'!AD33,IF('Assumptions'!$E$9=3,'Installment build'!AD33,'Short-Term build'!AD33+'Installment build'!AD33))</x:f>
        <x:v>21511582.059700776</x:v>
      </x:c>
      <x:c r="AE33" s="35" t="n">
        <x:f>IF('Assumptions'!$E$9=2,'Short-Term build'!AE33,IF('Assumptions'!$E$9=3,'Installment build'!AE33,'Short-Term build'!AE33+'Installment build'!AE33))</x:f>
        <x:v>21573479.554678053</x:v>
      </x:c>
      <x:c r="AF33" s="35" t="n">
        <x:f>IF('Assumptions'!$E$9=2,'Short-Term build'!AF33,IF('Assumptions'!$E$9=3,'Installment build'!AF33,'Short-Term build'!AF33+'Installment build'!AF33))</x:f>
        <x:v>21573479.554678053</x:v>
      </x:c>
      <x:c r="AG33" s="35" t="n">
        <x:f>IF('Assumptions'!$E$9=2,'Short-Term build'!AG33,IF('Assumptions'!$E$9=3,'Installment build'!AG33,'Short-Term build'!AG33+'Installment build'!AG33))</x:f>
        <x:v>21573479.554678053</x:v>
      </x:c>
      <x:c r="AH33" s="35" t="n">
        <x:f>IF('Assumptions'!$E$9=2,'Short-Term build'!AH33,IF('Assumptions'!$E$9=3,'Installment build'!AH33,'Short-Term build'!AH33+'Installment build'!AH33))</x:f>
        <x:v>21573479.554678053</x:v>
      </x:c>
      <x:c r="AI33" s="35" t="n">
        <x:f>IF('Assumptions'!$E$9=2,'Short-Term build'!AI33,IF('Assumptions'!$E$9=3,'Installment build'!AI33,'Short-Term build'!AI33+'Installment build'!AI33))</x:f>
        <x:v>21573479.554678053</x:v>
      </x:c>
      <x:c r="AJ33" s="35" t="n">
        <x:f>IF('Assumptions'!$E$9=2,'Short-Term build'!AJ33,IF('Assumptions'!$E$9=3,'Installment build'!AJ33,'Short-Term build'!AJ33+'Installment build'!AJ33))</x:f>
        <x:v>21573479.554678053</x:v>
      </x:c>
      <x:c r="AK33" s="35" t="n">
        <x:f>IF('Assumptions'!$E$9=2,'Short-Term build'!AK33,IF('Assumptions'!$E$9=3,'Installment build'!AK33,'Short-Term build'!AK33+'Installment build'!AK33))</x:f>
        <x:v>21573479.554678053</x:v>
      </x:c>
      <x:c r="AL33" s="35" t="n">
        <x:f>IF('Assumptions'!$E$9=2,'Short-Term build'!AL33,IF('Assumptions'!$E$9=3,'Installment build'!AL33,'Short-Term build'!AL33+'Installment build'!AL33))</x:f>
        <x:v>21573479.554678053</x:v>
      </x:c>
      <x:c r="AM33" s="35" t="n">
        <x:f>IF('Assumptions'!$E$9=2,'Short-Term build'!AM33,IF('Assumptions'!$E$9=3,'Installment build'!AM33,'Short-Term build'!AM33+'Installment build'!AM33))</x:f>
        <x:v>21573479.554678053</x:v>
      </x:c>
      <x:c r="AN33" s="35" t="n">
        <x:f>IF('Assumptions'!$E$9=2,'Short-Term build'!AN33,IF('Assumptions'!$E$9=3,'Installment build'!AN33,'Short-Term build'!AN33+'Installment build'!AN33))</x:f>
        <x:v>21573479.554678053</x:v>
      </x:c>
      <x:c r="AO33" s="35" t="n">
        <x:f>IF('Assumptions'!$E$9=2,'Short-Term build'!AO33,IF('Assumptions'!$E$9=3,'Installment build'!AO33,'Short-Term build'!AO33+'Installment build'!AO33))</x:f>
        <x:v>21573479.554678053</x:v>
      </x:c>
      <x:c r="AP33" s="35" t="n">
        <x:f>IF('Assumptions'!$E$9=2,'Short-Term build'!AP33,IF('Assumptions'!$E$9=3,'Installment build'!AP33,'Short-Term build'!AP33+'Installment build'!AP33))</x:f>
        <x:v>21573479.554678053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-5.168840289115906e-8</x:v>
      </x:c>
      <x:c r="F34" s="2"/>
      <x:c r="G34" s="35" t="n">
        <x:f>IF('Assumptions'!$E$9=2,'Short-Term build'!G34,IF('Assumptions'!$E$9=3,'Installment build'!G34,'Short-Term build'!G34+'Installment build'!G34))</x:f>
        <x:v>522814965.2123136</x:v>
      </x:c>
      <x:c r="H34" s="35" t="n">
        <x:f>IF('Assumptions'!$E$9=2,'Short-Term build'!H34,IF('Assumptions'!$E$9=3,'Installment build'!H34,'Short-Term build'!H34+'Installment build'!H34))</x:f>
        <x:v>439965523.9694307</x:v>
      </x:c>
      <x:c r="I34" s="35" t="n">
        <x:f>IF('Assumptions'!$E$9=2,'Short-Term build'!I34,IF('Assumptions'!$E$9=3,'Installment build'!I34,'Short-Term build'!I34+'Installment build'!I34))</x:f>
        <x:v>373316638.5479328</x:v>
      </x:c>
      <x:c r="J34" s="35" t="n">
        <x:f>IF('Assumptions'!$E$9=2,'Short-Term build'!J34,IF('Assumptions'!$E$9=3,'Installment build'!J34,'Short-Term build'!J34+'Installment build'!J34))</x:f>
        <x:v>317391575.4096682</x:v>
      </x:c>
      <x:c r="K34" s="35" t="n">
        <x:f>IF('Assumptions'!$E$9=2,'Short-Term build'!K34,IF('Assumptions'!$E$9=3,'Installment build'!K34,'Short-Term build'!K34+'Installment build'!K34))</x:f>
        <x:v>269526180.99297404</x:v>
      </x:c>
      <x:c r="L34" s="35" t="n">
        <x:f>IF('Assumptions'!$E$9=2,'Short-Term build'!L34,IF('Assumptions'!$E$9=3,'Installment build'!L34,'Short-Term build'!L34+'Installment build'!L34))</x:f>
        <x:v>228155835.87395513</x:v>
      </x:c>
      <x:c r="M34" s="35" t="n">
        <x:f>IF('Assumptions'!$E$9=2,'Short-Term build'!M34,IF('Assumptions'!$E$9=3,'Installment build'!M34,'Short-Term build'!M34+'Installment build'!M34))</x:f>
        <x:v>192266754.41233444</x:v>
      </x:c>
      <x:c r="N34" s="35" t="n">
        <x:f>IF('Assumptions'!$E$9=2,'Short-Term build'!N34,IF('Assumptions'!$E$9=3,'Installment build'!N34,'Short-Term build'!N34+'Installment build'!N34))</x:f>
        <x:v>161165530.8072626</x:v>
      </x:c>
      <x:c r="O34" s="35" t="n">
        <x:f>IF('Assumptions'!$E$9=2,'Short-Term build'!O34,IF('Assumptions'!$E$9=3,'Installment build'!O34,'Short-Term build'!O34+'Installment build'!O34))</x:f>
        <x:v>134364942.90959695</x:v>
      </x:c>
      <x:c r="P34" s="35" t="n">
        <x:f>IF('Assumptions'!$E$9=2,'Short-Term build'!P34,IF('Assumptions'!$E$9=3,'Installment build'!P34,'Short-Term build'!P34+'Installment build'!P34))</x:f>
        <x:v>111521852.04324047</x:v>
      </x:c>
      <x:c r="Q34" s="35" t="n">
        <x:f>IF('Assumptions'!$E$9=2,'Short-Term build'!Q34,IF('Assumptions'!$E$9=3,'Installment build'!Q34,'Short-Term build'!Q34+'Installment build'!Q34))</x:f>
        <x:v>92401892.62553206</x:v>
      </x:c>
      <x:c r="R34" s="35" t="n">
        <x:f>IF('Assumptions'!$E$9=2,'Short-Term build'!R34,IF('Assumptions'!$E$9=3,'Installment build'!R34,'Short-Term build'!R34+'Installment build'!R34))</x:f>
        <x:v>76858638.55173163</x:v>
      </x:c>
      <x:c r="S34" s="35" t="n">
        <x:f>IF('Assumptions'!$E$9=2,'Short-Term build'!S34,IF('Assumptions'!$E$9=3,'Installment build'!S34,'Short-Term build'!S34+'Installment build'!S34))</x:f>
        <x:v>64819156.82372859</x:v>
      </x:c>
      <x:c r="T34" s="35" t="n">
        <x:f>IF('Assumptions'!$E$9=2,'Short-Term build'!T34,IF('Assumptions'!$E$9=3,'Installment build'!T34,'Short-Term build'!T34+'Installment build'!T34))</x:f>
        <x:v>53889088.28170958</x:v>
      </x:c>
      <x:c r="U34" s="35" t="n">
        <x:f>IF('Assumptions'!$E$9=2,'Short-Term build'!U34,IF('Assumptions'!$E$9=3,'Installment build'!U34,'Short-Term build'!U34+'Installment build'!U34))</x:f>
        <x:v>44026671.06189905</x:v>
      </x:c>
      <x:c r="V34" s="35" t="n">
        <x:f>IF('Assumptions'!$E$9=2,'Short-Term build'!V34,IF('Assumptions'!$E$9=3,'Installment build'!V34,'Short-Term build'!V34+'Installment build'!V34))</x:f>
        <x:v>35200281.747259304</x:v>
      </x:c>
      <x:c r="W34" s="35" t="n">
        <x:f>IF('Assumptions'!$E$9=2,'Short-Term build'!W34,IF('Assumptions'!$E$9=3,'Installment build'!W34,'Short-Term build'!W34+'Installment build'!W34))</x:f>
        <x:v>27385614.71284671</x:v>
      </x:c>
      <x:c r="X34" s="35" t="n">
        <x:f>IF('Assumptions'!$E$9=2,'Short-Term build'!X34,IF('Assumptions'!$E$9=3,'Installment build'!X34,'Short-Term build'!X34+'Installment build'!X34))</x:f>
        <x:v>20563688.775766965</x:v>
      </x:c>
      <x:c r="Y34" s="35" t="n">
        <x:f>IF('Assumptions'!$E$9=2,'Short-Term build'!Y34,IF('Assumptions'!$E$9=3,'Installment build'!Y34,'Short-Term build'!Y34+'Installment build'!Y34))</x:f>
        <x:v>14719818.397036582</x:v>
      </x:c>
      <x:c r="Z34" s="35" t="n">
        <x:f>IF('Assumptions'!$E$9=2,'Short-Term build'!Z34,IF('Assumptions'!$E$9=3,'Installment build'!Z34,'Short-Term build'!Z34+'Installment build'!Z34))</x:f>
        <x:v>9843662.276979167</x:v>
      </x:c>
      <x:c r="AA34" s="35" t="n">
        <x:f>IF('Assumptions'!$E$9=2,'Short-Term build'!AA34,IF('Assumptions'!$E$9=3,'Installment build'!AA34,'Short-Term build'!AA34+'Installment build'!AA34))</x:f>
        <x:v>5930008.478899541</x:v>
      </x:c>
      <x:c r="AB34" s="35" t="n">
        <x:f>IF('Assumptions'!$E$9=2,'Short-Term build'!AB34,IF('Assumptions'!$E$9=3,'Installment build'!AB34,'Short-Term build'!AB34+'Installment build'!AB34))</x:f>
        <x:v>2979511.6547523094</x:v>
      </x:c>
      <x:c r="AC34" s="35" t="n">
        <x:f>IF('Assumptions'!$E$9=2,'Short-Term build'!AC34,IF('Assumptions'!$E$9=3,'Installment build'!AC34,'Short-Term build'!AC34+'Installment build'!AC34))</x:f>
        <x:v>998801.9267789926</x:v>
      </x:c>
      <x:c r="AD34" s="35" t="n">
        <x:f>IF('Assumptions'!$E$9=2,'Short-Term build'!AD34,IF('Assumptions'!$E$9=3,'Installment build'!AD34,'Short-Term build'!AD34+'Installment build'!AD34))</x:f>
        <x:v>-5.168840289115906e-8</x:v>
      </x:c>
      <x:c r="AE34" s="35" t="n">
        <x:f>IF('Assumptions'!$E$9=2,'Short-Term build'!AE34,IF('Assumptions'!$E$9=3,'Installment build'!AE34,'Short-Term build'!AE34+'Installment build'!AE34))</x:f>
        <x:v>-5.168840289115906e-8</x:v>
      </x:c>
      <x:c r="AF34" s="35" t="n">
        <x:f>IF('Assumptions'!$E$9=2,'Short-Term build'!AF34,IF('Assumptions'!$E$9=3,'Installment build'!AF34,'Short-Term build'!AF34+'Installment build'!AF34))</x:f>
        <x:v>-5.168840289115906e-8</x:v>
      </x:c>
      <x:c r="AG34" s="35" t="n">
        <x:f>IF('Assumptions'!$E$9=2,'Short-Term build'!AG34,IF('Assumptions'!$E$9=3,'Installment build'!AG34,'Short-Term build'!AG34+'Installment build'!AG34))</x:f>
        <x:v>-5.168840289115906e-8</x:v>
      </x:c>
      <x:c r="AH34" s="35" t="n">
        <x:f>IF('Assumptions'!$E$9=2,'Short-Term build'!AH34,IF('Assumptions'!$E$9=3,'Installment build'!AH34,'Short-Term build'!AH34+'Installment build'!AH34))</x:f>
        <x:v>-5.168840289115906e-8</x:v>
      </x:c>
      <x:c r="AI34" s="35" t="n">
        <x:f>IF('Assumptions'!$E$9=2,'Short-Term build'!AI34,IF('Assumptions'!$E$9=3,'Installment build'!AI34,'Short-Term build'!AI34+'Installment build'!AI34))</x:f>
        <x:v>-5.168840289115906e-8</x:v>
      </x:c>
      <x:c r="AJ34" s="35" t="n">
        <x:f>IF('Assumptions'!$E$9=2,'Short-Term build'!AJ34,IF('Assumptions'!$E$9=3,'Installment build'!AJ34,'Short-Term build'!AJ34+'Installment build'!AJ34))</x:f>
        <x:v>-5.168840289115906e-8</x:v>
      </x:c>
      <x:c r="AK34" s="35" t="n">
        <x:f>IF('Assumptions'!$E$9=2,'Short-Term build'!AK34,IF('Assumptions'!$E$9=3,'Installment build'!AK34,'Short-Term build'!AK34+'Installment build'!AK34))</x:f>
        <x:v>-5.168840289115906e-8</x:v>
      </x:c>
      <x:c r="AL34" s="35" t="n">
        <x:f>IF('Assumptions'!$E$9=2,'Short-Term build'!AL34,IF('Assumptions'!$E$9=3,'Installment build'!AL34,'Short-Term build'!AL34+'Installment build'!AL34))</x:f>
        <x:v>-5.168840289115906e-8</x:v>
      </x:c>
      <x:c r="AM34" s="35" t="n">
        <x:f>IF('Assumptions'!$E$9=2,'Short-Term build'!AM34,IF('Assumptions'!$E$9=3,'Installment build'!AM34,'Short-Term build'!AM34+'Installment build'!AM34))</x:f>
        <x:v>-5.168840289115906e-8</x:v>
      </x:c>
      <x:c r="AN34" s="35" t="n">
        <x:f>IF('Assumptions'!$E$9=2,'Short-Term build'!AN34,IF('Assumptions'!$E$9=3,'Installment build'!AN34,'Short-Term build'!AN34+'Installment build'!AN34))</x:f>
        <x:v>-5.168840289115906e-8</x:v>
      </x:c>
      <x:c r="AO34" s="35" t="n">
        <x:f>IF('Assumptions'!$E$9=2,'Short-Term build'!AO34,IF('Assumptions'!$E$9=3,'Installment build'!AO34,'Short-Term build'!AO34+'Installment build'!AO34))</x:f>
        <x:v>-5.168840289115906e-8</x:v>
      </x:c>
      <x:c r="AP34" s="35" t="n">
        <x:f>IF('Assumptions'!$E$9=2,'Short-Term build'!AP34,IF('Assumptions'!$E$9=3,'Installment build'!AP34,'Short-Term build'!AP34+'Installment build'!AP34))</x:f>
        <x:v>-5.168840289115906e-8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7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Manual lifetime default rate</x:v>
      </x:c>
      <x:c r="D20" s="2"/>
      <x:c r="E20" s="11" t="n">
        <x:v>0.12</x:v>
      </x:c>
      <x:c r="F20" s="11" t="n">
        <x:v>0.06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Manual midpoint (MOB)</x:v>
      </x:c>
      <x:c r="D21" s="2"/>
      <x:c r="E21" s="10" t="n">
        <x:v>2</x:v>
      </x:c>
      <x:c r="F21" s="10" t="n">
        <x:v>5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 t="str">
        <x:v>Historical lifetime default rate</x:v>
      </x:c>
      <x:c r="D22" s="2"/>
      <x:c r="E22" s="11" t="n">
        <x:v>0.12</x:v>
      </x:c>
      <x:c r="F22" s="11" t="n">
        <x:v>0.06</x:v>
      </x:c>
      <x:c r="G22" s="2"/>
      <x:c r="H22" s="2" t="str">
        <x:v>Calibration output from the app’s 37,500-row synthetic loan history, not company actuals.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Historical midpoint (MOB)</x:v>
      </x:c>
      <x:c r="D23" s="2"/>
      <x:c r="E23" s="10" t="n">
        <x:v>2</x:v>
      </x:c>
      <x:c r="F23" s="10" t="n">
        <x:v>5</x:v>
      </x:c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Default-rate stress</x:v>
      </x:c>
      <x:c r="D24" s="2"/>
      <x:c r="E24" s="11" t="n">
        <x:v>0</x:v>
      </x:c>
      <x:c r="F24" s="11" t="n">
        <x:v>0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Applied lifetime default rate</x:v>
      </x:c>
      <x:c r="D25" s="2"/>
      <x:c r="E25" s="14" t="n">
        <x:f>IF(AND(E18=1,E19&gt;=E16),NA(),IF($E$6=2,E22,E20)*(1+E24))</x:f>
        <x:v>0.12</x:v>
      </x:c>
      <x:c r="F25" s="14" t="n">
        <x:f>IF(AND(F18=1,F19&gt;=F16),NA(),IF($E$6=2,F22,F20)*(1+F24))</x:f>
        <x:v>0.06</x:v>
      </x:c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 t="str">
        <x:v>Applied midpoint (MOB)</x:v>
      </x:c>
      <x:c r="D26" s="2"/>
      <x:c r="E26" s="16" t="n">
        <x:f>IF($E$6=2,E23,E21)</x:f>
        <x:v>2</x:v>
      </x:c>
      <x:c r="F26" s="16" t="n">
        <x:f>IF($E$6=2,F23,F21)</x:f>
        <x:v>5</x:v>
      </x:c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6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2" t="n">
        <x:f>'Assumptions'!$E$11*(1+'Assumptions'!$E$12)^(G$6-1)*INDEX('Assumptions'!$E$34:$E$45,MOD(G$6-1,12)+1)</x:f>
        <x:v>30000</x:v>
      </x:c>
      <x:c r="H8" s="32" t="n">
        <x:f>'Assumptions'!$E$11*(1+'Assumptions'!$E$12)^(H$6-1)*INDEX('Assumptions'!$E$34:$E$45,MOD(H$6-1,12)+1)</x:f>
        <x:v>30000</x:v>
      </x:c>
      <x:c r="I8" s="32" t="n">
        <x:f>'Assumptions'!$E$11*(1+'Assumptions'!$E$12)^(I$6-1)*INDEX('Assumptions'!$E$34:$E$45,MOD(I$6-1,12)+1)</x:f>
        <x:v>30000</x:v>
      </x:c>
      <x:c r="J8" s="32" t="n">
        <x:f>'Assumptions'!$E$11*(1+'Assumptions'!$E$12)^(J$6-1)*INDEX('Assumptions'!$E$34:$E$45,MOD(J$6-1,12)+1)</x:f>
        <x:v>30000</x:v>
      </x:c>
      <x:c r="K8" s="32" t="n">
        <x:f>'Assumptions'!$E$11*(1+'Assumptions'!$E$12)^(K$6-1)*INDEX('Assumptions'!$E$34:$E$45,MOD(K$6-1,12)+1)</x:f>
        <x:v>30000</x:v>
      </x:c>
      <x:c r="L8" s="32" t="n">
        <x:f>'Assumptions'!$E$11*(1+'Assumptions'!$E$12)^(L$6-1)*INDEX('Assumptions'!$E$34:$E$45,MOD(L$6-1,12)+1)</x:f>
        <x:v>30000</x:v>
      </x:c>
      <x:c r="M8" s="32" t="n">
        <x:f>'Assumptions'!$E$11*(1+'Assumptions'!$E$12)^(M$6-1)*INDEX('Assumptions'!$E$34:$E$45,MOD(M$6-1,12)+1)</x:f>
        <x:v>30000</x:v>
      </x:c>
      <x:c r="N8" s="32" t="n">
        <x:f>'Assumptions'!$E$11*(1+'Assumptions'!$E$12)^(N$6-1)*INDEX('Assumptions'!$E$34:$E$45,MOD(N$6-1,12)+1)</x:f>
        <x:v>30000</x:v>
      </x:c>
      <x:c r="O8" s="32" t="n">
        <x:f>'Assumptions'!$E$11*(1+'Assumptions'!$E$12)^(O$6-1)*INDEX('Assumptions'!$E$34:$E$45,MOD(O$6-1,12)+1)</x:f>
        <x:v>30000</x:v>
      </x:c>
      <x:c r="P8" s="32" t="n">
        <x:f>'Assumptions'!$E$11*(1+'Assumptions'!$E$12)^(P$6-1)*INDEX('Assumptions'!$E$34:$E$45,MOD(P$6-1,12)+1)</x:f>
        <x:v>30000</x:v>
      </x:c>
      <x:c r="Q8" s="32" t="n">
        <x:f>'Assumptions'!$E$11*(1+'Assumptions'!$E$12)^(Q$6-1)*INDEX('Assumptions'!$E$34:$E$45,MOD(Q$6-1,12)+1)</x:f>
        <x:v>30000</x:v>
      </x:c>
      <x:c r="R8" s="32" t="n">
        <x:f>'Assumptions'!$E$11*(1+'Assumptions'!$E$12)^(R$6-1)*INDEX('Assumptions'!$E$34:$E$45,MOD(R$6-1,12)+1)</x:f>
        <x:v>30000</x:v>
      </x:c>
      <x:c r="S8" s="32" t="n">
        <x:f>'Assumptions'!$E$11*(1+'Assumptions'!$E$12)^(S$6-1)*INDEX('Assumptions'!$E$34:$E$45,MOD(S$6-1,12)+1)</x:f>
        <x:v>30000</x:v>
      </x:c>
      <x:c r="T8" s="32" t="n">
        <x:f>'Assumptions'!$E$11*(1+'Assumptions'!$E$12)^(T$6-1)*INDEX('Assumptions'!$E$34:$E$45,MOD(T$6-1,12)+1)</x:f>
        <x:v>30000</x:v>
      </x:c>
      <x:c r="U8" s="32" t="n">
        <x:f>'Assumptions'!$E$11*(1+'Assumptions'!$E$12)^(U$6-1)*INDEX('Assumptions'!$E$34:$E$45,MOD(U$6-1,12)+1)</x:f>
        <x:v>30000</x:v>
      </x:c>
      <x:c r="V8" s="32" t="n">
        <x:f>'Assumptions'!$E$11*(1+'Assumptions'!$E$12)^(V$6-1)*INDEX('Assumptions'!$E$34:$E$45,MOD(V$6-1,12)+1)</x:f>
        <x:v>30000</x:v>
      </x:c>
      <x:c r="W8" s="32" t="n">
        <x:f>'Assumptions'!$E$11*(1+'Assumptions'!$E$12)^(W$6-1)*INDEX('Assumptions'!$E$34:$E$45,MOD(W$6-1,12)+1)</x:f>
        <x:v>30000</x:v>
      </x:c>
      <x:c r="X8" s="32" t="n">
        <x:f>'Assumptions'!$E$11*(1+'Assumptions'!$E$12)^(X$6-1)*INDEX('Assumptions'!$E$34:$E$45,MOD(X$6-1,12)+1)</x:f>
        <x:v>30000</x:v>
      </x:c>
      <x:c r="Y8" s="32" t="n">
        <x:f>'Assumptions'!$E$11*(1+'Assumptions'!$E$12)^(Y$6-1)*INDEX('Assumptions'!$E$34:$E$45,MOD(Y$6-1,12)+1)</x:f>
        <x:v>30000</x:v>
      </x:c>
      <x:c r="Z8" s="32" t="n">
        <x:f>'Assumptions'!$E$11*(1+'Assumptions'!$E$12)^(Z$6-1)*INDEX('Assumptions'!$E$34:$E$45,MOD(Z$6-1,12)+1)</x:f>
        <x:v>30000</x:v>
      </x:c>
      <x:c r="AA8" s="32" t="n">
        <x:f>'Assumptions'!$E$11*(1+'Assumptions'!$E$12)^(AA$6-1)*INDEX('Assumptions'!$E$34:$E$45,MOD(AA$6-1,12)+1)</x:f>
        <x:v>30000</x:v>
      </x:c>
      <x:c r="AB8" s="32" t="n">
        <x:f>'Assumptions'!$E$11*(1+'Assumptions'!$E$12)^(AB$6-1)*INDEX('Assumptions'!$E$34:$E$45,MOD(AB$6-1,12)+1)</x:f>
        <x:v>30000</x:v>
      </x:c>
      <x:c r="AC8" s="32" t="n">
        <x:f>'Assumptions'!$E$11*(1+'Assumptions'!$E$12)^(AC$6-1)*INDEX('Assumptions'!$E$34:$E$45,MOD(AC$6-1,12)+1)</x:f>
        <x:v>30000</x:v>
      </x:c>
      <x:c r="AD8" s="32" t="n">
        <x:f>'Assumptions'!$E$11*(1+'Assumptions'!$E$12)^(AD$6-1)*INDEX('Assumptions'!$E$34:$E$45,MOD(AD$6-1,12)+1)</x:f>
        <x:v>30000</x:v>
      </x:c>
      <x:c r="AE8" s="32" t="n">
        <x:f>'Assumptions'!$E$11*(1+'Assumptions'!$E$12)^(AE$6-1)*INDEX('Assumptions'!$E$34:$E$45,MOD(AE$6-1,12)+1)</x:f>
        <x:v>30000</x:v>
      </x:c>
      <x:c r="AF8" s="32" t="n">
        <x:f>'Assumptions'!$E$11*(1+'Assumptions'!$E$12)^(AF$6-1)*INDEX('Assumptions'!$E$34:$E$45,MOD(AF$6-1,12)+1)</x:f>
        <x:v>30000</x:v>
      </x:c>
      <x:c r="AG8" s="32" t="n">
        <x:f>'Assumptions'!$E$11*(1+'Assumptions'!$E$12)^(AG$6-1)*INDEX('Assumptions'!$E$34:$E$45,MOD(AG$6-1,12)+1)</x:f>
        <x:v>30000</x:v>
      </x:c>
      <x:c r="AH8" s="32" t="n">
        <x:f>'Assumptions'!$E$11*(1+'Assumptions'!$E$12)^(AH$6-1)*INDEX('Assumptions'!$E$34:$E$45,MOD(AH$6-1,12)+1)</x:f>
        <x:v>30000</x:v>
      </x:c>
      <x:c r="AI8" s="32" t="n">
        <x:f>'Assumptions'!$E$11*(1+'Assumptions'!$E$12)^(AI$6-1)*INDEX('Assumptions'!$E$34:$E$45,MOD(AI$6-1,12)+1)</x:f>
        <x:v>30000</x:v>
      </x:c>
      <x:c r="AJ8" s="32" t="n">
        <x:f>'Assumptions'!$E$11*(1+'Assumptions'!$E$12)^(AJ$6-1)*INDEX('Assumptions'!$E$34:$E$45,MOD(AJ$6-1,12)+1)</x:f>
        <x:v>30000</x:v>
      </x:c>
      <x:c r="AK8" s="32" t="n">
        <x:f>'Assumptions'!$E$11*(1+'Assumptions'!$E$12)^(AK$6-1)*INDEX('Assumptions'!$E$34:$E$45,MOD(AK$6-1,12)+1)</x:f>
        <x:v>30000</x:v>
      </x:c>
      <x:c r="AL8" s="32" t="n">
        <x:f>'Assumptions'!$E$11*(1+'Assumptions'!$E$12)^(AL$6-1)*INDEX('Assumptions'!$E$34:$E$45,MOD(AL$6-1,12)+1)</x:f>
        <x:v>30000</x:v>
      </x:c>
      <x:c r="AM8" s="32" t="n">
        <x:f>'Assumptions'!$E$11*(1+'Assumptions'!$E$12)^(AM$6-1)*INDEX('Assumptions'!$E$34:$E$45,MOD(AM$6-1,12)+1)</x:f>
        <x:v>30000</x:v>
      </x:c>
      <x:c r="AN8" s="32" t="n">
        <x:f>'Assumptions'!$E$11*(1+'Assumptions'!$E$12)^(AN$6-1)*INDEX('Assumptions'!$E$34:$E$45,MOD(AN$6-1,12)+1)</x:f>
        <x:v>30000</x:v>
      </x:c>
      <x:c r="AO8" s="32" t="n">
        <x:f>'Assumptions'!$E$11*(1+'Assumptions'!$E$12)^(AO$6-1)*INDEX('Assumptions'!$E$34:$E$45,MOD(AO$6-1,12)+1)</x:f>
        <x:v>30000</x:v>
      </x:c>
      <x:c r="AP8" s="32" t="n">
        <x:f>'Assumptions'!$E$11*(1+'Assumptions'!$E$12)^(AP$6-1)*INDEX('Assumptions'!$E$34:$E$45,MOD(AP$6-1,12)+1)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324000000</x:v>
      </x:c>
      <x:c r="F11" s="42"/>
      <x:c r="G11" s="43" t="n">
        <x:f>G8*G9*G10</x:f>
        <x:v>13500000</x:v>
      </x:c>
      <x:c r="H11" s="43" t="n">
        <x:f>H8*H9*H10</x:f>
        <x:v>13500000</x:v>
      </x:c>
      <x:c r="I11" s="43" t="n">
        <x:f>I8*I9*I10</x:f>
        <x:v>13500000</x:v>
      </x:c>
      <x:c r="J11" s="43" t="n">
        <x:f>J8*J9*J10</x:f>
        <x:v>13500000</x:v>
      </x:c>
      <x:c r="K11" s="43" t="n">
        <x:f>K8*K9*K10</x:f>
        <x:v>13500000</x:v>
      </x:c>
      <x:c r="L11" s="43" t="n">
        <x:f>L8*L9*L10</x:f>
        <x:v>13500000</x:v>
      </x:c>
      <x:c r="M11" s="43" t="n">
        <x:f>M8*M9*M10</x:f>
        <x:v>13500000</x:v>
      </x:c>
      <x:c r="N11" s="43" t="n">
        <x:f>N8*N9*N10</x:f>
        <x:v>13500000</x:v>
      </x:c>
      <x:c r="O11" s="43" t="n">
        <x:f>O8*O9*O10</x:f>
        <x:v>13500000</x:v>
      </x:c>
      <x:c r="P11" s="43" t="n">
        <x:f>P8*P9*P10</x:f>
        <x:v>13500000</x:v>
      </x:c>
      <x:c r="Q11" s="43" t="n">
        <x:f>Q8*Q9*Q10</x:f>
        <x:v>13500000</x:v>
      </x:c>
      <x:c r="R11" s="43" t="n">
        <x:f>R8*R9*R10</x:f>
        <x:v>13500000</x:v>
      </x:c>
      <x:c r="S11" s="43" t="n">
        <x:f>S8*S9*S10</x:f>
        <x:v>13500000</x:v>
      </x:c>
      <x:c r="T11" s="43" t="n">
        <x:f>T8*T9*T10</x:f>
        <x:v>13500000</x:v>
      </x:c>
      <x:c r="U11" s="43" t="n">
        <x:f>U8*U9*U10</x:f>
        <x:v>13500000</x:v>
      </x:c>
      <x:c r="V11" s="43" t="n">
        <x:f>V8*V9*V10</x:f>
        <x:v>13500000</x:v>
      </x:c>
      <x:c r="W11" s="43" t="n">
        <x:f>W8*W9*W10</x:f>
        <x:v>13500000</x:v>
      </x:c>
      <x:c r="X11" s="43" t="n">
        <x:f>X8*X9*X10</x:f>
        <x:v>13500000</x:v>
      </x:c>
      <x:c r="Y11" s="43" t="n">
        <x:f>Y8*Y9*Y10</x:f>
        <x:v>13500000</x:v>
      </x:c>
      <x:c r="Z11" s="43" t="n">
        <x:f>Z8*Z9*Z10</x:f>
        <x:v>13500000</x:v>
      </x:c>
      <x:c r="AA11" s="43" t="n">
        <x:f>AA8*AA9*AA10</x:f>
        <x:v>13500000</x:v>
      </x:c>
      <x:c r="AB11" s="43" t="n">
        <x:f>AB8*AB9*AB10</x:f>
        <x:v>13500000</x:v>
      </x:c>
      <x:c r="AC11" s="43" t="n">
        <x:f>AC8*AC9*AC10</x:f>
        <x:v>13500000</x:v>
      </x:c>
      <x:c r="AD11" s="43" t="n">
        <x:f>AD8*AD9*AD10</x:f>
        <x:v>13500000</x:v>
      </x:c>
      <x:c r="AE11" s="43" t="n">
        <x:f>AE8*AE9*AE10</x:f>
        <x:v>13500000</x:v>
      </x:c>
      <x:c r="AF11" s="43" t="n">
        <x:f>AF8*AF9*AF10</x:f>
        <x:v>13500000</x:v>
      </x:c>
      <x:c r="AG11" s="43" t="n">
        <x:f>AG8*AG9*AG10</x:f>
        <x:v>13500000</x:v>
      </x:c>
      <x:c r="AH11" s="43" t="n">
        <x:f>AH8*AH9*AH10</x:f>
        <x:v>13500000</x:v>
      </x:c>
      <x:c r="AI11" s="43" t="n">
        <x:f>AI8*AI9*AI10</x:f>
        <x:v>13500000</x:v>
      </x:c>
      <x:c r="AJ11" s="43" t="n">
        <x:f>AJ8*AJ9*AJ10</x:f>
        <x:v>13500000</x:v>
      </x:c>
      <x:c r="AK11" s="43" t="n">
        <x:f>AK8*AK9*AK10</x:f>
        <x:v>13500000</x:v>
      </x:c>
      <x:c r="AL11" s="43" t="n">
        <x:f>AL8*AL9*AL10</x:f>
        <x:v>13500000</x:v>
      </x:c>
      <x:c r="AM11" s="43" t="n">
        <x:f>AM8*AM9*AM10</x:f>
        <x:v>13500000</x:v>
      </x:c>
      <x:c r="AN11" s="43" t="n">
        <x:f>AN8*AN9*AN10</x:f>
        <x:v>13500000</x:v>
      </x:c>
      <x:c r="AO11" s="43" t="n">
        <x:f>AO8*AO9*AO10</x:f>
        <x:v>13500000</x:v>
      </x:c>
      <x:c r="AP11" s="43" t="n">
        <x:f>AP8*AP9*AP10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$E$44</x:f>
        <x:v>255600000</x:v>
      </x:c>
      <x:c r="H13" s="35" t="n">
        <x:f>G16</x:f>
        <x:v>207584072.49072048</x:v>
      </x:c>
      <x:c r="I13" s="35" t="n">
        <x:f>H16</x:f>
        <x:v>177611391.68764296</x:v>
      </x:c>
      <x:c r="J13" s="35" t="n">
        <x:f>I16</x:f>
        <x:v>155982002.50064015</x:v>
      </x:c>
      <x:c r="K13" s="35" t="n">
        <x:f>J16</x:f>
        <x:v>139587014.58593923</x:v>
      </x:c>
      <x:c r="L13" s="35" t="n">
        <x:f>K16</x:f>
        <x:v>126910188.6431934</x:v>
      </x:c>
      <x:c r="M13" s="35" t="n">
        <x:f>L16</x:f>
        <x:v>117059230.54031006</x:v>
      </x:c>
      <x:c r="N13" s="35" t="n">
        <x:f>M16</x:f>
        <x:v>109452321.91034862</x:v>
      </x:c>
      <x:c r="O13" s="35" t="n">
        <x:f>N16</x:f>
        <x:v>103682635.07673098</x:v>
      </x:c>
      <x:c r="P13" s="35" t="n">
        <x:f>O16</x:f>
        <x:v>99448025.37824744</x:v>
      </x:c>
      <x:c r="Q13" s="35" t="n">
        <x:f>P16</x:f>
        <x:v>96513011.97052905</x:v>
      </x:c>
      <x:c r="R13" s="35" t="n">
        <x:f>Q16</x:f>
        <x:v>94690438.21913004</x:v>
      </x:c>
      <x:c r="S13" s="35" t="n">
        <x:f>R16</x:f>
        <x:v>93834011.57117003</x:v>
      </x:c>
      <x:c r="T13" s="35" t="n">
        <x:f>S16</x:f>
        <x:v>93834011.57117003</x:v>
      </x:c>
      <x:c r="U13" s="35" t="n">
        <x:f>T16</x:f>
        <x:v>93834011.57117003</x:v>
      </x:c>
      <x:c r="V13" s="35" t="n">
        <x:f>U16</x:f>
        <x:v>93834011.57117003</x:v>
      </x:c>
      <x:c r="W13" s="35" t="n">
        <x:f>V16</x:f>
        <x:v>93834011.57117003</x:v>
      </x:c>
      <x:c r="X13" s="35" t="n">
        <x:f>W16</x:f>
        <x:v>93834011.57117003</x:v>
      </x:c>
      <x:c r="Y13" s="35" t="n">
        <x:f>X16</x:f>
        <x:v>93834011.57117003</x:v>
      </x:c>
      <x:c r="Z13" s="35" t="n">
        <x:f>Y16</x:f>
        <x:v>93834011.57117003</x:v>
      </x:c>
      <x:c r="AA13" s="35" t="n">
        <x:f>Z16</x:f>
        <x:v>93834011.57117003</x:v>
      </x:c>
      <x:c r="AB13" s="35" t="n">
        <x:f>AA16</x:f>
        <x:v>93834011.57117003</x:v>
      </x:c>
      <x:c r="AC13" s="35" t="n">
        <x:f>AB16</x:f>
        <x:v>93834011.57117003</x:v>
      </x:c>
      <x:c r="AD13" s="35" t="n">
        <x:f>AC16</x:f>
        <x:v>93834011.57117003</x:v>
      </x:c>
      <x:c r="AE13" s="35" t="n">
        <x:f>AD16</x:f>
        <x:v>93834011.57117003</x:v>
      </x:c>
      <x:c r="AF13" s="35" t="n">
        <x:f>AE16</x:f>
        <x:v>93834011.57117003</x:v>
      </x:c>
      <x:c r="AG13" s="35" t="n">
        <x:f>AF16</x:f>
        <x:v>93834011.57117003</x:v>
      </x:c>
      <x:c r="AH13" s="35" t="n">
        <x:f>AG16</x:f>
        <x:v>93834011.57117003</x:v>
      </x:c>
      <x:c r="AI13" s="35" t="n">
        <x:f>AH16</x:f>
        <x:v>93834011.57117003</x:v>
      </x:c>
      <x:c r="AJ13" s="35" t="n">
        <x:f>AI16</x:f>
        <x:v>93834011.57117003</x:v>
      </x:c>
      <x:c r="AK13" s="35" t="n">
        <x:f>AJ16</x:f>
        <x:v>93834011.57117003</x:v>
      </x:c>
      <x:c r="AL13" s="35" t="n">
        <x:f>AK16</x:f>
        <x:v>93834011.57117003</x:v>
      </x:c>
      <x:c r="AM13" s="35" t="n">
        <x:f>AL16</x:f>
        <x:v>93834011.57117003</x:v>
      </x:c>
      <x:c r="AN13" s="35" t="n">
        <x:f>AM16</x:f>
        <x:v>93834011.57117003</x:v>
      </x:c>
      <x:c r="AO13" s="35" t="n">
        <x:f>AN16</x:f>
        <x:v>93834011.57117003</x:v>
      </x:c>
      <x:c r="AP13" s="35" t="n">
        <x:f>AO16</x:f>
        <x:v>93834011.57117003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449733773.1104124</x:v>
      </x:c>
      <x:c r="F14" s="2"/>
      <x:c r="G14" s="35" t="n">
        <x:f>SUM(G29:G30)</x:f>
        <x:v>58832012.53132109</x:v>
      </x:c>
      <x:c r="H14" s="35" t="n">
        <x:f>SUM(H29:H30)</x:f>
        <x:v>41158079.17935099</x:v>
      </x:c>
      <x:c r="I14" s="35" t="n">
        <x:f>SUM(I29:I30)</x:f>
        <x:v>33120650.82227783</x:v>
      </x:c>
      <x:c r="J14" s="35" t="n">
        <x:f>SUM(J29:J30)</x:f>
        <x:v>28127825.15661692</x:v>
      </x:c>
      <x:c r="K14" s="35" t="n">
        <x:f>SUM(K29:K30)</x:f>
        <x:v>24584328.516160544</x:v>
      </x:c>
      <x:c r="L14" s="35" t="n">
        <x:f>SUM(L29:L30)</x:f>
        <x:v>21872903.3230192</x:v>
      </x:c>
      <x:c r="M14" s="35" t="n">
        <x:f>SUM(M29:M30)</x:f>
        <x:v>19697335.99464592</x:v>
      </x:c>
      <x:c r="N14" s="35" t="n">
        <x:f>SUM(N29:N30)</x:f>
        <x:v>17898030.807681262</x:v>
      </x:c>
      <x:c r="O14" s="35" t="n">
        <x:f>SUM(O29:O30)</x:f>
        <x:v>16382552.969216129</x:v>
      </x:c>
      <x:c r="P14" s="35" t="n">
        <x:f>SUM(P29:P30)</x:f>
        <x:v>15092408.5122904</x:v>
      </x:c>
      <x:c r="Q14" s="35" t="n">
        <x:f>SUM(Q29:Q30)</x:f>
        <x:v>13984152.169946004</x:v>
      </x:c>
      <x:c r="R14" s="35" t="n">
        <x:f>SUM(R29:R30)</x:f>
        <x:v>13019621.883547356</x:v>
      </x:c>
      <x:c r="S14" s="35" t="n">
        <x:f>SUM(S29:S30)</x:f>
        <x:v>12163655.937028244</x:v>
      </x:c>
      <x:c r="T14" s="35" t="n">
        <x:f>SUM(T29:T30)</x:f>
        <x:v>12163655.937028244</x:v>
      </x:c>
      <x:c r="U14" s="35" t="n">
        <x:f>SUM(U29:U30)</x:f>
        <x:v>12163655.937028244</x:v>
      </x:c>
      <x:c r="V14" s="35" t="n">
        <x:f>SUM(V29:V30)</x:f>
        <x:v>12163655.937028244</x:v>
      </x:c>
      <x:c r="W14" s="35" t="n">
        <x:f>SUM(W29:W30)</x:f>
        <x:v>12163655.937028244</x:v>
      </x:c>
      <x:c r="X14" s="35" t="n">
        <x:f>SUM(X29:X30)</x:f>
        <x:v>12163655.937028244</x:v>
      </x:c>
      <x:c r="Y14" s="35" t="n">
        <x:f>SUM(Y29:Y30)</x:f>
        <x:v>12163655.937028244</x:v>
      </x:c>
      <x:c r="Z14" s="35" t="n">
        <x:f>SUM(Z29:Z30)</x:f>
        <x:v>12163655.937028244</x:v>
      </x:c>
      <x:c r="AA14" s="35" t="n">
        <x:f>SUM(AA29:AA30)</x:f>
        <x:v>12163655.937028244</x:v>
      </x:c>
      <x:c r="AB14" s="35" t="n">
        <x:f>SUM(AB29:AB30)</x:f>
        <x:v>12163655.937028244</x:v>
      </x:c>
      <x:c r="AC14" s="35" t="n">
        <x:f>SUM(AC29:AC30)</x:f>
        <x:v>12163655.937028244</x:v>
      </x:c>
      <x:c r="AD14" s="35" t="n">
        <x:f>SUM(AD29:AD30)</x:f>
        <x:v>12163655.937028244</x:v>
      </x:c>
      <x:c r="AE14" s="35" t="n">
        <x:f>SUM(AE29:AE30)</x:f>
        <x:v>12163655.937028244</x:v>
      </x:c>
      <x:c r="AF14" s="35" t="n">
        <x:f>SUM(AF29:AF30)</x:f>
        <x:v>12163655.937028244</x:v>
      </x:c>
      <x:c r="AG14" s="35" t="n">
        <x:f>SUM(AG29:AG30)</x:f>
        <x:v>12163655.937028244</x:v>
      </x:c>
      <x:c r="AH14" s="35" t="n">
        <x:f>SUM(AH29:AH30)</x:f>
        <x:v>12163655.937028244</x:v>
      </x:c>
      <x:c r="AI14" s="35" t="n">
        <x:f>SUM(AI29:AI30)</x:f>
        <x:v>12163655.937028244</x:v>
      </x:c>
      <x:c r="AJ14" s="35" t="n">
        <x:f>SUM(AJ29:AJ30)</x:f>
        <x:v>12163655.937028244</x:v>
      </x:c>
      <x:c r="AK14" s="35" t="n">
        <x:f>SUM(AK29:AK30)</x:f>
        <x:v>12163655.937028244</x:v>
      </x:c>
      <x:c r="AL14" s="35" t="n">
        <x:f>SUM(AL29:AL30)</x:f>
        <x:v>12163655.937028244</x:v>
      </x:c>
      <x:c r="AM14" s="35" t="n">
        <x:f>SUM(AM29:AM30)</x:f>
        <x:v>12163655.937028244</x:v>
      </x:c>
      <x:c r="AN14" s="35" t="n">
        <x:f>SUM(AN29:AN30)</x:f>
        <x:v>12163655.937028244</x:v>
      </x:c>
      <x:c r="AO14" s="35" t="n">
        <x:f>SUM(AO29:AO30)</x:f>
        <x:v>12163655.937028244</x:v>
      </x:c>
      <x:c r="AP14" s="35" t="n">
        <x:f>SUM(AP29:AP30)</x:f>
        <x:v>12163655.937028244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36032215.318417385</x:v>
      </x:c>
      <x:c r="F15" s="2"/>
      <x:c r="G15" s="35" t="n">
        <x:f>SUM(G27:G28)</x:f>
        <x:v>2683914.9779584156</x:v>
      </x:c>
      <x:c r="H15" s="35" t="n">
        <x:f>SUM(H27:H28)</x:f>
        <x:v>2314601.623726525</x:v>
      </x:c>
      <x:c r="I15" s="35" t="n">
        <x:f>SUM(I27:I28)</x:f>
        <x:v>2008738.3647249932</x:v>
      </x:c>
      <x:c r="J15" s="35" t="n">
        <x:f>SUM(J27:J28)</x:f>
        <x:v>1767162.758083993</x:v>
      </x:c>
      <x:c r="K15" s="35" t="n">
        <x:f>SUM(K27:K28)</x:f>
        <x:v>1592497.426585286</x:v>
      </x:c>
      <x:c r="L15" s="35" t="n">
        <x:f>SUM(L27:L28)</x:f>
        <x:v>1478054.77986413</x:v>
      </x:c>
      <x:c r="M15" s="35" t="n">
        <x:f>SUM(M27:M28)</x:f>
        <x:v>1409572.6353155072</x:v>
      </x:c>
      <x:c r="N15" s="35" t="n">
        <x:f>SUM(N27:N28)</x:f>
        <x:v>1371656.025936387</x:v>
      </x:c>
      <x:c r="O15" s="35" t="n">
        <x:f>SUM(O27:O28)</x:f>
        <x:v>1352056.7292674158</x:v>
      </x:c>
      <x:c r="P15" s="35" t="n">
        <x:f>SUM(P27:P28)</x:f>
        <x:v>1342604.8954279898</x:v>
      </x:c>
      <x:c r="Q15" s="35" t="n">
        <x:f>SUM(Q27:Q28)</x:f>
        <x:v>1338421.5814530107</x:v>
      </x:c>
      <x:c r="R15" s="35" t="n">
        <x:f>SUM(R27:R28)</x:f>
        <x:v>1336804.7644126574</x:v>
      </x:c>
      <x:c r="S15" s="35" t="n">
        <x:f>SUM(S27:S28)</x:f>
        <x:v>1336344.0629717559</x:v>
      </x:c>
      <x:c r="T15" s="35" t="n">
        <x:f>SUM(T27:T28)</x:f>
        <x:v>1336344.0629717559</x:v>
      </x:c>
      <x:c r="U15" s="35" t="n">
        <x:f>SUM(U27:U28)</x:f>
        <x:v>1336344.0629717559</x:v>
      </x:c>
      <x:c r="V15" s="35" t="n">
        <x:f>SUM(V27:V28)</x:f>
        <x:v>1336344.0629717559</x:v>
      </x:c>
      <x:c r="W15" s="35" t="n">
        <x:f>SUM(W27:W28)</x:f>
        <x:v>1336344.0629717559</x:v>
      </x:c>
      <x:c r="X15" s="35" t="n">
        <x:f>SUM(X27:X28)</x:f>
        <x:v>1336344.0629717559</x:v>
      </x:c>
      <x:c r="Y15" s="35" t="n">
        <x:f>SUM(Y27:Y28)</x:f>
        <x:v>1336344.0629717559</x:v>
      </x:c>
      <x:c r="Z15" s="35" t="n">
        <x:f>SUM(Z27:Z28)</x:f>
        <x:v>1336344.0629717559</x:v>
      </x:c>
      <x:c r="AA15" s="35" t="n">
        <x:f>SUM(AA27:AA28)</x:f>
        <x:v>1336344.0629717559</x:v>
      </x:c>
      <x:c r="AB15" s="35" t="n">
        <x:f>SUM(AB27:AB28)</x:f>
        <x:v>1336344.0629717559</x:v>
      </x:c>
      <x:c r="AC15" s="35" t="n">
        <x:f>SUM(AC27:AC28)</x:f>
        <x:v>1336344.0629717559</x:v>
      </x:c>
      <x:c r="AD15" s="35" t="n">
        <x:f>SUM(AD27:AD28)</x:f>
        <x:v>1336344.0629717559</x:v>
      </x:c>
      <x:c r="AE15" s="35" t="n">
        <x:f>SUM(AE27:AE28)</x:f>
        <x:v>1336344.0629717559</x:v>
      </x:c>
      <x:c r="AF15" s="35" t="n">
        <x:f>SUM(AF27:AF28)</x:f>
        <x:v>1336344.0629717559</x:v>
      </x:c>
      <x:c r="AG15" s="35" t="n">
        <x:f>SUM(AG27:AG28)</x:f>
        <x:v>1336344.0629717559</x:v>
      </x:c>
      <x:c r="AH15" s="35" t="n">
        <x:f>SUM(AH27:AH28)</x:f>
        <x:v>1336344.0629717559</x:v>
      </x:c>
      <x:c r="AI15" s="35" t="n">
        <x:f>SUM(AI27:AI28)</x:f>
        <x:v>1336344.0629717559</x:v>
      </x:c>
      <x:c r="AJ15" s="35" t="n">
        <x:f>SUM(AJ27:AJ28)</x:f>
        <x:v>1336344.0629717559</x:v>
      </x:c>
      <x:c r="AK15" s="35" t="n">
        <x:f>SUM(AK27:AK28)</x:f>
        <x:v>1336344.0629717559</x:v>
      </x:c>
      <x:c r="AL15" s="35" t="n">
        <x:f>SUM(AL27:AL28)</x:f>
        <x:v>1336344.0629717559</x:v>
      </x:c>
      <x:c r="AM15" s="35" t="n">
        <x:f>SUM(AM27:AM28)</x:f>
        <x:v>1336344.0629717559</x:v>
      </x:c>
      <x:c r="AN15" s="35" t="n">
        <x:f>SUM(AN27:AN28)</x:f>
        <x:v>1336344.0629717559</x:v>
      </x:c>
      <x:c r="AO15" s="35" t="n">
        <x:f>SUM(AO27:AO28)</x:f>
        <x:v>1336344.0629717559</x:v>
      </x:c>
      <x:c r="AP15" s="35" t="n">
        <x:f>SUM(AP27:AP28)</x:f>
        <x:v>1336344.0629717559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93834011.57117003</x:v>
      </x:c>
      <x:c r="F16" s="42"/>
      <x:c r="G16" s="43" t="n">
        <x:f>G13+G11-G14-G15</x:f>
        <x:v>207584072.49072048</x:v>
      </x:c>
      <x:c r="H16" s="43" t="n">
        <x:f>H13+H11-H14-H15</x:f>
        <x:v>177611391.68764296</x:v>
      </x:c>
      <x:c r="I16" s="43" t="n">
        <x:f>I13+I11-I14-I15</x:f>
        <x:v>155982002.50064015</x:v>
      </x:c>
      <x:c r="J16" s="43" t="n">
        <x:f>J13+J11-J14-J15</x:f>
        <x:v>139587014.58593923</x:v>
      </x:c>
      <x:c r="K16" s="43" t="n">
        <x:f>K13+K11-K14-K15</x:f>
        <x:v>126910188.6431934</x:v>
      </x:c>
      <x:c r="L16" s="43" t="n">
        <x:f>L13+L11-L14-L15</x:f>
        <x:v>117059230.54031006</x:v>
      </x:c>
      <x:c r="M16" s="43" t="n">
        <x:f>M13+M11-M14-M15</x:f>
        <x:v>109452321.91034862</x:v>
      </x:c>
      <x:c r="N16" s="43" t="n">
        <x:f>N13+N11-N14-N15</x:f>
        <x:v>103682635.07673098</x:v>
      </x:c>
      <x:c r="O16" s="43" t="n">
        <x:f>O13+O11-O14-O15</x:f>
        <x:v>99448025.37824744</x:v>
      </x:c>
      <x:c r="P16" s="43" t="n">
        <x:f>P13+P11-P14-P15</x:f>
        <x:v>96513011.97052905</x:v>
      </x:c>
      <x:c r="Q16" s="43" t="n">
        <x:f>Q13+Q11-Q14-Q15</x:f>
        <x:v>94690438.21913004</x:v>
      </x:c>
      <x:c r="R16" s="43" t="n">
        <x:f>R13+R11-R14-R15</x:f>
        <x:v>93834011.57117003</x:v>
      </x:c>
      <x:c r="S16" s="43" t="n">
        <x:f>S13+S11-S14-S15</x:f>
        <x:v>93834011.57117003</x:v>
      </x:c>
      <x:c r="T16" s="43" t="n">
        <x:f>T13+T11-T14-T15</x:f>
        <x:v>93834011.57117003</x:v>
      </x:c>
      <x:c r="U16" s="43" t="n">
        <x:f>U13+U11-U14-U15</x:f>
        <x:v>93834011.57117003</x:v>
      </x:c>
      <x:c r="V16" s="43" t="n">
        <x:f>V13+V11-V14-V15</x:f>
        <x:v>93834011.57117003</x:v>
      </x:c>
      <x:c r="W16" s="43" t="n">
        <x:f>W13+W11-W14-W15</x:f>
        <x:v>93834011.57117003</x:v>
      </x:c>
      <x:c r="X16" s="43" t="n">
        <x:f>X13+X11-X14-X15</x:f>
        <x:v>93834011.57117003</x:v>
      </x:c>
      <x:c r="Y16" s="43" t="n">
        <x:f>Y13+Y11-Y14-Y15</x:f>
        <x:v>93834011.57117003</x:v>
      </x:c>
      <x:c r="Z16" s="43" t="n">
        <x:f>Z13+Z11-Z14-Z15</x:f>
        <x:v>93834011.57117003</x:v>
      </x:c>
      <x:c r="AA16" s="43" t="n">
        <x:f>AA13+AA11-AA14-AA15</x:f>
        <x:v>93834011.57117003</x:v>
      </x:c>
      <x:c r="AB16" s="43" t="n">
        <x:f>AB13+AB11-AB14-AB15</x:f>
        <x:v>93834011.57117003</x:v>
      </x:c>
      <x:c r="AC16" s="43" t="n">
        <x:f>AC13+AC11-AC14-AC15</x:f>
        <x:v>93834011.57117003</x:v>
      </x:c>
      <x:c r="AD16" s="43" t="n">
        <x:f>AD13+AD11-AD14-AD15</x:f>
        <x:v>93834011.57117003</x:v>
      </x:c>
      <x:c r="AE16" s="43" t="n">
        <x:f>AE13+AE11-AE14-AE15</x:f>
        <x:v>93834011.57117003</x:v>
      </x:c>
      <x:c r="AF16" s="43" t="n">
        <x:f>AF13+AF11-AF14-AF15</x:f>
        <x:v>93834011.57117003</x:v>
      </x:c>
      <x:c r="AG16" s="43" t="n">
        <x:f>AG13+AG11-AG14-AG15</x:f>
        <x:v>93834011.57117003</x:v>
      </x:c>
      <x:c r="AH16" s="43" t="n">
        <x:f>AH13+AH11-AH14-AH15</x:f>
        <x:v>93834011.57117003</x:v>
      </x:c>
      <x:c r="AI16" s="43" t="n">
        <x:f>AI13+AI11-AI14-AI15</x:f>
        <x:v>93834011.57117003</x:v>
      </x:c>
      <x:c r="AJ16" s="43" t="n">
        <x:f>AJ13+AJ11-AJ14-AJ15</x:f>
        <x:v>93834011.57117003</x:v>
      </x:c>
      <x:c r="AK16" s="43" t="n">
        <x:f>AK13+AK11-AK14-AK15</x:f>
        <x:v>93834011.57117003</x:v>
      </x:c>
      <x:c r="AL16" s="43" t="n">
        <x:f>AL13+AL11-AL14-AL15</x:f>
        <x:v>93834011.57117003</x:v>
      </x:c>
      <x:c r="AM16" s="43" t="n">
        <x:f>AM13+AM11-AM14-AM15</x:f>
        <x:v>93834011.57117003</x:v>
      </x:c>
      <x:c r="AN16" s="43" t="n">
        <x:f>AN13+AN11-AN14-AN15</x:f>
        <x:v>93834011.57117003</x:v>
      </x:c>
      <x:c r="AO16" s="43" t="n">
        <x:f>AO13+AO11-AO14-AO15</x:f>
        <x:v>93834011.57117003</x:v>
      </x:c>
      <x:c r="AP16" s="43" t="n">
        <x:f>AP13+AP11-AP14-AP15</x:f>
        <x:v>93834011.57117003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8482363.681195013</x:v>
      </x:c>
      <x:c r="F18" s="2"/>
      <x:c r="G18" s="35" t="n">
        <x:f>$E$48</x:f>
        <x:v>8482363.681195013</x:v>
      </x:c>
      <x:c r="H18" s="35" t="n">
        <x:f>G20</x:f>
        <x:v>7134792.766208353</x:v>
      </x:c>
      <x:c r="I18" s="35" t="n">
        <x:f>H20</x:f>
        <x:v>6156535.205453584</x:v>
      </x:c>
      <x:c r="J18" s="35" t="n">
        <x:f>I20</x:f>
        <x:v>5484140.903700346</x:v>
      </x:c>
      <x:c r="K18" s="35" t="n">
        <x:f>J20</x:f>
        <x:v>5053322.208588108</x:v>
      </x:c>
      <x:c r="L18" s="35" t="n">
        <x:f>K20</x:f>
        <x:v>4797168.844974578</x:v>
      </x:c>
      <x:c r="M18" s="35" t="n">
        <x:f>L20</x:f>
        <x:v>4655458.128082205</x:v>
      </x:c>
      <x:c r="N18" s="35" t="n">
        <x:f>M20</x:f>
        <x:v>4582229.555738453</x:v>
      </x:c>
      <x:c r="O18" s="35" t="n">
        <x:f>N20</x:f>
        <x:v>4546917.592773821</x:v>
      </x:c>
      <x:c r="P18" s="35" t="n">
        <x:f>O20</x:f>
        <x:v>4531204.9264781615</x:v>
      </x:c>
      <x:c r="Q18" s="35" t="n">
        <x:f>P20</x:f>
        <x:v>4524944.094021928</x:v>
      </x:c>
      <x:c r="R18" s="35" t="n">
        <x:f>Q20</x:f>
        <x:v>4522866.575540673</x:v>
      </x:c>
      <x:c r="S18" s="35" t="n">
        <x:f>R20</x:f>
        <x:v>4522405.8740997715</x:v>
      </x:c>
      <x:c r="T18" s="35" t="n">
        <x:f>S20</x:f>
        <x:v>4522405.8740997715</x:v>
      </x:c>
      <x:c r="U18" s="35" t="n">
        <x:f>T20</x:f>
        <x:v>4522405.8740997715</x:v>
      </x:c>
      <x:c r="V18" s="35" t="n">
        <x:f>U20</x:f>
        <x:v>4522405.8740997715</x:v>
      </x:c>
      <x:c r="W18" s="35" t="n">
        <x:f>V20</x:f>
        <x:v>4522405.8740997715</x:v>
      </x:c>
      <x:c r="X18" s="35" t="n">
        <x:f>W20</x:f>
        <x:v>4522405.8740997715</x:v>
      </x:c>
      <x:c r="Y18" s="35" t="n">
        <x:f>X20</x:f>
        <x:v>4522405.8740997715</x:v>
      </x:c>
      <x:c r="Z18" s="35" t="n">
        <x:f>Y20</x:f>
        <x:v>4522405.8740997715</x:v>
      </x:c>
      <x:c r="AA18" s="35" t="n">
        <x:f>Z20</x:f>
        <x:v>4522405.8740997715</x:v>
      </x:c>
      <x:c r="AB18" s="35" t="n">
        <x:f>AA20</x:f>
        <x:v>4522405.8740997715</x:v>
      </x:c>
      <x:c r="AC18" s="35" t="n">
        <x:f>AB20</x:f>
        <x:v>4522405.8740997715</x:v>
      </x:c>
      <x:c r="AD18" s="35" t="n">
        <x:f>AC20</x:f>
        <x:v>4522405.8740997715</x:v>
      </x:c>
      <x:c r="AE18" s="35" t="n">
        <x:f>AD20</x:f>
        <x:v>4522405.8740997715</x:v>
      </x:c>
      <x:c r="AF18" s="35" t="n">
        <x:f>AE20</x:f>
        <x:v>4522405.8740997715</x:v>
      </x:c>
      <x:c r="AG18" s="35" t="n">
        <x:f>AF20</x:f>
        <x:v>4522405.8740997715</x:v>
      </x:c>
      <x:c r="AH18" s="35" t="n">
        <x:f>AG20</x:f>
        <x:v>4522405.8740997715</x:v>
      </x:c>
      <x:c r="AI18" s="35" t="n">
        <x:f>AH20</x:f>
        <x:v>4522405.8740997715</x:v>
      </x:c>
      <x:c r="AJ18" s="35" t="n">
        <x:f>AI20</x:f>
        <x:v>4522405.8740997715</x:v>
      </x:c>
      <x:c r="AK18" s="35" t="n">
        <x:f>AJ20</x:f>
        <x:v>4522405.8740997715</x:v>
      </x:c>
      <x:c r="AL18" s="35" t="n">
        <x:f>AK20</x:f>
        <x:v>4522405.8740997715</x:v>
      </x:c>
      <x:c r="AM18" s="35" t="n">
        <x:f>AL20</x:f>
        <x:v>4522405.8740997715</x:v>
      </x:c>
      <x:c r="AN18" s="35" t="n">
        <x:f>AM20</x:f>
        <x:v>4522405.8740997715</x:v>
      </x:c>
      <x:c r="AO18" s="35" t="n">
        <x:f>AN20</x:f>
        <x:v>4522405.8740997715</x:v>
      </x:c>
      <x:c r="AP18" s="35" t="n">
        <x:f>AO20</x:f>
        <x:v>4522405.8740997715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32072257.511322137</x:v>
      </x:c>
      <x:c r="F19" s="2"/>
      <x:c r="G19" s="35" t="n">
        <x:f>G11*$E$49</x:f>
        <x:v>1336344.0629717556</x:v>
      </x:c>
      <x:c r="H19" s="35" t="n">
        <x:f>H11*$E$49</x:f>
        <x:v>1336344.0629717556</x:v>
      </x:c>
      <x:c r="I19" s="35" t="n">
        <x:f>I11*$E$49</x:f>
        <x:v>1336344.0629717556</x:v>
      </x:c>
      <x:c r="J19" s="35" t="n">
        <x:f>J11*$E$49</x:f>
        <x:v>1336344.0629717556</x:v>
      </x:c>
      <x:c r="K19" s="35" t="n">
        <x:f>K11*$E$49</x:f>
        <x:v>1336344.0629717556</x:v>
      </x:c>
      <x:c r="L19" s="35" t="n">
        <x:f>L11*$E$49</x:f>
        <x:v>1336344.0629717556</x:v>
      </x:c>
      <x:c r="M19" s="35" t="n">
        <x:f>M11*$E$49</x:f>
        <x:v>1336344.0629717556</x:v>
      </x:c>
      <x:c r="N19" s="35" t="n">
        <x:f>N11*$E$49</x:f>
        <x:v>1336344.0629717556</x:v>
      </x:c>
      <x:c r="O19" s="35" t="n">
        <x:f>O11*$E$49</x:f>
        <x:v>1336344.0629717556</x:v>
      </x:c>
      <x:c r="P19" s="35" t="n">
        <x:f>P11*$E$49</x:f>
        <x:v>1336344.0629717556</x:v>
      </x:c>
      <x:c r="Q19" s="35" t="n">
        <x:f>Q11*$E$49</x:f>
        <x:v>1336344.0629717556</x:v>
      </x:c>
      <x:c r="R19" s="35" t="n">
        <x:f>R11*$E$49</x:f>
        <x:v>1336344.0629717556</x:v>
      </x:c>
      <x:c r="S19" s="35" t="n">
        <x:f>S11*$E$49</x:f>
        <x:v>1336344.0629717556</x:v>
      </x:c>
      <x:c r="T19" s="35" t="n">
        <x:f>T11*$E$49</x:f>
        <x:v>1336344.0629717556</x:v>
      </x:c>
      <x:c r="U19" s="35" t="n">
        <x:f>U11*$E$49</x:f>
        <x:v>1336344.0629717556</x:v>
      </x:c>
      <x:c r="V19" s="35" t="n">
        <x:f>V11*$E$49</x:f>
        <x:v>1336344.0629717556</x:v>
      </x:c>
      <x:c r="W19" s="35" t="n">
        <x:f>W11*$E$49</x:f>
        <x:v>1336344.0629717556</x:v>
      </x:c>
      <x:c r="X19" s="35" t="n">
        <x:f>X11*$E$49</x:f>
        <x:v>1336344.0629717556</x:v>
      </x:c>
      <x:c r="Y19" s="35" t="n">
        <x:f>Y11*$E$49</x:f>
        <x:v>1336344.0629717556</x:v>
      </x:c>
      <x:c r="Z19" s="35" t="n">
        <x:f>Z11*$E$49</x:f>
        <x:v>1336344.0629717556</x:v>
      </x:c>
      <x:c r="AA19" s="35" t="n">
        <x:f>AA11*$E$49</x:f>
        <x:v>1336344.0629717556</x:v>
      </x:c>
      <x:c r="AB19" s="35" t="n">
        <x:f>AB11*$E$49</x:f>
        <x:v>1336344.0629717556</x:v>
      </x:c>
      <x:c r="AC19" s="35" t="n">
        <x:f>AC11*$E$49</x:f>
        <x:v>1336344.0629717556</x:v>
      </x:c>
      <x:c r="AD19" s="35" t="n">
        <x:f>AD11*$E$49</x:f>
        <x:v>1336344.0629717556</x:v>
      </x:c>
      <x:c r="AE19" s="35" t="n">
        <x:f>AE11*$E$49</x:f>
        <x:v>1336344.0629717556</x:v>
      </x:c>
      <x:c r="AF19" s="35" t="n">
        <x:f>AF11*$E$49</x:f>
        <x:v>1336344.0629717556</x:v>
      </x:c>
      <x:c r="AG19" s="35" t="n">
        <x:f>AG11*$E$49</x:f>
        <x:v>1336344.0629717556</x:v>
      </x:c>
      <x:c r="AH19" s="35" t="n">
        <x:f>AH11*$E$49</x:f>
        <x:v>1336344.0629717556</x:v>
      </x:c>
      <x:c r="AI19" s="35" t="n">
        <x:f>AI11*$E$49</x:f>
        <x:v>1336344.0629717556</x:v>
      </x:c>
      <x:c r="AJ19" s="35" t="n">
        <x:f>AJ11*$E$49</x:f>
        <x:v>1336344.0629717556</x:v>
      </x:c>
      <x:c r="AK19" s="35" t="n">
        <x:f>AK11*$E$49</x:f>
        <x:v>1336344.0629717556</x:v>
      </x:c>
      <x:c r="AL19" s="35" t="n">
        <x:f>AL11*$E$49</x:f>
        <x:v>1336344.0629717556</x:v>
      </x:c>
      <x:c r="AM19" s="35" t="n">
        <x:f>AM11*$E$49</x:f>
        <x:v>1336344.0629717556</x:v>
      </x:c>
      <x:c r="AN19" s="35" t="n">
        <x:f>AN11*$E$49</x:f>
        <x:v>1336344.0629717556</x:v>
      </x:c>
      <x:c r="AO19" s="35" t="n">
        <x:f>AO11*$E$49</x:f>
        <x:v>1336344.0629717556</x:v>
      </x:c>
      <x:c r="AP19" s="35" t="n">
        <x:f>AP11*$E$49</x:f>
        <x:v>1336344.0629717556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4522405.8740997715</x:v>
      </x:c>
      <x:c r="F20" s="42"/>
      <x:c r="G20" s="43" t="n">
        <x:f>G18+G19-G15</x:f>
        <x:v>7134792.766208353</x:v>
      </x:c>
      <x:c r="H20" s="43" t="n">
        <x:f>H18+H19-H15</x:f>
        <x:v>6156535.205453584</x:v>
      </x:c>
      <x:c r="I20" s="43" t="n">
        <x:f>I18+I19-I15</x:f>
        <x:v>5484140.903700346</x:v>
      </x:c>
      <x:c r="J20" s="43" t="n">
        <x:f>J18+J19-J15</x:f>
        <x:v>5053322.208588108</x:v>
      </x:c>
      <x:c r="K20" s="43" t="n">
        <x:f>K18+K19-K15</x:f>
        <x:v>4797168.844974578</x:v>
      </x:c>
      <x:c r="L20" s="43" t="n">
        <x:f>L18+L19-L15</x:f>
        <x:v>4655458.128082205</x:v>
      </x:c>
      <x:c r="M20" s="43" t="n">
        <x:f>M18+M19-M15</x:f>
        <x:v>4582229.555738453</x:v>
      </x:c>
      <x:c r="N20" s="43" t="n">
        <x:f>N18+N19-N15</x:f>
        <x:v>4546917.592773821</x:v>
      </x:c>
      <x:c r="O20" s="43" t="n">
        <x:f>O18+O19-O15</x:f>
        <x:v>4531204.9264781615</x:v>
      </x:c>
      <x:c r="P20" s="43" t="n">
        <x:f>P18+P19-P15</x:f>
        <x:v>4524944.094021928</x:v>
      </x:c>
      <x:c r="Q20" s="43" t="n">
        <x:f>Q18+Q19-Q15</x:f>
        <x:v>4522866.575540673</x:v>
      </x:c>
      <x:c r="R20" s="43" t="n">
        <x:f>R18+R19-R15</x:f>
        <x:v>4522405.8740997715</x:v>
      </x:c>
      <x:c r="S20" s="43" t="n">
        <x:f>S18+S19-S15</x:f>
        <x:v>4522405.8740997715</x:v>
      </x:c>
      <x:c r="T20" s="43" t="n">
        <x:f>T18+T19-T15</x:f>
        <x:v>4522405.8740997715</x:v>
      </x:c>
      <x:c r="U20" s="43" t="n">
        <x:f>U18+U19-U15</x:f>
        <x:v>4522405.8740997715</x:v>
      </x:c>
      <x:c r="V20" s="43" t="n">
        <x:f>V18+V19-V15</x:f>
        <x:v>4522405.8740997715</x:v>
      </x:c>
      <x:c r="W20" s="43" t="n">
        <x:f>W18+W19-W15</x:f>
        <x:v>4522405.8740997715</x:v>
      </x:c>
      <x:c r="X20" s="43" t="n">
        <x:f>X18+X19-X15</x:f>
        <x:v>4522405.8740997715</x:v>
      </x:c>
      <x:c r="Y20" s="43" t="n">
        <x:f>Y18+Y19-Y15</x:f>
        <x:v>4522405.8740997715</x:v>
      </x:c>
      <x:c r="Z20" s="43" t="n">
        <x:f>Z18+Z19-Z15</x:f>
        <x:v>4522405.8740997715</x:v>
      </x:c>
      <x:c r="AA20" s="43" t="n">
        <x:f>AA18+AA19-AA15</x:f>
        <x:v>4522405.8740997715</x:v>
      </x:c>
      <x:c r="AB20" s="43" t="n">
        <x:f>AB18+AB19-AB15</x:f>
        <x:v>4522405.8740997715</x:v>
      </x:c>
      <x:c r="AC20" s="43" t="n">
        <x:f>AC18+AC19-AC15</x:f>
        <x:v>4522405.8740997715</x:v>
      </x:c>
      <x:c r="AD20" s="43" t="n">
        <x:f>AD18+AD19-AD15</x:f>
        <x:v>4522405.8740997715</x:v>
      </x:c>
      <x:c r="AE20" s="43" t="n">
        <x:f>AE18+AE19-AE15</x:f>
        <x:v>4522405.8740997715</x:v>
      </x:c>
      <x:c r="AF20" s="43" t="n">
        <x:f>AF18+AF19-AF15</x:f>
        <x:v>4522405.8740997715</x:v>
      </x:c>
      <x:c r="AG20" s="43" t="n">
        <x:f>AG18+AG19-AG15</x:f>
        <x:v>4522405.8740997715</x:v>
      </x:c>
      <x:c r="AH20" s="43" t="n">
        <x:f>AH18+AH19-AH15</x:f>
        <x:v>4522405.8740997715</x:v>
      </x:c>
      <x:c r="AI20" s="43" t="n">
        <x:f>AI18+AI19-AI15</x:f>
        <x:v>4522405.8740997715</x:v>
      </x:c>
      <x:c r="AJ20" s="43" t="n">
        <x:f>AJ18+AJ19-AJ15</x:f>
        <x:v>4522405.8740997715</x:v>
      </x:c>
      <x:c r="AK20" s="43" t="n">
        <x:f>AK18+AK19-AK15</x:f>
        <x:v>4522405.8740997715</x:v>
      </x:c>
      <x:c r="AL20" s="43" t="n">
        <x:f>AL18+AL19-AL15</x:f>
        <x:v>4522405.8740997715</x:v>
      </x:c>
      <x:c r="AM20" s="43" t="n">
        <x:f>AM18+AM19-AM15</x:f>
        <x:v>4522405.8740997715</x:v>
      </x:c>
      <x:c r="AN20" s="43" t="n">
        <x:f>AN18+AN19-AN15</x:f>
        <x:v>4522405.8740997715</x:v>
      </x:c>
      <x:c r="AO20" s="43" t="n">
        <x:f>AO18+AO19-AO15</x:f>
        <x:v>4522405.8740997715</x:v>
      </x:c>
      <x:c r="AP20" s="43" t="n">
        <x:f>AP18+AP19-AP15</x:f>
        <x:v>4522405.8740997715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89311605.69707026</x:v>
      </x:c>
      <x:c r="F21" s="42"/>
      <x:c r="G21" s="43" t="n">
        <x:f>G16-G20</x:f>
        <x:v>200449279.72451213</x:v>
      </x:c>
      <x:c r="H21" s="43" t="n">
        <x:f>H16-H20</x:f>
        <x:v>171454856.4821894</x:v>
      </x:c>
      <x:c r="I21" s="43" t="n">
        <x:f>I16-I20</x:f>
        <x:v>150497861.5969398</x:v>
      </x:c>
      <x:c r="J21" s="43" t="n">
        <x:f>J16-J20</x:f>
        <x:v>134533692.3773511</x:v>
      </x:c>
      <x:c r="K21" s="43" t="n">
        <x:f>K16-K20</x:f>
        <x:v>122113019.79821882</x:v>
      </x:c>
      <x:c r="L21" s="43" t="n">
        <x:f>L16-L20</x:f>
        <x:v>112403772.41222785</x:v>
      </x:c>
      <x:c r="M21" s="43" t="n">
        <x:f>M16-M20</x:f>
        <x:v>104870092.35461017</x:v>
      </x:c>
      <x:c r="N21" s="43" t="n">
        <x:f>N16-N20</x:f>
        <x:v>99135717.48395716</x:v>
      </x:c>
      <x:c r="O21" s="43" t="n">
        <x:f>O16-O20</x:f>
        <x:v>94916820.45176928</x:v>
      </x:c>
      <x:c r="P21" s="43" t="n">
        <x:f>P16-P20</x:f>
        <x:v>91988067.87650712</x:v>
      </x:c>
      <x:c r="Q21" s="43" t="n">
        <x:f>Q16-Q20</x:f>
        <x:v>90167571.64358936</x:v>
      </x:c>
      <x:c r="R21" s="43" t="n">
        <x:f>R16-R20</x:f>
        <x:v>89311605.69707026</x:v>
      </x:c>
      <x:c r="S21" s="43" t="n">
        <x:f>S16-S20</x:f>
        <x:v>89311605.69707026</x:v>
      </x:c>
      <x:c r="T21" s="43" t="n">
        <x:f>T16-T20</x:f>
        <x:v>89311605.69707026</x:v>
      </x:c>
      <x:c r="U21" s="43" t="n">
        <x:f>U16-U20</x:f>
        <x:v>89311605.69707026</x:v>
      </x:c>
      <x:c r="V21" s="43" t="n">
        <x:f>V16-V20</x:f>
        <x:v>89311605.69707026</x:v>
      </x:c>
      <x:c r="W21" s="43" t="n">
        <x:f>W16-W20</x:f>
        <x:v>89311605.69707026</x:v>
      </x:c>
      <x:c r="X21" s="43" t="n">
        <x:f>X16-X20</x:f>
        <x:v>89311605.69707026</x:v>
      </x:c>
      <x:c r="Y21" s="43" t="n">
        <x:f>Y16-Y20</x:f>
        <x:v>89311605.69707026</x:v>
      </x:c>
      <x:c r="Z21" s="43" t="n">
        <x:f>Z16-Z20</x:f>
        <x:v>89311605.69707026</x:v>
      </x:c>
      <x:c r="AA21" s="43" t="n">
        <x:f>AA16-AA20</x:f>
        <x:v>89311605.69707026</x:v>
      </x:c>
      <x:c r="AB21" s="43" t="n">
        <x:f>AB16-AB20</x:f>
        <x:v>89311605.69707026</x:v>
      </x:c>
      <x:c r="AC21" s="43" t="n">
        <x:f>AC16-AC20</x:f>
        <x:v>89311605.69707026</x:v>
      </x:c>
      <x:c r="AD21" s="43" t="n">
        <x:f>AD16-AD20</x:f>
        <x:v>89311605.69707026</x:v>
      </x:c>
      <x:c r="AE21" s="43" t="n">
        <x:f>AE16-AE20</x:f>
        <x:v>89311605.69707026</x:v>
      </x:c>
      <x:c r="AF21" s="43" t="n">
        <x:f>AF16-AF20</x:f>
        <x:v>89311605.69707026</x:v>
      </x:c>
      <x:c r="AG21" s="43" t="n">
        <x:f>AG16-AG20</x:f>
        <x:v>89311605.69707026</x:v>
      </x:c>
      <x:c r="AH21" s="43" t="n">
        <x:f>AH16-AH20</x:f>
        <x:v>89311605.69707026</x:v>
      </x:c>
      <x:c r="AI21" s="43" t="n">
        <x:f>AI16-AI20</x:f>
        <x:v>89311605.69707026</x:v>
      </x:c>
      <x:c r="AJ21" s="43" t="n">
        <x:f>AJ16-AJ20</x:f>
        <x:v>89311605.69707026</x:v>
      </x:c>
      <x:c r="AK21" s="43" t="n">
        <x:f>AK16-AK20</x:f>
        <x:v>89311605.69707026</x:v>
      </x:c>
      <x:c r="AL21" s="43" t="n">
        <x:f>AL16-AL20</x:f>
        <x:v>89311605.69707026</x:v>
      </x:c>
      <x:c r="AM21" s="43" t="n">
        <x:f>AM16-AM20</x:f>
        <x:v>89311605.69707026</x:v>
      </x:c>
      <x:c r="AN21" s="43" t="n">
        <x:f>AN16-AN20</x:f>
        <x:v>89311605.69707026</x:v>
      </x:c>
      <x:c r="AO21" s="43" t="n">
        <x:f>AO16-AO20</x:f>
        <x:v>89311605.69707026</x:v>
      </x:c>
      <x:c r="AP21" s="43" t="n">
        <x:f>AP16-AP20</x:f>
        <x:v>89311605.69707026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231174688.0449214</x:v>
      </x:c>
      <x:c r="F24" s="42"/>
      <x:c r="G24" s="43" t="n">
        <x:f>(G13-G15)*G23/12</x:f>
        <x:v>21076340.418503467</x:v>
      </x:c>
      <x:c r="H24" s="43" t="n">
        <x:f>(H13-H15)*H23/12</x:f>
        <x:v>17105789.238916162</x:v>
      </x:c>
      <x:c r="I24" s="43" t="n">
        <x:f>(I13-I15)*I23/12</x:f>
        <x:v>14633554.443576498</x:v>
      </x:c>
      <x:c r="J24" s="43" t="n">
        <x:f>(J13-J15)*J23/12</x:f>
        <x:v>12851236.645213014</x:v>
      </x:c>
      <x:c r="K24" s="43" t="n">
        <x:f>(K13-K15)*K23/12</x:f>
        <x:v>11499543.096612828</x:v>
      </x:c>
      <x:c r="L24" s="43" t="n">
        <x:f>(L13-L15)*L23/12</x:f>
        <x:v>10452677.821944105</x:v>
      </x:c>
      <x:c r="M24" s="43" t="n">
        <x:f>(M13-M15)*M23/12</x:f>
        <x:v>9637471.492082879</x:v>
      </x:c>
      <x:c r="N24" s="43" t="n">
        <x:f>(N13-N15)*N23/12</x:f>
        <x:v>9006722.157034354</x:v>
      </x:c>
      <x:c r="O24" s="43" t="n">
        <x:f>(O13-O15)*O23/12</x:f>
        <x:v>8527548.195621964</x:v>
      </x:c>
      <x:c r="P24" s="43" t="n">
        <x:f>(P13-P15)*P23/12</x:f>
        <x:v>8175451.706901621</x:v>
      </x:c>
      <x:c r="Q24" s="43" t="n">
        <x:f>(Q13-Q15)*Q23/12</x:f>
        <x:v>7931215.865756337</x:v>
      </x:c>
      <x:c r="R24" s="43" t="n">
        <x:f>(R13-R15)*R23/12</x:f>
        <x:v>7779469.454559782</x:v>
      </x:c>
      <x:c r="S24" s="43" t="n">
        <x:f>(S13-S15)*S23/12</x:f>
        <x:v>7708138.959016523</x:v>
      </x:c>
      <x:c r="T24" s="43" t="n">
        <x:f>(T13-T15)*T23/12</x:f>
        <x:v>7708138.959016523</x:v>
      </x:c>
      <x:c r="U24" s="43" t="n">
        <x:f>(U13-U15)*U23/12</x:f>
        <x:v>7708138.959016523</x:v>
      </x:c>
      <x:c r="V24" s="43" t="n">
        <x:f>(V13-V15)*V23/12</x:f>
        <x:v>7708138.959016523</x:v>
      </x:c>
      <x:c r="W24" s="43" t="n">
        <x:f>(W13-W15)*W23/12</x:f>
        <x:v>7708138.959016523</x:v>
      </x:c>
      <x:c r="X24" s="43" t="n">
        <x:f>(X13-X15)*X23/12</x:f>
        <x:v>7708138.959016523</x:v>
      </x:c>
      <x:c r="Y24" s="43" t="n">
        <x:f>(Y13-Y15)*Y23/12</x:f>
        <x:v>7708138.959016523</x:v>
      </x:c>
      <x:c r="Z24" s="43" t="n">
        <x:f>(Z13-Z15)*Z23/12</x:f>
        <x:v>7708138.959016523</x:v>
      </x:c>
      <x:c r="AA24" s="43" t="n">
        <x:f>(AA13-AA15)*AA23/12</x:f>
        <x:v>7708138.959016523</x:v>
      </x:c>
      <x:c r="AB24" s="43" t="n">
        <x:f>(AB13-AB15)*AB23/12</x:f>
        <x:v>7708138.959016523</x:v>
      </x:c>
      <x:c r="AC24" s="43" t="n">
        <x:f>(AC13-AC15)*AC23/12</x:f>
        <x:v>7708138.959016523</x:v>
      </x:c>
      <x:c r="AD24" s="43" t="n">
        <x:f>(AD13-AD15)*AD23/12</x:f>
        <x:v>7708138.959016523</x:v>
      </x:c>
      <x:c r="AE24" s="43" t="n">
        <x:f>(AE13-AE15)*AE23/12</x:f>
        <x:v>7708138.959016523</x:v>
      </x:c>
      <x:c r="AF24" s="43" t="n">
        <x:f>(AF13-AF15)*AF23/12</x:f>
        <x:v>7708138.959016523</x:v>
      </x:c>
      <x:c r="AG24" s="43" t="n">
        <x:f>(AG13-AG15)*AG23/12</x:f>
        <x:v>7708138.959016523</x:v>
      </x:c>
      <x:c r="AH24" s="43" t="n">
        <x:f>(AH13-AH15)*AH23/12</x:f>
        <x:v>7708138.959016523</x:v>
      </x:c>
      <x:c r="AI24" s="43" t="n">
        <x:f>(AI13-AI15)*AI23/12</x:f>
        <x:v>7708138.959016523</x:v>
      </x:c>
      <x:c r="AJ24" s="43" t="n">
        <x:f>(AJ13-AJ15)*AJ23/12</x:f>
        <x:v>7708138.959016523</x:v>
      </x:c>
      <x:c r="AK24" s="43" t="n">
        <x:f>(AK13-AK15)*AK23/12</x:f>
        <x:v>7708138.959016523</x:v>
      </x:c>
      <x:c r="AL24" s="43" t="n">
        <x:f>(AL13-AL15)*AL23/12</x:f>
        <x:v>7708138.959016523</x:v>
      </x:c>
      <x:c r="AM24" s="43" t="n">
        <x:f>(AM13-AM15)*AM23/12</x:f>
        <x:v>7708138.959016523</x:v>
      </x:c>
      <x:c r="AN24" s="43" t="n">
        <x:f>(AN13-AN15)*AN23/12</x:f>
        <x:v>7708138.959016523</x:v>
      </x:c>
      <x:c r="AO24" s="43" t="n">
        <x:f>(AO13-AO15)*AO23/12</x:f>
        <x:v>7708138.959016523</x:v>
      </x:c>
      <x:c r="AP24" s="43" t="n">
        <x:f>(AP13-AP15)*AP23/12</x:f>
        <x:v>7708138.959016523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199102430.53359908</x:v>
      </x:c>
      <x:c r="F25" s="46"/>
      <x:c r="G25" s="47" t="n">
        <x:f>G24-G19</x:f>
        <x:v>19739996.35553171</x:v>
      </x:c>
      <x:c r="H25" s="47" t="n">
        <x:f>H24-H19</x:f>
        <x:v>15769445.175944407</x:v>
      </x:c>
      <x:c r="I25" s="47" t="n">
        <x:f>I24-I19</x:f>
        <x:v>13297210.380604742</x:v>
      </x:c>
      <x:c r="J25" s="47" t="n">
        <x:f>J24-J19</x:f>
        <x:v>11514892.582241258</x:v>
      </x:c>
      <x:c r="K25" s="47" t="n">
        <x:f>K24-K19</x:f>
        <x:v>10163199.033641072</x:v>
      </x:c>
      <x:c r="L25" s="47" t="n">
        <x:f>L24-L19</x:f>
        <x:v>9116333.758972349</x:v>
      </x:c>
      <x:c r="M25" s="47" t="n">
        <x:f>M24-M19</x:f>
        <x:v>8301127.429111123</x:v>
      </x:c>
      <x:c r="N25" s="47" t="n">
        <x:f>N24-N19</x:f>
        <x:v>7670378.094062598</x:v>
      </x:c>
      <x:c r="O25" s="47" t="n">
        <x:f>O24-O19</x:f>
        <x:v>7191204.132650208</x:v>
      </x:c>
      <x:c r="P25" s="47" t="n">
        <x:f>P24-P19</x:f>
        <x:v>6839107.643929865</x:v>
      </x:c>
      <x:c r="Q25" s="47" t="n">
        <x:f>Q24-Q19</x:f>
        <x:v>6594871.802784581</x:v>
      </x:c>
      <x:c r="R25" s="47" t="n">
        <x:f>R24-R19</x:f>
        <x:v>6443125.391588026</x:v>
      </x:c>
      <x:c r="S25" s="47" t="n">
        <x:f>S24-S19</x:f>
        <x:v>6371794.896044767</x:v>
      </x:c>
      <x:c r="T25" s="47" t="n">
        <x:f>T24-T19</x:f>
        <x:v>6371794.896044767</x:v>
      </x:c>
      <x:c r="U25" s="47" t="n">
        <x:f>U24-U19</x:f>
        <x:v>6371794.896044767</x:v>
      </x:c>
      <x:c r="V25" s="47" t="n">
        <x:f>V24-V19</x:f>
        <x:v>6371794.896044767</x:v>
      </x:c>
      <x:c r="W25" s="47" t="n">
        <x:f>W24-W19</x:f>
        <x:v>6371794.896044767</x:v>
      </x:c>
      <x:c r="X25" s="47" t="n">
        <x:f>X24-X19</x:f>
        <x:v>6371794.896044767</x:v>
      </x:c>
      <x:c r="Y25" s="47" t="n">
        <x:f>Y24-Y19</x:f>
        <x:v>6371794.896044767</x:v>
      </x:c>
      <x:c r="Z25" s="47" t="n">
        <x:f>Z24-Z19</x:f>
        <x:v>6371794.896044767</x:v>
      </x:c>
      <x:c r="AA25" s="47" t="n">
        <x:f>AA24-AA19</x:f>
        <x:v>6371794.896044767</x:v>
      </x:c>
      <x:c r="AB25" s="47" t="n">
        <x:f>AB24-AB19</x:f>
        <x:v>6371794.896044767</x:v>
      </x:c>
      <x:c r="AC25" s="47" t="n">
        <x:f>AC24-AC19</x:f>
        <x:v>6371794.896044767</x:v>
      </x:c>
      <x:c r="AD25" s="47" t="n">
        <x:f>AD24-AD19</x:f>
        <x:v>6371794.896044767</x:v>
      </x:c>
      <x:c r="AE25" s="47" t="n">
        <x:f>AE24-AE19</x:f>
        <x:v>6371794.896044767</x:v>
      </x:c>
      <x:c r="AF25" s="47" t="n">
        <x:f>AF24-AF19</x:f>
        <x:v>6371794.896044767</x:v>
      </x:c>
      <x:c r="AG25" s="47" t="n">
        <x:f>AG24-AG19</x:f>
        <x:v>6371794.896044767</x:v>
      </x:c>
      <x:c r="AH25" s="47" t="n">
        <x:f>AH24-AH19</x:f>
        <x:v>6371794.896044767</x:v>
      </x:c>
      <x:c r="AI25" s="47" t="n">
        <x:f>AI24-AI19</x:f>
        <x:v>6371794.896044767</x:v>
      </x:c>
      <x:c r="AJ25" s="47" t="n">
        <x:f>AJ24-AJ19</x:f>
        <x:v>6371794.896044767</x:v>
      </x:c>
      <x:c r="AK25" s="47" t="n">
        <x:f>AK24-AK19</x:f>
        <x:v>6371794.896044767</x:v>
      </x:c>
      <x:c r="AL25" s="47" t="n">
        <x:f>AL24-AL19</x:f>
        <x:v>6371794.896044767</x:v>
      </x:c>
      <x:c r="AM25" s="47" t="n">
        <x:f>AM24-AM19</x:f>
        <x:v>6371794.896044767</x:v>
      </x:c>
      <x:c r="AN25" s="47" t="n">
        <x:f>AN24-AN19</x:f>
        <x:v>6371794.896044767</x:v>
      </x:c>
      <x:c r="AO25" s="47" t="n">
        <x:f>AO24-AO19</x:f>
        <x:v>6371794.896044767</x:v>
      </x:c>
      <x:c r="AP25" s="47" t="n">
        <x:f>AP24-AP19</x:f>
        <x:v>6371794.896044767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8482363.681195013</x:v>
      </x:c>
      <x:c r="F27" s="2"/>
      <x:c r="G27" s="35" t="n">
        <x:f>SUMPRODUCT($E$160:$E$219,$E$52:$E$111)</x:f>
        <x:v>2683914.9779584156</x:v>
      </x:c>
      <x:c r="H27" s="35" t="n">
        <x:f>SUMPRODUCT($E$160:$E$219,$E$53:$E$112)</x:f>
        <x:v>2063859.6314179075</x:v>
      </x:c>
      <x:c r="I27" s="35" t="n">
        <x:f>SUMPRODUCT($E$160:$E$219,$E$54:$E$113)</x:f>
        <x:v>1483327.0595526134</x:v>
      </x:c>
      <x:c r="J27" s="35" t="n">
        <x:f>SUMPRODUCT($E$160:$E$219,$E$55:$E$114)</x:f>
        <x:v>983292.1834993744</x:v>
      </x:c>
      <x:c r="K27" s="35" t="n">
        <x:f>SUMPRODUCT($E$160:$E$219,$E$56:$E$115)</x:f>
        <x:v>600075.1299952669</x:v>
      </x:c>
      <x:c r="L27" s="35" t="n">
        <x:f>SUMPRODUCT($E$160:$E$219,$E$57:$E$116)</x:f>
        <x:v>339027.75938130025</x:v>
      </x:c>
      <x:c r="M27" s="35" t="n">
        <x:f>SUMPRODUCT($E$160:$E$219,$E$58:$E$117)</x:f>
        <x:v>178479.98805921496</x:v>
      </x:c>
      <x:c r="N27" s="35" t="n">
        <x:f>SUMPRODUCT($E$160:$E$219,$E$59:$E$118)</x:f>
        <x:v>87651.68020437453</x:v>
      </x:c>
      <x:c r="O27" s="35" t="n">
        <x:f>SUMPRODUCT($E$160:$E$219,$E$60:$E$119)</x:f>
        <x:v>39769.37078507599</x:v>
      </x:c>
      <x:c r="P27" s="35" t="n">
        <x:f>SUMPRODUCT($E$160:$E$219,$E$61:$E$120)</x:f>
        <x:v>16196.679515473314</x:v>
      </x:c>
      <x:c r="Q27" s="35" t="n">
        <x:f>SUMPRODUCT($E$160:$E$219,$E$62:$E$121)</x:f>
        <x:v>5511.151506612968</x:v>
      </x:c>
      <x:c r="R27" s="35" t="n">
        <x:f>SUMPRODUCT($E$160:$E$219,$E$63:$E$122)</x:f>
        <x:v>1258.0693193849104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27549851.63722237</x:v>
      </x:c>
      <x:c r="F28" s="2"/>
      <x:c r="G28" s="35" t="n">
        <x:f>SUMPRODUCT($G$11:G11,$CY$150:$CY$150)</x:f>
        <x:v>0</x:v>
      </x:c>
      <x:c r="H28" s="35" t="n">
        <x:f>SUMPRODUCT($G$11:H11,$CX$150:$CY$150)</x:f>
        <x:v>250741.99230861754</x:v>
      </x:c>
      <x:c r="I28" s="35" t="n">
        <x:f>SUMPRODUCT($G$11:I11,$CW$150:$CY$150)</x:f>
        <x:v>525411.3051723798</x:v>
      </x:c>
      <x:c r="J28" s="35" t="n">
        <x:f>SUMPRODUCT($G$11:J11,$CV$150:$CY$150)</x:f>
        <x:v>783870.5745846187</x:v>
      </x:c>
      <x:c r="K28" s="35" t="n">
        <x:f>SUMPRODUCT($G$11:K11,$CU$150:$CY$150)</x:f>
        <x:v>992422.2965900191</x:v>
      </x:c>
      <x:c r="L28" s="35" t="n">
        <x:f>SUMPRODUCT($G$11:L11,$CT$150:$CY$150)</x:f>
        <x:v>1139027.0204828298</x:v>
      </x:c>
      <x:c r="M28" s="35" t="n">
        <x:f>SUMPRODUCT($G$11:M11,$CS$150:$CY$150)</x:f>
        <x:v>1231092.6472562922</x:v>
      </x:c>
      <x:c r="N28" s="35" t="n">
        <x:f>SUMPRODUCT($G$11:N11,$CR$150:$CY$150)</x:f>
        <x:v>1284004.3457320125</x:v>
      </x:c>
      <x:c r="O28" s="35" t="n">
        <x:f>SUMPRODUCT($G$11:O11,$CQ$150:$CY$150)</x:f>
        <x:v>1312287.35848234</x:v>
      </x:c>
      <x:c r="P28" s="35" t="n">
        <x:f>SUMPRODUCT($G$11:P11,$CP$150:$CY$150)</x:f>
        <x:v>1326408.2159125165</x:v>
      </x:c>
      <x:c r="Q28" s="35" t="n">
        <x:f>SUMPRODUCT($G$11:Q11,$CO$150:$CY$150)</x:f>
        <x:v>1332910.4299463977</x:v>
      </x:c>
      <x:c r="R28" s="35" t="n">
        <x:f>SUMPRODUCT($G$11:R11,$CN$150:$CY$150)</x:f>
        <x:v>1335546.6950932725</x:v>
      </x:c>
      <x:c r="S28" s="35" t="n">
        <x:f>SUMPRODUCT($G$11:S11,$CM$150:$CY$150)</x:f>
        <x:v>1336344.0629717559</x:v>
      </x:c>
      <x:c r="T28" s="35" t="n">
        <x:f>SUMPRODUCT($G$11:T11,$CL$150:$CY$150)</x:f>
        <x:v>1336344.0629717559</x:v>
      </x:c>
      <x:c r="U28" s="35" t="n">
        <x:f>SUMPRODUCT($G$11:U11,$CK$150:$CY$150)</x:f>
        <x:v>1336344.0629717559</x:v>
      </x:c>
      <x:c r="V28" s="35" t="n">
        <x:f>SUMPRODUCT($G$11:V11,$CJ$150:$CY$150)</x:f>
        <x:v>1336344.0629717559</x:v>
      </x:c>
      <x:c r="W28" s="35" t="n">
        <x:f>SUMPRODUCT($G$11:W11,$CI$150:$CY$150)</x:f>
        <x:v>1336344.0629717559</x:v>
      </x:c>
      <x:c r="X28" s="35" t="n">
        <x:f>SUMPRODUCT($G$11:X11,$CH$150:$CY$150)</x:f>
        <x:v>1336344.0629717559</x:v>
      </x:c>
      <x:c r="Y28" s="35" t="n">
        <x:f>SUMPRODUCT($G$11:Y11,$CG$150:$CY$150)</x:f>
        <x:v>1336344.0629717559</x:v>
      </x:c>
      <x:c r="Z28" s="35" t="n">
        <x:f>SUMPRODUCT($G$11:Z11,$CF$150:$CY$150)</x:f>
        <x:v>1336344.0629717559</x:v>
      </x:c>
      <x:c r="AA28" s="35" t="n">
        <x:f>SUMPRODUCT($G$11:AA11,$CE$150:$CY$150)</x:f>
        <x:v>1336344.0629717559</x:v>
      </x:c>
      <x:c r="AB28" s="35" t="n">
        <x:f>SUMPRODUCT($G$11:AB11,$CD$150:$CY$150)</x:f>
        <x:v>1336344.0629717559</x:v>
      </x:c>
      <x:c r="AC28" s="35" t="n">
        <x:f>SUMPRODUCT($G$11:AC11,$CC$150:$CY$150)</x:f>
        <x:v>1336344.0629717559</x:v>
      </x:c>
      <x:c r="AD28" s="35" t="n">
        <x:f>SUMPRODUCT($G$11:AD11,$CB$150:$CY$150)</x:f>
        <x:v>1336344.0629717559</x:v>
      </x:c>
      <x:c r="AE28" s="35" t="n">
        <x:f>SUMPRODUCT($G$11:AE11,$CA$150:$CY$150)</x:f>
        <x:v>1336344.0629717559</x:v>
      </x:c>
      <x:c r="AF28" s="35" t="n">
        <x:f>SUMPRODUCT($G$11:AF11,$BZ$150:$CY$150)</x:f>
        <x:v>1336344.0629717559</x:v>
      </x:c>
      <x:c r="AG28" s="35" t="n">
        <x:f>SUMPRODUCT($G$11:AG11,$BY$150:$CY$150)</x:f>
        <x:v>1336344.0629717559</x:v>
      </x:c>
      <x:c r="AH28" s="35" t="n">
        <x:f>SUMPRODUCT($G$11:AH11,$BX$150:$CY$150)</x:f>
        <x:v>1336344.0629717559</x:v>
      </x:c>
      <x:c r="AI28" s="35" t="n">
        <x:f>SUMPRODUCT($G$11:AI11,$BW$150:$CY$150)</x:f>
        <x:v>1336344.0629717559</x:v>
      </x:c>
      <x:c r="AJ28" s="35" t="n">
        <x:f>SUMPRODUCT($G$11:AJ11,$BV$150:$CY$150)</x:f>
        <x:v>1336344.0629717559</x:v>
      </x:c>
      <x:c r="AK28" s="35" t="n">
        <x:f>SUMPRODUCT($G$11:AK11,$BU$150:$CY$150)</x:f>
        <x:v>1336344.0629717559</x:v>
      </x:c>
      <x:c r="AL28" s="35" t="n">
        <x:f>SUMPRODUCT($G$11:AL11,$BT$150:$CY$150)</x:f>
        <x:v>1336344.0629717559</x:v>
      </x:c>
      <x:c r="AM28" s="35" t="n">
        <x:f>SUMPRODUCT($G$11:AM11,$BS$150:$CY$150)</x:f>
        <x:v>1336344.0629717559</x:v>
      </x:c>
      <x:c r="AN28" s="35" t="n">
        <x:f>SUMPRODUCT($G$11:AN11,$BR$150:$CY$150)</x:f>
        <x:v>1336344.0629717559</x:v>
      </x:c>
      <x:c r="AO28" s="35" t="n">
        <x:f>SUMPRODUCT($G$11:AO11,$BQ$150:$CY$150)</x:f>
        <x:v>1336344.0629717559</x:v>
      </x:c>
      <x:c r="AP28" s="35" t="n">
        <x:f>SUMPRODUCT($G$11:AP11,$BP$150:$CY$150)</x:f>
        <x:v>1336344.0629717559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247117636.31880492</x:v>
      </x:c>
      <x:c r="F29" s="2"/>
      <x:c r="G29" s="35" t="n">
        <x:f>SUMPRODUCT($E$160:$E$219,$F$52:$F$111)</x:f>
        <x:v>58832012.53132109</x:v>
      </x:c>
      <x:c r="H29" s="35" t="n">
        <x:f>SUMPRODUCT($E$160:$E$219,$F$53:$F$112)</x:f>
        <x:v>40473590.228200704</x:v>
      </x:c>
      <x:c r="I29" s="35" t="n">
        <x:f>SUMPRODUCT($E$160:$E$219,$F$54:$F$113)</x:f>
        <x:v>31710842.217499595</x:v>
      </x:c>
      <x:c r="J29" s="35" t="n">
        <x:f>SUMPRODUCT($E$160:$E$219,$F$55:$F$114)</x:f>
        <x:v>25949814.47414756</x:v>
      </x:c>
      <x:c r="K29" s="35" t="n">
        <x:f>SUMPRODUCT($E$160:$E$219,$F$56:$F$115)</x:f>
        <x:v>21590568.714319002</x:v>
      </x:c>
      <x:c r="L29" s="35" t="n">
        <x:f>SUMPRODUCT($E$160:$E$219,$F$57:$F$116)</x:f>
        <x:v>18009033.262110785</x:v>
      </x:c>
      <x:c r="M29" s="35" t="n">
        <x:f>SUMPRODUCT($E$160:$E$219,$F$58:$F$117)</x:f>
        <x:v>14901059.714506784</x:v>
      </x:c>
      <x:c r="N29" s="35" t="n">
        <x:f>SUMPRODUCT($E$160:$E$219,$F$59:$F$118)</x:f>
        <x:v>12098800.085211527</x:v>
      </x:c>
      <x:c r="O29" s="35" t="n">
        <x:f>SUMPRODUCT($E$160:$E$219,$F$60:$F$119)</x:f>
        <x:v>9501577.355937254</x:v>
      </x:c>
      <x:c r="P29" s="35" t="n">
        <x:f>SUMPRODUCT($E$160:$E$219,$F$61:$F$120)</x:f>
        <x:v>7042660.919055321</x:v>
      </x:c>
      <x:c r="Q29" s="35" t="n">
        <x:f>SUMPRODUCT($E$160:$E$219,$F$62:$F$121)</x:f>
        <x:v>4670231.347154708</x:v>
      </x:c>
      <x:c r="R29" s="35" t="n">
        <x:f>SUMPRODUCT($E$160:$E$219,$F$63:$F$122)</x:f>
        <x:v>2337445.469340652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202616136.7916075</x:v>
      </x:c>
      <x:c r="F30" s="2"/>
      <x:c r="G30" s="35" t="n">
        <x:f>SUMPRODUCT($G$11:G11,$CY$151:$CY$151)</x:f>
        <x:v>0</x:v>
      </x:c>
      <x:c r="H30" s="35" t="n">
        <x:f>SUMPRODUCT($G$11:H11,$CX$151:$CY$151)</x:f>
        <x:v>684488.9511502826</x:v>
      </x:c>
      <x:c r="I30" s="35" t="n">
        <x:f>SUMPRODUCT($G$11:I11,$CW$151:$CY$151)</x:f>
        <x:v>1409808.604778232</x:v>
      </x:c>
      <x:c r="J30" s="35" t="n">
        <x:f>SUMPRODUCT($G$11:J11,$CV$151:$CY$151)</x:f>
        <x:v>2178010.6824693605</x:v>
      </x:c>
      <x:c r="K30" s="35" t="n">
        <x:f>SUMPRODUCT($G$11:K11,$CU$151:$CY$151)</x:f>
        <x:v>2993759.801841542</x:v>
      </x:c>
      <x:c r="L30" s="35" t="n">
        <x:f>SUMPRODUCT($G$11:L11,$CT$151:$CY$151)</x:f>
        <x:v>3863870.060908414</x:v>
      </x:c>
      <x:c r="M30" s="35" t="n">
        <x:f>SUMPRODUCT($G$11:M11,$CS$151:$CY$151)</x:f>
        <x:v>4796276.280139136</x:v>
      </x:c>
      <x:c r="N30" s="35" t="n">
        <x:f>SUMPRODUCT($G$11:N11,$CR$151:$CY$151)</x:f>
        <x:v>5799230.722469738</x:v>
      </x:c>
      <x:c r="O30" s="35" t="n">
        <x:f>SUMPRODUCT($G$11:O11,$CQ$151:$CY$151)</x:f>
        <x:v>6880975.613278875</x:v>
      </x:c>
      <x:c r="P30" s="35" t="n">
        <x:f>SUMPRODUCT($G$11:P11,$CP$151:$CY$151)</x:f>
        <x:v>8049747.593235078</x:v>
      </x:c>
      <x:c r="Q30" s="35" t="n">
        <x:f>SUMPRODUCT($G$11:Q11,$CO$151:$CY$151)</x:f>
        <x:v>9313920.822791297</x:v>
      </x:c>
      <x:c r="R30" s="35" t="n">
        <x:f>SUMPRODUCT($G$11:R11,$CN$151:$CY$151)</x:f>
        <x:v>10682176.414206704</x:v>
      </x:c>
      <x:c r="S30" s="35" t="n">
        <x:f>SUMPRODUCT($G$11:S11,$CM$151:$CY$151)</x:f>
        <x:v>12163655.937028244</x:v>
      </x:c>
      <x:c r="T30" s="35" t="n">
        <x:f>SUMPRODUCT($G$11:T11,$CL$151:$CY$151)</x:f>
        <x:v>12163655.937028244</x:v>
      </x:c>
      <x:c r="U30" s="35" t="n">
        <x:f>SUMPRODUCT($G$11:U11,$CK$151:$CY$151)</x:f>
        <x:v>12163655.937028244</x:v>
      </x:c>
      <x:c r="V30" s="35" t="n">
        <x:f>SUMPRODUCT($G$11:V11,$CJ$151:$CY$151)</x:f>
        <x:v>12163655.937028244</x:v>
      </x:c>
      <x:c r="W30" s="35" t="n">
        <x:f>SUMPRODUCT($G$11:W11,$CI$151:$CY$151)</x:f>
        <x:v>12163655.937028244</x:v>
      </x:c>
      <x:c r="X30" s="35" t="n">
        <x:f>SUMPRODUCT($G$11:X11,$CH$151:$CY$151)</x:f>
        <x:v>12163655.937028244</x:v>
      </x:c>
      <x:c r="Y30" s="35" t="n">
        <x:f>SUMPRODUCT($G$11:Y11,$CG$151:$CY$151)</x:f>
        <x:v>12163655.937028244</x:v>
      </x:c>
      <x:c r="Z30" s="35" t="n">
        <x:f>SUMPRODUCT($G$11:Z11,$CF$151:$CY$151)</x:f>
        <x:v>12163655.937028244</x:v>
      </x:c>
      <x:c r="AA30" s="35" t="n">
        <x:f>SUMPRODUCT($G$11:AA11,$CE$151:$CY$151)</x:f>
        <x:v>12163655.937028244</x:v>
      </x:c>
      <x:c r="AB30" s="35" t="n">
        <x:f>SUMPRODUCT($G$11:AB11,$CD$151:$CY$151)</x:f>
        <x:v>12163655.937028244</x:v>
      </x:c>
      <x:c r="AC30" s="35" t="n">
        <x:f>SUMPRODUCT($G$11:AC11,$CC$151:$CY$151)</x:f>
        <x:v>12163655.937028244</x:v>
      </x:c>
      <x:c r="AD30" s="35" t="n">
        <x:f>SUMPRODUCT($G$11:AD11,$CB$151:$CY$151)</x:f>
        <x:v>12163655.937028244</x:v>
      </x:c>
      <x:c r="AE30" s="35" t="n">
        <x:f>SUMPRODUCT($G$11:AE11,$CA$151:$CY$151)</x:f>
        <x:v>12163655.937028244</x:v>
      </x:c>
      <x:c r="AF30" s="35" t="n">
        <x:f>SUMPRODUCT($G$11:AF11,$BZ$151:$CY$151)</x:f>
        <x:v>12163655.937028244</x:v>
      </x:c>
      <x:c r="AG30" s="35" t="n">
        <x:f>SUMPRODUCT($G$11:AG11,$BY$151:$CY$151)</x:f>
        <x:v>12163655.937028244</x:v>
      </x:c>
      <x:c r="AH30" s="35" t="n">
        <x:f>SUMPRODUCT($G$11:AH11,$BX$151:$CY$151)</x:f>
        <x:v>12163655.937028244</x:v>
      </x:c>
      <x:c r="AI30" s="35" t="n">
        <x:f>SUMPRODUCT($G$11:AI11,$BW$151:$CY$151)</x:f>
        <x:v>12163655.937028244</x:v>
      </x:c>
      <x:c r="AJ30" s="35" t="n">
        <x:f>SUMPRODUCT($G$11:AJ11,$BV$151:$CY$151)</x:f>
        <x:v>12163655.937028244</x:v>
      </x:c>
      <x:c r="AK30" s="35" t="n">
        <x:f>SUMPRODUCT($G$11:AK11,$BU$151:$CY$151)</x:f>
        <x:v>12163655.937028244</x:v>
      </x:c>
      <x:c r="AL30" s="35" t="n">
        <x:f>SUMPRODUCT($G$11:AL11,$BT$151:$CY$151)</x:f>
        <x:v>12163655.937028244</x:v>
      </x:c>
      <x:c r="AM30" s="35" t="n">
        <x:f>SUMPRODUCT($G$11:AM11,$BS$151:$CY$151)</x:f>
        <x:v>12163655.937028244</x:v>
      </x:c>
      <x:c r="AN30" s="35" t="n">
        <x:f>SUMPRODUCT($G$11:AN11,$BR$151:$CY$151)</x:f>
        <x:v>12163655.937028244</x:v>
      </x:c>
      <x:c r="AO30" s="35" t="n">
        <x:f>SUMPRODUCT($G$11:AO11,$BQ$151:$CY$151)</x:f>
        <x:v>12163655.937028244</x:v>
      </x:c>
      <x:c r="AP30" s="35" t="n">
        <x:f>SUMPRODUCT($G$11:AP11,$BP$151:$CY$151)</x:f>
        <x:v>12163655.937028244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83789306.82302362</x:v>
      </x:c>
      <x:c r="F32" s="2"/>
      <x:c r="G32" s="35" t="n">
        <x:f>($E$44-G27)*G23/12</x:f>
        <x:v>21076340.418503467</x:v>
      </x:c>
      <x:c r="H32" s="35" t="n">
        <x:f>(G34-H27)*H23/12</x:f>
        <x:v>16001684.404941885</x:v>
      </x:c>
      <x:c r="I32" s="35" t="n">
        <x:f>(H34-I27)*I23/12</x:f>
        <x:v>12505274.63096244</x:v>
      </x:c>
      <x:c r="J32" s="35" t="n">
        <x:f>(I34-J27)*J23/12</x:f>
        <x:v>9780763.430879192</x:v>
      </x:c>
      <x:c r="K32" s="35" t="n">
        <x:f>(J34-K27)*K23/12</x:f>
        <x:v>7568272.630533957</x:v>
      </x:c>
      <x:c r="L32" s="35" t="n">
        <x:f>(K34-L27)*L23/12</x:f>
        <x:v>5740806.257725599</x:v>
      </x:c>
      <x:c r="M32" s="35" t="n">
        <x:f>(L34-M27)*M23/12</x:f>
        <x:v>4225180.153544766</x:v>
      </x:c>
      <x:c r="N32" s="35" t="n">
        <x:f>(M34-N27)*N23/12</x:f>
        <x:v>2976120.870652169</x:v>
      </x:c>
      <x:c r="O32" s="35" t="n">
        <x:f>(N34-O27)*O23/12</x:f>
        <x:v>1964573.4159857854</x:v>
      </x:c>
      <x:c r="P32" s="35" t="n">
        <x:f>(O34-P27)*P23/12</x:f>
        <x:v>1171425.579698058</x:v>
      </x:c>
      <x:c r="Q32" s="35" t="n">
        <x:f>(P34-Q27)*Q23/12</x:f>
        <x:v>584077.9071512303</x:v>
      </x:c>
      <x:c r="R32" s="35" t="n">
        <x:f>(Q34-R27)*R23/12</x:f>
        <x:v>194787.1224450559</x:v>
      </x:c>
      <x:c r="S32" s="35" t="n">
        <x:f>(R34-S27)*S23/12</x:f>
        <x:v>1.5522042910257976e-9</x:v>
      </x:c>
      <x:c r="T32" s="35" t="n">
        <x:f>(S34-T27)*T23/12</x:f>
        <x:v>1.5522042910257976e-9</x:v>
      </x:c>
      <x:c r="U32" s="35" t="n">
        <x:f>(T34-U27)*U23/12</x:f>
        <x:v>1.5522042910257976e-9</x:v>
      </x:c>
      <x:c r="V32" s="35" t="n">
        <x:f>(U34-V27)*V23/12</x:f>
        <x:v>1.5522042910257976e-9</x:v>
      </x:c>
      <x:c r="W32" s="35" t="n">
        <x:f>(V34-W27)*W23/12</x:f>
        <x:v>1.5522042910257976e-9</x:v>
      </x:c>
      <x:c r="X32" s="35" t="n">
        <x:f>(W34-X27)*X23/12</x:f>
        <x:v>1.5522042910257976e-9</x:v>
      </x:c>
      <x:c r="Y32" s="35" t="n">
        <x:f>(X34-Y27)*Y23/12</x:f>
        <x:v>1.5522042910257976e-9</x:v>
      </x:c>
      <x:c r="Z32" s="35" t="n">
        <x:f>(Y34-Z27)*Z23/12</x:f>
        <x:v>1.5522042910257976e-9</x:v>
      </x:c>
      <x:c r="AA32" s="35" t="n">
        <x:f>(Z34-AA27)*AA23/12</x:f>
        <x:v>1.5522042910257976e-9</x:v>
      </x:c>
      <x:c r="AB32" s="35" t="n">
        <x:f>(AA34-AB27)*AB23/12</x:f>
        <x:v>1.5522042910257976e-9</x:v>
      </x:c>
      <x:c r="AC32" s="35" t="n">
        <x:f>(AB34-AC27)*AC23/12</x:f>
        <x:v>1.5522042910257976e-9</x:v>
      </x:c>
      <x:c r="AD32" s="35" t="n">
        <x:f>(AC34-AD27)*AD23/12</x:f>
        <x:v>1.5522042910257976e-9</x:v>
      </x:c>
      <x:c r="AE32" s="35" t="n">
        <x:f>(AD34-AE27)*AE23/12</x:f>
        <x:v>1.5522042910257976e-9</x:v>
      </x:c>
      <x:c r="AF32" s="35" t="n">
        <x:f>(AE34-AF27)*AF23/12</x:f>
        <x:v>1.5522042910257976e-9</x:v>
      </x:c>
      <x:c r="AG32" s="35" t="n">
        <x:f>(AF34-AG27)*AG23/12</x:f>
        <x:v>1.5522042910257976e-9</x:v>
      </x:c>
      <x:c r="AH32" s="35" t="n">
        <x:f>(AG34-AH27)*AH23/12</x:f>
        <x:v>1.5522042910257976e-9</x:v>
      </x:c>
      <x:c r="AI32" s="35" t="n">
        <x:f>(AH34-AI27)*AI23/12</x:f>
        <x:v>1.5522042910257976e-9</x:v>
      </x:c>
      <x:c r="AJ32" s="35" t="n">
        <x:f>(AI34-AJ27)*AJ23/12</x:f>
        <x:v>1.5522042910257976e-9</x:v>
      </x:c>
      <x:c r="AK32" s="35" t="n">
        <x:f>(AJ34-AK27)*AK23/12</x:f>
        <x:v>1.5522042910257976e-9</x:v>
      </x:c>
      <x:c r="AL32" s="35" t="n">
        <x:f>(AK34-AL27)*AL23/12</x:f>
        <x:v>1.5522042910257976e-9</x:v>
      </x:c>
      <x:c r="AM32" s="35" t="n">
        <x:f>(AL34-AM27)*AM23/12</x:f>
        <x:v>1.5522042910257976e-9</x:v>
      </x:c>
      <x:c r="AN32" s="35" t="n">
        <x:f>(AM34-AN27)*AN23/12</x:f>
        <x:v>1.5522042910257976e-9</x:v>
      </x:c>
      <x:c r="AO32" s="35" t="n">
        <x:f>(AN34-AO27)*AO23/12</x:f>
        <x:v>1.5522042910257976e-9</x:v>
      </x:c>
      <x:c r="AP32" s="35" t="n">
        <x:f>(AO34-AP27)*AP23/12</x:f>
        <x:v>1.5522042910257976e-9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147385381.22189763</x:v>
      </x:c>
      <x:c r="F33" s="2"/>
      <x:c r="G33" s="35" t="n">
        <x:f>G24-G32</x:f>
        <x:v>0</x:v>
      </x:c>
      <x:c r="H33" s="35" t="n">
        <x:f>H24-H32</x:f>
        <x:v>1104104.8339742776</x:v>
      </x:c>
      <x:c r="I33" s="35" t="n">
        <x:f>I24-I32</x:f>
        <x:v>2128279.812614057</x:v>
      </x:c>
      <x:c r="J33" s="35" t="n">
        <x:f>J24-J32</x:f>
        <x:v>3070473.214333821</x:v>
      </x:c>
      <x:c r="K33" s="35" t="n">
        <x:f>K24-K32</x:f>
        <x:v>3931270.466078871</x:v>
      </x:c>
      <x:c r="L33" s="35" t="n">
        <x:f>L24-L32</x:f>
        <x:v>4711871.564218505</x:v>
      </x:c>
      <x:c r="M33" s="35" t="n">
        <x:f>M24-M32</x:f>
        <x:v>5412291.338538113</x:v>
      </x:c>
      <x:c r="N33" s="35" t="n">
        <x:f>N24-N32</x:f>
        <x:v>6030601.286382185</x:v>
      </x:c>
      <x:c r="O33" s="35" t="n">
        <x:f>O24-O32</x:f>
        <x:v>6562974.779636178</x:v>
      </x:c>
      <x:c r="P33" s="35" t="n">
        <x:f>P24-P32</x:f>
        <x:v>7004026.127203563</x:v>
      </x:c>
      <x:c r="Q33" s="35" t="n">
        <x:f>Q24-Q32</x:f>
        <x:v>7347137.958605106</x:v>
      </x:c>
      <x:c r="R33" s="35" t="n">
        <x:f>R24-R32</x:f>
        <x:v>7584682.332114725</x:v>
      </x:c>
      <x:c r="S33" s="35" t="n">
        <x:f>S24-S32</x:f>
        <x:v>7708138.959016521</x:v>
      </x:c>
      <x:c r="T33" s="35" t="n">
        <x:f>T24-T32</x:f>
        <x:v>7708138.959016521</x:v>
      </x:c>
      <x:c r="U33" s="35" t="n">
        <x:f>U24-U32</x:f>
        <x:v>7708138.959016521</x:v>
      </x:c>
      <x:c r="V33" s="35" t="n">
        <x:f>V24-V32</x:f>
        <x:v>7708138.959016521</x:v>
      </x:c>
      <x:c r="W33" s="35" t="n">
        <x:f>W24-W32</x:f>
        <x:v>7708138.959016521</x:v>
      </x:c>
      <x:c r="X33" s="35" t="n">
        <x:f>X24-X32</x:f>
        <x:v>7708138.959016521</x:v>
      </x:c>
      <x:c r="Y33" s="35" t="n">
        <x:f>Y24-Y32</x:f>
        <x:v>7708138.959016521</x:v>
      </x:c>
      <x:c r="Z33" s="35" t="n">
        <x:f>Z24-Z32</x:f>
        <x:v>7708138.959016521</x:v>
      </x:c>
      <x:c r="AA33" s="35" t="n">
        <x:f>AA24-AA32</x:f>
        <x:v>7708138.959016521</x:v>
      </x:c>
      <x:c r="AB33" s="35" t="n">
        <x:f>AB24-AB32</x:f>
        <x:v>7708138.959016521</x:v>
      </x:c>
      <x:c r="AC33" s="35" t="n">
        <x:f>AC24-AC32</x:f>
        <x:v>7708138.959016521</x:v>
      </x:c>
      <x:c r="AD33" s="35" t="n">
        <x:f>AD24-AD32</x:f>
        <x:v>7708138.959016521</x:v>
      </x:c>
      <x:c r="AE33" s="35" t="n">
        <x:f>AE24-AE32</x:f>
        <x:v>7708138.959016521</x:v>
      </x:c>
      <x:c r="AF33" s="35" t="n">
        <x:f>AF24-AF32</x:f>
        <x:v>7708138.959016521</x:v>
      </x:c>
      <x:c r="AG33" s="35" t="n">
        <x:f>AG24-AG32</x:f>
        <x:v>7708138.959016521</x:v>
      </x:c>
      <x:c r="AH33" s="35" t="n">
        <x:f>AH24-AH32</x:f>
        <x:v>7708138.959016521</x:v>
      </x:c>
      <x:c r="AI33" s="35" t="n">
        <x:f>AI24-AI32</x:f>
        <x:v>7708138.959016521</x:v>
      </x:c>
      <x:c r="AJ33" s="35" t="n">
        <x:f>AJ24-AJ32</x:f>
        <x:v>7708138.959016521</x:v>
      </x:c>
      <x:c r="AK33" s="35" t="n">
        <x:f>AK24-AK32</x:f>
        <x:v>7708138.959016521</x:v>
      </x:c>
      <x:c r="AL33" s="35" t="n">
        <x:f>AL24-AL32</x:f>
        <x:v>7708138.959016521</x:v>
      </x:c>
      <x:c r="AM33" s="35" t="n">
        <x:f>AM24-AM32</x:f>
        <x:v>7708138.959016521</x:v>
      </x:c>
      <x:c r="AN33" s="35" t="n">
        <x:f>AN24-AN32</x:f>
        <x:v>7708138.959016521</x:v>
      </x:c>
      <x:c r="AO33" s="35" t="n">
        <x:f>AO24-AO32</x:f>
        <x:v>7708138.959016521</x:v>
      </x:c>
      <x:c r="AP33" s="35" t="n">
        <x:f>AP24-AP32</x:f>
        <x:v>7708138.959016521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1.862645149230957e-8</x:v>
      </x:c>
      <x:c r="F34" s="2"/>
      <x:c r="G34" s="35" t="n">
        <x:f>$E$44-G27-G29</x:f>
        <x:v>194084072.4907205</x:v>
      </x:c>
      <x:c r="H34" s="35" t="n">
        <x:f>G34-H27-H29</x:f>
        <x:v>151546622.6311019</x:v>
      </x:c>
      <x:c r="I34" s="35" t="n">
        <x:f>H34-I27-I29</x:f>
        <x:v>118352453.3540497</x:v>
      </x:c>
      <x:c r="J34" s="35" t="n">
        <x:f>I34-J27-J29</x:f>
        <x:v>91419346.69640276</x:v>
      </x:c>
      <x:c r="K34" s="35" t="n">
        <x:f>J34-K27-K29</x:f>
        <x:v>69228702.85208848</x:v>
      </x:c>
      <x:c r="L34" s="35" t="n">
        <x:f>K34-L27-L29</x:f>
        <x:v>50880641.8305964</x:v>
      </x:c>
      <x:c r="M34" s="35" t="n">
        <x:f>L34-M27-M29</x:f>
        <x:v>35801102.128030404</x:v>
      </x:c>
      <x:c r="N34" s="35" t="n">
        <x:f>M34-N27-N29</x:f>
        <x:v>23614650.3626145</x:v>
      </x:c>
      <x:c r="O34" s="35" t="n">
        <x:f>N34-O27-O29</x:f>
        <x:v>14073303.635892171</x:v>
      </x:c>
      <x:c r="P34" s="35" t="n">
        <x:f>O34-P27-P29</x:f>
        <x:v>7014446.037321377</x:v>
      </x:c>
      <x:c r="Q34" s="35" t="n">
        <x:f>P34-Q27-Q29</x:f>
        <x:v>2338703.538660056</x:v>
      </x:c>
      <x:c r="R34" s="35" t="n">
        <x:f>Q34-R27-R29</x:f>
        <x:v>1.862645149230957e-8</x:v>
      </x:c>
      <x:c r="S34" s="35" t="n">
        <x:f>R34-S27-S29</x:f>
        <x:v>1.862645149230957e-8</x:v>
      </x:c>
      <x:c r="T34" s="35" t="n">
        <x:f>S34-T27-T29</x:f>
        <x:v>1.862645149230957e-8</x:v>
      </x:c>
      <x:c r="U34" s="35" t="n">
        <x:f>T34-U27-U29</x:f>
        <x:v>1.862645149230957e-8</x:v>
      </x:c>
      <x:c r="V34" s="35" t="n">
        <x:f>U34-V27-V29</x:f>
        <x:v>1.862645149230957e-8</x:v>
      </x:c>
      <x:c r="W34" s="35" t="n">
        <x:f>V34-W27-W29</x:f>
        <x:v>1.862645149230957e-8</x:v>
      </x:c>
      <x:c r="X34" s="35" t="n">
        <x:f>W34-X27-X29</x:f>
        <x:v>1.862645149230957e-8</x:v>
      </x:c>
      <x:c r="Y34" s="35" t="n">
        <x:f>X34-Y27-Y29</x:f>
        <x:v>1.862645149230957e-8</x:v>
      </x:c>
      <x:c r="Z34" s="35" t="n">
        <x:f>Y34-Z27-Z29</x:f>
        <x:v>1.862645149230957e-8</x:v>
      </x:c>
      <x:c r="AA34" s="35" t="n">
        <x:f>Z34-AA27-AA29</x:f>
        <x:v>1.862645149230957e-8</x:v>
      </x:c>
      <x:c r="AB34" s="35" t="n">
        <x:f>AA34-AB27-AB29</x:f>
        <x:v>1.862645149230957e-8</x:v>
      </x:c>
      <x:c r="AC34" s="35" t="n">
        <x:f>AB34-AC27-AC29</x:f>
        <x:v>1.862645149230957e-8</x:v>
      </x:c>
      <x:c r="AD34" s="35" t="n">
        <x:f>AC34-AD27-AD29</x:f>
        <x:v>1.862645149230957e-8</x:v>
      </x:c>
      <x:c r="AE34" s="35" t="n">
        <x:f>AD34-AE27-AE29</x:f>
        <x:v>1.862645149230957e-8</x:v>
      </x:c>
      <x:c r="AF34" s="35" t="n">
        <x:f>AE34-AF27-AF29</x:f>
        <x:v>1.862645149230957e-8</x:v>
      </x:c>
      <x:c r="AG34" s="35" t="n">
        <x:f>AF34-AG27-AG29</x:f>
        <x:v>1.862645149230957e-8</x:v>
      </x:c>
      <x:c r="AH34" s="35" t="n">
        <x:f>AG34-AH27-AH29</x:f>
        <x:v>1.862645149230957e-8</x:v>
      </x:c>
      <x:c r="AI34" s="35" t="n">
        <x:f>AH34-AI27-AI29</x:f>
        <x:v>1.862645149230957e-8</x:v>
      </x:c>
      <x:c r="AJ34" s="35" t="n">
        <x:f>AI34-AJ27-AJ29</x:f>
        <x:v>1.862645149230957e-8</x:v>
      </x:c>
      <x:c r="AK34" s="35" t="n">
        <x:f>AJ34-AK27-AK29</x:f>
        <x:v>1.862645149230957e-8</x:v>
      </x:c>
      <x:c r="AL34" s="35" t="n">
        <x:f>AK34-AL27-AL29</x:f>
        <x:v>1.862645149230957e-8</x:v>
      </x:c>
      <x:c r="AM34" s="35" t="n">
        <x:f>AL34-AM27-AM29</x:f>
        <x:v>1.862645149230957e-8</x:v>
      </x:c>
      <x:c r="AN34" s="35" t="n">
        <x:f>AM34-AN27-AN29</x:f>
        <x:v>1.862645149230957e-8</x:v>
      </x:c>
      <x:c r="AO34" s="35" t="n">
        <x:f>AN34-AO27-AO29</x:f>
        <x:v>1.862645149230957e-8</x:v>
      </x:c>
      <x:c r="AP34" s="35" t="n">
        <x:f>AO34-AP27-AP29</x:f>
        <x:v>1.862645149230957e-8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'Assumptions'!E25</x:f>
        <x:v>0.12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'Assumptions'!E26</x:f>
        <x:v>2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</x:f>
        <x:v>255600000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8482363.681195013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0.09898844910901894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0.09898844910901894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0.018573480911749447</x:v>
      </x:c>
      <x:c r="E52" s="30" t="n">
        <x:f>(D52-D51)*H51</x:f>
        <x:v>0.018573480911749447</x:v>
      </x:c>
      <x:c r="F52" s="30" t="n">
        <x:f>I52*(H51-H52)</x:f>
        <x:v>0.0507028852703913</x:v>
      </x:c>
      <x:c r="G52" s="30" t="n">
        <x:f>SUM(E53:E147)</x:f>
        <x:v>0.08041496819726948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0.9814265190882505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0.04002773497811523</x:v>
      </x:c>
      <x:c r="E53" s="30" t="n">
        <x:f>(D53-D52)*H52</x:f>
        <x:v>0.020345875026945355</x:v>
      </x:c>
      <x:c r="F53" s="30" t="n">
        <x:f>I53*(H52-H53)</x:f>
        <x:v>0.053727381750218475</x:v>
      </x:c>
      <x:c r="G53" s="30" t="n">
        <x:f>SUM(E54:E147)</x:f>
        <x:v>0.06006909317032414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0.9599722650218848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0.06148198904448104</x:v>
      </x:c>
      <x:c r="E54" s="30" t="n">
        <x:f>(D54-D53)*H53</x:f>
        <x:v>0.019145131067573245</x:v>
      </x:c>
      <x:c r="F54" s="30" t="n">
        <x:f>I54*(H53-H54)</x:f>
        <x:v>0.05690385760675025</x:v>
      </x:c>
      <x:c r="G54" s="30" t="n">
        <x:f>SUM(E55:E147)</x:f>
        <x:v>0.04092396210275089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0.938518010955519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0.08005546995623046</x:v>
      </x:c>
      <x:c r="E55" s="30" t="n">
        <x:f>(D55-D54)*H54</x:f>
        <x:v>0.015448275704103735</x:v>
      </x:c>
      <x:c r="F55" s="30" t="n">
        <x:f>I55*(H54-H55)</x:f>
        <x:v>0.060425860694235674</x:v>
      </x:c>
      <x:c r="G55" s="30" t="n">
        <x:f>SUM(E56:E147)</x:f>
        <x:v>0.02547568639864716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0.9199445300437695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0.0942315047741277</x:v>
      </x:c>
      <x:c r="E56" s="30" t="n">
        <x:f>(D56-D55)*H55</x:f>
        <x:v>0.01085960917724523</x:v>
      </x:c>
      <x:c r="F56" s="30" t="n">
        <x:f>I56*(H55-H56)</x:f>
        <x:v>0.06445261178273125</x:v>
      </x:c>
      <x:c r="G56" s="30" t="n">
        <x:f>SUM(E57:E147)</x:f>
        <x:v>0.014616077221401928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0.9057684952258723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0.1040454548961158</x:v>
      </x:c>
      <x:c r="E57" s="30" t="n">
        <x:f>(D57-D56)*H56</x:f>
        <x:v>0.006819676057293515</x:v>
      </x:c>
      <x:c r="F57" s="30" t="n">
        <x:f>I57*(H56-H57)</x:f>
        <x:v>0.06906712735042388</x:v>
      </x:c>
      <x:c r="G57" s="30" t="n">
        <x:f>SUM(E58:E147)</x:f>
        <x:v>0.007796401164108415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0.8959545451038842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0.11038946897601397</x:v>
      </x:c>
      <x:c r="E58" s="30" t="n">
        <x:f>(D58-D57)*H57</x:f>
        <x:v>0.003919385072275584</x:v>
      </x:c>
      <x:c r="F58" s="30" t="n">
        <x:f>I58*(H57-H58)</x:f>
        <x:v>0.07429292165411865</x:v>
      </x:c>
      <x:c r="G58" s="30" t="n">
        <x:f>SUM(E59:E147)</x:f>
        <x:v>0.00387701609183283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0.889610531023986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0.11431058284869024</x:v>
      </x:c>
      <x:c r="E59" s="30" t="n">
        <x:f>(D59-D58)*H58</x:f>
        <x:v>0.002095037981505715</x:v>
      </x:c>
      <x:c r="F59" s="30" t="n">
        <x:f>I59*(H58-H59)</x:f>
        <x:v>0.08012925117104722</x:v>
      </x:c>
      <x:c r="G59" s="30" t="n">
        <x:f>SUM(E60:E147)</x:f>
        <x:v>0.0017819781103271153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0.8856894171513098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0.11666734066812957</x:v>
      </x:c>
      <x:c r="E60" s="30" t="n">
        <x:f>(D60-D59)*H59</x:f>
        <x:v>0.001045989439272355</x:v>
      </x:c>
      <x:c r="F60" s="30" t="n">
        <x:f>I60*(H59-H60)</x:f>
        <x:v>0.086575702218978</x:v>
      </x:c>
      <x:c r="G60" s="30" t="n">
        <x:f>SUM(E61:E147)</x:f>
        <x:v>0.0007359886710547603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0.8833326593318704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0.11806012316627383</x:v>
      </x:c>
      <x:c r="E61" s="30" t="n">
        <x:f>(D61-D60)*H60</x:f>
        <x:v>0.0004816454839911838</x:v>
      </x:c>
      <x:c r="F61" s="30" t="n">
        <x:f>I61*(H60-H61)</x:f>
        <x:v>0.09364246144860881</x:v>
      </x:c>
      <x:c r="G61" s="30" t="n">
        <x:f>SUM(E62:E147)</x:f>
        <x:v>0.0002543431870635765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0.8819398768337262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0.1188750162079724</x:v>
      </x:c>
      <x:c r="E62" s="30" t="n">
        <x:f>(D62-D61)*H61</x:f>
        <x:v>0.00019527889976851033</x:v>
      </x:c>
      <x:c r="F62" s="30" t="n">
        <x:f>I62*(H61-H62)</x:f>
        <x:v>0.1013522660307709</x:v>
      </x:c>
      <x:c r="G62" s="30" t="n">
        <x:f>SUM(E63:E147)</x:f>
        <x:v>0.00005906428729506621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0.8811249837920276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0.1193490037358176</x:v>
      </x:c>
      <x:c r="E63" s="30" t="n">
        <x:f>(D63-D62)*H62</x:f>
        <x:v>0.00005906428729506621</x:v>
      </x:c>
      <x:c r="F63" s="30" t="n">
        <x:f>I63*(H62-H63)</x:f>
        <x:v>0.10973922391270667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0.8806509962641824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0.11962375999148527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0.8803762400085148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0.11978271216497355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0.8802172878350265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0.11987456373378634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0.8801254362662136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0.11992760555121643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0.8800723944487836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0.11995822403716025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0.8800417759628397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0.11997589470260742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0.8800241052973926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0.11998609156646561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0.8800139084335343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0.11999197523669836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0.8800080247633016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0.11999537001606177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0.8800046299839382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0.11999732869893147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0.8800026713010686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0.1199984587824655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0.8800015412175345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0.11999911079121087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0.8800008892087892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0.1199994869699511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0.8800005130300489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0.1199997040070089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0.8800002959929911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0.1199998292267662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0.8800001707732338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0.11999990147237065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0.8800000985276294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0.1199999431544881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0.8800000568455119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0.11999996720298779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0.8800000327970122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0.11999998107776837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0.8800000189222317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0.1199999890828215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0.8800000109171785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0.11999999370133577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0.8800000062986643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0.1199999963659868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0.8800000036340132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0.11999999790335673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0.8800000020966433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0.11999999879034208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0.8800000012096579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0.11999999930208807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0.880000000697912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0.11999999959733987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0.8800000004026601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0.11999999976768531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0.8800000002323147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0.11999999986596606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0.8800000001340339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0.11999999992266913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0.8800000000773309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0.11999999995538396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0.880000000044616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0.11999999997425878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0.8800000000257412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0.11999999998514863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0.8800000000148513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0.11999999999143147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0.8800000000085685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0.11999999999505641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0.8800000000049436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0.1199999999971478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0.8800000000028522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0.11999999999835442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0.8800000000016456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0.11999999999905059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0.8800000000009494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0.11999999999945221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0.8800000000005478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0.11999999999968394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0.8800000000003161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0.11999999999981767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0.8800000000001823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0.1199999999998948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0.8800000000001051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0.11999999999993931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0.8800000000000607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0.11999999999996498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0.880000000000035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0.11999999999997979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0.8800000000000202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0.11999999999998834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0.8800000000000117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0.11999999999999328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0.8800000000000068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0.11999999999999612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0.8800000000000039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0.11999999999999776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0.8800000000000022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0.11999999999999872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0.8800000000000012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0.11999999999999926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0.8800000000000008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0.11999999999999957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0.8800000000000004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0.11999999999999976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0.8800000000000002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0.11999999999999984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0.8800000000000001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0.11999999999999993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0.8800000000000001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0.11999999999999995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0.11999999999999995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0.12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0.12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0.12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0.12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0.12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0.12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0.12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0.12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0.12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0.12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0.12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0.12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0.12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0.12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0.12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0.12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0.12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0.12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0.12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0.12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0.12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0.12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0.12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0.12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0.12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0.12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0.12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0.12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0.00005906428729506621</x:v>
      </x:c>
      <x:c r="CN150" s="30" t="n">
        <x:f>E62</x:f>
        <x:v>0.00019527889976851033</x:v>
      </x:c>
      <x:c r="CO150" s="30" t="n">
        <x:f>E61</x:f>
        <x:v>0.0004816454839911838</x:v>
      </x:c>
      <x:c r="CP150" s="30" t="n">
        <x:f>E60</x:f>
        <x:v>0.001045989439272355</x:v>
      </x:c>
      <x:c r="CQ150" s="30" t="n">
        <x:f>E59</x:f>
        <x:v>0.002095037981505715</x:v>
      </x:c>
      <x:c r="CR150" s="30" t="n">
        <x:f>E58</x:f>
        <x:v>0.003919385072275584</x:v>
      </x:c>
      <x:c r="CS150" s="30" t="n">
        <x:f>E57</x:f>
        <x:v>0.006819676057293515</x:v>
      </x:c>
      <x:c r="CT150" s="30" t="n">
        <x:f>E56</x:f>
        <x:v>0.01085960917724523</x:v>
      </x:c>
      <x:c r="CU150" s="30" t="n">
        <x:f>E55</x:f>
        <x:v>0.015448275704103735</x:v>
      </x:c>
      <x:c r="CV150" s="30" t="n">
        <x:f>E54</x:f>
        <x:v>0.019145131067573245</x:v>
      </x:c>
      <x:c r="CW150" s="30" t="n">
        <x:f>E53</x:f>
        <x:v>0.020345875026945355</x:v>
      </x:c>
      <x:c r="CX150" s="30" t="n">
        <x:f>E52</x:f>
        <x:v>0.018573480911749447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0.10973922391270667</x:v>
      </x:c>
      <x:c r="CN151" s="30" t="n">
        <x:f>F62</x:f>
        <x:v>0.1013522660307709</x:v>
      </x:c>
      <x:c r="CO151" s="30" t="n">
        <x:f>F61</x:f>
        <x:v>0.09364246144860881</x:v>
      </x:c>
      <x:c r="CP151" s="30" t="n">
        <x:f>F60</x:f>
        <x:v>0.086575702218978</x:v>
      </x:c>
      <x:c r="CQ151" s="30" t="n">
        <x:f>F59</x:f>
        <x:v>0.08012925117104722</x:v>
      </x:c>
      <x:c r="CR151" s="30" t="n">
        <x:f>F58</x:f>
        <x:v>0.07429292165411865</x:v>
      </x:c>
      <x:c r="CS151" s="30" t="n">
        <x:f>F57</x:f>
        <x:v>0.06906712735042388</x:v>
      </x:c>
      <x:c r="CT151" s="30" t="n">
        <x:f>F56</x:f>
        <x:v>0.06445261178273125</x:v>
      </x:c>
      <x:c r="CU151" s="30" t="n">
        <x:f>F55</x:f>
        <x:v>0.060425860694235674</x:v>
      </x:c>
      <x:c r="CV151" s="30" t="n">
        <x:f>F54</x:f>
        <x:v>0.05690385760675025</x:v>
      </x:c>
      <x:c r="CW151" s="30" t="n">
        <x:f>F53</x:f>
        <x:v>0.053727381750218475</x:v>
      </x:c>
      <x:c r="CX151" s="30" t="n">
        <x:f>F52</x:f>
        <x:v>0.0507028852703913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21300000</x:v>
      </x:c>
      <x:c r="E160" s="31" t="n">
        <x:f>IF(D160=0,0,D160/(INDEX($I$51:$I$147,C160+1)*INDEX($H$51:$H$147,C160+1)))</x:f>
        <x:v>21300000</x:v>
      </x:c>
      <x:c r="F160" s="31" t="n">
        <x:f>E160*INDEX($G$51:$G$147,C160+1)</x:f>
        <x:v>2108453.9660221036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21300000</x:v>
      </x:c>
      <x:c r="E161" s="31" t="n">
        <x:f>IF(D161=0,0,D161/(INDEX($I$51:$I$147,C161+1)*INDEX($H$51:$H$147,C161+1)))</x:f>
        <x:v>22885418.64208035</x:v>
      </x:c>
      <x:c r="F161" s="31" t="n">
        <x:f>E161*INDEX($G$51:$G$147,C161+1)</x:f>
        <x:v>1840330.2122840895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21300000</x:v>
      </x:c>
      <x:c r="E162" s="31" t="n">
        <x:f>IF(D162=0,0,D162/(INDEX($I$51:$I$147,C162+1)*INDEX($H$51:$H$147,C162+1)))</x:f>
        <x:v>24864286.027143296</x:v>
      </x:c>
      <x:c r="F162" s="31" t="n">
        <x:f>E162*INDEX($G$51:$G$147,C162+1)</x:f>
        <x:v>1493575.1139780593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21300000</x:v>
      </x:c>
      <x:c r="E163" s="31" t="n">
        <x:f>IF(D163=0,0,D163/(INDEX($I$51:$I$147,C163+1)*INDEX($H$51:$H$147,C163+1)))</x:f>
        <x:v>27286654.00477476</x:v>
      </x:c>
      <x:c r="F163" s="31" t="n">
        <x:f>E163*INDEX($G$51:$G$147,C163+1)</x:f>
        <x:v>1116677.9944022782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21300000</x:v>
      </x:c>
      <x:c r="E164" s="31" t="n">
        <x:f>IF(D164=0,0,D164/(INDEX($I$51:$I$147,C164+1)*INDEX($H$51:$H$147,C164+1)))</x:f>
        <x:v>30224459.09466007</x:v>
      </x:c>
      <x:c r="F164" s="31" t="n">
        <x:f>E164*INDEX($G$51:$G$147,C164+1)</x:f>
        <x:v>769988.841464299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21300000</x:v>
      </x:c>
      <x:c r="E165" s="31" t="n">
        <x:f>IF(D165=0,0,D165/(INDEX($I$51:$I$147,C165+1)*INDEX($H$51:$H$147,C165+1)))</x:f>
        <x:v>33840945.87936108</x:v>
      </x:c>
      <x:c r="F165" s="31" t="n">
        <x:f>E165*INDEX($G$51:$G$147,C165+1)</x:f>
        <x:v>494621.8782180249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21300000</x:v>
      </x:c>
      <x:c r="E166" s="31" t="n">
        <x:f>IF(D166=0,0,D166/(INDEX($I$51:$I$147,C166+1)*INDEX($H$51:$H$147,C166+1)))</x:f>
        <x:v>38480422.384852864</x:v>
      </x:c>
      <x:c r="F166" s="31" t="n">
        <x:f>E166*INDEX($G$51:$G$147,C166+1)</x:f>
        <x:v>300008.8098766504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21300000</x:v>
      </x:c>
      <x:c r="E167" s="31" t="n">
        <x:f>IF(D167=0,0,D167/(INDEX($I$51:$I$147,C167+1)*INDEX($H$51:$H$147,C167+1)))</x:f>
        <x:v>44812300.75533035</x:v>
      </x:c>
      <x:c r="F167" s="31" t="n">
        <x:f>E167*INDEX($G$51:$G$147,C167+1)</x:f>
        <x:v>173738.01114046824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21300000</x:v>
      </x:c>
      <x:c r="E168" s="31" t="n">
        <x:f>IF(D168=0,0,D168/(INDEX($I$51:$I$147,C168+1)*INDEX($H$51:$H$147,C168+1)))</x:f>
        <x:v>54185839.334012166</x:v>
      </x:c>
      <x:c r="F168" s="31" t="n">
        <x:f>E168*INDEX($G$51:$G$147,C168+1)</x:f>
        <x:v>96557.97958291168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21300000</x:v>
      </x:c>
      <x:c r="E169" s="31" t="n">
        <x:f>IF(D169=0,0,D169/(INDEX($I$51:$I$147,C169+1)*INDEX($H$51:$H$147,C169+1)))</x:f>
        <x:v>69728628.6028578</x:v>
      </x:c>
      <x:c r="F169" s="31" t="n">
        <x:f>E169*INDEX($G$51:$G$147,C169+1)</x:f>
        <x:v>51319.480699888256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21300000</x:v>
      </x:c>
      <x:c r="E170" s="31" t="n">
        <x:f>IF(D170=0,0,D170/(INDEX($I$51:$I$147,C170+1)*INDEX($H$51:$H$147,C170+1)))</x:f>
        <x:v>100782682.50902167</x:v>
      </x:c>
      <x:c r="F170" s="31" t="n">
        <x:f>E170*INDEX($G$51:$G$147,C170+1)</x:f>
        <x:v>25633.38867016114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21300000</x:v>
      </x:c>
      <x:c r="E171" s="31" t="n">
        <x:f>IF(D171=0,0,D171/(INDEX($I$51:$I$147,C171+1)*INDEX($H$51:$H$147,C171+1)))</x:f>
        <x:v>193992095.40681764</x:v>
      </x:c>
      <x:c r="F171" s="31" t="n">
        <x:f>E171*INDEX($G$51:$G$147,C171+1)</x:f>
        <x:v>11458.004856080172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2" t="n">
        <x:f>'Assumptions'!$F$11*(1+'Assumptions'!$F$12)^(G$6-1)*INDEX('Assumptions'!$F$34:$F$45,MOD(G$6-1,12)+1)</x:f>
        <x:v>12000</x:v>
      </x:c>
      <x:c r="H8" s="32" t="n">
        <x:f>'Assumptions'!$F$11*(1+'Assumptions'!$F$12)^(H$6-1)*INDEX('Assumptions'!$F$34:$F$45,MOD(H$6-1,12)+1)</x:f>
        <x:v>12000</x:v>
      </x:c>
      <x:c r="I8" s="32" t="n">
        <x:f>'Assumptions'!$F$11*(1+'Assumptions'!$F$12)^(I$6-1)*INDEX('Assumptions'!$F$34:$F$45,MOD(I$6-1,12)+1)</x:f>
        <x:v>12000</x:v>
      </x:c>
      <x:c r="J8" s="32" t="n">
        <x:f>'Assumptions'!$F$11*(1+'Assumptions'!$F$12)^(J$6-1)*INDEX('Assumptions'!$F$34:$F$45,MOD(J$6-1,12)+1)</x:f>
        <x:v>12000</x:v>
      </x:c>
      <x:c r="K8" s="32" t="n">
        <x:f>'Assumptions'!$F$11*(1+'Assumptions'!$F$12)^(K$6-1)*INDEX('Assumptions'!$F$34:$F$45,MOD(K$6-1,12)+1)</x:f>
        <x:v>12000</x:v>
      </x:c>
      <x:c r="L8" s="32" t="n">
        <x:f>'Assumptions'!$F$11*(1+'Assumptions'!$F$12)^(L$6-1)*INDEX('Assumptions'!$F$34:$F$45,MOD(L$6-1,12)+1)</x:f>
        <x:v>12000</x:v>
      </x:c>
      <x:c r="M8" s="32" t="n">
        <x:f>'Assumptions'!$F$11*(1+'Assumptions'!$F$12)^(M$6-1)*INDEX('Assumptions'!$F$34:$F$45,MOD(M$6-1,12)+1)</x:f>
        <x:v>12000</x:v>
      </x:c>
      <x:c r="N8" s="32" t="n">
        <x:f>'Assumptions'!$F$11*(1+'Assumptions'!$F$12)^(N$6-1)*INDEX('Assumptions'!$F$34:$F$45,MOD(N$6-1,12)+1)</x:f>
        <x:v>12000</x:v>
      </x:c>
      <x:c r="O8" s="32" t="n">
        <x:f>'Assumptions'!$F$11*(1+'Assumptions'!$F$12)^(O$6-1)*INDEX('Assumptions'!$F$34:$F$45,MOD(O$6-1,12)+1)</x:f>
        <x:v>12000</x:v>
      </x:c>
      <x:c r="P8" s="32" t="n">
        <x:f>'Assumptions'!$F$11*(1+'Assumptions'!$F$12)^(P$6-1)*INDEX('Assumptions'!$F$34:$F$45,MOD(P$6-1,12)+1)</x:f>
        <x:v>12000</x:v>
      </x:c>
      <x:c r="Q8" s="32" t="n">
        <x:f>'Assumptions'!$F$11*(1+'Assumptions'!$F$12)^(Q$6-1)*INDEX('Assumptions'!$F$34:$F$45,MOD(Q$6-1,12)+1)</x:f>
        <x:v>12000</x:v>
      </x:c>
      <x:c r="R8" s="32" t="n">
        <x:f>'Assumptions'!$F$11*(1+'Assumptions'!$F$12)^(R$6-1)*INDEX('Assumptions'!$F$34:$F$45,MOD(R$6-1,12)+1)</x:f>
        <x:v>12000</x:v>
      </x:c>
      <x:c r="S8" s="32" t="n">
        <x:f>'Assumptions'!$F$11*(1+'Assumptions'!$F$12)^(S$6-1)*INDEX('Assumptions'!$F$34:$F$45,MOD(S$6-1,12)+1)</x:f>
        <x:v>12000</x:v>
      </x:c>
      <x:c r="T8" s="32" t="n">
        <x:f>'Assumptions'!$F$11*(1+'Assumptions'!$F$12)^(T$6-1)*INDEX('Assumptions'!$F$34:$F$45,MOD(T$6-1,12)+1)</x:f>
        <x:v>12000</x:v>
      </x:c>
      <x:c r="U8" s="32" t="n">
        <x:f>'Assumptions'!$F$11*(1+'Assumptions'!$F$12)^(U$6-1)*INDEX('Assumptions'!$F$34:$F$45,MOD(U$6-1,12)+1)</x:f>
        <x:v>12000</x:v>
      </x:c>
      <x:c r="V8" s="32" t="n">
        <x:f>'Assumptions'!$F$11*(1+'Assumptions'!$F$12)^(V$6-1)*INDEX('Assumptions'!$F$34:$F$45,MOD(V$6-1,12)+1)</x:f>
        <x:v>12000</x:v>
      </x:c>
      <x:c r="W8" s="32" t="n">
        <x:f>'Assumptions'!$F$11*(1+'Assumptions'!$F$12)^(W$6-1)*INDEX('Assumptions'!$F$34:$F$45,MOD(W$6-1,12)+1)</x:f>
        <x:v>12000</x:v>
      </x:c>
      <x:c r="X8" s="32" t="n">
        <x:f>'Assumptions'!$F$11*(1+'Assumptions'!$F$12)^(X$6-1)*INDEX('Assumptions'!$F$34:$F$45,MOD(X$6-1,12)+1)</x:f>
        <x:v>12000</x:v>
      </x:c>
      <x:c r="Y8" s="32" t="n">
        <x:f>'Assumptions'!$F$11*(1+'Assumptions'!$F$12)^(Y$6-1)*INDEX('Assumptions'!$F$34:$F$45,MOD(Y$6-1,12)+1)</x:f>
        <x:v>12000</x:v>
      </x:c>
      <x:c r="Z8" s="32" t="n">
        <x:f>'Assumptions'!$F$11*(1+'Assumptions'!$F$12)^(Z$6-1)*INDEX('Assumptions'!$F$34:$F$45,MOD(Z$6-1,12)+1)</x:f>
        <x:v>12000</x:v>
      </x:c>
      <x:c r="AA8" s="32" t="n">
        <x:f>'Assumptions'!$F$11*(1+'Assumptions'!$F$12)^(AA$6-1)*INDEX('Assumptions'!$F$34:$F$45,MOD(AA$6-1,12)+1)</x:f>
        <x:v>12000</x:v>
      </x:c>
      <x:c r="AB8" s="32" t="n">
        <x:f>'Assumptions'!$F$11*(1+'Assumptions'!$F$12)^(AB$6-1)*INDEX('Assumptions'!$F$34:$F$45,MOD(AB$6-1,12)+1)</x:f>
        <x:v>12000</x:v>
      </x:c>
      <x:c r="AC8" s="32" t="n">
        <x:f>'Assumptions'!$F$11*(1+'Assumptions'!$F$12)^(AC$6-1)*INDEX('Assumptions'!$F$34:$F$45,MOD(AC$6-1,12)+1)</x:f>
        <x:v>12000</x:v>
      </x:c>
      <x:c r="AD8" s="32" t="n">
        <x:f>'Assumptions'!$F$11*(1+'Assumptions'!$F$12)^(AD$6-1)*INDEX('Assumptions'!$F$34:$F$45,MOD(AD$6-1,12)+1)</x:f>
        <x:v>12000</x:v>
      </x:c>
      <x:c r="AE8" s="32" t="n">
        <x:f>'Assumptions'!$F$11*(1+'Assumptions'!$F$12)^(AE$6-1)*INDEX('Assumptions'!$F$34:$F$45,MOD(AE$6-1,12)+1)</x:f>
        <x:v>12000</x:v>
      </x:c>
      <x:c r="AF8" s="32" t="n">
        <x:f>'Assumptions'!$F$11*(1+'Assumptions'!$F$12)^(AF$6-1)*INDEX('Assumptions'!$F$34:$F$45,MOD(AF$6-1,12)+1)</x:f>
        <x:v>12000</x:v>
      </x:c>
      <x:c r="AG8" s="32" t="n">
        <x:f>'Assumptions'!$F$11*(1+'Assumptions'!$F$12)^(AG$6-1)*INDEX('Assumptions'!$F$34:$F$45,MOD(AG$6-1,12)+1)</x:f>
        <x:v>12000</x:v>
      </x:c>
      <x:c r="AH8" s="32" t="n">
        <x:f>'Assumptions'!$F$11*(1+'Assumptions'!$F$12)^(AH$6-1)*INDEX('Assumptions'!$F$34:$F$45,MOD(AH$6-1,12)+1)</x:f>
        <x:v>12000</x:v>
      </x:c>
      <x:c r="AI8" s="32" t="n">
        <x:f>'Assumptions'!$F$11*(1+'Assumptions'!$F$12)^(AI$6-1)*INDEX('Assumptions'!$F$34:$F$45,MOD(AI$6-1,12)+1)</x:f>
        <x:v>12000</x:v>
      </x:c>
      <x:c r="AJ8" s="32" t="n">
        <x:f>'Assumptions'!$F$11*(1+'Assumptions'!$F$12)^(AJ$6-1)*INDEX('Assumptions'!$F$34:$F$45,MOD(AJ$6-1,12)+1)</x:f>
        <x:v>12000</x:v>
      </x:c>
      <x:c r="AK8" s="32" t="n">
        <x:f>'Assumptions'!$F$11*(1+'Assumptions'!$F$12)^(AK$6-1)*INDEX('Assumptions'!$F$34:$F$45,MOD(AK$6-1,12)+1)</x:f>
        <x:v>12000</x:v>
      </x:c>
      <x:c r="AL8" s="32" t="n">
        <x:f>'Assumptions'!$F$11*(1+'Assumptions'!$F$12)^(AL$6-1)*INDEX('Assumptions'!$F$34:$F$45,MOD(AL$6-1,12)+1)</x:f>
        <x:v>12000</x:v>
      </x:c>
      <x:c r="AM8" s="32" t="n">
        <x:f>'Assumptions'!$F$11*(1+'Assumptions'!$F$12)^(AM$6-1)*INDEX('Assumptions'!$F$34:$F$45,MOD(AM$6-1,12)+1)</x:f>
        <x:v>12000</x:v>
      </x:c>
      <x:c r="AN8" s="32" t="n">
        <x:f>'Assumptions'!$F$11*(1+'Assumptions'!$F$12)^(AN$6-1)*INDEX('Assumptions'!$F$34:$F$45,MOD(AN$6-1,12)+1)</x:f>
        <x:v>12000</x:v>
      </x:c>
      <x:c r="AO8" s="32" t="n">
        <x:f>'Assumptions'!$F$11*(1+'Assumptions'!$F$12)^(AO$6-1)*INDEX('Assumptions'!$F$34:$F$45,MOD(AO$6-1,12)+1)</x:f>
        <x:v>12000</x:v>
      </x:c>
      <x:c r="AP8" s="32" t="n">
        <x:f>'Assumptions'!$F$11*(1+'Assumptions'!$F$12)^(AP$6-1)*INDEX('Assumptions'!$F$34:$F$45,MOD(AP$6-1,12)+1)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518400000</x:v>
      </x:c>
      <x:c r="F11" s="42"/>
      <x:c r="G11" s="43" t="n">
        <x:f>G8*G9*G10</x:f>
        <x:v>21600000</x:v>
      </x:c>
      <x:c r="H11" s="43" t="n">
        <x:f>H8*H9*H10</x:f>
        <x:v>21600000</x:v>
      </x:c>
      <x:c r="I11" s="43" t="n">
        <x:f>I8*I9*I10</x:f>
        <x:v>21600000</x:v>
      </x:c>
      <x:c r="J11" s="43" t="n">
        <x:f>J8*J9*J10</x:f>
        <x:v>21600000</x:v>
      </x:c>
      <x:c r="K11" s="43" t="n">
        <x:f>K8*K9*K10</x:f>
        <x:v>21600000</x:v>
      </x:c>
      <x:c r="L11" s="43" t="n">
        <x:f>L8*L9*L10</x:f>
        <x:v>21600000</x:v>
      </x:c>
      <x:c r="M11" s="43" t="n">
        <x:f>M8*M9*M10</x:f>
        <x:v>21600000</x:v>
      </x:c>
      <x:c r="N11" s="43" t="n">
        <x:f>N8*N9*N10</x:f>
        <x:v>21600000</x:v>
      </x:c>
      <x:c r="O11" s="43" t="n">
        <x:f>O8*O9*O10</x:f>
        <x:v>21600000</x:v>
      </x:c>
      <x:c r="P11" s="43" t="n">
        <x:f>P8*P9*P10</x:f>
        <x:v>21600000</x:v>
      </x:c>
      <x:c r="Q11" s="43" t="n">
        <x:f>Q8*Q9*Q10</x:f>
        <x:v>21600000</x:v>
      </x:c>
      <x:c r="R11" s="43" t="n">
        <x:f>R8*R9*R10</x:f>
        <x:v>21600000</x:v>
      </x:c>
      <x:c r="S11" s="43" t="n">
        <x:f>S8*S9*S10</x:f>
        <x:v>21600000</x:v>
      </x:c>
      <x:c r="T11" s="43" t="n">
        <x:f>T8*T9*T10</x:f>
        <x:v>21600000</x:v>
      </x:c>
      <x:c r="U11" s="43" t="n">
        <x:f>U8*U9*U10</x:f>
        <x:v>21600000</x:v>
      </x:c>
      <x:c r="V11" s="43" t="n">
        <x:f>V8*V9*V10</x:f>
        <x:v>21600000</x:v>
      </x:c>
      <x:c r="W11" s="43" t="n">
        <x:f>W8*W9*W10</x:f>
        <x:v>21600000</x:v>
      </x:c>
      <x:c r="X11" s="43" t="n">
        <x:f>X8*X9*X10</x:f>
        <x:v>21600000</x:v>
      </x:c>
      <x:c r="Y11" s="43" t="n">
        <x:f>Y8*Y9*Y10</x:f>
        <x:v>21600000</x:v>
      </x:c>
      <x:c r="Z11" s="43" t="n">
        <x:f>Z8*Z9*Z10</x:f>
        <x:v>21600000</x:v>
      </x:c>
      <x:c r="AA11" s="43" t="n">
        <x:f>AA8*AA9*AA10</x:f>
        <x:v>21600000</x:v>
      </x:c>
      <x:c r="AB11" s="43" t="n">
        <x:f>AB8*AB9*AB10</x:f>
        <x:v>21600000</x:v>
      </x:c>
      <x:c r="AC11" s="43" t="n">
        <x:f>AC8*AC9*AC10</x:f>
        <x:v>21600000</x:v>
      </x:c>
      <x:c r="AD11" s="43" t="n">
        <x:f>AD8*AD9*AD10</x:f>
        <x:v>21600000</x:v>
      </x:c>
      <x:c r="AE11" s="43" t="n">
        <x:f>AE8*AE9*AE10</x:f>
        <x:v>21600000</x:v>
      </x:c>
      <x:c r="AF11" s="43" t="n">
        <x:f>AF8*AF9*AF10</x:f>
        <x:v>21600000</x:v>
      </x:c>
      <x:c r="AG11" s="43" t="n">
        <x:f>AG8*AG9*AG10</x:f>
        <x:v>21600000</x:v>
      </x:c>
      <x:c r="AH11" s="43" t="n">
        <x:f>AH8*AH9*AH10</x:f>
        <x:v>21600000</x:v>
      </x:c>
      <x:c r="AI11" s="43" t="n">
        <x:f>AI8*AI9*AI10</x:f>
        <x:v>21600000</x:v>
      </x:c>
      <x:c r="AJ11" s="43" t="n">
        <x:f>AJ8*AJ9*AJ10</x:f>
        <x:v>21600000</x:v>
      </x:c>
      <x:c r="AK11" s="43" t="n">
        <x:f>AK8*AK9*AK10</x:f>
        <x:v>21600000</x:v>
      </x:c>
      <x:c r="AL11" s="43" t="n">
        <x:f>AL8*AL9*AL10</x:f>
        <x:v>21600000</x:v>
      </x:c>
      <x:c r="AM11" s="43" t="n">
        <x:f>AM8*AM9*AM10</x:f>
        <x:v>21600000</x:v>
      </x:c>
      <x:c r="AN11" s="43" t="n">
        <x:f>AN8*AN9*AN10</x:f>
        <x:v>21600000</x:v>
      </x:c>
      <x:c r="AO11" s="43" t="n">
        <x:f>AO8*AO9*AO10</x:f>
        <x:v>21600000</x:v>
      </x:c>
      <x:c r="AP11" s="43" t="n">
        <x:f>AP8*AP9*AP10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$E$44</x:f>
        <x:v>383400000</x:v>
      </x:c>
      <x:c r="H13" s="35" t="n">
        <x:f>G16</x:f>
        <x:v>350330892.7215931</x:v>
      </x:c>
      <x:c r="I13" s="35" t="n">
        <x:f>H16</x:f>
        <x:v>331052970.77793443</x:v>
      </x:c>
      <x:c r="J13" s="35" t="n">
        <x:f>I16</x:f>
        <x:v>318017155.12506515</x:v>
      </x:c>
      <x:c r="K13" s="35" t="n">
        <x:f>J16</x:f>
        <x:v>308774012.75897986</x:v>
      </x:c>
      <x:c r="L13" s="35" t="n">
        <x:f>K16</x:f>
        <x:v>302125039.4971381</x:v>
      </x:c>
      <x:c r="M13" s="35" t="n">
        <x:f>L16</x:f>
        <x:v>297366434.79168326</x:v>
      </x:c>
      <x:c r="N13" s="35" t="n">
        <x:f>M16</x:f>
        <x:v>294041901.6297172</x:v>
      </x:c>
      <x:c r="O13" s="35" t="n">
        <x:f>N16</x:f>
        <x:v>291836483.78574586</x:v>
      </x:c>
      <x:c r="P13" s="35" t="n">
        <x:f>O16</x:f>
        <x:v>290521175.3659754</x:v>
      </x:c>
      <x:c r="Q13" s="35" t="n">
        <x:f>P16</x:f>
        <x:v>289920955.9565741</x:v>
      </x:c>
      <x:c r="R13" s="35" t="n">
        <x:f>Q16</x:f>
        <x:v>289896051.95579946</x:v>
      </x:c>
      <x:c r="S13" s="35" t="n">
        <x:f>R16</x:f>
        <x:v>290330897.89914</x:v>
      </x:c>
      <x:c r="T13" s="35" t="n">
        <x:f>S16</x:f>
        <x:v>291127328.23295796</x:v>
      </x:c>
      <x:c r="U13" s="35" t="n">
        <x:f>T16</x:f>
        <x:v>292200008.2784818</x:v>
      </x:c>
      <x:c r="V13" s="35" t="n">
        <x:f>U16</x:f>
        <x:v>293473065.8478296</x:v>
      </x:c>
      <x:c r="W13" s="35" t="n">
        <x:f>V16</x:f>
        <x:v>294877408.7494191</x:v>
      </x:c>
      <x:c r="X13" s="35" t="n">
        <x:f>W16</x:f>
        <x:v>296348523.49800366</x:v>
      </x:c>
      <x:c r="Y13" s="35" t="n">
        <x:f>X16</x:f>
        <x:v>297824806.54839325</x:v>
      </x:c>
      <x:c r="Z13" s="35" t="n">
        <x:f>Y16</x:f>
        <x:v>299246680.57340395</x:v>
      </x:c>
      <x:c r="AA13" s="35" t="n">
        <x:f>Z16</x:f>
        <x:v>300556682.0895032</x:v>
      </x:c>
      <x:c r="AB13" s="35" t="n">
        <x:f>AA16</x:f>
        <x:v>301700223.47774434</x:v>
      </x:c>
      <x:c r="AC13" s="35" t="n">
        <x:f>AB16</x:f>
        <x:v>302626270.29810095</x:v>
      </x:c>
      <x:c r="AD13" s="35" t="n">
        <x:f>AC16</x:f>
        <x:v>303287367.72073054</x:v>
      </x:c>
      <x:c r="AE13" s="35" t="n">
        <x:f>AD16</x:f>
        <x:v>303639058.5400189</x:v>
      </x:c>
      <x:c r="AF13" s="35" t="n">
        <x:f>AE16</x:f>
        <x:v>303639058.5400189</x:v>
      </x:c>
      <x:c r="AG13" s="35" t="n">
        <x:f>AF16</x:f>
        <x:v>303639058.5400189</x:v>
      </x:c>
      <x:c r="AH13" s="35" t="n">
        <x:f>AG16</x:f>
        <x:v>303639058.5400189</x:v>
      </x:c>
      <x:c r="AI13" s="35" t="n">
        <x:f>AH16</x:f>
        <x:v>303639058.5400189</x:v>
      </x:c>
      <x:c r="AJ13" s="35" t="n">
        <x:f>AI16</x:f>
        <x:v>303639058.5400189</x:v>
      </x:c>
      <x:c r="AK13" s="35" t="n">
        <x:f>AJ16</x:f>
        <x:v>303639058.5400189</x:v>
      </x:c>
      <x:c r="AL13" s="35" t="n">
        <x:f>AK16</x:f>
        <x:v>303639058.5400189</x:v>
      </x:c>
      <x:c r="AM13" s="35" t="n">
        <x:f>AL16</x:f>
        <x:v>303639058.5400189</x:v>
      </x:c>
      <x:c r="AN13" s="35" t="n">
        <x:f>AM16</x:f>
        <x:v>303639058.5400189</x:v>
      </x:c>
      <x:c r="AO13" s="35" t="n">
        <x:f>AN16</x:f>
        <x:v>303639058.5400189</x:v>
      </x:c>
      <x:c r="AP13" s="35" t="n">
        <x:f>AO16</x:f>
        <x:v>303639058.5400189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572351258.778024</x:v>
      </x:c>
      <x:c r="F14" s="2"/>
      <x:c r="G14" s="35" t="n">
        <x:f>SUM(G29:G30)</x:f>
        <x:v>53683786.10663644</x:v>
      </x:c>
      <x:c r="H14" s="35" t="n">
        <x:f>SUM(H29:H30)</x:f>
        <x:v>39915627.925729446</x:v>
      </x:c>
      <x:c r="I14" s="35" t="n">
        <x:f>SUM(I29:I30)</x:f>
        <x:v>33683572.55293924</x:v>
      </x:c>
      <x:c r="J14" s="35" t="n">
        <x:f>SUM(J29:J30)</x:f>
        <x:v>29886428.89578799</x:v>
      </x:c>
      <x:c r="K14" s="35" t="n">
        <x:f>SUM(K29:K30)</x:f>
        <x:v>27273770.464102905</x:v>
      </x:c>
      <x:c r="L14" s="35" t="n">
        <x:f>SUM(L29:L30)</x:f>
        <x:v>25354860.152283352</x:v>
      </x:c>
      <x:c r="M14" s="35" t="n">
        <x:f>SUM(M29:M30)</x:f>
        <x:v>23888974.176334724</x:v>
      </x:c>
      <x:c r="N14" s="35" t="n">
        <x:f>SUM(N29:N30)</x:f>
        <x:v>22741298.96649107</x:v>
      </x:c>
      <x:c r="O14" s="35" t="n">
        <x:f>SUM(O29:O30)</x:f>
        <x:v>21829374.80869996</x:v>
      </x:c>
      <x:c r="P14" s="35" t="n">
        <x:f>SUM(P29:P30)</x:f>
        <x:v>21099469.401926763</x:v>
      </x:c>
      <x:c r="Q14" s="35" t="n">
        <x:f>SUM(Q29:Q30)</x:f>
        <x:v>20514874.312665813</x:v>
      </x:c>
      <x:c r="R14" s="35" t="n">
        <x:f>SUM(R29:R30)</x:f>
        <x:v>20049616.891039133</x:v>
      </x:c>
      <x:c r="S14" s="35" t="n">
        <x:f>SUM(S29:S30)</x:f>
        <x:v>19684877.342993986</x:v>
      </x:c>
      <x:c r="T14" s="35" t="n">
        <x:f>SUM(T29:T30)</x:f>
        <x:v>19406862.65843291</x:v>
      </x:c>
      <x:c r="U14" s="35" t="n">
        <x:f>SUM(U29:U30)</x:f>
        <x:v>19205514.688357897</x:v>
      </x:c>
      <x:c r="V14" s="35" t="n">
        <x:f>SUM(V29:V30)</x:f>
        <x:v>19073703.148469925</x:v>
      </x:c>
      <x:c r="W14" s="35" t="n">
        <x:f>SUM(W29:W30)</x:f>
        <x:v>19006649.621968936</x:v>
      </x:c>
      <x:c r="X14" s="35" t="n">
        <x:f>SUM(X29:X30)</x:f>
        <x:v>19001332.55810113</x:v>
      </x:c>
      <x:c r="Y14" s="35" t="n">
        <x:f>SUM(Y29:Y30)</x:f>
        <x:v>19055664.241017953</x:v>
      </x:c>
      <x:c r="Z14" s="35" t="n">
        <x:f>SUM(Z29:Z30)</x:f>
        <x:v>19167497.325046714</x:v>
      </x:c>
      <x:c r="AA14" s="35" t="n">
        <x:f>SUM(AA29:AA30)</x:f>
        <x:v>19333937.884562787</x:v>
      </x:c>
      <x:c r="AB14" s="35" t="n">
        <x:f>SUM(AB29:AB30)</x:f>
        <x:v>19551423.10834112</x:v>
      </x:c>
      <x:c r="AC14" s="35" t="n">
        <x:f>SUM(AC29:AC30)</x:f>
        <x:v>19816368.31132307</x:v>
      </x:c>
      <x:c r="AD14" s="35" t="n">
        <x:f>SUM(AD29:AD30)</x:f>
        <x:v>20125773.234770752</x:v>
      </x:c>
      <x:c r="AE14" s="35" t="n">
        <x:f>SUM(AE29:AE30)</x:f>
        <x:v>20477463.547141634</x:v>
      </x:c>
      <x:c r="AF14" s="35" t="n">
        <x:f>SUM(AF29:AF30)</x:f>
        <x:v>20477463.547141634</x:v>
      </x:c>
      <x:c r="AG14" s="35" t="n">
        <x:f>SUM(AG29:AG30)</x:f>
        <x:v>20477463.547141634</x:v>
      </x:c>
      <x:c r="AH14" s="35" t="n">
        <x:f>SUM(AH29:AH30)</x:f>
        <x:v>20477463.547141634</x:v>
      </x:c>
      <x:c r="AI14" s="35" t="n">
        <x:f>SUM(AI29:AI30)</x:f>
        <x:v>20477463.547141634</x:v>
      </x:c>
      <x:c r="AJ14" s="35" t="n">
        <x:f>SUM(AJ29:AJ30)</x:f>
        <x:v>20477463.547141634</x:v>
      </x:c>
      <x:c r="AK14" s="35" t="n">
        <x:f>SUM(AK29:AK30)</x:f>
        <x:v>20477463.547141634</x:v>
      </x:c>
      <x:c r="AL14" s="35" t="n">
        <x:f>SUM(AL29:AL30)</x:f>
        <x:v>20477463.547141634</x:v>
      </x:c>
      <x:c r="AM14" s="35" t="n">
        <x:f>SUM(AM29:AM30)</x:f>
        <x:v>20477463.547141634</x:v>
      </x:c>
      <x:c r="AN14" s="35" t="n">
        <x:f>SUM(AN29:AN30)</x:f>
        <x:v>20477463.547141634</x:v>
      </x:c>
      <x:c r="AO14" s="35" t="n">
        <x:f>SUM(AO29:AO30)</x:f>
        <x:v>20477463.547141634</x:v>
      </x:c>
      <x:c r="AP14" s="35" t="n">
        <x:f>SUM(AP29:AP30)</x:f>
        <x:v>20477463.547141634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25809682.68195695</x:v>
      </x:c>
      <x:c r="F15" s="2"/>
      <x:c r="G15" s="35" t="n">
        <x:f>SUM(G27:G28)</x:f>
        <x:v>985321.1717704266</x:v>
      </x:c>
      <x:c r="H15" s="35" t="n">
        <x:f>SUM(H27:H28)</x:f>
        <x:v>962294.0179292188</x:v>
      </x:c>
      <x:c r="I15" s="35" t="n">
        <x:f>SUM(I27:I28)</x:f>
        <x:v>952243.0999300426</x:v>
      </x:c>
      <x:c r="J15" s="35" t="n">
        <x:f>SUM(J27:J28)</x:f>
        <x:v>956713.4702972753</x:v>
      </x:c>
      <x:c r="K15" s="35" t="n">
        <x:f>SUM(K27:K28)</x:f>
        <x:v>975202.7977388757</x:v>
      </x:c>
      <x:c r="L15" s="35" t="n">
        <x:f>SUM(L27:L28)</x:f>
        <x:v>1003744.553171431</x:v>
      </x:c>
      <x:c r="M15" s="35" t="n">
        <x:f>SUM(M27:M28)</x:f>
        <x:v>1035558.9856313625</x:v>
      </x:c>
      <x:c r="N15" s="35" t="n">
        <x:f>SUM(N27:N28)</x:f>
        <x:v>1064118.8774802457</x:v>
      </x:c>
      <x:c r="O15" s="35" t="n">
        <x:f>SUM(O27:O28)</x:f>
        <x:v>1085933.6110705165</x:v>
      </x:c>
      <x:c r="P15" s="35" t="n">
        <x:f>SUM(P27:P28)</x:f>
        <x:v>1100750.0074745528</x:v>
      </x:c>
      <x:c r="Q15" s="35" t="n">
        <x:f>SUM(Q27:Q28)</x:f>
        <x:v>1110029.6881087981</x:v>
      </x:c>
      <x:c r="R15" s="35" t="n">
        <x:f>SUM(R27:R28)</x:f>
        <x:v>1115537.1656203133</x:v>
      </x:c>
      <x:c r="S15" s="35" t="n">
        <x:f>SUM(S27:S28)</x:f>
        <x:v>1118692.3231880437</x:v>
      </x:c>
      <x:c r="T15" s="35" t="n">
        <x:f>SUM(T27:T28)</x:f>
        <x:v>1120457.2960432742</x:v>
      </x:c>
      <x:c r="U15" s="35" t="n">
        <x:f>SUM(U27:U28)</x:f>
        <x:v>1121427.7422943</x:v>
      </x:c>
      <x:c r="V15" s="35" t="n">
        <x:f>SUM(V27:V28)</x:f>
        <x:v>1121953.9499405408</x:v>
      </x:c>
      <x:c r="W15" s="35" t="n">
        <x:f>SUM(W27:W28)</x:f>
        <x:v>1122235.6294464772</x:v>
      </x:c>
      <x:c r="X15" s="35" t="n">
        <x:f>SUM(X27:X28)</x:f>
        <x:v>1122384.3915093078</x:v>
      </x:c>
      <x:c r="Y15" s="35" t="n">
        <x:f>SUM(Y27:Y28)</x:f>
        <x:v>1122461.7339713417</x:v>
      </x:c>
      <x:c r="Z15" s="35" t="n">
        <x:f>SUM(Z27:Z28)</x:f>
        <x:v>1122501.1588540021</x:v>
      </x:c>
      <x:c r="AA15" s="35" t="n">
        <x:f>SUM(AA27:AA28)</x:f>
        <x:v>1122520.7271961165</x:v>
      </x:c>
      <x:c r="AB15" s="35" t="n">
        <x:f>SUM(AB27:AB28)</x:f>
        <x:v>1122530.0713022929</x:v>
      </x:c>
      <x:c r="AC15" s="35" t="n">
        <x:f>SUM(AC27:AC28)</x:f>
        <x:v>1122534.2660473369</x:v>
      </x:c>
      <x:c r="AD15" s="35" t="n">
        <x:f>SUM(AD27:AD28)</x:f>
        <x:v>1122535.9459408573</x:v>
      </x:c>
      <x:c r="AE15" s="35" t="n">
        <x:f>SUM(AE27:AE28)</x:f>
        <x:v>1122536.4528583658</x:v>
      </x:c>
      <x:c r="AF15" s="35" t="n">
        <x:f>SUM(AF27:AF28)</x:f>
        <x:v>1122536.4528583658</x:v>
      </x:c>
      <x:c r="AG15" s="35" t="n">
        <x:f>SUM(AG27:AG28)</x:f>
        <x:v>1122536.4528583658</x:v>
      </x:c>
      <x:c r="AH15" s="35" t="n">
        <x:f>SUM(AH27:AH28)</x:f>
        <x:v>1122536.4528583658</x:v>
      </x:c>
      <x:c r="AI15" s="35" t="n">
        <x:f>SUM(AI27:AI28)</x:f>
        <x:v>1122536.4528583658</x:v>
      </x:c>
      <x:c r="AJ15" s="35" t="n">
        <x:f>SUM(AJ27:AJ28)</x:f>
        <x:v>1122536.4528583658</x:v>
      </x:c>
      <x:c r="AK15" s="35" t="n">
        <x:f>SUM(AK27:AK28)</x:f>
        <x:v>1122536.4528583658</x:v>
      </x:c>
      <x:c r="AL15" s="35" t="n">
        <x:f>SUM(AL27:AL28)</x:f>
        <x:v>1122536.4528583658</x:v>
      </x:c>
      <x:c r="AM15" s="35" t="n">
        <x:f>SUM(AM27:AM28)</x:f>
        <x:v>1122536.4528583658</x:v>
      </x:c>
      <x:c r="AN15" s="35" t="n">
        <x:f>SUM(AN27:AN28)</x:f>
        <x:v>1122536.4528583658</x:v>
      </x:c>
      <x:c r="AO15" s="35" t="n">
        <x:f>SUM(AO27:AO28)</x:f>
        <x:v>1122536.4528583658</x:v>
      </x:c>
      <x:c r="AP15" s="35" t="n">
        <x:f>SUM(AP27:AP28)</x:f>
        <x:v>1122536.4528583658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303639058.5400189</x:v>
      </x:c>
      <x:c r="F16" s="42"/>
      <x:c r="G16" s="43" t="n">
        <x:f>G13+G11-G14-G15</x:f>
        <x:v>350330892.7215931</x:v>
      </x:c>
      <x:c r="H16" s="43" t="n">
        <x:f>H13+H11-H14-H15</x:f>
        <x:v>331052970.77793443</x:v>
      </x:c>
      <x:c r="I16" s="43" t="n">
        <x:f>I13+I11-I14-I15</x:f>
        <x:v>318017155.12506515</x:v>
      </x:c>
      <x:c r="J16" s="43" t="n">
        <x:f>J13+J11-J14-J15</x:f>
        <x:v>308774012.75897986</x:v>
      </x:c>
      <x:c r="K16" s="43" t="n">
        <x:f>K13+K11-K14-K15</x:f>
        <x:v>302125039.4971381</x:v>
      </x:c>
      <x:c r="L16" s="43" t="n">
        <x:f>L13+L11-L14-L15</x:f>
        <x:v>297366434.79168326</x:v>
      </x:c>
      <x:c r="M16" s="43" t="n">
        <x:f>M13+M11-M14-M15</x:f>
        <x:v>294041901.6297172</x:v>
      </x:c>
      <x:c r="N16" s="43" t="n">
        <x:f>N13+N11-N14-N15</x:f>
        <x:v>291836483.78574586</x:v>
      </x:c>
      <x:c r="O16" s="43" t="n">
        <x:f>O13+O11-O14-O15</x:f>
        <x:v>290521175.3659754</x:v>
      </x:c>
      <x:c r="P16" s="43" t="n">
        <x:f>P13+P11-P14-P15</x:f>
        <x:v>289920955.9565741</x:v>
      </x:c>
      <x:c r="Q16" s="43" t="n">
        <x:f>Q13+Q11-Q14-Q15</x:f>
        <x:v>289896051.95579946</x:v>
      </x:c>
      <x:c r="R16" s="43" t="n">
        <x:f>R13+R11-R14-R15</x:f>
        <x:v>290330897.89914</x:v>
      </x:c>
      <x:c r="S16" s="43" t="n">
        <x:f>S13+S11-S14-S15</x:f>
        <x:v>291127328.23295796</x:v>
      </x:c>
      <x:c r="T16" s="43" t="n">
        <x:f>T13+T11-T14-T15</x:f>
        <x:v>292200008.2784818</x:v>
      </x:c>
      <x:c r="U16" s="43" t="n">
        <x:f>U13+U11-U14-U15</x:f>
        <x:v>293473065.8478296</x:v>
      </x:c>
      <x:c r="V16" s="43" t="n">
        <x:f>V13+V11-V14-V15</x:f>
        <x:v>294877408.7494191</x:v>
      </x:c>
      <x:c r="W16" s="43" t="n">
        <x:f>W13+W11-W14-W15</x:f>
        <x:v>296348523.49800366</x:v>
      </x:c>
      <x:c r="X16" s="43" t="n">
        <x:f>X13+X11-X14-X15</x:f>
        <x:v>297824806.54839325</x:v>
      </x:c>
      <x:c r="Y16" s="43" t="n">
        <x:f>Y13+Y11-Y14-Y15</x:f>
        <x:v>299246680.57340395</x:v>
      </x:c>
      <x:c r="Z16" s="43" t="n">
        <x:f>Z13+Z11-Z14-Z15</x:f>
        <x:v>300556682.0895032</x:v>
      </x:c>
      <x:c r="AA16" s="43" t="n">
        <x:f>AA13+AA11-AA14-AA15</x:f>
        <x:v>301700223.47774434</x:v>
      </x:c>
      <x:c r="AB16" s="43" t="n">
        <x:f>AB13+AB11-AB14-AB15</x:f>
        <x:v>302626270.29810095</x:v>
      </x:c>
      <x:c r="AC16" s="43" t="n">
        <x:f>AC13+AC11-AC14-AC15</x:f>
        <x:v>303287367.72073054</x:v>
      </x:c>
      <x:c r="AD16" s="43" t="n">
        <x:f>AD13+AD11-AD14-AD15</x:f>
        <x:v>303639058.5400189</x:v>
      </x:c>
      <x:c r="AE16" s="43" t="n">
        <x:f>AE13+AE11-AE14-AE15</x:f>
        <x:v>303639058.5400189</x:v>
      </x:c>
      <x:c r="AF16" s="43" t="n">
        <x:f>AF13+AF11-AF14-AF15</x:f>
        <x:v>303639058.5400189</x:v>
      </x:c>
      <x:c r="AG16" s="43" t="n">
        <x:f>AG13+AG11-AG14-AG15</x:f>
        <x:v>303639058.5400189</x:v>
      </x:c>
      <x:c r="AH16" s="43" t="n">
        <x:f>AH13+AH11-AH14-AH15</x:f>
        <x:v>303639058.5400189</x:v>
      </x:c>
      <x:c r="AI16" s="43" t="n">
        <x:f>AI13+AI11-AI14-AI15</x:f>
        <x:v>303639058.5400189</x:v>
      </x:c>
      <x:c r="AJ16" s="43" t="n">
        <x:f>AJ13+AJ11-AJ14-AJ15</x:f>
        <x:v>303639058.5400189</x:v>
      </x:c>
      <x:c r="AK16" s="43" t="n">
        <x:f>AK13+AK11-AK14-AK15</x:f>
        <x:v>303639058.5400189</x:v>
      </x:c>
      <x:c r="AL16" s="43" t="n">
        <x:f>AL13+AL11-AL14-AL15</x:f>
        <x:v>303639058.5400189</x:v>
      </x:c>
      <x:c r="AM16" s="43" t="n">
        <x:f>AM13+AM11-AM14-AM15</x:f>
        <x:v>303639058.5400189</x:v>
      </x:c>
      <x:c r="AN16" s="43" t="n">
        <x:f>AN13+AN11-AN14-AN15</x:f>
        <x:v>303639058.5400189</x:v>
      </x:c>
      <x:c r="AO16" s="43" t="n">
        <x:f>AO13+AO11-AO14-AO15</x:f>
        <x:v>303639058.5400189</x:v>
      </x:c>
      <x:c r="AP16" s="43" t="n">
        <x:f>AP13+AP11-AP14-AP15</x:f>
        <x:v>303639058.5400189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5215403.314433186</x:v>
      </x:c>
      <x:c r="F18" s="2"/>
      <x:c r="G18" s="35" t="n">
        <x:f>$E$48</x:f>
        <x:v>5215403.314433186</x:v>
      </x:c>
      <x:c r="H18" s="35" t="n">
        <x:f>G20</x:f>
        <x:v>5352618.595521125</x:v>
      </x:c>
      <x:c r="I18" s="35" t="n">
        <x:f>H20</x:f>
        <x:v>5512861.030450271</x:v>
      </x:c>
      <x:c r="J18" s="35" t="n">
        <x:f>I20</x:f>
        <x:v>5683154.383378594</x:v>
      </x:c>
      <x:c r="K18" s="35" t="n">
        <x:f>J20</x:f>
        <x:v>5848977.365939684</x:v>
      </x:c>
      <x:c r="L18" s="35" t="n">
        <x:f>K20</x:f>
        <x:v>5996311.021059174</x:v>
      </x:c>
      <x:c r="M18" s="35" t="n">
        <x:f>L20</x:f>
        <x:v>6115102.9207461085</x:v>
      </x:c>
      <x:c r="N18" s="35" t="n">
        <x:f>M20</x:f>
        <x:v>6202080.387973111</x:v>
      </x:c>
      <x:c r="O18" s="35" t="n">
        <x:f>N20</x:f>
        <x:v>6260497.963351231</x:v>
      </x:c>
      <x:c r="P18" s="35" t="n">
        <x:f>O20</x:f>
        <x:v>6297100.80513908</x:v>
      </x:c>
      <x:c r="Q18" s="35" t="n">
        <x:f>P20</x:f>
        <x:v>6318887.250522892</x:v>
      </x:c>
      <x:c r="R18" s="35" t="n">
        <x:f>Q20</x:f>
        <x:v>6331394.015272459</x:v>
      </x:c>
      <x:c r="S18" s="35" t="n">
        <x:f>R20</x:f>
        <x:v>6338393.302510511</x:v>
      </x:c>
      <x:c r="T18" s="35" t="n">
        <x:f>S20</x:f>
        <x:v>6342237.432180833</x:v>
      </x:c>
      <x:c r="U18" s="35" t="n">
        <x:f>T20</x:f>
        <x:v>6344316.588995924</x:v>
      </x:c>
      <x:c r="V18" s="35" t="n">
        <x:f>U20</x:f>
        <x:v>6345425.299559989</x:v>
      </x:c>
      <x:c r="W18" s="35" t="n">
        <x:f>V20</x:f>
        <x:v>6346007.802477813</x:v>
      </x:c>
      <x:c r="X18" s="35" t="n">
        <x:f>W20</x:f>
        <x:v>6346308.625889702</x:v>
      </x:c>
      <x:c r="Y18" s="35" t="n">
        <x:f>X20</x:f>
        <x:v>6346460.687238759</x:v>
      </x:c>
      <x:c r="Z18" s="35" t="n">
        <x:f>Y20</x:f>
        <x:v>6346535.406125783</x:v>
      </x:c>
      <x:c r="AA18" s="35" t="n">
        <x:f>Z20</x:f>
        <x:v>6346570.700130146</x:v>
      </x:c>
      <x:c r="AB18" s="35" t="n">
        <x:f>AA20</x:f>
        <x:v>6346586.425792394</x:v>
      </x:c>
      <x:c r="AC18" s="35" t="n">
        <x:f>AB20</x:f>
        <x:v>6346592.8073484665</x:v>
      </x:c>
      <x:c r="AD18" s="35" t="n">
        <x:f>AC20</x:f>
        <x:v>6346594.9941594945</x:v>
      </x:c>
      <x:c r="AE18" s="35" t="n">
        <x:f>AD20</x:f>
        <x:v>6346595.501077002</x:v>
      </x:c>
      <x:c r="AF18" s="35" t="n">
        <x:f>AE20</x:f>
        <x:v>6346595.501077001</x:v>
      </x:c>
      <x:c r="AG18" s="35" t="n">
        <x:f>AF20</x:f>
        <x:v>6346595.501077</x:v>
      </x:c>
      <x:c r="AH18" s="35" t="n">
        <x:f>AG20</x:f>
        <x:v>6346595.501076999</x:v>
      </x:c>
      <x:c r="AI18" s="35" t="n">
        <x:f>AH20</x:f>
        <x:v>6346595.501076998</x:v>
      </x:c>
      <x:c r="AJ18" s="35" t="n">
        <x:f>AI20</x:f>
        <x:v>6346595.501076997</x:v>
      </x:c>
      <x:c r="AK18" s="35" t="n">
        <x:f>AJ20</x:f>
        <x:v>6346595.501076996</x:v>
      </x:c>
      <x:c r="AL18" s="35" t="n">
        <x:f>AK20</x:f>
        <x:v>6346595.501076995</x:v>
      </x:c>
      <x:c r="AM18" s="35" t="n">
        <x:f>AL20</x:f>
        <x:v>6346595.501076994</x:v>
      </x:c>
      <x:c r="AN18" s="35" t="n">
        <x:f>AM20</x:f>
        <x:v>6346595.5010769935</x:v>
      </x:c>
      <x:c r="AO18" s="35" t="n">
        <x:f>AN20</x:f>
        <x:v>6346595.501076993</x:v>
      </x:c>
      <x:c r="AP18" s="35" t="n">
        <x:f>AO20</x:f>
        <x:v>6346595.501076992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26940874.86860078</x:v>
      </x:c>
      <x:c r="F19" s="2"/>
      <x:c r="G19" s="35" t="n">
        <x:f>G11*$E$49</x:f>
        <x:v>1122536.4528583654</x:v>
      </x:c>
      <x:c r="H19" s="35" t="n">
        <x:f>H11*$E$49</x:f>
        <x:v>1122536.4528583654</x:v>
      </x:c>
      <x:c r="I19" s="35" t="n">
        <x:f>I11*$E$49</x:f>
        <x:v>1122536.4528583654</x:v>
      </x:c>
      <x:c r="J19" s="35" t="n">
        <x:f>J11*$E$49</x:f>
        <x:v>1122536.4528583654</x:v>
      </x:c>
      <x:c r="K19" s="35" t="n">
        <x:f>K11*$E$49</x:f>
        <x:v>1122536.4528583654</x:v>
      </x:c>
      <x:c r="L19" s="35" t="n">
        <x:f>L11*$E$49</x:f>
        <x:v>1122536.4528583654</x:v>
      </x:c>
      <x:c r="M19" s="35" t="n">
        <x:f>M11*$E$49</x:f>
        <x:v>1122536.4528583654</x:v>
      </x:c>
      <x:c r="N19" s="35" t="n">
        <x:f>N11*$E$49</x:f>
        <x:v>1122536.4528583654</x:v>
      </x:c>
      <x:c r="O19" s="35" t="n">
        <x:f>O11*$E$49</x:f>
        <x:v>1122536.4528583654</x:v>
      </x:c>
      <x:c r="P19" s="35" t="n">
        <x:f>P11*$E$49</x:f>
        <x:v>1122536.4528583654</x:v>
      </x:c>
      <x:c r="Q19" s="35" t="n">
        <x:f>Q11*$E$49</x:f>
        <x:v>1122536.4528583654</x:v>
      </x:c>
      <x:c r="R19" s="35" t="n">
        <x:f>R11*$E$49</x:f>
        <x:v>1122536.4528583654</x:v>
      </x:c>
      <x:c r="S19" s="35" t="n">
        <x:f>S11*$E$49</x:f>
        <x:v>1122536.4528583654</x:v>
      </x:c>
      <x:c r="T19" s="35" t="n">
        <x:f>T11*$E$49</x:f>
        <x:v>1122536.4528583654</x:v>
      </x:c>
      <x:c r="U19" s="35" t="n">
        <x:f>U11*$E$49</x:f>
        <x:v>1122536.4528583654</x:v>
      </x:c>
      <x:c r="V19" s="35" t="n">
        <x:f>V11*$E$49</x:f>
        <x:v>1122536.4528583654</x:v>
      </x:c>
      <x:c r="W19" s="35" t="n">
        <x:f>W11*$E$49</x:f>
        <x:v>1122536.4528583654</x:v>
      </x:c>
      <x:c r="X19" s="35" t="n">
        <x:f>X11*$E$49</x:f>
        <x:v>1122536.4528583654</x:v>
      </x:c>
      <x:c r="Y19" s="35" t="n">
        <x:f>Y11*$E$49</x:f>
        <x:v>1122536.4528583654</x:v>
      </x:c>
      <x:c r="Z19" s="35" t="n">
        <x:f>Z11*$E$49</x:f>
        <x:v>1122536.4528583654</x:v>
      </x:c>
      <x:c r="AA19" s="35" t="n">
        <x:f>AA11*$E$49</x:f>
        <x:v>1122536.4528583654</x:v>
      </x:c>
      <x:c r="AB19" s="35" t="n">
        <x:f>AB11*$E$49</x:f>
        <x:v>1122536.4528583654</x:v>
      </x:c>
      <x:c r="AC19" s="35" t="n">
        <x:f>AC11*$E$49</x:f>
        <x:v>1122536.4528583654</x:v>
      </x:c>
      <x:c r="AD19" s="35" t="n">
        <x:f>AD11*$E$49</x:f>
        <x:v>1122536.4528583654</x:v>
      </x:c>
      <x:c r="AE19" s="35" t="n">
        <x:f>AE11*$E$49</x:f>
        <x:v>1122536.4528583654</x:v>
      </x:c>
      <x:c r="AF19" s="35" t="n">
        <x:f>AF11*$E$49</x:f>
        <x:v>1122536.4528583654</x:v>
      </x:c>
      <x:c r="AG19" s="35" t="n">
        <x:f>AG11*$E$49</x:f>
        <x:v>1122536.4528583654</x:v>
      </x:c>
      <x:c r="AH19" s="35" t="n">
        <x:f>AH11*$E$49</x:f>
        <x:v>1122536.4528583654</x:v>
      </x:c>
      <x:c r="AI19" s="35" t="n">
        <x:f>AI11*$E$49</x:f>
        <x:v>1122536.4528583654</x:v>
      </x:c>
      <x:c r="AJ19" s="35" t="n">
        <x:f>AJ11*$E$49</x:f>
        <x:v>1122536.4528583654</x:v>
      </x:c>
      <x:c r="AK19" s="35" t="n">
        <x:f>AK11*$E$49</x:f>
        <x:v>1122536.4528583654</x:v>
      </x:c>
      <x:c r="AL19" s="35" t="n">
        <x:f>AL11*$E$49</x:f>
        <x:v>1122536.4528583654</x:v>
      </x:c>
      <x:c r="AM19" s="35" t="n">
        <x:f>AM11*$E$49</x:f>
        <x:v>1122536.4528583654</x:v>
      </x:c>
      <x:c r="AN19" s="35" t="n">
        <x:f>AN11*$E$49</x:f>
        <x:v>1122536.4528583654</x:v>
      </x:c>
      <x:c r="AO19" s="35" t="n">
        <x:f>AO11*$E$49</x:f>
        <x:v>1122536.4528583654</x:v>
      </x:c>
      <x:c r="AP19" s="35" t="n">
        <x:f>AP11*$E$49</x:f>
        <x:v>1122536.4528583654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6346595.501077002</x:v>
      </x:c>
      <x:c r="F20" s="42"/>
      <x:c r="G20" s="43" t="n">
        <x:f>G18+G19-G15</x:f>
        <x:v>5352618.595521125</x:v>
      </x:c>
      <x:c r="H20" s="43" t="n">
        <x:f>H18+H19-H15</x:f>
        <x:v>5512861.030450271</x:v>
      </x:c>
      <x:c r="I20" s="43" t="n">
        <x:f>I18+I19-I15</x:f>
        <x:v>5683154.383378594</x:v>
      </x:c>
      <x:c r="J20" s="43" t="n">
        <x:f>J18+J19-J15</x:f>
        <x:v>5848977.365939684</x:v>
      </x:c>
      <x:c r="K20" s="43" t="n">
        <x:f>K18+K19-K15</x:f>
        <x:v>5996311.021059174</x:v>
      </x:c>
      <x:c r="L20" s="43" t="n">
        <x:f>L18+L19-L15</x:f>
        <x:v>6115102.9207461085</x:v>
      </x:c>
      <x:c r="M20" s="43" t="n">
        <x:f>M18+M19-M15</x:f>
        <x:v>6202080.387973111</x:v>
      </x:c>
      <x:c r="N20" s="43" t="n">
        <x:f>N18+N19-N15</x:f>
        <x:v>6260497.963351231</x:v>
      </x:c>
      <x:c r="O20" s="43" t="n">
        <x:f>O18+O19-O15</x:f>
        <x:v>6297100.80513908</x:v>
      </x:c>
      <x:c r="P20" s="43" t="n">
        <x:f>P18+P19-P15</x:f>
        <x:v>6318887.250522892</x:v>
      </x:c>
      <x:c r="Q20" s="43" t="n">
        <x:f>Q18+Q19-Q15</x:f>
        <x:v>6331394.015272459</x:v>
      </x:c>
      <x:c r="R20" s="43" t="n">
        <x:f>R18+R19-R15</x:f>
        <x:v>6338393.302510511</x:v>
      </x:c>
      <x:c r="S20" s="43" t="n">
        <x:f>S18+S19-S15</x:f>
        <x:v>6342237.432180833</x:v>
      </x:c>
      <x:c r="T20" s="43" t="n">
        <x:f>T18+T19-T15</x:f>
        <x:v>6344316.588995924</x:v>
      </x:c>
      <x:c r="U20" s="43" t="n">
        <x:f>U18+U19-U15</x:f>
        <x:v>6345425.299559989</x:v>
      </x:c>
      <x:c r="V20" s="43" t="n">
        <x:f>V18+V19-V15</x:f>
        <x:v>6346007.802477813</x:v>
      </x:c>
      <x:c r="W20" s="43" t="n">
        <x:f>W18+W19-W15</x:f>
        <x:v>6346308.625889702</x:v>
      </x:c>
      <x:c r="X20" s="43" t="n">
        <x:f>X18+X19-X15</x:f>
        <x:v>6346460.687238759</x:v>
      </x:c>
      <x:c r="Y20" s="43" t="n">
        <x:f>Y18+Y19-Y15</x:f>
        <x:v>6346535.406125783</x:v>
      </x:c>
      <x:c r="Z20" s="43" t="n">
        <x:f>Z18+Z19-Z15</x:f>
        <x:v>6346570.700130146</x:v>
      </x:c>
      <x:c r="AA20" s="43" t="n">
        <x:f>AA18+AA19-AA15</x:f>
        <x:v>6346586.425792394</x:v>
      </x:c>
      <x:c r="AB20" s="43" t="n">
        <x:f>AB18+AB19-AB15</x:f>
        <x:v>6346592.8073484665</x:v>
      </x:c>
      <x:c r="AC20" s="43" t="n">
        <x:f>AC18+AC19-AC15</x:f>
        <x:v>6346594.9941594945</x:v>
      </x:c>
      <x:c r="AD20" s="43" t="n">
        <x:f>AD18+AD19-AD15</x:f>
        <x:v>6346595.501077002</x:v>
      </x:c>
      <x:c r="AE20" s="43" t="n">
        <x:f>AE18+AE19-AE15</x:f>
        <x:v>6346595.501077001</x:v>
      </x:c>
      <x:c r="AF20" s="43" t="n">
        <x:f>AF18+AF19-AF15</x:f>
        <x:v>6346595.501077</x:v>
      </x:c>
      <x:c r="AG20" s="43" t="n">
        <x:f>AG18+AG19-AG15</x:f>
        <x:v>6346595.501076999</x:v>
      </x:c>
      <x:c r="AH20" s="43" t="n">
        <x:f>AH18+AH19-AH15</x:f>
        <x:v>6346595.501076998</x:v>
      </x:c>
      <x:c r="AI20" s="43" t="n">
        <x:f>AI18+AI19-AI15</x:f>
        <x:v>6346595.501076997</x:v>
      </x:c>
      <x:c r="AJ20" s="43" t="n">
        <x:f>AJ18+AJ19-AJ15</x:f>
        <x:v>6346595.501076996</x:v>
      </x:c>
      <x:c r="AK20" s="43" t="n">
        <x:f>AK18+AK19-AK15</x:f>
        <x:v>6346595.501076995</x:v>
      </x:c>
      <x:c r="AL20" s="43" t="n">
        <x:f>AL18+AL19-AL15</x:f>
        <x:v>6346595.501076994</x:v>
      </x:c>
      <x:c r="AM20" s="43" t="n">
        <x:f>AM18+AM19-AM15</x:f>
        <x:v>6346595.5010769935</x:v>
      </x:c>
      <x:c r="AN20" s="43" t="n">
        <x:f>AN18+AN19-AN15</x:f>
        <x:v>6346595.501076993</x:v>
      </x:c>
      <x:c r="AO20" s="43" t="n">
        <x:f>AO18+AO19-AO15</x:f>
        <x:v>6346595.501076992</x:v>
      </x:c>
      <x:c r="AP20" s="43" t="n">
        <x:f>AP18+AP19-AP15</x:f>
        <x:v>6346595.501076991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297292463.0389419</x:v>
      </x:c>
      <x:c r="F21" s="42"/>
      <x:c r="G21" s="43" t="n">
        <x:f>G16-G20</x:f>
        <x:v>344978274.12607193</x:v>
      </x:c>
      <x:c r="H21" s="43" t="n">
        <x:f>H16-H20</x:f>
        <x:v>325540109.74748415</x:v>
      </x:c>
      <x:c r="I21" s="43" t="n">
        <x:f>I16-I20</x:f>
        <x:v>312334000.7416866</x:v>
      </x:c>
      <x:c r="J21" s="43" t="n">
        <x:f>J16-J20</x:f>
        <x:v>302925035.3930402</x:v>
      </x:c>
      <x:c r="K21" s="43" t="n">
        <x:f>K16-K20</x:f>
        <x:v>296128728.4760789</x:v>
      </x:c>
      <x:c r="L21" s="43" t="n">
        <x:f>L16-L20</x:f>
        <x:v>291251331.87093717</x:v>
      </x:c>
      <x:c r="M21" s="43" t="n">
        <x:f>M16-M20</x:f>
        <x:v>287839821.24174404</x:v>
      </x:c>
      <x:c r="N21" s="43" t="n">
        <x:f>N16-N20</x:f>
        <x:v>285575985.8223946</x:v>
      </x:c>
      <x:c r="O21" s="43" t="n">
        <x:f>O16-O20</x:f>
        <x:v>284224074.5608363</x:v>
      </x:c>
      <x:c r="P21" s="43" t="n">
        <x:f>P16-P20</x:f>
        <x:v>283602068.7060512</x:v>
      </x:c>
      <x:c r="Q21" s="43" t="n">
        <x:f>Q16-Q20</x:f>
        <x:v>283564657.940527</x:v>
      </x:c>
      <x:c r="R21" s="43" t="n">
        <x:f>R16-R20</x:f>
        <x:v>283992504.5966295</x:v>
      </x:c>
      <x:c r="S21" s="43" t="n">
        <x:f>S16-S20</x:f>
        <x:v>284785090.80077714</x:v>
      </x:c>
      <x:c r="T21" s="43" t="n">
        <x:f>T16-T20</x:f>
        <x:v>285855691.68948585</x:v>
      </x:c>
      <x:c r="U21" s="43" t="n">
        <x:f>U16-U20</x:f>
        <x:v>287127640.54826957</x:v>
      </x:c>
      <x:c r="V21" s="43" t="n">
        <x:f>V16-V20</x:f>
        <x:v>288531400.94694126</x:v>
      </x:c>
      <x:c r="W21" s="43" t="n">
        <x:f>W16-W20</x:f>
        <x:v>290002214.87211394</x:v>
      </x:c>
      <x:c r="X21" s="43" t="n">
        <x:f>X16-X20</x:f>
        <x:v>291478345.8611545</x:v>
      </x:c>
      <x:c r="Y21" s="43" t="n">
        <x:f>Y16-Y20</x:f>
        <x:v>292900145.1672782</x:v>
      </x:c>
      <x:c r="Z21" s="43" t="n">
        <x:f>Z16-Z20</x:f>
        <x:v>294210111.38937306</x:v>
      </x:c>
      <x:c r="AA21" s="43" t="n">
        <x:f>AA16-AA20</x:f>
        <x:v>295353637.05195194</x:v>
      </x:c>
      <x:c r="AB21" s="43" t="n">
        <x:f>AB16-AB20</x:f>
        <x:v>296279677.49075246</x:v>
      </x:c>
      <x:c r="AC21" s="43" t="n">
        <x:f>AC16-AC20</x:f>
        <x:v>296940772.726571</x:v>
      </x:c>
      <x:c r="AD21" s="43" t="n">
        <x:f>AD16-AD20</x:f>
        <x:v>297292463.0389419</x:v>
      </x:c>
      <x:c r="AE21" s="43" t="n">
        <x:f>AE16-AE20</x:f>
        <x:v>297292463.0389419</x:v>
      </x:c>
      <x:c r="AF21" s="43" t="n">
        <x:f>AF16-AF20</x:f>
        <x:v>297292463.0389419</x:v>
      </x:c>
      <x:c r="AG21" s="43" t="n">
        <x:f>AG16-AG20</x:f>
        <x:v>297292463.0389419</x:v>
      </x:c>
      <x:c r="AH21" s="43" t="n">
        <x:f>AH16-AH20</x:f>
        <x:v>297292463.0389419</x:v>
      </x:c>
      <x:c r="AI21" s="43" t="n">
        <x:f>AI16-AI20</x:f>
        <x:v>297292463.0389419</x:v>
      </x:c>
      <x:c r="AJ21" s="43" t="n">
        <x:f>AJ16-AJ20</x:f>
        <x:v>297292463.0389419</x:v>
      </x:c>
      <x:c r="AK21" s="43" t="n">
        <x:f>AK16-AK20</x:f>
        <x:v>297292463.0389419</x:v>
      </x:c>
      <x:c r="AL21" s="43" t="n">
        <x:f>AL16-AL20</x:f>
        <x:v>297292463.0389419</x:v>
      </x:c>
      <x:c r="AM21" s="43" t="n">
        <x:f>AM16-AM20</x:f>
        <x:v>297292463.0389419</x:v>
      </x:c>
      <x:c r="AN21" s="43" t="n">
        <x:f>AN16-AN20</x:f>
        <x:v>297292463.0389419</x:v>
      </x:c>
      <x:c r="AO21" s="43" t="n">
        <x:f>AO16-AO20</x:f>
        <x:v>297292463.0389419</x:v>
      </x:c>
      <x:c r="AP21" s="43" t="n">
        <x:f>AP16-AP20</x:f>
        <x:v>297292463.0389419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333899163.34948987</x:v>
      </x:c>
      <x:c r="F24" s="42"/>
      <x:c r="G24" s="43" t="n">
        <x:f>(G13-G15)*G23/12</x:f>
        <x:v>17527339.446293857</x:v>
      </x:c>
      <x:c r="H24" s="43" t="n">
        <x:f>(H13-H15)*H23/12</x:f>
        <x:v>16012727.440584594</x:v>
      </x:c>
      <x:c r="I24" s="43" t="n">
        <x:f>(I13-I15)*I23/12</x:f>
        <x:v>15129616.685241869</x:v>
      </x:c>
      <x:c r="J24" s="43" t="n">
        <x:f>(J13-J15)*J23/12</x:f>
        <x:v>14531936.909176862</x:v>
      </x:c>
      <x:c r="K24" s="43" t="n">
        <x:f>(K13-K15)*K23/12</x:f>
        <x:v>14107445.45655688</x:v>
      </x:c>
      <x:c r="L24" s="43" t="n">
        <x:f>(L13-L15)*L23/12</x:f>
        <x:v>13801392.684931805</x:v>
      </x:c>
      <x:c r="M24" s="43" t="n">
        <x:f>(M13-M15)*M23/12</x:f>
        <x:v>13581831.80777738</x:v>
      </x:c>
      <x:c r="N24" s="43" t="n">
        <x:f>(N13-N15)*N23/12</x:f>
        <x:v>13428148.376144193</x:v>
      </x:c>
      <x:c r="O24" s="43" t="n">
        <x:f>(O13-O15)*O23/12</x:f>
        <x:v>13326066.883005954</x:v>
      </x:c>
      <x:c r="P24" s="43" t="n">
        <x:f>(P13-P15)*P23/12</x:f>
        <x:v>13265102.828931289</x:v>
      </x:c>
      <x:c r="Q24" s="43" t="n">
        <x:f>(Q13-Q15)*Q23/12</x:f>
        <x:v>13237167.453971326</x:v>
      </x:c>
      <x:c r="R24" s="43" t="n">
        <x:f>(R13-R15)*R23/12</x:f>
        <x:v>13235773.594549878</x:v>
      </x:c>
      <x:c r="S24" s="43" t="n">
        <x:f>(S13-S15)*S23/12</x:f>
        <x:v>13255559.42223113</x:v>
      </x:c>
      <x:c r="T24" s="43" t="n">
        <x:f>(T13-T15)*T23/12</x:f>
        <x:v>13291981.58460859</x:v>
      </x:c>
      <x:c r="U24" s="43" t="n">
        <x:f>(U13-U15)*U23/12</x:f>
        <x:v>13341101.607908593</x:v>
      </x:c>
      <x:c r="V24" s="43" t="n">
        <x:f>(V13-V15)*V23/12</x:f>
        <x:v>13399425.96198658</x:v>
      </x:c>
      <x:c r="W24" s="43" t="n">
        <x:f>(W13-W15)*W23/12</x:f>
        <x:v>13463778.767998746</x:v>
      </x:c>
      <x:c r="X24" s="43" t="n">
        <x:f>(X13-X15)*X23/12</x:f>
        <x:v>13531198.042380994</x:v>
      </x:c>
      <x:c r="Y24" s="43" t="n">
        <x:f>(Y13-Y15)*Y23/12</x:f>
        <x:v>13598857.470661005</x:v>
      </x:c>
      <x:c r="Z24" s="43" t="n">
        <x:f>(Z13-Z15)*Z23/12</x:f>
        <x:v>13664024.88983354</x:v>
      </x:c>
      <x:c r="AA24" s="43" t="n">
        <x:f>(AA13-AA15)*AA23/12</x:f>
        <x:v>13724065.729105746</x:v>
      </x:c>
      <x:c r="AB24" s="43" t="n">
        <x:f>(AB13-AB15)*AB23/12</x:f>
        <x:v>13776477.614461929</x:v>
      </x:c>
      <x:c r="AC24" s="43" t="n">
        <x:f>(AC13-AC15)*AC23/12</x:f>
        <x:v>13818921.234802457</x:v>
      </x:c>
      <x:c r="AD24" s="43" t="n">
        <x:f>(AD13-AD15)*AD23/12</x:f>
        <x:v>13849221.456344528</x:v>
      </x:c>
      <x:c r="AE24" s="43" t="n">
        <x:f>(AE13-AE15)*AE23/12</x:f>
        <x:v>13865340.595661527</x:v>
      </x:c>
      <x:c r="AF24" s="43" t="n">
        <x:f>(AF13-AF15)*AF23/12</x:f>
        <x:v>13865340.595661527</x:v>
      </x:c>
      <x:c r="AG24" s="43" t="n">
        <x:f>(AG13-AG15)*AG23/12</x:f>
        <x:v>13865340.595661527</x:v>
      </x:c>
      <x:c r="AH24" s="43" t="n">
        <x:f>(AH13-AH15)*AH23/12</x:f>
        <x:v>13865340.595661527</x:v>
      </x:c>
      <x:c r="AI24" s="43" t="n">
        <x:f>(AI13-AI15)*AI23/12</x:f>
        <x:v>13865340.595661527</x:v>
      </x:c>
      <x:c r="AJ24" s="43" t="n">
        <x:f>(AJ13-AJ15)*AJ23/12</x:f>
        <x:v>13865340.595661527</x:v>
      </x:c>
      <x:c r="AK24" s="43" t="n">
        <x:f>(AK13-AK15)*AK23/12</x:f>
        <x:v>13865340.595661527</x:v>
      </x:c>
      <x:c r="AL24" s="43" t="n">
        <x:f>(AL13-AL15)*AL23/12</x:f>
        <x:v>13865340.595661527</x:v>
      </x:c>
      <x:c r="AM24" s="43" t="n">
        <x:f>(AM13-AM15)*AM23/12</x:f>
        <x:v>13865340.595661527</x:v>
      </x:c>
      <x:c r="AN24" s="43" t="n">
        <x:f>(AN13-AN15)*AN23/12</x:f>
        <x:v>13865340.595661527</x:v>
      </x:c>
      <x:c r="AO24" s="43" t="n">
        <x:f>(AO13-AO15)*AO23/12</x:f>
        <x:v>13865340.595661527</x:v>
      </x:c>
      <x:c r="AP24" s="43" t="n">
        <x:f>(AP13-AP15)*AP23/12</x:f>
        <x:v>13865340.595661527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306958288.48088896</x:v>
      </x:c>
      <x:c r="F25" s="46"/>
      <x:c r="G25" s="47" t="n">
        <x:f>G24-G19</x:f>
        <x:v>16404802.99343549</x:v>
      </x:c>
      <x:c r="H25" s="47" t="n">
        <x:f>H24-H19</x:f>
        <x:v>14890190.987726228</x:v>
      </x:c>
      <x:c r="I25" s="47" t="n">
        <x:f>I24-I19</x:f>
        <x:v>14007080.232383503</x:v>
      </x:c>
      <x:c r="J25" s="47" t="n">
        <x:f>J24-J19</x:f>
        <x:v>13409400.456318496</x:v>
      </x:c>
      <x:c r="K25" s="47" t="n">
        <x:f>K24-K19</x:f>
        <x:v>12984909.003698515</x:v>
      </x:c>
      <x:c r="L25" s="47" t="n">
        <x:f>L24-L19</x:f>
        <x:v>12678856.23207344</x:v>
      </x:c>
      <x:c r="M25" s="47" t="n">
        <x:f>M24-M19</x:f>
        <x:v>12459295.354919014</x:v>
      </x:c>
      <x:c r="N25" s="47" t="n">
        <x:f>N24-N19</x:f>
        <x:v>12305611.923285827</x:v>
      </x:c>
      <x:c r="O25" s="47" t="n">
        <x:f>O24-O19</x:f>
        <x:v>12203530.430147588</x:v>
      </x:c>
      <x:c r="P25" s="47" t="n">
        <x:f>P24-P19</x:f>
        <x:v>12142566.376072923</x:v>
      </x:c>
      <x:c r="Q25" s="47" t="n">
        <x:f>Q24-Q19</x:f>
        <x:v>12114631.00111296</x:v>
      </x:c>
      <x:c r="R25" s="47" t="n">
        <x:f>R24-R19</x:f>
        <x:v>12113237.141691511</x:v>
      </x:c>
      <x:c r="S25" s="47" t="n">
        <x:f>S24-S19</x:f>
        <x:v>12133022.969372764</x:v>
      </x:c>
      <x:c r="T25" s="47" t="n">
        <x:f>T24-T19</x:f>
        <x:v>12169445.131750224</x:v>
      </x:c>
      <x:c r="U25" s="47" t="n">
        <x:f>U24-U19</x:f>
        <x:v>12218565.155050227</x:v>
      </x:c>
      <x:c r="V25" s="47" t="n">
        <x:f>V24-V19</x:f>
        <x:v>12276889.509128215</x:v>
      </x:c>
      <x:c r="W25" s="47" t="n">
        <x:f>W24-W19</x:f>
        <x:v>12341242.31514038</x:v>
      </x:c>
      <x:c r="X25" s="47" t="n">
        <x:f>X24-X19</x:f>
        <x:v>12408661.589522628</x:v>
      </x:c>
      <x:c r="Y25" s="47" t="n">
        <x:f>Y24-Y19</x:f>
        <x:v>12476321.017802639</x:v>
      </x:c>
      <x:c r="Z25" s="47" t="n">
        <x:f>Z24-Z19</x:f>
        <x:v>12541488.436975174</x:v>
      </x:c>
      <x:c r="AA25" s="47" t="n">
        <x:f>AA24-AA19</x:f>
        <x:v>12601529.27624738</x:v>
      </x:c>
      <x:c r="AB25" s="47" t="n">
        <x:f>AB24-AB19</x:f>
        <x:v>12653941.161603563</x:v>
      </x:c>
      <x:c r="AC25" s="47" t="n">
        <x:f>AC24-AC19</x:f>
        <x:v>12696384.78194409</x:v>
      </x:c>
      <x:c r="AD25" s="47" t="n">
        <x:f>AD24-AD19</x:f>
        <x:v>12726685.003486162</x:v>
      </x:c>
      <x:c r="AE25" s="47" t="n">
        <x:f>AE24-AE19</x:f>
        <x:v>12742804.14280316</x:v>
      </x:c>
      <x:c r="AF25" s="47" t="n">
        <x:f>AF24-AF19</x:f>
        <x:v>12742804.14280316</x:v>
      </x:c>
      <x:c r="AG25" s="47" t="n">
        <x:f>AG24-AG19</x:f>
        <x:v>12742804.14280316</x:v>
      </x:c>
      <x:c r="AH25" s="47" t="n">
        <x:f>AH24-AH19</x:f>
        <x:v>12742804.14280316</x:v>
      </x:c>
      <x:c r="AI25" s="47" t="n">
        <x:f>AI24-AI19</x:f>
        <x:v>12742804.14280316</x:v>
      </x:c>
      <x:c r="AJ25" s="47" t="n">
        <x:f>AJ24-AJ19</x:f>
        <x:v>12742804.14280316</x:v>
      </x:c>
      <x:c r="AK25" s="47" t="n">
        <x:f>AK24-AK19</x:f>
        <x:v>12742804.14280316</x:v>
      </x:c>
      <x:c r="AL25" s="47" t="n">
        <x:f>AL24-AL19</x:f>
        <x:v>12742804.14280316</x:v>
      </x:c>
      <x:c r="AM25" s="47" t="n">
        <x:f>AM24-AM19</x:f>
        <x:v>12742804.14280316</x:v>
      </x:c>
      <x:c r="AN25" s="47" t="n">
        <x:f>AN24-AN19</x:f>
        <x:v>12742804.14280316</x:v>
      </x:c>
      <x:c r="AO25" s="47" t="n">
        <x:f>AO24-AO19</x:f>
        <x:v>12742804.14280316</x:v>
      </x:c>
      <x:c r="AP25" s="47" t="n">
        <x:f>AP24-AP19</x:f>
        <x:v>12742804.14280316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5215403.314433187</x:v>
      </x:c>
      <x:c r="F27" s="2"/>
      <x:c r="G27" s="35" t="n">
        <x:f>SUMPRODUCT($E$160:$E$219,$E$52:$E$111)</x:f>
        <x:v>985321.1717704266</x:v>
      </x:c>
      <x:c r="H27" s="35" t="n">
        <x:f>SUMPRODUCT($E$160:$E$219,$E$53:$E$112)</x:f>
        <x:v>907603.5134448272</x:v>
      </x:c>
      <x:c r="I27" s="35" t="n">
        <x:f>SUMPRODUCT($E$160:$E$219,$E$54:$E$113)</x:f>
        <x:v>814955.9890654866</x:v>
      </x:c>
      <x:c r="J27" s="35" t="n">
        <x:f>SUMPRODUCT($E$160:$E$219,$E$55:$E$114)</x:f>
        <x:v>703150.1345104038</x:v>
      </x:c>
      <x:c r="K27" s="35" t="n">
        <x:f>SUMPRODUCT($E$160:$E$219,$E$56:$E$115)</x:f>
        <x:v>573449.6658163419</x:v>
      </x:c>
      <x:c r="L27" s="35" t="n">
        <x:f>SUMPRODUCT($E$160:$E$219,$E$57:$E$116)</x:f>
        <x:v>435837.3754826616</x:v>
      </x:c>
      <x:c r="M27" s="35" t="n">
        <x:f>SUMPRODUCT($E$160:$E$219,$E$58:$E$117)</x:f>
        <x:v>306748.0518618174</x:v>
      </x:c>
      <x:c r="N27" s="35" t="n">
        <x:f>SUMPRODUCT($E$160:$E$219,$E$59:$E$118)</x:f>
        <x:v>200763.19619523268</x:v>
      </x:c>
      <x:c r="O27" s="35" t="n">
        <x:f>SUMPRODUCT($E$160:$E$219,$E$60:$E$119)</x:f>
        <x:v>123682.37171513165</x:v>
      </x:c>
      <x:c r="P27" s="35" t="n">
        <x:f>SUMPRODUCT($E$160:$E$219,$E$61:$E$120)</x:f>
        <x:v>72781.47058825335</x:v>
      </x:c>
      <x:c r="Q27" s="35" t="n">
        <x:f>SUMPRODUCT($E$160:$E$219,$E$62:$E$121)</x:f>
        <x:v>41436.94497988526</x:v>
      </x:c>
      <x:c r="R27" s="35" t="n">
        <x:f>SUMPRODUCT($E$160:$E$219,$E$63:$E$122)</x:f>
        <x:v>23035.958564207678</x:v>
      </x:c>
      <x:c r="S27" s="35" t="n">
        <x:f>SUMPRODUCT($E$160:$E$219,$E$64:$E$123)</x:f>
        <x:v>12575.777136846149</x:v>
      </x:c>
      <x:c r="T27" s="35" t="n">
        <x:f>SUMPRODUCT($E$160:$E$219,$E$65:$E$124)</x:f>
        <x:v>6760.873536352107</x:v>
      </x:c>
      <x:c r="U27" s="35" t="n">
        <x:f>SUMPRODUCT($E$160:$E$219,$E$66:$E$125)</x:f>
        <x:v>3581.875404981018</x:v>
      </x:c>
      <x:c r="V27" s="35" t="n">
        <x:f>SUMPRODUCT($E$160:$E$219,$E$67:$E$126)</x:f>
        <x:v>1868.1530473591781</x:v>
      </x:c>
      <x:c r="W27" s="35" t="n">
        <x:f>SUMPRODUCT($E$160:$E$219,$E$68:$E$127)</x:f>
        <x:v>956.6676534226106</x:v>
      </x:c>
      <x:c r="X27" s="35" t="n">
        <x:f>SUMPRODUCT($E$160:$E$219,$E$69:$E$128)</x:f>
        <x:v>478.84216923520387</x:v>
      </x:c>
      <x:c r="Y27" s="35" t="n">
        <x:f>SUMPRODUCT($E$160:$E$219,$E$70:$E$129)</x:f>
        <x:v>232.59315892729927</x:v>
      </x:c>
      <x:c r="Z27" s="35" t="n">
        <x:f>SUMPRODUCT($E$160:$E$219,$E$71:$E$130)</x:f>
        <x:v>108.39608949909581</x:v>
      </x:c>
      <x:c r="AA27" s="35" t="n">
        <x:f>SUMPRODUCT($E$160:$E$219,$E$72:$E$131)</x:f>
        <x:v>47.545642136265926</x:v>
      </x:c>
      <x:c r="AB27" s="35" t="n">
        <x:f>SUMPRODUCT($E$160:$E$219,$E$73:$E$132)</x:f>
        <x:v>18.947671073719178</x:v>
      </x:c>
      <x:c r="AC27" s="35" t="n">
        <x:f>SUMPRODUCT($E$160:$E$219,$E$74:$E$133)</x:f>
        <x:v>6.3592829530681385</x:v>
      </x:c>
      <x:c r="AD27" s="35" t="n">
        <x:f>SUMPRODUCT($E$160:$E$219,$E$75:$E$134)</x:f>
        <x:v>1.4396457243711742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20594279.367523763</x:v>
      </x:c>
      <x:c r="F28" s="2"/>
      <x:c r="G28" s="35" t="n">
        <x:f>SUMPRODUCT($G$11:G11,$CY$150:$CY$150)</x:f>
        <x:v>0</x:v>
      </x:c>
      <x:c r="H28" s="35" t="n">
        <x:f>SUMPRODUCT($G$11:H11,$CX$150:$CY$150)</x:f>
        <x:v>54690.50448439169</x:v>
      </x:c>
      <x:c r="I28" s="35" t="n">
        <x:f>SUMPRODUCT($G$11:I11,$CW$150:$CY$150)</x:f>
        <x:v>137287.1108645561</x:v>
      </x:c>
      <x:c r="J28" s="35" t="n">
        <x:f>SUMPRODUCT($G$11:J11,$CV$150:$CY$150)</x:f>
        <x:v>253563.33578687152</x:v>
      </x:c>
      <x:c r="K28" s="35" t="n">
        <x:f>SUMPRODUCT($G$11:K11,$CU$150:$CY$150)</x:f>
        <x:v>401753.1319225339</x:v>
      </x:c>
      <x:c r="L28" s="35" t="n">
        <x:f>SUMPRODUCT($G$11:L11,$CT$150:$CY$150)</x:f>
        <x:v>567907.1776887693</x:v>
      </x:c>
      <x:c r="M28" s="35" t="n">
        <x:f>SUMPRODUCT($G$11:M11,$CS$150:$CY$150)</x:f>
        <x:v>728810.933769545</x:v>
      </x:c>
      <x:c r="N28" s="35" t="n">
        <x:f>SUMPRODUCT($G$11:N11,$CR$150:$CY$150)</x:f>
        <x:v>863355.6812850129</x:v>
      </x:c>
      <x:c r="O28" s="35" t="n">
        <x:f>SUMPRODUCT($G$11:O11,$CQ$150:$CY$150)</x:f>
        <x:v>962251.2393553848</x:v>
      </x:c>
      <x:c r="P28" s="35" t="n">
        <x:f>SUMPRODUCT($G$11:P11,$CP$150:$CY$150)</x:f>
        <x:v>1027968.5368862994</x:v>
      </x:c>
      <x:c r="Q28" s="35" t="n">
        <x:f>SUMPRODUCT($G$11:Q11,$CO$150:$CY$150)</x:f>
        <x:v>1068592.7431289128</x:v>
      </x:c>
      <x:c r="R28" s="35" t="n">
        <x:f>SUMPRODUCT($G$11:R11,$CN$150:$CY$150)</x:f>
        <x:v>1092501.2070561056</x:v>
      </x:c>
      <x:c r="S28" s="35" t="n">
        <x:f>SUMPRODUCT($G$11:S11,$CM$150:$CY$150)</x:f>
        <x:v>1106116.5460511975</x:v>
      </x:c>
      <x:c r="T28" s="35" t="n">
        <x:f>SUMPRODUCT($G$11:T11,$CL$150:$CY$150)</x:f>
        <x:v>1113696.4225069222</x:v>
      </x:c>
      <x:c r="U28" s="35" t="n">
        <x:f>SUMPRODUCT($G$11:U11,$CK$150:$CY$150)</x:f>
        <x:v>1117845.8668893191</x:v>
      </x:c>
      <x:c r="V28" s="35" t="n">
        <x:f>SUMPRODUCT($G$11:V11,$CJ$150:$CY$150)</x:f>
        <x:v>1120085.7968931817</x:v>
      </x:c>
      <x:c r="W28" s="35" t="n">
        <x:f>SUMPRODUCT($G$11:W11,$CI$150:$CY$150)</x:f>
        <x:v>1121278.9617930546</x:v>
      </x:c>
      <x:c r="X28" s="35" t="n">
        <x:f>SUMPRODUCT($G$11:X11,$CH$150:$CY$150)</x:f>
        <x:v>1121905.5493400726</x:v>
      </x:c>
      <x:c r="Y28" s="35" t="n">
        <x:f>SUMPRODUCT($G$11:Y11,$CG$150:$CY$150)</x:f>
        <x:v>1122229.1408124145</x:v>
      </x:c>
      <x:c r="Z28" s="35" t="n">
        <x:f>SUMPRODUCT($G$11:Z11,$CF$150:$CY$150)</x:f>
        <x:v>1122392.762764503</x:v>
      </x:c>
      <x:c r="AA28" s="35" t="n">
        <x:f>SUMPRODUCT($G$11:AA11,$CE$150:$CY$150)</x:f>
        <x:v>1122473.18155398</x:v>
      </x:c>
      <x:c r="AB28" s="35" t="n">
        <x:f>SUMPRODUCT($G$11:AB11,$CD$150:$CY$150)</x:f>
        <x:v>1122511.1236312191</x:v>
      </x:c>
      <x:c r="AC28" s="35" t="n">
        <x:f>SUMPRODUCT($G$11:AC11,$CC$150:$CY$150)</x:f>
        <x:v>1122527.906764384</x:v>
      </x:c>
      <x:c r="AD28" s="35" t="n">
        <x:f>SUMPRODUCT($G$11:AD11,$CB$150:$CY$150)</x:f>
        <x:v>1122534.506295133</x:v>
      </x:c>
      <x:c r="AE28" s="35" t="n">
        <x:f>SUMPRODUCT($G$11:AE11,$CA$150:$CY$150)</x:f>
        <x:v>1122536.4528583658</x:v>
      </x:c>
      <x:c r="AF28" s="35" t="n">
        <x:f>SUMPRODUCT($G$11:AF11,$BZ$150:$CY$150)</x:f>
        <x:v>1122536.4528583658</x:v>
      </x:c>
      <x:c r="AG28" s="35" t="n">
        <x:f>SUMPRODUCT($G$11:AG11,$BY$150:$CY$150)</x:f>
        <x:v>1122536.4528583658</x:v>
      </x:c>
      <x:c r="AH28" s="35" t="n">
        <x:f>SUMPRODUCT($G$11:AH11,$BX$150:$CY$150)</x:f>
        <x:v>1122536.4528583658</x:v>
      </x:c>
      <x:c r="AI28" s="35" t="n">
        <x:f>SUMPRODUCT($G$11:AI11,$BW$150:$CY$150)</x:f>
        <x:v>1122536.4528583658</x:v>
      </x:c>
      <x:c r="AJ28" s="35" t="n">
        <x:f>SUMPRODUCT($G$11:AJ11,$BV$150:$CY$150)</x:f>
        <x:v>1122536.4528583658</x:v>
      </x:c>
      <x:c r="AK28" s="35" t="n">
        <x:f>SUMPRODUCT($G$11:AK11,$BU$150:$CY$150)</x:f>
        <x:v>1122536.4528583658</x:v>
      </x:c>
      <x:c r="AL28" s="35" t="n">
        <x:f>SUMPRODUCT($G$11:AL11,$BT$150:$CY$150)</x:f>
        <x:v>1122536.4528583658</x:v>
      </x:c>
      <x:c r="AM28" s="35" t="n">
        <x:f>SUMPRODUCT($G$11:AM11,$BS$150:$CY$150)</x:f>
        <x:v>1122536.4528583658</x:v>
      </x:c>
      <x:c r="AN28" s="35" t="n">
        <x:f>SUMPRODUCT($G$11:AN11,$BR$150:$CY$150)</x:f>
        <x:v>1122536.4528583658</x:v>
      </x:c>
      <x:c r="AO28" s="35" t="n">
        <x:f>SUMPRODUCT($G$11:AO11,$BQ$150:$CY$150)</x:f>
        <x:v>1122536.4528583658</x:v>
      </x:c>
      <x:c r="AP28" s="35" t="n">
        <x:f>SUMPRODUCT($G$11:AP11,$BP$150:$CY$150)</x:f>
        <x:v>1122536.4528583658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378184596.6855668</x:v>
      </x:c>
      <x:c r="F29" s="2"/>
      <x:c r="G29" s="35" t="n">
        <x:f>SUMPRODUCT($E$160:$E$219,$F$52:$F$111)</x:f>
        <x:v>53683786.10663644</x:v>
      </x:c>
      <x:c r="H29" s="35" t="n">
        <x:f>SUMPRODUCT($E$160:$E$219,$F$53:$F$112)</x:f>
        <x:v>39404387.86981946</x:v>
      </x:c>
      <x:c r="I29" s="35" t="n">
        <x:f>SUMPRODUCT($E$160:$E$219,$F$54:$F$113)</x:f>
        <x:v>32639760.155380204</x:v>
      </x:c>
      <x:c r="J29" s="35" t="n">
        <x:f>SUMPRODUCT($E$160:$E$219,$F$55:$F$114)</x:f>
        <x:v>28288806.346107237</x:v>
      </x:c>
      <x:c r="K29" s="35" t="n">
        <x:f>SUMPRODUCT($E$160:$E$219,$F$56:$F$115)</x:f>
        <x:v>25101300.90656361</x:v>
      </x:c>
      <x:c r="L29" s="35" t="n">
        <x:f>SUMPRODUCT($E$160:$E$219,$F$57:$F$116)</x:f>
        <x:v>22586446.722044125</x:v>
      </x:c>
      <x:c r="M29" s="35" t="n">
        <x:f>SUMPRODUCT($E$160:$E$219,$F$58:$F$117)</x:f>
        <x:v>20502793.70719286</x:v>
      </x:c>
      <x:c r="N29" s="35" t="n">
        <x:f>SUMPRODUCT($E$160:$E$219,$F$59:$F$118)</x:f>
        <x:v>18714008.643460717</x:v>
      </x:c>
      <x:c r="O29" s="35" t="n">
        <x:f>SUMPRODUCT($E$160:$E$219,$F$60:$F$119)</x:f>
        <x:v>17135558.7992282</x:v>
      </x:c>
      <x:c r="P29" s="35" t="n">
        <x:f>SUMPRODUCT($E$160:$E$219,$F$61:$F$120)</x:f>
        <x:v>15711451.797197413</x:v>
      </x:c>
      <x:c r="Q29" s="35" t="n">
        <x:f>SUMPRODUCT($E$160:$E$219,$F$62:$F$121)</x:f>
        <x:v>14402779.97406719</x:v>
      </x:c>
      <x:c r="R29" s="35" t="n">
        <x:f>SUMPRODUCT($E$160:$E$219,$F$63:$F$122)</x:f>
        <x:v>13181514.576576184</x:v>
      </x:c>
      <x:c r="S29" s="35" t="n">
        <x:f>SUMPRODUCT($E$160:$E$219,$F$64:$F$123)</x:f>
        <x:v>12026905.950866193</x:v>
      </x:c>
      <x:c r="T29" s="35" t="n">
        <x:f>SUMPRODUCT($E$160:$E$219,$F$65:$F$124)</x:f>
        <x:v>10923307.668482658</x:v>
      </x:c>
      <x:c r="U29" s="35" t="n">
        <x:f>SUMPRODUCT($E$160:$E$219,$F$66:$F$125)</x:f>
        <x:v>9858835.344405545</x:v>
      </x:c>
      <x:c r="V29" s="35" t="n">
        <x:f>SUMPRODUCT($E$160:$E$219,$F$67:$F$126)</x:f>
        <x:v>8824521.161592396</x:v>
      </x:c>
      <x:c r="W29" s="35" t="n">
        <x:f>SUMPRODUCT($E$160:$E$219,$F$68:$F$127)</x:f>
        <x:v>7813710.366759171</x:v>
      </x:c>
      <x:c r="X29" s="35" t="n">
        <x:f>SUMPRODUCT($E$160:$E$219,$F$69:$F$128)</x:f>
        <x:v>6821447.094910509</x:v>
      </x:c>
      <x:c r="Y29" s="35" t="n">
        <x:f>SUMPRODUCT($E$160:$E$219,$F$70:$F$129)</x:f>
        <x:v>5843637.785571455</x:v>
      </x:c>
      <x:c r="Z29" s="35" t="n">
        <x:f>SUMPRODUCT($E$160:$E$219,$F$71:$F$130)</x:f>
        <x:v>4876047.723967916</x:v>
      </x:c>
      <x:c r="AA29" s="35" t="n">
        <x:f>SUMPRODUCT($E$160:$E$219,$F$72:$F$131)</x:f>
        <x:v>3913606.25243749</x:v>
      </x:c>
      <x:c r="AB29" s="35" t="n">
        <x:f>SUMPRODUCT($E$160:$E$219,$F$73:$F$132)</x:f>
        <x:v>2950477.8764761584</x:v>
      </x:c>
      <x:c r="AC29" s="35" t="n">
        <x:f>SUMPRODUCT($E$160:$E$219,$F$74:$F$133)</x:f>
        <x:v>1980703.3686903636</x:v>
      </x:c>
      <x:c r="AD29" s="35" t="n">
        <x:f>SUMPRODUCT($E$160:$E$219,$F$75:$F$134)</x:f>
        <x:v>998800.48713332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194166662.09245718</x:v>
      </x:c>
      <x:c r="F30" s="2"/>
      <x:c r="G30" s="35" t="n">
        <x:f>SUMPRODUCT($G$11:G11,$CY$151:$CY$151)</x:f>
        <x:v>0</x:v>
      </x:c>
      <x:c r="H30" s="35" t="n">
        <x:f>SUMPRODUCT($G$11:H11,$CX$151:$CY$151)</x:f>
        <x:v>511240.05590998096</x:v>
      </x:c>
      <x:c r="I30" s="35" t="n">
        <x:f>SUMPRODUCT($G$11:I11,$CW$151:$CY$151)</x:f>
        <x:v>1043812.3975590398</x:v>
      </x:c>
      <x:c r="J30" s="35" t="n">
        <x:f>SUMPRODUCT($G$11:J11,$CV$151:$CY$151)</x:f>
        <x:v>1597622.5496807555</x:v>
      </x:c>
      <x:c r="K30" s="35" t="n">
        <x:f>SUMPRODUCT($G$11:K11,$CU$151:$CY$151)</x:f>
        <x:v>2172469.5575392954</x:v>
      </x:c>
      <x:c r="L30" s="35" t="n">
        <x:f>SUMPRODUCT($G$11:L11,$CT$151:$CY$151)</x:f>
        <x:v>2768413.430239228</x:v>
      </x:c>
      <x:c r="M30" s="35" t="n">
        <x:f>SUMPRODUCT($G$11:M11,$CS$151:$CY$151)</x:f>
        <x:v>3386180.469141863</x:v>
      </x:c>
      <x:c r="N30" s="35" t="n">
        <x:f>SUMPRODUCT($G$11:N11,$CR$151:$CY$151)</x:f>
        <x:v>4027290.3230303535</x:v>
      </x:c>
      <x:c r="O30" s="35" t="n">
        <x:f>SUMPRODUCT($G$11:O11,$CQ$151:$CY$151)</x:f>
        <x:v>4693816.009471762</x:v>
      </x:c>
      <x:c r="P30" s="35" t="n">
        <x:f>SUMPRODUCT($G$11:P11,$CP$151:$CY$151)</x:f>
        <x:v>5388017.60472935</x:v>
      </x:c>
      <x:c r="Q30" s="35" t="n">
        <x:f>SUMPRODUCT($G$11:Q11,$CO$151:$CY$151)</x:f>
        <x:v>6112094.338598621</x:v>
      </x:c>
      <x:c r="R30" s="35" t="n">
        <x:f>SUMPRODUCT($G$11:R11,$CN$151:$CY$151)</x:f>
        <x:v>6868102.314462948</x:v>
      </x:c>
      <x:c r="S30" s="35" t="n">
        <x:f>SUMPRODUCT($G$11:S11,$CM$151:$CY$151)</x:f>
        <x:v>7657971.392127792</x:v>
      </x:c>
      <x:c r="T30" s="35" t="n">
        <x:f>SUMPRODUCT($G$11:T11,$CL$151:$CY$151)</x:f>
        <x:v>8483554.989950253</x:v>
      </x:c>
      <x:c r="U30" s="35" t="n">
        <x:f>SUMPRODUCT($G$11:U11,$CK$151:$CY$151)</x:f>
        <x:v>9346679.34395235</x:v>
      </x:c>
      <x:c r="V30" s="35" t="n">
        <x:f>SUMPRODUCT($G$11:V11,$CJ$151:$CY$151)</x:f>
        <x:v>10249181.98687753</x:v>
      </x:c>
      <x:c r="W30" s="35" t="n">
        <x:f>SUMPRODUCT($G$11:W11,$CI$151:$CY$151)</x:f>
        <x:v>11192939.255209764</x:v>
      </x:c>
      <x:c r="X30" s="35" t="n">
        <x:f>SUMPRODUCT($G$11:X11,$CH$151:$CY$151)</x:f>
        <x:v>12179885.463190619</x:v>
      </x:c>
      <x:c r="Y30" s="35" t="n">
        <x:f>SUMPRODUCT($G$11:Y11,$CG$151:$CY$151)</x:f>
        <x:v>13212026.455446498</x:v>
      </x:c>
      <x:c r="Z30" s="35" t="n">
        <x:f>SUMPRODUCT($G$11:Z11,$CF$151:$CY$151)</x:f>
        <x:v>14291449.601078797</x:v>
      </x:c>
      <x:c r="AA30" s="35" t="n">
        <x:f>SUMPRODUCT($G$11:AA11,$CE$151:$CY$151)</x:f>
        <x:v>15420331.632125296</x:v>
      </x:c>
      <x:c r="AB30" s="35" t="n">
        <x:f>SUMPRODUCT($G$11:AB11,$CD$151:$CY$151)</x:f>
        <x:v>16600945.231864963</x:v>
      </x:c>
      <x:c r="AC30" s="35" t="n">
        <x:f>SUMPRODUCT($G$11:AC11,$CC$151:$CY$151)</x:f>
        <x:v>17835664.942632705</x:v>
      </x:c>
      <x:c r="AD30" s="35" t="n">
        <x:f>SUMPRODUCT($G$11:AD11,$CB$151:$CY$151)</x:f>
        <x:v>19126972.747637432</x:v>
      </x:c>
      <x:c r="AE30" s="35" t="n">
        <x:f>SUMPRODUCT($G$11:AE11,$CA$151:$CY$151)</x:f>
        <x:v>20477463.547141634</x:v>
      </x:c>
      <x:c r="AF30" s="35" t="n">
        <x:f>SUMPRODUCT($G$11:AF11,$BZ$151:$CY$151)</x:f>
        <x:v>20477463.547141634</x:v>
      </x:c>
      <x:c r="AG30" s="35" t="n">
        <x:f>SUMPRODUCT($G$11:AG11,$BY$151:$CY$151)</x:f>
        <x:v>20477463.547141634</x:v>
      </x:c>
      <x:c r="AH30" s="35" t="n">
        <x:f>SUMPRODUCT($G$11:AH11,$BX$151:$CY$151)</x:f>
        <x:v>20477463.547141634</x:v>
      </x:c>
      <x:c r="AI30" s="35" t="n">
        <x:f>SUMPRODUCT($G$11:AI11,$BW$151:$CY$151)</x:f>
        <x:v>20477463.547141634</x:v>
      </x:c>
      <x:c r="AJ30" s="35" t="n">
        <x:f>SUMPRODUCT($G$11:AJ11,$BV$151:$CY$151)</x:f>
        <x:v>20477463.547141634</x:v>
      </x:c>
      <x:c r="AK30" s="35" t="n">
        <x:f>SUMPRODUCT($G$11:AK11,$BU$151:$CY$151)</x:f>
        <x:v>20477463.547141634</x:v>
      </x:c>
      <x:c r="AL30" s="35" t="n">
        <x:f>SUMPRODUCT($G$11:AL11,$BT$151:$CY$151)</x:f>
        <x:v>20477463.547141634</x:v>
      </x:c>
      <x:c r="AM30" s="35" t="n">
        <x:f>SUMPRODUCT($G$11:AM11,$BS$151:$CY$151)</x:f>
        <x:v>20477463.547141634</x:v>
      </x:c>
      <x:c r="AN30" s="35" t="n">
        <x:f>SUMPRODUCT($G$11:AN11,$BR$151:$CY$151)</x:f>
        <x:v>20477463.547141634</x:v>
      </x:c>
      <x:c r="AO30" s="35" t="n">
        <x:f>SUMPRODUCT($G$11:AO11,$BQ$151:$CY$151)</x:f>
        <x:v>20477463.547141634</x:v>
      </x:c>
      <x:c r="AP30" s="35" t="n">
        <x:f>SUMPRODUCT($G$11:AP11,$BP$151:$CY$151)</x:f>
        <x:v>20477463.547141634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129247121.05349542</x:v>
      </x:c>
      <x:c r="F32" s="2"/>
      <x:c r="G32" s="35" t="n">
        <x:f>($E$44-G27)*G23/12</x:f>
        <x:v>17527339.446293857</x:v>
      </x:c>
      <x:c r="H32" s="35" t="n">
        <x:f>(G34-H27)*H23/12</x:f>
        <x:v>15025234.088706797</x:v>
      </x:c>
      <x:c r="I32" s="35" t="n">
        <x:f>(H34-I27)*I23/12</x:f>
        <x:v>13181847.49517457</x:v>
      </x:c>
      <x:c r="J32" s="35" t="n">
        <x:f>(I34-J27)*J23/12</x:f>
        <x:v>11653630.773554584</x:v>
      </x:c>
      <x:c r="K32" s="35" t="n">
        <x:f>(J34-K27)*K23/12</x:f>
        <x:v>10330777.373008085</x:v>
      </x:c>
      <x:c r="L32" s="35" t="n">
        <x:f>(K34-L27)*L23/12</x:f>
        <x:v>9160325.201747632</x:v>
      </x:c>
      <x:c r="M32" s="35" t="n">
        <x:f>(L34-M27)*M23/12</x:f>
        <x:v>8111053.774610276</x:v>
      </x:c>
      <x:c r="N32" s="35" t="n">
        <x:f>(M34-N27)*N23/12</x:f>
        <x:v>7162140.7498716535</x:v>
      </x:c>
      <x:c r="O32" s="35" t="n">
        <x:f>(N34-O27)*O23/12</x:f>
        <x:v>6298746.578342761</x:v>
      </x:c>
      <x:c r="P32" s="35" t="n">
        <x:f>(O34-P27)*P23/12</x:f>
        <x:v>5510030.982642841</x:v>
      </x:c>
      <x:c r="Q32" s="35" t="n">
        <x:f>(P34-Q27)*Q23/12</x:f>
        <x:v>4788023.581959714</x:v>
      </x:c>
      <x:c r="R32" s="35" t="n">
        <x:f>(Q34-R27)*R23/12</x:f>
        <x:v>4126840.351714108</x:v>
      </x:c>
      <x:c r="S32" s="35" t="n">
        <x:f>(R34-S27)*S23/12</x:f>
        <x:v>3522111.210502261</x:v>
      </x:c>
      <x:c r="T32" s="35" t="n">
        <x:f>(S34-T27)*T23/12</x:f>
        <x:v>2970568.147717144</x:v>
      </x:c>
      <x:c r="U32" s="35" t="n">
        <x:f>(T34-U27)*U23/12</x:f>
        <x:v>2469752.376955627</x:v>
      </x:c>
      <x:c r="V32" s="35" t="n">
        <x:f>(U34-V27)*V23/12</x:f>
        <x:v>2017803.466655702</x:v>
      </x:c>
      <x:c r="W32" s="35" t="n">
        <x:f>(V34-W27)*W23/12</x:f>
        <x:v>1613302.3994819354</x:v>
      </x:c>
      <x:c r="X32" s="35" t="n">
        <x:f>(W34-X27)*X23/12</x:f>
        <x:v>1255152.0607393836</x:v>
      </x:c>
      <x:c r="Y32" s="35" t="n">
        <x:f>(X34-Y27)*Y23/12</x:f>
        <x:v>942491.7417028677</x:v>
      </x:c>
      <x:c r="Z32" s="35" t="n">
        <x:f>(Y34-Z27)*Z23/12</x:f>
        <x:v>674653.3750434072</x:v>
      </x:c>
      <x:c r="AA32" s="35" t="n">
        <x:f>(Z34-AA27)*AA23/12</x:f>
        <x:v>451165.67518627975</x:v>
      </x:c>
      <x:c r="AB32" s="35" t="n">
        <x:f>(AA34-AB27)*AB23/12</x:f>
        <x:v>271791.18684797065</x:v>
      </x:c>
      <x:c r="AC32" s="35" t="n">
        <x:f>(AB34-AC27)*AC23/12</x:f>
        <x:v>136560.659375678</x:v>
      </x:c>
      <x:c r="AD32" s="35" t="n">
        <x:f>(AC34-AD27)*AD23/12</x:f>
        <x:v>45778.35566027395</x:v>
      </x:c>
      <x:c r="AE32" s="35" t="n">
        <x:f>(AD34-AE27)*AE23/12</x:f>
        <x:v>-3.2227641592423126e-9</x:v>
      </x:c>
      <x:c r="AF32" s="35" t="n">
        <x:f>(AE34-AF27)*AF23/12</x:f>
        <x:v>-3.2227641592423126e-9</x:v>
      </x:c>
      <x:c r="AG32" s="35" t="n">
        <x:f>(AF34-AG27)*AG23/12</x:f>
        <x:v>-3.2227641592423126e-9</x:v>
      </x:c>
      <x:c r="AH32" s="35" t="n">
        <x:f>(AG34-AH27)*AH23/12</x:f>
        <x:v>-3.2227641592423126e-9</x:v>
      </x:c>
      <x:c r="AI32" s="35" t="n">
        <x:f>(AH34-AI27)*AI23/12</x:f>
        <x:v>-3.2227641592423126e-9</x:v>
      </x:c>
      <x:c r="AJ32" s="35" t="n">
        <x:f>(AI34-AJ27)*AJ23/12</x:f>
        <x:v>-3.2227641592423126e-9</x:v>
      </x:c>
      <x:c r="AK32" s="35" t="n">
        <x:f>(AJ34-AK27)*AK23/12</x:f>
        <x:v>-3.2227641592423126e-9</x:v>
      </x:c>
      <x:c r="AL32" s="35" t="n">
        <x:f>(AK34-AL27)*AL23/12</x:f>
        <x:v>-3.2227641592423126e-9</x:v>
      </x:c>
      <x:c r="AM32" s="35" t="n">
        <x:f>(AL34-AM27)*AM23/12</x:f>
        <x:v>-3.2227641592423126e-9</x:v>
      </x:c>
      <x:c r="AN32" s="35" t="n">
        <x:f>(AM34-AN27)*AN23/12</x:f>
        <x:v>-3.2227641592423126e-9</x:v>
      </x:c>
      <x:c r="AO32" s="35" t="n">
        <x:f>(AN34-AO27)*AO23/12</x:f>
        <x:v>-3.2227641592423126e-9</x:v>
      </x:c>
      <x:c r="AP32" s="35" t="n">
        <x:f>(AO34-AP27)*AP23/12</x:f>
        <x:v>-3.2227641592423126e-9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204652042.29599434</x:v>
      </x:c>
      <x:c r="F33" s="2"/>
      <x:c r="G33" s="35" t="n">
        <x:f>G24-G32</x:f>
        <x:v>0</x:v>
      </x:c>
      <x:c r="H33" s="35" t="n">
        <x:f>H24-H32</x:f>
        <x:v>987493.3518777974</x:v>
      </x:c>
      <x:c r="I33" s="35" t="n">
        <x:f>I24-I32</x:f>
        <x:v>1947769.1900672987</x:v>
      </x:c>
      <x:c r="J33" s="35" t="n">
        <x:f>J24-J32</x:f>
        <x:v>2878306.135622278</x:v>
      </x:c>
      <x:c r="K33" s="35" t="n">
        <x:f>K24-K32</x:f>
        <x:v>3776668.0835487954</x:v>
      </x:c>
      <x:c r="L33" s="35" t="n">
        <x:f>L24-L32</x:f>
        <x:v>4641067.483184174</x:v>
      </x:c>
      <x:c r="M33" s="35" t="n">
        <x:f>M24-M32</x:f>
        <x:v>5470778.033167104</x:v>
      </x:c>
      <x:c r="N33" s="35" t="n">
        <x:f>N24-N32</x:f>
        <x:v>6266007.62627254</x:v>
      </x:c>
      <x:c r="O33" s="35" t="n">
        <x:f>O24-O32</x:f>
        <x:v>7027320.304663193</x:v>
      </x:c>
      <x:c r="P33" s="35" t="n">
        <x:f>P24-P32</x:f>
        <x:v>7755071.846288448</x:v>
      </x:c>
      <x:c r="Q33" s="35" t="n">
        <x:f>Q24-Q32</x:f>
        <x:v>8449143.872011613</x:v>
      </x:c>
      <x:c r="R33" s="35" t="n">
        <x:f>R24-R32</x:f>
        <x:v>9108933.24283577</x:v>
      </x:c>
      <x:c r="S33" s="35" t="n">
        <x:f>S24-S32</x:f>
        <x:v>9733448.211728869</x:v>
      </x:c>
      <x:c r="T33" s="35" t="n">
        <x:f>T24-T32</x:f>
        <x:v>10321413.436891446</x:v>
      </x:c>
      <x:c r="U33" s="35" t="n">
        <x:f>U24-U32</x:f>
        <x:v>10871349.230952967</x:v>
      </x:c>
      <x:c r="V33" s="35" t="n">
        <x:f>V24-V32</x:f>
        <x:v>11381622.49533088</x:v>
      </x:c>
      <x:c r="W33" s="35" t="n">
        <x:f>W24-W32</x:f>
        <x:v>11850476.36851681</x:v>
      </x:c>
      <x:c r="X33" s="35" t="n">
        <x:f>X24-X32</x:f>
        <x:v>12276045.981641611</x:v>
      </x:c>
      <x:c r="Y33" s="35" t="n">
        <x:f>Y24-Y32</x:f>
        <x:v>12656365.728958137</x:v>
      </x:c>
      <x:c r="Z33" s="35" t="n">
        <x:f>Z24-Z32</x:f>
        <x:v>12989371.514790133</x:v>
      </x:c>
      <x:c r="AA33" s="35" t="n">
        <x:f>AA24-AA32</x:f>
        <x:v>13272900.053919466</x:v>
      </x:c>
      <x:c r="AB33" s="35" t="n">
        <x:f>AB24-AB32</x:f>
        <x:v>13504686.427613959</x:v>
      </x:c>
      <x:c r="AC33" s="35" t="n">
        <x:f>AC24-AC32</x:f>
        <x:v>13682360.575426778</x:v>
      </x:c>
      <x:c r="AD33" s="35" t="n">
        <x:f>AD24-AD32</x:f>
        <x:v>13803443.100684253</x:v>
      </x:c>
      <x:c r="AE33" s="35" t="n">
        <x:f>AE24-AE32</x:f>
        <x:v>13865340.59566153</x:v>
      </x:c>
      <x:c r="AF33" s="35" t="n">
        <x:f>AF24-AF32</x:f>
        <x:v>13865340.59566153</x:v>
      </x:c>
      <x:c r="AG33" s="35" t="n">
        <x:f>AG24-AG32</x:f>
        <x:v>13865340.59566153</x:v>
      </x:c>
      <x:c r="AH33" s="35" t="n">
        <x:f>AH24-AH32</x:f>
        <x:v>13865340.59566153</x:v>
      </x:c>
      <x:c r="AI33" s="35" t="n">
        <x:f>AI24-AI32</x:f>
        <x:v>13865340.59566153</x:v>
      </x:c>
      <x:c r="AJ33" s="35" t="n">
        <x:f>AJ24-AJ32</x:f>
        <x:v>13865340.59566153</x:v>
      </x:c>
      <x:c r="AK33" s="35" t="n">
        <x:f>AK24-AK32</x:f>
        <x:v>13865340.59566153</x:v>
      </x:c>
      <x:c r="AL33" s="35" t="n">
        <x:f>AL24-AL32</x:f>
        <x:v>13865340.59566153</x:v>
      </x:c>
      <x:c r="AM33" s="35" t="n">
        <x:f>AM24-AM32</x:f>
        <x:v>13865340.59566153</x:v>
      </x:c>
      <x:c r="AN33" s="35" t="n">
        <x:f>AN24-AN32</x:f>
        <x:v>13865340.59566153</x:v>
      </x:c>
      <x:c r="AO33" s="35" t="n">
        <x:f>AO24-AO32</x:f>
        <x:v>13865340.59566153</x:v>
      </x:c>
      <x:c r="AP33" s="35" t="n">
        <x:f>AP24-AP32</x:f>
        <x:v>13865340.59566153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-7.031485438346863e-8</x:v>
      </x:c>
      <x:c r="F34" s="2"/>
      <x:c r="G34" s="35" t="n">
        <x:f>$E$44-G27-G29</x:f>
        <x:v>328730892.7215931</x:v>
      </x:c>
      <x:c r="H34" s="35" t="n">
        <x:f>G34-H27-H29</x:f>
        <x:v>288418901.3383288</x:v>
      </x:c>
      <x:c r="I34" s="35" t="n">
        <x:f>H34-I27-I29</x:f>
        <x:v>254964185.19388312</x:v>
      </x:c>
      <x:c r="J34" s="35" t="n">
        <x:f>I34-J27-J29</x:f>
        <x:v>225972228.71326548</x:v>
      </x:c>
      <x:c r="K34" s="35" t="n">
        <x:f>J34-K27-K29</x:f>
        <x:v>200297478.14088553</x:v>
      </x:c>
      <x:c r="L34" s="35" t="n">
        <x:f>K34-L27-L29</x:f>
        <x:v>177275194.04335874</x:v>
      </x:c>
      <x:c r="M34" s="35" t="n">
        <x:f>L34-M27-M29</x:f>
        <x:v>156465652.28430405</x:v>
      </x:c>
      <x:c r="N34" s="35" t="n">
        <x:f>M34-N27-N29</x:f>
        <x:v>137550880.4446481</x:v>
      </x:c>
      <x:c r="O34" s="35" t="n">
        <x:f>N34-O27-O29</x:f>
        <x:v>120291639.27370477</x:v>
      </x:c>
      <x:c r="P34" s="35" t="n">
        <x:f>O34-P27-P29</x:f>
        <x:v>104507406.0059191</x:v>
      </x:c>
      <x:c r="Q34" s="35" t="n">
        <x:f>P34-Q27-Q29</x:f>
        <x:v>90063189.08687201</x:v>
      </x:c>
      <x:c r="R34" s="35" t="n">
        <x:f>Q34-R27-R29</x:f>
        <x:v>76858638.55173162</x:v>
      </x:c>
      <x:c r="S34" s="35" t="n">
        <x:f>R34-S27-S29</x:f>
        <x:v>64819156.82372858</x:v>
      </x:c>
      <x:c r="T34" s="35" t="n">
        <x:f>S34-T27-T29</x:f>
        <x:v>53889088.28170957</x:v>
      </x:c>
      <x:c r="U34" s="35" t="n">
        <x:f>T34-U27-U29</x:f>
        <x:v>44026671.061899036</x:v>
      </x:c>
      <x:c r="V34" s="35" t="n">
        <x:f>U34-V27-V29</x:f>
        <x:v>35200281.74725928</x:v>
      </x:c>
      <x:c r="W34" s="35" t="n">
        <x:f>V34-W27-W29</x:f>
        <x:v>27385614.712846693</x:v>
      </x:c>
      <x:c r="X34" s="35" t="n">
        <x:f>W34-X27-X29</x:f>
        <x:v>20563688.775766946</x:v>
      </x:c>
      <x:c r="Y34" s="35" t="n">
        <x:f>X34-Y27-Y29</x:f>
        <x:v>14719818.397036564</x:v>
      </x:c>
      <x:c r="Z34" s="35" t="n">
        <x:f>Y34-Z27-Z29</x:f>
        <x:v>9843662.276979148</x:v>
      </x:c>
      <x:c r="AA34" s="35" t="n">
        <x:f>Z34-AA27-AA29</x:f>
        <x:v>5930008.478899523</x:v>
      </x:c>
      <x:c r="AB34" s="35" t="n">
        <x:f>AA34-AB27-AB29</x:f>
        <x:v>2979511.654752291</x:v>
      </x:c>
      <x:c r="AC34" s="35" t="n">
        <x:f>AB34-AC27-AC29</x:f>
        <x:v>998801.926778974</x:v>
      </x:c>
      <x:c r="AD34" s="35" t="n">
        <x:f>AC34-AD27-AD29</x:f>
        <x:v>-7.031485438346863e-8</x:v>
      </x:c>
      <x:c r="AE34" s="35" t="n">
        <x:f>AD34-AE27-AE29</x:f>
        <x:v>-7.031485438346863e-8</x:v>
      </x:c>
      <x:c r="AF34" s="35" t="n">
        <x:f>AE34-AF27-AF29</x:f>
        <x:v>-7.031485438346863e-8</x:v>
      </x:c>
      <x:c r="AG34" s="35" t="n">
        <x:f>AF34-AG27-AG29</x:f>
        <x:v>-7.031485438346863e-8</x:v>
      </x:c>
      <x:c r="AH34" s="35" t="n">
        <x:f>AG34-AH27-AH29</x:f>
        <x:v>-7.031485438346863e-8</x:v>
      </x:c>
      <x:c r="AI34" s="35" t="n">
        <x:f>AH34-AI27-AI29</x:f>
        <x:v>-7.031485438346863e-8</x:v>
      </x:c>
      <x:c r="AJ34" s="35" t="n">
        <x:f>AI34-AJ27-AJ29</x:f>
        <x:v>-7.031485438346863e-8</x:v>
      </x:c>
      <x:c r="AK34" s="35" t="n">
        <x:f>AJ34-AK27-AK29</x:f>
        <x:v>-7.031485438346863e-8</x:v>
      </x:c>
      <x:c r="AL34" s="35" t="n">
        <x:f>AK34-AL27-AL29</x:f>
        <x:v>-7.031485438346863e-8</x:v>
      </x:c>
      <x:c r="AM34" s="35" t="n">
        <x:f>AL34-AM27-AM29</x:f>
        <x:v>-7.031485438346863e-8</x:v>
      </x:c>
      <x:c r="AN34" s="35" t="n">
        <x:f>AM34-AN27-AN29</x:f>
        <x:v>-7.031485438346863e-8</x:v>
      </x:c>
      <x:c r="AO34" s="35" t="n">
        <x:f>AN34-AO27-AO29</x:f>
        <x:v>-7.031485438346863e-8</x:v>
      </x:c>
      <x:c r="AP34" s="35" t="n">
        <x:f>AO34-AP27-AP29</x:f>
        <x:v>-7.031485438346863e-8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'Assumptions'!F25</x:f>
        <x:v>0.06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'Assumptions'!F26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</x:f>
        <x:v>383400000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5215403.314433186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0.05196928022492432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0.05196928022492432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0.002531967800203319</x:v>
      </x:c>
      <x:c r="E52" s="30" t="n">
        <x:f>(D52-D51)*H51</x:f>
        <x:v>0.002531967800203319</x:v>
      </x:c>
      <x:c r="F52" s="30" t="n">
        <x:f>I52*(H51-H52)</x:f>
        <x:v>0.023668521106943563</x:v>
      </x:c>
      <x:c r="G52" s="30" t="n">
        <x:f>SUM(E53:E147)</x:f>
        <x:v>0.049437312424721006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0.9974680321997966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0.006448826336254081</x:v>
      </x:c>
      <x:c r="E53" s="30" t="n">
        <x:f>(D53-D52)*H52</x:f>
        <x:v>0.0038239169620446494</x:v>
      </x:c>
      <x:c r="F53" s="30" t="n">
        <x:f>I53*(H52-H53)</x:f>
        <x:v>0.024656126928197162</x:v>
      </x:c>
      <x:c r="G53" s="30" t="n">
        <x:f>SUM(E54:E147)</x:f>
        <x:v>0.04561339546267636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0.9935511736637459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0.012106642230328072</x:v>
      </x:c>
      <x:c r="E54" s="30" t="n">
        <x:f>(D54-D53)*H53</x:f>
        <x:v>0.005383158561218307</x:v>
      </x:c>
      <x:c r="F54" s="30" t="n">
        <x:f>I54*(H53-H54)</x:f>
        <x:v>0.02563935889452387</x:v>
      </x:c>
      <x:c r="G54" s="30" t="n">
        <x:f>SUM(E55:E147)</x:f>
        <x:v>0.04023023690145805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0.9878933577696719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0.019519528616449646</x:v>
      </x:c>
      <x:c r="E55" s="30" t="n">
        <x:f>(D55-D54)*H54</x:f>
        <x:v>0.006860638709984368</x:v>
      </x:c>
      <x:c r="F55" s="30" t="n">
        <x:f>I55*(H54-H55)</x:f>
        <x:v>0.026613287400858346</x:v>
      </x:c>
      <x:c r="G55" s="30" t="n">
        <x:f>SUM(E56:E147)</x:f>
        <x:v>0.033369598191473684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0.9804804713835503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0.02808216416379877</x:v>
      </x:c>
      <x:c r="E56" s="30" t="n">
        <x:f>(D56-D55)*H55</x:f>
        <x:v>0.0076923169336220116</x:v>
      </x:c>
      <x:c r="F56" s="30" t="n">
        <x:f>I56*(H55-H56)</x:f>
        <x:v>0.027589994106478347</x:v>
      </x:c>
      <x:c r="G56" s="30" t="n">
        <x:f>SUM(E57:E147)</x:f>
        <x:v>0.02567728125785168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0.9719178358362013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0.0366447997111479</x:v>
      </x:c>
      <x:c r="E57" s="30" t="n">
        <x:f>(D57-D56)*H56</x:f>
        <x:v>0.00744924796670258</x:v>
      </x:c>
      <x:c r="F57" s="30" t="n">
        <x:f>I57*(H56-H57)</x:f>
        <x:v>0.028600325875121974</x:v>
      </x:c>
      <x:c r="G57" s="30" t="n">
        <x:f>SUM(E58:E147)</x:f>
        <x:v>0.0182280332911491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0.9633552002888521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0.04405768609726947</x:v>
      </x:c>
      <x:c r="E58" s="30" t="n">
        <x:f>(D58-D57)*H57</x:f>
        <x:v>0.006228923496086475</x:v>
      </x:c>
      <x:c r="F58" s="30" t="n">
        <x:f>I58*(H57-H58)</x:f>
        <x:v>0.029681011754096803</x:v>
      </x:c>
      <x:c r="G58" s="30" t="n">
        <x:f>SUM(E59:E147)</x:f>
        <x:v>0.011999109795062628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0.9559423139027305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0.049715501991343454</x:v>
      </x:c>
      <x:c r="E59" s="30" t="n">
        <x:f>(D59-D58)*H58</x:f>
        <x:v>0.004578498058813514</x:v>
      </x:c>
      <x:c r="F59" s="30" t="n">
        <x:f>I59*(H58-H59)</x:f>
        <x:v>0.030857670668583744</x:v>
      </x:c>
      <x:c r="G59" s="30" t="n">
        <x:f>SUM(E60:E147)</x:f>
        <x:v>0.0074206117362491135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0.9502844980086566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0.053632360527394216</x:v>
      </x:c>
      <x:c r="E60" s="30" t="n">
        <x:f>(D60-D59)*H59</x:f>
        <x:v>0.0030424674782830825</x:v>
      </x:c>
      <x:c r="F60" s="30" t="n">
        <x:f>I60*(H59-H60)</x:f>
        <x:v>0.03213896274340686</x:v>
      </x:c>
      <x:c r="G60" s="30" t="n">
        <x:f>SUM(E61:E147)</x:f>
        <x:v>0.004378144257966031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0.9463676394726058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0.05616432832759754</x:v>
      </x:c>
      <x:c r="E61" s="30" t="n">
        <x:f>(D61-D60)*H60</x:f>
        <x:v>0.0018807502890098727</x:v>
      </x:c>
      <x:c r="F61" s="30" t="n">
        <x:f>I61*(H60-H61)</x:f>
        <x:v>0.03352207101246622</x:v>
      </x:c>
      <x:c r="G61" s="30" t="n">
        <x:f>SUM(E62:E147)</x:f>
        <x:v>0.0024973939689561567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0.9438356716724025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0.057729289240595116</x:v>
      </x:c>
      <x:c r="E62" s="30" t="n">
        <x:f>(D62-D61)*H61</x:f>
        <x:v>0.0011068733299626308</x:v>
      </x:c>
      <x:c r="F62" s="30" t="n">
        <x:f>I62*(H61-H62)</x:f>
        <x:v>0.03500036925297815</x:v>
      </x:c>
      <x:c r="G62" s="30" t="n">
        <x:f>SUM(E63:E147)</x:f>
        <x:v>0.0013905206389935268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0.9422707107594048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0.058669897952452456</x:v>
      </x:c>
      <x:c r="E63" s="30" t="n">
        <x:f>(D63-D62)*H62</x:f>
        <x:v>0.0006303397682912921</x:v>
      </x:c>
      <x:c r="F63" s="30" t="n">
        <x:f>I63*(H62-H63)</x:f>
        <x:v>0.03656801285485389</x:v>
      </x:c>
      <x:c r="G63" s="30" t="n">
        <x:f>SUM(E64:E147)</x:f>
        <x:v>0.0007601808707022348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0.9413301020475475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0.05922577320644378</x:v>
      </x:c>
      <x:c r="E64" s="30" t="n">
        <x:f>(D64-D63)*H63</x:f>
        <x:v>0.00035092020628354776</x:v>
      </x:c>
      <x:c r="F64" s="30" t="n">
        <x:f>I64*(H63-H64)</x:f>
        <x:v>0.03822146286215095</x:v>
      </x:c>
      <x:c r="G64" s="30" t="n">
        <x:f>SUM(E65:E147)</x:f>
        <x:v>0.0004092606644186869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0.9407742267935563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0.0595510062396945</x:v>
      </x:c>
      <x:c r="E65" s="30" t="n">
        <x:f>(D65-D64)*H64</x:f>
        <x:v>0.00019210390659244855</x:v>
      </x:c>
      <x:c r="F65" s="30" t="n">
        <x:f>I65*(H64-H65)</x:f>
        <x:v>0.03995946083343052</x:v>
      </x:c>
      <x:c r="G65" s="30" t="n">
        <x:f>SUM(E66:E147)</x:f>
        <x:v>0.00021715675782623835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0.9404489937603056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0.0597401800251066</x:v>
      </x:c>
      <x:c r="E66" s="30" t="n">
        <x:f>(D66-D65)*H65</x:f>
        <x:v>0.00010370046314178875</x:v>
      </x:c>
      <x:c r="F66" s="30" t="n">
        <x:f>I66*(H65-H66)</x:f>
        <x:v>0.04178252976505462</x:v>
      </x:c>
      <x:c r="G66" s="30" t="n">
        <x:f>SUM(E67:E147)</x:f>
        <x:v>0.00011345629468444959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0.9402598199748934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0.05984983835554116</x:v>
      </x:c>
      <x:c r="E67" s="30" t="n">
        <x:f>(D67-D66)*H66</x:f>
        <x:v>0.00005523911573485241</x:v>
      </x:c>
      <x:c r="F67" s="30" t="n">
        <x:f>I67*(H66-H67)</x:f>
        <x:v>0.04369246612649226</x:v>
      </x:c>
      <x:c r="G67" s="30" t="n">
        <x:f>SUM(E68:E147)</x:f>
        <x:v>0.00005821717894959717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0.9401501616444589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0.059913277966484005</x:v>
      </x:c>
      <x:c r="E68" s="30" t="n">
        <x:f>(D68-D67)*H67</x:f>
        <x:v>0.00002900868273232004</x:v>
      </x:c>
      <x:c r="F68" s="30" t="n">
        <x:f>I68*(H67-H68)</x:f>
        <x:v>0.04569195407318769</x:v>
      </x:c>
      <x:c r="G68" s="30" t="n">
        <x:f>SUM(E69:E147)</x:f>
        <x:v>0.00002920849621727713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0.940086722033516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0.05994993696687448</x:v>
      </x:c>
      <x:c r="E69" s="30" t="n">
        <x:f>(D69-D68)*H68</x:f>
        <x:v>0.000014981086682494105</x:v>
      </x:c>
      <x:c r="F69" s="30" t="n">
        <x:f>I69*(H68-H69)</x:f>
        <x:v>0.04778430519703137</x:v>
      </x:c>
      <x:c r="G69" s="30" t="n">
        <x:f>SUM(E70:E147)</x:f>
        <x:v>0.000014227409534783023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0.9400500630331255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0.05997110655636558</x:v>
      </x:c>
      <x:c r="E70" s="30" t="n">
        <x:f>(D70-D69)*H69</x:f>
        <x:v>0.00000757509037447162</x:v>
      </x:c>
      <x:c r="F70" s="30" t="n">
        <x:f>I70*(H69-H70)</x:f>
        <x:v>0.049973293779273134</x:v>
      </x:c>
      <x:c r="G70" s="30" t="n">
        <x:f>SUM(E71:E147)</x:f>
        <x:v>0.000006652319160311406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0.9400288934436344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0.0599833267405462</x:v>
      </x:c>
      <x:c r="E71" s="30" t="n">
        <x:f>(D71-D70)*H70</x:f>
        <x:v>0.0000037230921054174014</x:v>
      </x:c>
      <x:c r="F71" s="30" t="n">
        <x:f>I71*(H70-H71)</x:f>
        <x:v>0.05226305699289343</x:v>
      </x:c>
      <x:c r="G71" s="30" t="n">
        <x:f>SUM(E72:E147)</x:f>
        <x:v>0.000002929227054894004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0.9400166732594538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0.05999037930306527</x:v>
      </x:c>
      <x:c r="E72" s="30" t="n">
        <x:f>(D72-D71)*H71</x:f>
        <x:v>0.0000017565776499500652</x:v>
      </x:c>
      <x:c r="F72" s="30" t="n">
        <x:f>I72*(H71-H72)</x:f>
        <x:v>0.05465803702498449</x:v>
      </x:c>
      <x:c r="G72" s="30" t="n">
        <x:f>SUM(E73:E147)</x:f>
        <x:v>0.0000011726494049439387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0.9400096206969347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0.05999444898680602</x:v>
      </x:c>
      <x:c r="E73" s="30" t="n">
        <x:f>(D73-D72)*H72</x:f>
        <x:v>7.769969057769577e-7</x:v>
      </x:c>
      <x:c r="F73" s="30" t="n">
        <x:f>I73*(H72-H73)</x:f>
        <x:v>0.05716294957258066</x:v>
      </x:c>
      <x:c r="G73" s="30" t="n">
        <x:f>SUM(E74:E147)</x:f>
        <x:v>3.956524991669811e-7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0.9400055510131939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0.059996797226168144</x:v>
      </x:c>
      <x:c r="E74" s="30" t="n">
        <x:f>(D74-D73)*H73</x:f>
        <x:v>3.055338309747323e-7</x:v>
      </x:c>
      <x:c r="F74" s="30" t="n">
        <x:f>I74*(H73-H74)</x:f>
        <x:v>0.05978276875021875</x:v>
      </x:c>
      <x:c r="G74" s="30" t="n">
        <x:f>SUM(E75:E147)</x:f>
        <x:v>9.011866819224878e-8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0.9400032027738319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0.059998152121023156</x:v>
      </x:c>
      <x:c r="E75" s="30" t="n">
        <x:f>(D75-D74)*H74</x:f>
        <x:v>9.011866819224878e-8</x:v>
      </x:c>
      <x:c r="F75" s="30" t="n">
        <x:f>I75*(H74-H75)</x:f>
        <x:v>0.06252272219926885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0.9400018478789769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0.05999893385351845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0.9400010661464816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0.05999938488264349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0.9400006151173566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0.05999964510671109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0.9400003548932889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0.05999979524390268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0.9400002047560974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0.05999988186584816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0.9400001181341519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0.059999931842470135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0.9400000681575299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0.05999996067650831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0.9400000393234917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0.059999977312313005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0.940000022687687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0.059999986910341335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0.9400000130896586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0.059999992447923256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0.9400000075520767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0.05999999564283053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0.9400000043571695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0.059999997486131836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0.9400000025138682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0.059999998549624206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0.9400000014503758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0.05999999916320595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0.940000000836794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0.05999999951721184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0.9400000004827882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0.05999999972145545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0.9400000002785446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0.059999999839293786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0.9400000001607062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0.059999999907280575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0.9400000000927194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0.05999999994650554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0.9400000000534945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0.059999999969136374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0.9400000000308636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0.059999999982193235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0.9400000000178068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0.05999999998972639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0.9400000000102736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0.05999999999407265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0.9400000000059273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0.0599999999965802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0.9400000000034198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0.05999999999802695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0.940000000001973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0.05999999999886165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0.9400000000011384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0.05999999999934323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0.9400000000006568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0.05999999999962108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0.940000000000379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0.059999999999781374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0.9400000000002187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0.05999999999987386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0.9400000000001262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0.05999999999992723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0.9400000000000728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0.05999999999995801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0.940000000000042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0.059999999999975774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0.9400000000000243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0.05999999999998602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0.9400000000000139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0.059999999999991935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0.940000000000008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0.05999999999999535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0.9400000000000046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0.05999999999999732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0.9400000000000027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0.05999999999999845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0.9400000000000015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0.0599999999999991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0.940000000000001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0.059999999999999484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0.9400000000000005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0.0599999999999997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0.9400000000000003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0.059999999999999824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0.9400000000000002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0.0599999999999999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0.9400000000000001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0.059999999999999935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0.9400000000000001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0.05999999999999997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0.9400000000000001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0.059999999999999984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0.9400000000000001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0.059999999999999984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0.9400000000000001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0.06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0.94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0.06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0.94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0.06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0.94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0.06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0.94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0.06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0.94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0.06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0.94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0.06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0.94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0.06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0.94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0.06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0.94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0.06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0.94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0.06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0.94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0.06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0.94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0.06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0.94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0.06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0.94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0.06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0.94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0.06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0.94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0.06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0.94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0.06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0.94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0.06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0.94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0.06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0.94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0.06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0.94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0.06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0.94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0.06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0.94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0.06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0.94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0.06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0.94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9.011866819224878e-8</x:v>
      </x:c>
      <x:c r="CB150" s="30" t="n">
        <x:f>E74</x:f>
        <x:v>3.055338309747323e-7</x:v>
      </x:c>
      <x:c r="CC150" s="30" t="n">
        <x:f>E73</x:f>
        <x:v>7.769969057769577e-7</x:v>
      </x:c>
      <x:c r="CD150" s="30" t="n">
        <x:f>E72</x:f>
        <x:v>0.0000017565776499500652</x:v>
      </x:c>
      <x:c r="CE150" s="30" t="n">
        <x:f>E71</x:f>
        <x:v>0.0000037230921054174014</x:v>
      </x:c>
      <x:c r="CF150" s="30" t="n">
        <x:f>E70</x:f>
        <x:v>0.00000757509037447162</x:v>
      </x:c>
      <x:c r="CG150" s="30" t="n">
        <x:f>E69</x:f>
        <x:v>0.000014981086682494105</x:v>
      </x:c>
      <x:c r="CH150" s="30" t="n">
        <x:f>E68</x:f>
        <x:v>0.00002900868273232004</x:v>
      </x:c>
      <x:c r="CI150" s="30" t="n">
        <x:f>E67</x:f>
        <x:v>0.00005523911573485241</x:v>
      </x:c>
      <x:c r="CJ150" s="30" t="n">
        <x:f>E66</x:f>
        <x:v>0.00010370046314178875</x:v>
      </x:c>
      <x:c r="CK150" s="30" t="n">
        <x:f>E65</x:f>
        <x:v>0.00019210390659244855</x:v>
      </x:c>
      <x:c r="CL150" s="30" t="n">
        <x:f>E64</x:f>
        <x:v>0.00035092020628354776</x:v>
      </x:c>
      <x:c r="CM150" s="30" t="n">
        <x:f>E63</x:f>
        <x:v>0.0006303397682912921</x:v>
      </x:c>
      <x:c r="CN150" s="30" t="n">
        <x:f>E62</x:f>
        <x:v>0.0011068733299626308</x:v>
      </x:c>
      <x:c r="CO150" s="30" t="n">
        <x:f>E61</x:f>
        <x:v>0.0018807502890098727</x:v>
      </x:c>
      <x:c r="CP150" s="30" t="n">
        <x:f>E60</x:f>
        <x:v>0.0030424674782830825</x:v>
      </x:c>
      <x:c r="CQ150" s="30" t="n">
        <x:f>E59</x:f>
        <x:v>0.004578498058813514</x:v>
      </x:c>
      <x:c r="CR150" s="30" t="n">
        <x:f>E58</x:f>
        <x:v>0.006228923496086475</x:v>
      </x:c>
      <x:c r="CS150" s="30" t="n">
        <x:f>E57</x:f>
        <x:v>0.00744924796670258</x:v>
      </x:c>
      <x:c r="CT150" s="30" t="n">
        <x:f>E56</x:f>
        <x:v>0.0076923169336220116</x:v>
      </x:c>
      <x:c r="CU150" s="30" t="n">
        <x:f>E55</x:f>
        <x:v>0.006860638709984368</x:v>
      </x:c>
      <x:c r="CV150" s="30" t="n">
        <x:f>E54</x:f>
        <x:v>0.005383158561218307</x:v>
      </x:c>
      <x:c r="CW150" s="30" t="n">
        <x:f>E53</x:f>
        <x:v>0.0038239169620446494</x:v>
      </x:c>
      <x:c r="CX150" s="30" t="n">
        <x:f>E52</x:f>
        <x:v>0.002531967800203319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0.06252272219926885</x:v>
      </x:c>
      <x:c r="CB151" s="30" t="n">
        <x:f>F74</x:f>
        <x:v>0.05978276875021875</x:v>
      </x:c>
      <x:c r="CC151" s="30" t="n">
        <x:f>F73</x:f>
        <x:v>0.05716294957258066</x:v>
      </x:c>
      <x:c r="CD151" s="30" t="n">
        <x:f>F72</x:f>
        <x:v>0.05465803702498449</x:v>
      </x:c>
      <x:c r="CE151" s="30" t="n">
        <x:f>F71</x:f>
        <x:v>0.05226305699289343</x:v>
      </x:c>
      <x:c r="CF151" s="30" t="n">
        <x:f>F70</x:f>
        <x:v>0.049973293779273134</x:v>
      </x:c>
      <x:c r="CG151" s="30" t="n">
        <x:f>F69</x:f>
        <x:v>0.04778430519703137</x:v>
      </x:c>
      <x:c r="CH151" s="30" t="n">
        <x:f>F68</x:f>
        <x:v>0.04569195407318769</x:v>
      </x:c>
      <x:c r="CI151" s="30" t="n">
        <x:f>F67</x:f>
        <x:v>0.04369246612649226</x:v>
      </x:c>
      <x:c r="CJ151" s="30" t="n">
        <x:f>F66</x:f>
        <x:v>0.04178252976505462</x:v>
      </x:c>
      <x:c r="CK151" s="30" t="n">
        <x:f>F65</x:f>
        <x:v>0.03995946083343052</x:v>
      </x:c>
      <x:c r="CL151" s="30" t="n">
        <x:f>F64</x:f>
        <x:v>0.03822146286215095</x:v>
      </x:c>
      <x:c r="CM151" s="30" t="n">
        <x:f>F63</x:f>
        <x:v>0.03656801285485389</x:v>
      </x:c>
      <x:c r="CN151" s="30" t="n">
        <x:f>F62</x:f>
        <x:v>0.03500036925297815</x:v>
      </x:c>
      <x:c r="CO151" s="30" t="n">
        <x:f>F61</x:f>
        <x:v>0.03352207101246622</x:v>
      </x:c>
      <x:c r="CP151" s="30" t="n">
        <x:f>F60</x:f>
        <x:v>0.03213896274340686</x:v>
      </x:c>
      <x:c r="CQ151" s="30" t="n">
        <x:f>F59</x:f>
        <x:v>0.030857670668583744</x:v>
      </x:c>
      <x:c r="CR151" s="30" t="n">
        <x:f>F58</x:f>
        <x:v>0.029681011754096803</x:v>
      </x:c>
      <x:c r="CS151" s="30" t="n">
        <x:f>F57</x:f>
        <x:v>0.028600325875121974</x:v>
      </x:c>
      <x:c r="CT151" s="30" t="n">
        <x:f>F56</x:f>
        <x:v>0.027589994106478347</x:v>
      </x:c>
      <x:c r="CU151" s="30" t="n">
        <x:f>F55</x:f>
        <x:v>0.026613287400858346</x:v>
      </x:c>
      <x:c r="CV151" s="30" t="n">
        <x:f>F54</x:f>
        <x:v>0.02563935889452387</x:v>
      </x:c>
      <x:c r="CW151" s="30" t="n">
        <x:f>F53</x:f>
        <x:v>0.024656126928197162</x:v>
      </x:c>
      <x:c r="CX151" s="30" t="n">
        <x:f>F52</x:f>
        <x:v>0.023668521106943563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15975000</x:v>
      </x:c>
      <x:c r="E160" s="31" t="n">
        <x:f>IF(D160=0,0,D160/(INDEX($I$51:$I$147,C160+1)*INDEX($H$51:$H$147,C160+1)))</x:f>
        <x:v>15975000</x:v>
      </x:c>
      <x:c r="F160" s="31" t="n">
        <x:f>E160*INDEX($G$51:$G$147,C160+1)</x:f>
        <x:v>830209.251593166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15975000</x:v>
      </x:c>
      <x:c r="E161" s="31" t="n">
        <x:f>IF(D161=0,0,D161/(INDEX($I$51:$I$147,C161+1)*INDEX($H$51:$H$147,C161+1)))</x:f>
        <x:v>16404814.151192116</x:v>
      </x:c>
      <x:c r="F161" s="31" t="n">
        <x:f>E161*INDEX($G$51:$G$147,C161+1)</x:f>
        <x:v>811009.922461969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15975000</x:v>
      </x:c>
      <x:c r="E162" s="31" t="n">
        <x:f>IF(D162=0,0,D162/(INDEX($I$51:$I$147,C162+1)*INDEX($H$51:$H$147,C162+1)))</x:f>
        <x:v>16899049.00326787</x:v>
      </x:c>
      <x:c r="F162" s="31" t="n">
        <x:f>E162*INDEX($G$51:$G$147,C162+1)</x:f>
        <x:v>770823.005129204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15975000</x:v>
      </x:c>
      <x:c r="E163" s="31" t="n">
        <x:f>IF(D163=0,0,D163/(INDEX($I$51:$I$147,C163+1)*INDEX($H$51:$H$147,C163+1)))</x:f>
        <x:v>17472441.5349114</x:v>
      </x:c>
      <x:c r="F163" s="31" t="n">
        <x:f>E163*INDEX($G$51:$G$147,C163+1)</x:f>
        <x:v>702920.462196361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15975000</x:v>
      </x:c>
      <x:c r="E164" s="31" t="n">
        <x:f>IF(D164=0,0,D164/(INDEX($I$51:$I$147,C164+1)*INDEX($H$51:$H$147,C164+1)))</x:f>
        <x:v>18136446.904005077</x:v>
      </x:c>
      <x:c r="F164" s="31" t="n">
        <x:f>E164*INDEX($G$51:$G$147,C164+1)</x:f>
        <x:v>605205.9458076463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15975000</x:v>
      </x:c>
      <x:c r="E165" s="31" t="n">
        <x:f>IF(D165=0,0,D165/(INDEX($I$51:$I$147,C165+1)*INDEX($H$51:$H$147,C165+1)))</x:f>
        <x:v>18893235.72717694</x:v>
      </x:c>
      <x:c r="F165" s="31" t="n">
        <x:f>E165*INDEX($G$51:$G$147,C165+1)</x:f>
        <x:v>485126.9276376142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15975000</x:v>
      </x:c>
      <x:c r="E166" s="31" t="n">
        <x:f>IF(D166=0,0,D166/(INDEX($I$51:$I$147,C166+1)*INDEX($H$51:$H$147,C166+1)))</x:f>
        <x:v>19734619.97939512</x:v>
      </x:c>
      <x:c r="F166" s="31" t="n">
        <x:f>E166*INDEX($G$51:$G$147,C166+1)</x:f>
        <x:v>359723.3099725904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15975000</x:v>
      </x:c>
      <x:c r="E167" s="31" t="n">
        <x:f>IF(D167=0,0,D167/(INDEX($I$51:$I$147,C167+1)*INDEX($H$51:$H$147,C167+1)))</x:f>
        <x:v>20650708.58449198</x:v>
      </x:c>
      <x:c r="F167" s="31" t="n">
        <x:f>E167*INDEX($G$51:$G$147,C167+1)</x:f>
        <x:v>247790.1196511616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15975000</x:v>
      </x:c>
      <x:c r="E168" s="31" t="n">
        <x:f>IF(D168=0,0,D168/(INDEX($I$51:$I$147,C168+1)*INDEX($H$51:$H$147,C168+1)))</x:f>
        <x:v>21642088.271767017</x:v>
      </x:c>
      <x:c r="F168" s="31" t="n">
        <x:f>E168*INDEX($G$51:$G$147,C168+1)</x:f>
        <x:v>160597.5342264136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15975000</x:v>
      </x:c>
      <x:c r="E169" s="31" t="n">
        <x:f>IF(D169=0,0,D169/(INDEX($I$51:$I$147,C169+1)*INDEX($H$51:$H$147,C169+1)))</x:f>
        <x:v>22725216.35044898</x:v>
      </x:c>
      <x:c r="F169" s="31" t="n">
        <x:f>E169*INDEX($G$51:$G$147,C169+1)</x:f>
        <x:v>99494.27547575397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15975000</x:v>
      </x:c>
      <x:c r="E170" s="31" t="n">
        <x:f>IF(D170=0,0,D170/(INDEX($I$51:$I$147,C170+1)*INDEX($H$51:$H$147,C170+1)))</x:f>
        <x:v>23930405.14175488</x:v>
      </x:c>
      <x:c r="F170" s="31" t="n">
        <x:f>E170*INDEX($G$51:$G$147,C170+1)</x:f>
        <x:v>59763.64947569604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15975000</x:v>
      </x:c>
      <x:c r="E171" s="31" t="n">
        <x:f>IF(D171=0,0,D171/(INDEX($I$51:$I$147,C171+1)*INDEX($H$51:$H$147,C171+1)))</x:f>
        <x:v>25298773.33974459</x:v>
      </x:c>
      <x:c r="F171" s="31" t="n">
        <x:f>E171*INDEX($G$51:$G$147,C171+1)</x:f>
        <x:v>35178.46647013405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15975000</x:v>
      </x:c>
      <x:c r="E172" s="31" t="n">
        <x:f>IF(D172=0,0,D172/(INDEX($I$51:$I$147,C172+1)*INDEX($H$51:$H$147,C172+1)))</x:f>
        <x:v>26882390.463420402</x:v>
      </x:c>
      <x:c r="F172" s="31" t="n">
        <x:f>E172*INDEX($G$51:$G$147,C172+1)</x:f>
        <x:v>20435.478989040374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15975000</x:v>
      </x:c>
      <x:c r="E173" s="31" t="n">
        <x:f>IF(D173=0,0,D173/(INDEX($I$51:$I$147,C173+1)*INDEX($H$51:$H$147,C173+1)))</x:f>
        <x:v>28748415.20534089</x:v>
      </x:c>
      <x:c r="F173" s="31" t="n">
        <x:f>E173*INDEX($G$51:$G$147,C173+1)</x:f>
        <x:v>11765.595507922093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15975000</x:v>
      </x:c>
      <x:c r="E174" s="31" t="n">
        <x:f>IF(D174=0,0,D174/(INDEX($I$51:$I$147,C174+1)*INDEX($H$51:$H$147,C174+1)))</x:f>
        <x:v>30987452.85077164</x:v>
      </x:c>
      <x:c r="F174" s="31" t="n">
        <x:f>E174*INDEX($G$51:$G$147,C174+1)</x:f>
        <x:v>6729.134794366996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15975000</x:v>
      </x:c>
      <x:c r="E175" s="31" t="n">
        <x:f>IF(D175=0,0,D175/(INDEX($I$51:$I$147,C175+1)*INDEX($H$51:$H$147,C175+1)))</x:f>
        <x:v>33727791.19881781</x:v>
      </x:c>
      <x:c r="F175" s="31" t="n">
        <x:f>E175*INDEX($G$51:$G$147,C175+1)</x:f>
        <x:v>3826.630217308659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15975000</x:v>
      </x:c>
      <x:c r="E176" s="31" t="n">
        <x:f>IF(D176=0,0,D176/(INDEX($I$51:$I$147,C176+1)*INDEX($H$51:$H$147,C176+1)))</x:f>
        <x:v>37160037.578292586</x:v>
      </x:c>
      <x:c r="F176" s="31" t="n">
        <x:f>E176*INDEX($G$51:$G$147,C176+1)</x:f>
        <x:v>2163.352557469215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15975000</x:v>
      </x:c>
      <x:c r="E177" s="31" t="n">
        <x:f>IF(D177=0,0,D177/(INDEX($I$51:$I$147,C177+1)*INDEX($H$51:$H$147,C177+1)))</x:f>
        <x:v>41582466.83363327</x:v>
      </x:c>
      <x:c r="F177" s="31" t="n">
        <x:f>E177*INDEX($G$51:$G$147,C177+1)</x:f>
        <x:v>1214.5613252152289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15975000</x:v>
      </x:c>
      <x:c r="E178" s="31" t="n">
        <x:f>IF(D178=0,0,D178/(INDEX($I$51:$I$147,C178+1)*INDEX($H$51:$H$147,C178+1)))</x:f>
        <x:v>47491348.55643018</x:v>
      </x:c>
      <x:c r="F178" s="31" t="n">
        <x:f>E178*INDEX($G$51:$G$147,C178+1)</x:f>
        <x:v>675.6788652714588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15975000</x:v>
      </x:c>
      <x:c r="E179" s="31" t="n">
        <x:f>IF(D179=0,0,D179/(INDEX($I$51:$I$147,C179+1)*INDEX($H$51:$H$147,C179+1)))</x:f>
        <x:v>55779373.93370028</x:v>
      </x:c>
      <x:c r="F179" s="31" t="n">
        <x:f>E179*INDEX($G$51:$G$147,C179+1)</x:f>
        <x:v>371.06219796932896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15975000</x:v>
      </x:c>
      <x:c r="E180" s="31" t="n">
        <x:f>IF(D180=0,0,D180/(INDEX($I$51:$I$147,C180+1)*INDEX($H$51:$H$147,C180+1)))</x:f>
        <x:v>68231497.3591206</x:v>
      </x:c>
      <x:c r="F180" s="31" t="n">
        <x:f>E180*INDEX($G$51:$G$147,C180+1)</x:f>
        <x:v>199.86554806026484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15975000</x:v>
      </x:c>
      <x:c r="E181" s="31" t="n">
        <x:f>IF(D181=0,0,D181/(INDEX($I$51:$I$147,C181+1)*INDEX($H$51:$H$147,C181+1)))</x:f>
        <x:v>89012283.01382017</x:v>
      </x:c>
      <x:c r="F181" s="31" t="n">
        <x:f>E181*INDEX($G$51:$G$147,C181+1)</x:f>
        <x:v>104.38020070885769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15975000</x:v>
      </x:c>
      <x:c r="E182" s="31" t="n">
        <x:f>IF(D182=0,0,D182/(INDEX($I$51:$I$147,C182+1)*INDEX($H$51:$H$147,C182+1)))</x:f>
        <x:v>130615135.90091172</x:v>
      </x:c>
      <x:c r="F182" s="31" t="n">
        <x:f>E182*INDEX($G$51:$G$147,C182+1)</x:f>
        <x:v>51.678204948230594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15975000</x:v>
      </x:c>
      <x:c r="E183" s="31" t="n">
        <x:f>IF(D183=0,0,D183/(INDEX($I$51:$I$147,C183+1)*INDEX($H$51:$H$147,C183+1)))</x:f>
        <x:v>255506740.78390685</x:v>
      </x:c>
      <x:c r="F183" s="31" t="n">
        <x:f>E183*INDEX($G$51:$G$147,C183+1)</x:f>
        <x:v>23.02592719358782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