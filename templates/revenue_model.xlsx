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d87ce3fec944e1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venue model" sheetId="1" r:id="R9c48411ff3614b8e"/>
    <x:sheet xmlns:r="http://schemas.openxmlformats.org/officeDocument/2006/relationships" name="Assumptions" sheetId="2" r:id="R1d55c0d2d5534ecf"/>
    <x:sheet xmlns:r="http://schemas.openxmlformats.org/officeDocument/2006/relationships" name="Short-Term build" sheetId="3" r:id="R33cee8b7231141e5"/>
    <x:sheet xmlns:r="http://schemas.openxmlformats.org/officeDocument/2006/relationships" name="Installment build" sheetId="4" r:id="R4726eda3d4b84933"/>
    <x:sheet xmlns:r="http://schemas.openxmlformats.org/officeDocument/2006/relationships" name="CF Short-Term" sheetId="5" r:id="R28807071dd4f466e"/>
    <x:sheet xmlns:r="http://schemas.openxmlformats.org/officeDocument/2006/relationships" name="CF Installment" sheetId="6" r:id="R1d41a498ded8413c"/>
    <x:sheet xmlns:r="http://schemas.openxmlformats.org/officeDocument/2006/relationships" name="MK Short-Term" sheetId="7" r:id="Re73f9480e14f4bde"/>
    <x:sheet xmlns:r="http://schemas.openxmlformats.org/officeDocument/2006/relationships" name="MK Installment" sheetId="8" r:id="R28a1f76219d244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#,##0;(#,##0);&quot;-&quot;"/>
    <x:numFmt numFmtId="201" formatCode="0.00"/>
    <x:numFmt numFmtId="202" formatCode="0.0%;(0.0%);&quot;-&quot;"/>
    <x:numFmt numFmtId="203" formatCode="$#,##0;($#,##0);&quot;-&quot;"/>
    <x:numFmt numFmtId="204" formatCode="0"/>
    <x:numFmt numFmtId="205" formatCode="0.00x"/>
    <x:numFmt numFmtId="206" formatCode="&quot;Month &quot;0"/>
    <x:numFmt numFmtId="207" formatCode="0.00%"/>
    <x:numFmt numFmtId="208" formatCode="0.0000%"/>
    <x:numFmt numFmtId="209" formatCode="#,##0.00;(#,##0.00);&quot;-&quot;"/>
    <x:numFmt numFmtId="210" formatCode="$#,##0"/>
    <x:numFmt numFmtId="211" formatCode="#,##0,;(#,##0,);&quot;-&quot;"/>
  </x:numFmts>
  <x:fonts count="7">
    <x:font>
      <x:sz val="11"/>
      <x:name val="Carlito"/>
    </x:font>
    <x:font>
      <x:sz val="10"/>
      <x:color rgb="FF000000"/>
      <x:name val="Arial"/>
    </x:font>
    <x:font>
      <x:b/>
      <x:sz val="14"/>
      <x:color rgb="FF17365D"/>
      <x:name val="Arial"/>
    </x:font>
    <x:font>
      <x:sz val="10"/>
      <x:color rgb="FF008000"/>
      <x:name val="Arial"/>
    </x:font>
    <x:font>
      <x:b/>
      <x:sz val="10"/>
      <x:color rgb="FFFFFFFF"/>
      <x:name val="Arial"/>
    </x:font>
    <x:font>
      <x:sz val="10"/>
      <x:color rgb="FF0000FF"/>
      <x:name val="Arial"/>
    </x:font>
    <x:font>
      <x:b/>
      <x:sz val="10"/>
      <x:color rgb="FF000000"/>
      <x:name val="Arial"/>
    </x:font>
  </x:fonts>
  <x:fills count="7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FF2CC"/>
      </x:patternFill>
    </x:fill>
    <x:fill>
      <x:patternFill patternType="solid">
        <x:fgColor rgb="FFE8F0FA"/>
      </x:patternFill>
    </x:fill>
    <x:fill>
      <x:patternFill patternType="solid">
        <x:fgColor rgb="FFDCE6F1"/>
      </x:patternFill>
    </x:fill>
    <x:fill>
      <x:patternFill patternType="solid">
        <x:fgColor rgb="FFF0F4F9"/>
      </x:patternFill>
    </x:fill>
  </x:fills>
  <x:borders count="2">
    <x:border/>
    <x:border>
      <x:top style="thin">
        <x:color rgb="FFB7C9DD"/>
      </x:top>
    </x:border>
  </x:borders>
  <x:cellStyleXfs count="1">
    <x:xf numFmtId="0" fontId="0" fillId="0" borderId="0"/>
  </x:cellStyleXfs>
  <x:cellXfs count="52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5" fillId="3" borderId="0" xfId="0" applyNumberFormat="1" applyFont="1" applyFill="1" applyBorder="1" applyAlignment="1">
      <x:alignment vertical="center"/>
    </x:xf>
    <x:xf numFmtId="200" fontId="5" fillId="3" borderId="0" xfId="0" applyNumberFormat="1" applyFont="1" applyFill="1" applyBorder="1" applyAlignment="1">
      <x:alignment vertical="center"/>
    </x:xf>
    <x:xf numFmtId="201" fontId="5" fillId="3" borderId="0" xfId="0" applyNumberFormat="1" applyFont="1" applyFill="1" applyBorder="1" applyAlignment="1">
      <x:alignment vertical="center"/>
    </x:xf>
    <x:xf numFmtId="202" fontId="5" fillId="3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203" fontId="5" fillId="3" borderId="0" xfId="0" applyNumberFormat="1" applyFont="1" applyFill="1" applyBorder="1" applyAlignment="1">
      <x:alignment vertical="center"/>
    </x:xf>
    <x:xf numFmtId="202" fontId="1" fillId="4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201" fontId="1" fillId="4" borderId="0" xfId="0" applyNumberFormat="1" applyFont="1" applyFill="1" applyBorder="1" applyAlignment="1">
      <x:alignment vertical="center"/>
    </x:xf>
    <x:xf numFmtId="204" fontId="5" fillId="3" borderId="0" xfId="0" applyNumberFormat="1" applyFont="1" applyFill="1" applyBorder="1" applyAlignment="1">
      <x:alignment vertical="center"/>
    </x:xf>
    <x:xf numFmtId="205" fontId="5" fillId="3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6" fontId="1" fillId="2" borderId="0" xfId="0" applyNumberFormat="1" applyFont="1" applyFill="1" applyBorder="1" applyAlignment="1">
      <x:alignment vertical="center"/>
    </x:xf>
    <x:xf numFmtId="206" fontId="4" fillId="2" borderId="0" xfId="0" applyNumberFormat="1" applyFont="1" applyFill="1" applyBorder="1" applyAlignment="1">
      <x:alignment vertical="center"/>
    </x:xf>
    <x:xf numFmtId="207" fontId="3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1" fontId="3" fillId="0" borderId="0" xfId="0" applyNumberFormat="1" applyFont="1" applyFill="1" applyBorder="1" applyAlignment="1">
      <x:alignment vertical="center"/>
    </x:xf>
    <x:xf numFmtId="203" fontId="3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3" fillId="0" borderId="0" xfId="0" applyNumberFormat="1" applyFont="1" applyFill="1" applyBorder="1" applyAlignment="1">
      <x:alignment vertical="center"/>
    </x:xf>
    <x:xf numFmtId="202" fontId="3" fillId="0" borderId="0" xfId="0" applyNumberFormat="1" applyFont="1" applyFill="1" applyBorder="1" applyAlignment="1">
      <x:alignment vertical="center"/>
    </x:xf>
    <x:xf numFmtId="210" fontId="3" fillId="0" borderId="0" xfId="0" applyNumberFormat="1" applyFont="1" applyFill="1" applyBorder="1" applyAlignment="1">
      <x:alignment vertical="center"/>
    </x:xf>
    <x:xf numFmtId="211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211" fontId="1" fillId="6" borderId="0" xfId="0" applyNumberFormat="1" applyFont="1" applyFill="1" applyBorder="1" applyAlignment="1">
      <x:alignment vertical="center"/>
    </x:xf>
    <x:xf numFmtId="0" fontId="6" fillId="6" borderId="0" xfId="0" applyNumberFormat="1" applyFont="1" applyFill="1" applyBorder="1" applyAlignment="1">
      <x:alignment vertical="center"/>
    </x:xf>
    <x:xf numFmtId="211" fontId="6" fillId="6" borderId="0" xfId="0" applyNumberFormat="1" applyFont="1" applyFill="1" applyBorder="1" applyAlignment="1">
      <x:alignment vertical="center"/>
    </x:xf>
    <x:xf numFmtId="0" fontId="6" fillId="6" borderId="1" xfId="0" applyNumberFormat="1" applyFont="1" applyFill="1" applyBorder="1" applyAlignment="1">
      <x:alignment vertical="center"/>
    </x:xf>
    <x:xf numFmtId="211" fontId="6" fillId="6" borderId="1" xfId="0" applyNumberFormat="1" applyFont="1" applyFill="1" applyBorder="1" applyAlignment="1">
      <x:alignment vertical="center"/>
    </x:xf>
    <x:xf numFmtId="211" fontId="1" fillId="5" borderId="0" xfId="0" applyNumberFormat="1" applyFont="1" applyFill="1" applyBorder="1" applyAlignment="1">
      <x:alignment vertical="center"/>
    </x:xf>
    <x:xf numFmtId="211" fontId="6" fillId="5" borderId="0" xfId="0" applyNumberFormat="1" applyFont="1" applyFill="1" applyBorder="1" applyAlignment="1">
      <x:alignment vertical="center"/>
    </x:xf>
    <x:xf numFmtId="0" fontId="6" fillId="5" borderId="1" xfId="0" applyNumberFormat="1" applyFont="1" applyFill="1" applyBorder="1" applyAlignment="1">
      <x:alignment vertical="center"/>
    </x:xf>
    <x:xf numFmtId="211" fontId="6" fillId="5" borderId="1" xfId="0" applyNumberFormat="1" applyFont="1" applyFill="1" applyBorder="1" applyAlignment="1">
      <x:alignment vertical="center"/>
    </x:xf>
    <x:xf numFmtId="21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202" fontId="1" fillId="3" borderId="0" xfId="0" applyNumberFormat="1" applyFont="1" applyFill="1" applyBorder="1" applyAlignment="1">
      <x:alignment vertical="center"/>
    </x:xf>
    <x:xf numFmtId="211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5"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  <x:dxf>
      <x:font>
        <x:b/>
        <x:color rgb="FFC000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24ed0c0fae34c69" /><Relationship Type="http://schemas.openxmlformats.org/officeDocument/2006/relationships/theme" Target="/xl/theme/theme1.xml" Id="R29cc465f6ad64baa" /><Relationship Type="http://schemas.openxmlformats.org/officeDocument/2006/relationships/sharedStrings" Target="/xl/sharedStrings.xml" Id="R989d1ed995a04a56" /><Relationship Type="http://schemas.openxmlformats.org/officeDocument/2006/relationships/worksheet" Target="/xl/worksheets/sheet1.xml" Id="R9c48411ff3614b8e" /><Relationship Type="http://schemas.openxmlformats.org/officeDocument/2006/relationships/worksheet" Target="/xl/worksheets/sheet2.xml" Id="R1d55c0d2d5534ecf" /><Relationship Type="http://schemas.openxmlformats.org/officeDocument/2006/relationships/worksheet" Target="/xl/worksheets/sheet3.xml" Id="R33cee8b7231141e5" /><Relationship Type="http://schemas.openxmlformats.org/officeDocument/2006/relationships/worksheet" Target="/xl/worksheets/sheet4.xml" Id="R4726eda3d4b84933" /><Relationship Type="http://schemas.openxmlformats.org/officeDocument/2006/relationships/worksheet" Target="/xl/worksheets/sheet5.xml" Id="R28807071dd4f466e" /><Relationship Type="http://schemas.openxmlformats.org/officeDocument/2006/relationships/worksheet" Target="/xl/worksheets/sheet6.xml" Id="R1d41a498ded8413c" /><Relationship Type="http://schemas.openxmlformats.org/officeDocument/2006/relationships/worksheet" Target="/xl/worksheets/sheet7.xml" Id="Re73f9480e14f4bde" /><Relationship Type="http://schemas.openxmlformats.org/officeDocument/2006/relationships/worksheet" Target="/xl/worksheets/sheet8.xml" Id="R28a1f76219d2448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7365D"/>
  </x:sheetPr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3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LendSight CLAB revenue model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Main-sheet totals calculate locally; cohort details link to product builds.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1008000</x:v>
      </x:c>
      <x:c r="F8" s="2"/>
      <x:c r="G8" s="37" t="n">
        <x:f>IF('Assumptions'!$E$9=2,'Short-Term build'!G8,IF('Assumptions'!$E$9=3,'Installment build'!G8,'Short-Term build'!G8+'Installment build'!G8))</x:f>
        <x:v>42000</x:v>
      </x:c>
      <x:c r="H8" s="37" t="n">
        <x:f>IF('Assumptions'!$E$9=2,'Short-Term build'!H8,IF('Assumptions'!$E$9=3,'Installment build'!H8,'Short-Term build'!H8+'Installment build'!H8))</x:f>
        <x:v>42000</x:v>
      </x:c>
      <x:c r="I8" s="37" t="n">
        <x:f>IF('Assumptions'!$E$9=2,'Short-Term build'!I8,IF('Assumptions'!$E$9=3,'Installment build'!I8,'Short-Term build'!I8+'Installment build'!I8))</x:f>
        <x:v>42000</x:v>
      </x:c>
      <x:c r="J8" s="37" t="n">
        <x:f>IF('Assumptions'!$E$9=2,'Short-Term build'!J8,IF('Assumptions'!$E$9=3,'Installment build'!J8,'Short-Term build'!J8+'Installment build'!J8))</x:f>
        <x:v>42000</x:v>
      </x:c>
      <x:c r="K8" s="37" t="n">
        <x:f>IF('Assumptions'!$E$9=2,'Short-Term build'!K8,IF('Assumptions'!$E$9=3,'Installment build'!K8,'Short-Term build'!K8+'Installment build'!K8))</x:f>
        <x:v>42000</x:v>
      </x:c>
      <x:c r="L8" s="37" t="n">
        <x:f>IF('Assumptions'!$E$9=2,'Short-Term build'!L8,IF('Assumptions'!$E$9=3,'Installment build'!L8,'Short-Term build'!L8+'Installment build'!L8))</x:f>
        <x:v>42000</x:v>
      </x:c>
      <x:c r="M8" s="37" t="n">
        <x:f>IF('Assumptions'!$E$9=2,'Short-Term build'!M8,IF('Assumptions'!$E$9=3,'Installment build'!M8,'Short-Term build'!M8+'Installment build'!M8))</x:f>
        <x:v>42000</x:v>
      </x:c>
      <x:c r="N8" s="37" t="n">
        <x:f>IF('Assumptions'!$E$9=2,'Short-Term build'!N8,IF('Assumptions'!$E$9=3,'Installment build'!N8,'Short-Term build'!N8+'Installment build'!N8))</x:f>
        <x:v>42000</x:v>
      </x:c>
      <x:c r="O8" s="37" t="n">
        <x:f>IF('Assumptions'!$E$9=2,'Short-Term build'!O8,IF('Assumptions'!$E$9=3,'Installment build'!O8,'Short-Term build'!O8+'Installment build'!O8))</x:f>
        <x:v>42000</x:v>
      </x:c>
      <x:c r="P8" s="37" t="n">
        <x:f>IF('Assumptions'!$E$9=2,'Short-Term build'!P8,IF('Assumptions'!$E$9=3,'Installment build'!P8,'Short-Term build'!P8+'Installment build'!P8))</x:f>
        <x:v>42000</x:v>
      </x:c>
      <x:c r="Q8" s="37" t="n">
        <x:f>IF('Assumptions'!$E$9=2,'Short-Term build'!Q8,IF('Assumptions'!$E$9=3,'Installment build'!Q8,'Short-Term build'!Q8+'Installment build'!Q8))</x:f>
        <x:v>42000</x:v>
      </x:c>
      <x:c r="R8" s="37" t="n">
        <x:f>IF('Assumptions'!$E$9=2,'Short-Term build'!R8,IF('Assumptions'!$E$9=3,'Installment build'!R8,'Short-Term build'!R8+'Installment build'!R8))</x:f>
        <x:v>42000</x:v>
      </x:c>
      <x:c r="S8" s="37" t="n">
        <x:f>IF('Assumptions'!$E$9=2,'Short-Term build'!S8,IF('Assumptions'!$E$9=3,'Installment build'!S8,'Short-Term build'!S8+'Installment build'!S8))</x:f>
        <x:v>42000</x:v>
      </x:c>
      <x:c r="T8" s="37" t="n">
        <x:f>IF('Assumptions'!$E$9=2,'Short-Term build'!T8,IF('Assumptions'!$E$9=3,'Installment build'!T8,'Short-Term build'!T8+'Installment build'!T8))</x:f>
        <x:v>42000</x:v>
      </x:c>
      <x:c r="U8" s="37" t="n">
        <x:f>IF('Assumptions'!$E$9=2,'Short-Term build'!U8,IF('Assumptions'!$E$9=3,'Installment build'!U8,'Short-Term build'!U8+'Installment build'!U8))</x:f>
        <x:v>42000</x:v>
      </x:c>
      <x:c r="V8" s="37" t="n">
        <x:f>IF('Assumptions'!$E$9=2,'Short-Term build'!V8,IF('Assumptions'!$E$9=3,'Installment build'!V8,'Short-Term build'!V8+'Installment build'!V8))</x:f>
        <x:v>42000</x:v>
      </x:c>
      <x:c r="W8" s="37" t="n">
        <x:f>IF('Assumptions'!$E$9=2,'Short-Term build'!W8,IF('Assumptions'!$E$9=3,'Installment build'!W8,'Short-Term build'!W8+'Installment build'!W8))</x:f>
        <x:v>42000</x:v>
      </x:c>
      <x:c r="X8" s="37" t="n">
        <x:f>IF('Assumptions'!$E$9=2,'Short-Term build'!X8,IF('Assumptions'!$E$9=3,'Installment build'!X8,'Short-Term build'!X8+'Installment build'!X8))</x:f>
        <x:v>42000</x:v>
      </x:c>
      <x:c r="Y8" s="37" t="n">
        <x:f>IF('Assumptions'!$E$9=2,'Short-Term build'!Y8,IF('Assumptions'!$E$9=3,'Installment build'!Y8,'Short-Term build'!Y8+'Installment build'!Y8))</x:f>
        <x:v>42000</x:v>
      </x:c>
      <x:c r="Z8" s="37" t="n">
        <x:f>IF('Assumptions'!$E$9=2,'Short-Term build'!Z8,IF('Assumptions'!$E$9=3,'Installment build'!Z8,'Short-Term build'!Z8+'Installment build'!Z8))</x:f>
        <x:v>42000</x:v>
      </x:c>
      <x:c r="AA8" s="37" t="n">
        <x:f>IF('Assumptions'!$E$9=2,'Short-Term build'!AA8,IF('Assumptions'!$E$9=3,'Installment build'!AA8,'Short-Term build'!AA8+'Installment build'!AA8))</x:f>
        <x:v>42000</x:v>
      </x:c>
      <x:c r="AB8" s="37" t="n">
        <x:f>IF('Assumptions'!$E$9=2,'Short-Term build'!AB8,IF('Assumptions'!$E$9=3,'Installment build'!AB8,'Short-Term build'!AB8+'Installment build'!AB8))</x:f>
        <x:v>42000</x:v>
      </x:c>
      <x:c r="AC8" s="37" t="n">
        <x:f>IF('Assumptions'!$E$9=2,'Short-Term build'!AC8,IF('Assumptions'!$E$9=3,'Installment build'!AC8,'Short-Term build'!AC8+'Installment build'!AC8))</x:f>
        <x:v>42000</x:v>
      </x:c>
      <x:c r="AD8" s="37" t="n">
        <x:f>IF('Assumptions'!$E$9=2,'Short-Term build'!AD8,IF('Assumptions'!$E$9=3,'Installment build'!AD8,'Short-Term build'!AD8+'Installment build'!AD8))</x:f>
        <x:v>42000</x:v>
      </x:c>
      <x:c r="AE8" s="37" t="n">
        <x:f>IF('Assumptions'!$E$9=2,'Short-Term build'!AE8,IF('Assumptions'!$E$9=3,'Installment build'!AE8,'Short-Term build'!AE8+'Installment build'!AE8))</x:f>
        <x:v>42000</x:v>
      </x:c>
      <x:c r="AF8" s="37" t="n">
        <x:f>IF('Assumptions'!$E$9=2,'Short-Term build'!AF8,IF('Assumptions'!$E$9=3,'Installment build'!AF8,'Short-Term build'!AF8+'Installment build'!AF8))</x:f>
        <x:v>42000</x:v>
      </x:c>
      <x:c r="AG8" s="37" t="n">
        <x:f>IF('Assumptions'!$E$9=2,'Short-Term build'!AG8,IF('Assumptions'!$E$9=3,'Installment build'!AG8,'Short-Term build'!AG8+'Installment build'!AG8))</x:f>
        <x:v>42000</x:v>
      </x:c>
      <x:c r="AH8" s="37" t="n">
        <x:f>IF('Assumptions'!$E$9=2,'Short-Term build'!AH8,IF('Assumptions'!$E$9=3,'Installment build'!AH8,'Short-Term build'!AH8+'Installment build'!AH8))</x:f>
        <x:v>42000</x:v>
      </x:c>
      <x:c r="AI8" s="37" t="n">
        <x:f>IF('Assumptions'!$E$9=2,'Short-Term build'!AI8,IF('Assumptions'!$E$9=3,'Installment build'!AI8,'Short-Term build'!AI8+'Installment build'!AI8))</x:f>
        <x:v>42000</x:v>
      </x:c>
      <x:c r="AJ8" s="37" t="n">
        <x:f>IF('Assumptions'!$E$9=2,'Short-Term build'!AJ8,IF('Assumptions'!$E$9=3,'Installment build'!AJ8,'Short-Term build'!AJ8+'Installment build'!AJ8))</x:f>
        <x:v>42000</x:v>
      </x:c>
      <x:c r="AK8" s="37" t="n">
        <x:f>IF('Assumptions'!$E$9=2,'Short-Term build'!AK8,IF('Assumptions'!$E$9=3,'Installment build'!AK8,'Short-Term build'!AK8+'Installment build'!AK8))</x:f>
        <x:v>42000</x:v>
      </x:c>
      <x:c r="AL8" s="37" t="n">
        <x:f>IF('Assumptions'!$E$9=2,'Short-Term build'!AL8,IF('Assumptions'!$E$9=3,'Installment build'!AL8,'Short-Term build'!AL8+'Installment build'!AL8))</x:f>
        <x:v>42000</x:v>
      </x:c>
      <x:c r="AM8" s="37" t="n">
        <x:f>IF('Assumptions'!$E$9=2,'Short-Term build'!AM8,IF('Assumptions'!$E$9=3,'Installment build'!AM8,'Short-Term build'!AM8+'Installment build'!AM8))</x:f>
        <x:v>42000</x:v>
      </x:c>
      <x:c r="AN8" s="37" t="n">
        <x:f>IF('Assumptions'!$E$9=2,'Short-Term build'!AN8,IF('Assumptions'!$E$9=3,'Installment build'!AN8,'Short-Term build'!AN8+'Installment build'!AN8))</x:f>
        <x:v>42000</x:v>
      </x:c>
      <x:c r="AO8" s="37" t="n">
        <x:f>IF('Assumptions'!$E$9=2,'Short-Term build'!AO8,IF('Assumptions'!$E$9=3,'Installment build'!AO8,'Short-Term build'!AO8+'Installment build'!AO8))</x:f>
        <x:v>42000</x:v>
      </x:c>
      <x:c r="AP8" s="37" t="n">
        <x:f>IF('Assumptions'!$E$9=2,'Short-Term build'!AP8,IF('Assumptions'!$E$9=3,'Installment build'!AP8,'Short-Term build'!AP8+'Installment build'!AP8))</x:f>
        <x:v>42000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12" t="n">
        <x:f>IF(G8=0,0,IF('Assumptions'!$E$9=2,'Short-Term build'!G9,IF('Assumptions'!$E$9=3,'Installment build'!G9,('Short-Term build'!G8*'Short-Term build'!G9+'Installment build'!G8*'Installment build'!G9)/G8)))</x:f>
        <x:v>0.34285714285714286</x:v>
      </x:c>
      <x:c r="H9" s="12" t="n">
        <x:f>IF(H8=0,0,IF('Assumptions'!$E$9=2,'Short-Term build'!H9,IF('Assumptions'!$E$9=3,'Installment build'!H9,('Short-Term build'!H8*'Short-Term build'!H9+'Installment build'!H8*'Installment build'!H9)/H8)))</x:f>
        <x:v>0.34285714285714286</x:v>
      </x:c>
      <x:c r="I9" s="12" t="n">
        <x:f>IF(I8=0,0,IF('Assumptions'!$E$9=2,'Short-Term build'!I9,IF('Assumptions'!$E$9=3,'Installment build'!I9,('Short-Term build'!I8*'Short-Term build'!I9+'Installment build'!I8*'Installment build'!I9)/I8)))</x:f>
        <x:v>0.34285714285714286</x:v>
      </x:c>
      <x:c r="J9" s="12" t="n">
        <x:f>IF(J8=0,0,IF('Assumptions'!$E$9=2,'Short-Term build'!J9,IF('Assumptions'!$E$9=3,'Installment build'!J9,('Short-Term build'!J8*'Short-Term build'!J9+'Installment build'!J8*'Installment build'!J9)/J8)))</x:f>
        <x:v>0.34285714285714286</x:v>
      </x:c>
      <x:c r="K9" s="12" t="n">
        <x:f>IF(K8=0,0,IF('Assumptions'!$E$9=2,'Short-Term build'!K9,IF('Assumptions'!$E$9=3,'Installment build'!K9,('Short-Term build'!K8*'Short-Term build'!K9+'Installment build'!K8*'Installment build'!K9)/K8)))</x:f>
        <x:v>0.34285714285714286</x:v>
      </x:c>
      <x:c r="L9" s="12" t="n">
        <x:f>IF(L8=0,0,IF('Assumptions'!$E$9=2,'Short-Term build'!L9,IF('Assumptions'!$E$9=3,'Installment build'!L9,('Short-Term build'!L8*'Short-Term build'!L9+'Installment build'!L8*'Installment build'!L9)/L8)))</x:f>
        <x:v>0.34285714285714286</x:v>
      </x:c>
      <x:c r="M9" s="12" t="n">
        <x:f>IF(M8=0,0,IF('Assumptions'!$E$9=2,'Short-Term build'!M9,IF('Assumptions'!$E$9=3,'Installment build'!M9,('Short-Term build'!M8*'Short-Term build'!M9+'Installment build'!M8*'Installment build'!M9)/M8)))</x:f>
        <x:v>0.34285714285714286</x:v>
      </x:c>
      <x:c r="N9" s="12" t="n">
        <x:f>IF(N8=0,0,IF('Assumptions'!$E$9=2,'Short-Term build'!N9,IF('Assumptions'!$E$9=3,'Installment build'!N9,('Short-Term build'!N8*'Short-Term build'!N9+'Installment build'!N8*'Installment build'!N9)/N8)))</x:f>
        <x:v>0.34285714285714286</x:v>
      </x:c>
      <x:c r="O9" s="12" t="n">
        <x:f>IF(O8=0,0,IF('Assumptions'!$E$9=2,'Short-Term build'!O9,IF('Assumptions'!$E$9=3,'Installment build'!O9,('Short-Term build'!O8*'Short-Term build'!O9+'Installment build'!O8*'Installment build'!O9)/O8)))</x:f>
        <x:v>0.34285714285714286</x:v>
      </x:c>
      <x:c r="P9" s="12" t="n">
        <x:f>IF(P8=0,0,IF('Assumptions'!$E$9=2,'Short-Term build'!P9,IF('Assumptions'!$E$9=3,'Installment build'!P9,('Short-Term build'!P8*'Short-Term build'!P9+'Installment build'!P8*'Installment build'!P9)/P8)))</x:f>
        <x:v>0.34285714285714286</x:v>
      </x:c>
      <x:c r="Q9" s="12" t="n">
        <x:f>IF(Q8=0,0,IF('Assumptions'!$E$9=2,'Short-Term build'!Q9,IF('Assumptions'!$E$9=3,'Installment build'!Q9,('Short-Term build'!Q8*'Short-Term build'!Q9+'Installment build'!Q8*'Installment build'!Q9)/Q8)))</x:f>
        <x:v>0.34285714285714286</x:v>
      </x:c>
      <x:c r="R9" s="12" t="n">
        <x:f>IF(R8=0,0,IF('Assumptions'!$E$9=2,'Short-Term build'!R9,IF('Assumptions'!$E$9=3,'Installment build'!R9,('Short-Term build'!R8*'Short-Term build'!R9+'Installment build'!R8*'Installment build'!R9)/R8)))</x:f>
        <x:v>0.34285714285714286</x:v>
      </x:c>
      <x:c r="S9" s="12" t="n">
        <x:f>IF(S8=0,0,IF('Assumptions'!$E$9=2,'Short-Term build'!S9,IF('Assumptions'!$E$9=3,'Installment build'!S9,('Short-Term build'!S8*'Short-Term build'!S9+'Installment build'!S8*'Installment build'!S9)/S8)))</x:f>
        <x:v>0.34285714285714286</x:v>
      </x:c>
      <x:c r="T9" s="12" t="n">
        <x:f>IF(T8=0,0,IF('Assumptions'!$E$9=2,'Short-Term build'!T9,IF('Assumptions'!$E$9=3,'Installment build'!T9,('Short-Term build'!T8*'Short-Term build'!T9+'Installment build'!T8*'Installment build'!T9)/T8)))</x:f>
        <x:v>0.34285714285714286</x:v>
      </x:c>
      <x:c r="U9" s="12" t="n">
        <x:f>IF(U8=0,0,IF('Assumptions'!$E$9=2,'Short-Term build'!U9,IF('Assumptions'!$E$9=3,'Installment build'!U9,('Short-Term build'!U8*'Short-Term build'!U9+'Installment build'!U8*'Installment build'!U9)/U8)))</x:f>
        <x:v>0.34285714285714286</x:v>
      </x:c>
      <x:c r="V9" s="12" t="n">
        <x:f>IF(V8=0,0,IF('Assumptions'!$E$9=2,'Short-Term build'!V9,IF('Assumptions'!$E$9=3,'Installment build'!V9,('Short-Term build'!V8*'Short-Term build'!V9+'Installment build'!V8*'Installment build'!V9)/V8)))</x:f>
        <x:v>0.34285714285714286</x:v>
      </x:c>
      <x:c r="W9" s="12" t="n">
        <x:f>IF(W8=0,0,IF('Assumptions'!$E$9=2,'Short-Term build'!W9,IF('Assumptions'!$E$9=3,'Installment build'!W9,('Short-Term build'!W8*'Short-Term build'!W9+'Installment build'!W8*'Installment build'!W9)/W8)))</x:f>
        <x:v>0.34285714285714286</x:v>
      </x:c>
      <x:c r="X9" s="12" t="n">
        <x:f>IF(X8=0,0,IF('Assumptions'!$E$9=2,'Short-Term build'!X9,IF('Assumptions'!$E$9=3,'Installment build'!X9,('Short-Term build'!X8*'Short-Term build'!X9+'Installment build'!X8*'Installment build'!X9)/X8)))</x:f>
        <x:v>0.34285714285714286</x:v>
      </x:c>
      <x:c r="Y9" s="12" t="n">
        <x:f>IF(Y8=0,0,IF('Assumptions'!$E$9=2,'Short-Term build'!Y9,IF('Assumptions'!$E$9=3,'Installment build'!Y9,('Short-Term build'!Y8*'Short-Term build'!Y9+'Installment build'!Y8*'Installment build'!Y9)/Y8)))</x:f>
        <x:v>0.34285714285714286</x:v>
      </x:c>
      <x:c r="Z9" s="12" t="n">
        <x:f>IF(Z8=0,0,IF('Assumptions'!$E$9=2,'Short-Term build'!Z9,IF('Assumptions'!$E$9=3,'Installment build'!Z9,('Short-Term build'!Z8*'Short-Term build'!Z9+'Installment build'!Z8*'Installment build'!Z9)/Z8)))</x:f>
        <x:v>0.34285714285714286</x:v>
      </x:c>
      <x:c r="AA9" s="12" t="n">
        <x:f>IF(AA8=0,0,IF('Assumptions'!$E$9=2,'Short-Term build'!AA9,IF('Assumptions'!$E$9=3,'Installment build'!AA9,('Short-Term build'!AA8*'Short-Term build'!AA9+'Installment build'!AA8*'Installment build'!AA9)/AA8)))</x:f>
        <x:v>0.34285714285714286</x:v>
      </x:c>
      <x:c r="AB9" s="12" t="n">
        <x:f>IF(AB8=0,0,IF('Assumptions'!$E$9=2,'Short-Term build'!AB9,IF('Assumptions'!$E$9=3,'Installment build'!AB9,('Short-Term build'!AB8*'Short-Term build'!AB9+'Installment build'!AB8*'Installment build'!AB9)/AB8)))</x:f>
        <x:v>0.34285714285714286</x:v>
      </x:c>
      <x:c r="AC9" s="12" t="n">
        <x:f>IF(AC8=0,0,IF('Assumptions'!$E$9=2,'Short-Term build'!AC9,IF('Assumptions'!$E$9=3,'Installment build'!AC9,('Short-Term build'!AC8*'Short-Term build'!AC9+'Installment build'!AC8*'Installment build'!AC9)/AC8)))</x:f>
        <x:v>0.34285714285714286</x:v>
      </x:c>
      <x:c r="AD9" s="12" t="n">
        <x:f>IF(AD8=0,0,IF('Assumptions'!$E$9=2,'Short-Term build'!AD9,IF('Assumptions'!$E$9=3,'Installment build'!AD9,('Short-Term build'!AD8*'Short-Term build'!AD9+'Installment build'!AD8*'Installment build'!AD9)/AD8)))</x:f>
        <x:v>0.34285714285714286</x:v>
      </x:c>
      <x:c r="AE9" s="12" t="n">
        <x:f>IF(AE8=0,0,IF('Assumptions'!$E$9=2,'Short-Term build'!AE9,IF('Assumptions'!$E$9=3,'Installment build'!AE9,('Short-Term build'!AE8*'Short-Term build'!AE9+'Installment build'!AE8*'Installment build'!AE9)/AE8)))</x:f>
        <x:v>0.34285714285714286</x:v>
      </x:c>
      <x:c r="AF9" s="12" t="n">
        <x:f>IF(AF8=0,0,IF('Assumptions'!$E$9=2,'Short-Term build'!AF9,IF('Assumptions'!$E$9=3,'Installment build'!AF9,('Short-Term build'!AF8*'Short-Term build'!AF9+'Installment build'!AF8*'Installment build'!AF9)/AF8)))</x:f>
        <x:v>0.34285714285714286</x:v>
      </x:c>
      <x:c r="AG9" s="12" t="n">
        <x:f>IF(AG8=0,0,IF('Assumptions'!$E$9=2,'Short-Term build'!AG9,IF('Assumptions'!$E$9=3,'Installment build'!AG9,('Short-Term build'!AG8*'Short-Term build'!AG9+'Installment build'!AG8*'Installment build'!AG9)/AG8)))</x:f>
        <x:v>0.34285714285714286</x:v>
      </x:c>
      <x:c r="AH9" s="12" t="n">
        <x:f>IF(AH8=0,0,IF('Assumptions'!$E$9=2,'Short-Term build'!AH9,IF('Assumptions'!$E$9=3,'Installment build'!AH9,('Short-Term build'!AH8*'Short-Term build'!AH9+'Installment build'!AH8*'Installment build'!AH9)/AH8)))</x:f>
        <x:v>0.34285714285714286</x:v>
      </x:c>
      <x:c r="AI9" s="12" t="n">
        <x:f>IF(AI8=0,0,IF('Assumptions'!$E$9=2,'Short-Term build'!AI9,IF('Assumptions'!$E$9=3,'Installment build'!AI9,('Short-Term build'!AI8*'Short-Term build'!AI9+'Installment build'!AI8*'Installment build'!AI9)/AI8)))</x:f>
        <x:v>0.34285714285714286</x:v>
      </x:c>
      <x:c r="AJ9" s="12" t="n">
        <x:f>IF(AJ8=0,0,IF('Assumptions'!$E$9=2,'Short-Term build'!AJ9,IF('Assumptions'!$E$9=3,'Installment build'!AJ9,('Short-Term build'!AJ8*'Short-Term build'!AJ9+'Installment build'!AJ8*'Installment build'!AJ9)/AJ8)))</x:f>
        <x:v>0.34285714285714286</x:v>
      </x:c>
      <x:c r="AK9" s="12" t="n">
        <x:f>IF(AK8=0,0,IF('Assumptions'!$E$9=2,'Short-Term build'!AK9,IF('Assumptions'!$E$9=3,'Installment build'!AK9,('Short-Term build'!AK8*'Short-Term build'!AK9+'Installment build'!AK8*'Installment build'!AK9)/AK8)))</x:f>
        <x:v>0.34285714285714286</x:v>
      </x:c>
      <x:c r="AL9" s="12" t="n">
        <x:f>IF(AL8=0,0,IF('Assumptions'!$E$9=2,'Short-Term build'!AL9,IF('Assumptions'!$E$9=3,'Installment build'!AL9,('Short-Term build'!AL8*'Short-Term build'!AL9+'Installment build'!AL8*'Installment build'!AL9)/AL8)))</x:f>
        <x:v>0.34285714285714286</x:v>
      </x:c>
      <x:c r="AM9" s="12" t="n">
        <x:f>IF(AM8=0,0,IF('Assumptions'!$E$9=2,'Short-Term build'!AM9,IF('Assumptions'!$E$9=3,'Installment build'!AM9,('Short-Term build'!AM8*'Short-Term build'!AM9+'Installment build'!AM8*'Installment build'!AM9)/AM8)))</x:f>
        <x:v>0.34285714285714286</x:v>
      </x:c>
      <x:c r="AN9" s="12" t="n">
        <x:f>IF(AN8=0,0,IF('Assumptions'!$E$9=2,'Short-Term build'!AN9,IF('Assumptions'!$E$9=3,'Installment build'!AN9,('Short-Term build'!AN8*'Short-Term build'!AN9+'Installment build'!AN8*'Installment build'!AN9)/AN8)))</x:f>
        <x:v>0.34285714285714286</x:v>
      </x:c>
      <x:c r="AO9" s="12" t="n">
        <x:f>IF(AO8=0,0,IF('Assumptions'!$E$9=2,'Short-Term build'!AO9,IF('Assumptions'!$E$9=3,'Installment build'!AO9,('Short-Term build'!AO8*'Short-Term build'!AO9+'Installment build'!AO8*'Installment build'!AO9)/AO8)))</x:f>
        <x:v>0.34285714285714286</x:v>
      </x:c>
      <x:c r="AP9" s="12" t="n">
        <x:f>IF(AP8=0,0,IF('Assumptions'!$E$9=2,'Short-Term build'!AP9,IF('Assumptions'!$E$9=3,'Installment build'!AP9,('Short-Term build'!AP8*'Short-Term build'!AP9+'Installment build'!AP8*'Installment build'!AP9)/AP8)))</x:f>
        <x:v>0.34285714285714286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48" t="n">
        <x:f>IF(G8*G9=0,0,IF('Assumptions'!$E$9=2,'Short-Term build'!G10,IF('Assumptions'!$E$9=3,'Installment build'!G10,('Short-Term build'!G8*'Short-Term build'!G9*'Short-Term build'!G10+'Installment build'!G8*'Installment build'!G9*'Installment build'!G10)/(G8*G9))))</x:f>
        <x:v>2437.5</x:v>
      </x:c>
      <x:c r="H10" s="48" t="n">
        <x:f>IF(H8*H9=0,0,IF('Assumptions'!$E$9=2,'Short-Term build'!H10,IF('Assumptions'!$E$9=3,'Installment build'!H10,('Short-Term build'!H8*'Short-Term build'!H9*'Short-Term build'!H10+'Installment build'!H8*'Installment build'!H9*'Installment build'!H10)/(H8*H9))))</x:f>
        <x:v>2437.5</x:v>
      </x:c>
      <x:c r="I10" s="48" t="n">
        <x:f>IF(I8*I9=0,0,IF('Assumptions'!$E$9=2,'Short-Term build'!I10,IF('Assumptions'!$E$9=3,'Installment build'!I10,('Short-Term build'!I8*'Short-Term build'!I9*'Short-Term build'!I10+'Installment build'!I8*'Installment build'!I9*'Installment build'!I10)/(I8*I9))))</x:f>
        <x:v>2437.5</x:v>
      </x:c>
      <x:c r="J10" s="48" t="n">
        <x:f>IF(J8*J9=0,0,IF('Assumptions'!$E$9=2,'Short-Term build'!J10,IF('Assumptions'!$E$9=3,'Installment build'!J10,('Short-Term build'!J8*'Short-Term build'!J9*'Short-Term build'!J10+'Installment build'!J8*'Installment build'!J9*'Installment build'!J10)/(J8*J9))))</x:f>
        <x:v>2437.5</x:v>
      </x:c>
      <x:c r="K10" s="48" t="n">
        <x:f>IF(K8*K9=0,0,IF('Assumptions'!$E$9=2,'Short-Term build'!K10,IF('Assumptions'!$E$9=3,'Installment build'!K10,('Short-Term build'!K8*'Short-Term build'!K9*'Short-Term build'!K10+'Installment build'!K8*'Installment build'!K9*'Installment build'!K10)/(K8*K9))))</x:f>
        <x:v>2437.5</x:v>
      </x:c>
      <x:c r="L10" s="48" t="n">
        <x:f>IF(L8*L9=0,0,IF('Assumptions'!$E$9=2,'Short-Term build'!L10,IF('Assumptions'!$E$9=3,'Installment build'!L10,('Short-Term build'!L8*'Short-Term build'!L9*'Short-Term build'!L10+'Installment build'!L8*'Installment build'!L9*'Installment build'!L10)/(L8*L9))))</x:f>
        <x:v>2437.5</x:v>
      </x:c>
      <x:c r="M10" s="48" t="n">
        <x:f>IF(M8*M9=0,0,IF('Assumptions'!$E$9=2,'Short-Term build'!M10,IF('Assumptions'!$E$9=3,'Installment build'!M10,('Short-Term build'!M8*'Short-Term build'!M9*'Short-Term build'!M10+'Installment build'!M8*'Installment build'!M9*'Installment build'!M10)/(M8*M9))))</x:f>
        <x:v>2437.5</x:v>
      </x:c>
      <x:c r="N10" s="48" t="n">
        <x:f>IF(N8*N9=0,0,IF('Assumptions'!$E$9=2,'Short-Term build'!N10,IF('Assumptions'!$E$9=3,'Installment build'!N10,('Short-Term build'!N8*'Short-Term build'!N9*'Short-Term build'!N10+'Installment build'!N8*'Installment build'!N9*'Installment build'!N10)/(N8*N9))))</x:f>
        <x:v>2437.5</x:v>
      </x:c>
      <x:c r="O10" s="48" t="n">
        <x:f>IF(O8*O9=0,0,IF('Assumptions'!$E$9=2,'Short-Term build'!O10,IF('Assumptions'!$E$9=3,'Installment build'!O10,('Short-Term build'!O8*'Short-Term build'!O9*'Short-Term build'!O10+'Installment build'!O8*'Installment build'!O9*'Installment build'!O10)/(O8*O9))))</x:f>
        <x:v>2437.5</x:v>
      </x:c>
      <x:c r="P10" s="48" t="n">
        <x:f>IF(P8*P9=0,0,IF('Assumptions'!$E$9=2,'Short-Term build'!P10,IF('Assumptions'!$E$9=3,'Installment build'!P10,('Short-Term build'!P8*'Short-Term build'!P9*'Short-Term build'!P10+'Installment build'!P8*'Installment build'!P9*'Installment build'!P10)/(P8*P9))))</x:f>
        <x:v>2437.5</x:v>
      </x:c>
      <x:c r="Q10" s="48" t="n">
        <x:f>IF(Q8*Q9=0,0,IF('Assumptions'!$E$9=2,'Short-Term build'!Q10,IF('Assumptions'!$E$9=3,'Installment build'!Q10,('Short-Term build'!Q8*'Short-Term build'!Q9*'Short-Term build'!Q10+'Installment build'!Q8*'Installment build'!Q9*'Installment build'!Q10)/(Q8*Q9))))</x:f>
        <x:v>2437.5</x:v>
      </x:c>
      <x:c r="R10" s="48" t="n">
        <x:f>IF(R8*R9=0,0,IF('Assumptions'!$E$9=2,'Short-Term build'!R10,IF('Assumptions'!$E$9=3,'Installment build'!R10,('Short-Term build'!R8*'Short-Term build'!R9*'Short-Term build'!R10+'Installment build'!R8*'Installment build'!R9*'Installment build'!R10)/(R8*R9))))</x:f>
        <x:v>2437.5</x:v>
      </x:c>
      <x:c r="S10" s="48" t="n">
        <x:f>IF(S8*S9=0,0,IF('Assumptions'!$E$9=2,'Short-Term build'!S10,IF('Assumptions'!$E$9=3,'Installment build'!S10,('Short-Term build'!S8*'Short-Term build'!S9*'Short-Term build'!S10+'Installment build'!S8*'Installment build'!S9*'Installment build'!S10)/(S8*S9))))</x:f>
        <x:v>2437.5</x:v>
      </x:c>
      <x:c r="T10" s="48" t="n">
        <x:f>IF(T8*T9=0,0,IF('Assumptions'!$E$9=2,'Short-Term build'!T10,IF('Assumptions'!$E$9=3,'Installment build'!T10,('Short-Term build'!T8*'Short-Term build'!T9*'Short-Term build'!T10+'Installment build'!T8*'Installment build'!T9*'Installment build'!T10)/(T8*T9))))</x:f>
        <x:v>2437.5</x:v>
      </x:c>
      <x:c r="U10" s="48" t="n">
        <x:f>IF(U8*U9=0,0,IF('Assumptions'!$E$9=2,'Short-Term build'!U10,IF('Assumptions'!$E$9=3,'Installment build'!U10,('Short-Term build'!U8*'Short-Term build'!U9*'Short-Term build'!U10+'Installment build'!U8*'Installment build'!U9*'Installment build'!U10)/(U8*U9))))</x:f>
        <x:v>2437.5</x:v>
      </x:c>
      <x:c r="V10" s="48" t="n">
        <x:f>IF(V8*V9=0,0,IF('Assumptions'!$E$9=2,'Short-Term build'!V10,IF('Assumptions'!$E$9=3,'Installment build'!V10,('Short-Term build'!V8*'Short-Term build'!V9*'Short-Term build'!V10+'Installment build'!V8*'Installment build'!V9*'Installment build'!V10)/(V8*V9))))</x:f>
        <x:v>2437.5</x:v>
      </x:c>
      <x:c r="W10" s="48" t="n">
        <x:f>IF(W8*W9=0,0,IF('Assumptions'!$E$9=2,'Short-Term build'!W10,IF('Assumptions'!$E$9=3,'Installment build'!W10,('Short-Term build'!W8*'Short-Term build'!W9*'Short-Term build'!W10+'Installment build'!W8*'Installment build'!W9*'Installment build'!W10)/(W8*W9))))</x:f>
        <x:v>2437.5</x:v>
      </x:c>
      <x:c r="X10" s="48" t="n">
        <x:f>IF(X8*X9=0,0,IF('Assumptions'!$E$9=2,'Short-Term build'!X10,IF('Assumptions'!$E$9=3,'Installment build'!X10,('Short-Term build'!X8*'Short-Term build'!X9*'Short-Term build'!X10+'Installment build'!X8*'Installment build'!X9*'Installment build'!X10)/(X8*X9))))</x:f>
        <x:v>2437.5</x:v>
      </x:c>
      <x:c r="Y10" s="48" t="n">
        <x:f>IF(Y8*Y9=0,0,IF('Assumptions'!$E$9=2,'Short-Term build'!Y10,IF('Assumptions'!$E$9=3,'Installment build'!Y10,('Short-Term build'!Y8*'Short-Term build'!Y9*'Short-Term build'!Y10+'Installment build'!Y8*'Installment build'!Y9*'Installment build'!Y10)/(Y8*Y9))))</x:f>
        <x:v>2437.5</x:v>
      </x:c>
      <x:c r="Z10" s="48" t="n">
        <x:f>IF(Z8*Z9=0,0,IF('Assumptions'!$E$9=2,'Short-Term build'!Z10,IF('Assumptions'!$E$9=3,'Installment build'!Z10,('Short-Term build'!Z8*'Short-Term build'!Z9*'Short-Term build'!Z10+'Installment build'!Z8*'Installment build'!Z9*'Installment build'!Z10)/(Z8*Z9))))</x:f>
        <x:v>2437.5</x:v>
      </x:c>
      <x:c r="AA10" s="48" t="n">
        <x:f>IF(AA8*AA9=0,0,IF('Assumptions'!$E$9=2,'Short-Term build'!AA10,IF('Assumptions'!$E$9=3,'Installment build'!AA10,('Short-Term build'!AA8*'Short-Term build'!AA9*'Short-Term build'!AA10+'Installment build'!AA8*'Installment build'!AA9*'Installment build'!AA10)/(AA8*AA9))))</x:f>
        <x:v>2437.5</x:v>
      </x:c>
      <x:c r="AB10" s="48" t="n">
        <x:f>IF(AB8*AB9=0,0,IF('Assumptions'!$E$9=2,'Short-Term build'!AB10,IF('Assumptions'!$E$9=3,'Installment build'!AB10,('Short-Term build'!AB8*'Short-Term build'!AB9*'Short-Term build'!AB10+'Installment build'!AB8*'Installment build'!AB9*'Installment build'!AB10)/(AB8*AB9))))</x:f>
        <x:v>2437.5</x:v>
      </x:c>
      <x:c r="AC10" s="48" t="n">
        <x:f>IF(AC8*AC9=0,0,IF('Assumptions'!$E$9=2,'Short-Term build'!AC10,IF('Assumptions'!$E$9=3,'Installment build'!AC10,('Short-Term build'!AC8*'Short-Term build'!AC9*'Short-Term build'!AC10+'Installment build'!AC8*'Installment build'!AC9*'Installment build'!AC10)/(AC8*AC9))))</x:f>
        <x:v>2437.5</x:v>
      </x:c>
      <x:c r="AD10" s="48" t="n">
        <x:f>IF(AD8*AD9=0,0,IF('Assumptions'!$E$9=2,'Short-Term build'!AD10,IF('Assumptions'!$E$9=3,'Installment build'!AD10,('Short-Term build'!AD8*'Short-Term build'!AD9*'Short-Term build'!AD10+'Installment build'!AD8*'Installment build'!AD9*'Installment build'!AD10)/(AD8*AD9))))</x:f>
        <x:v>2437.5</x:v>
      </x:c>
      <x:c r="AE10" s="48" t="n">
        <x:f>IF(AE8*AE9=0,0,IF('Assumptions'!$E$9=2,'Short-Term build'!AE10,IF('Assumptions'!$E$9=3,'Installment build'!AE10,('Short-Term build'!AE8*'Short-Term build'!AE9*'Short-Term build'!AE10+'Installment build'!AE8*'Installment build'!AE9*'Installment build'!AE10)/(AE8*AE9))))</x:f>
        <x:v>2437.5</x:v>
      </x:c>
      <x:c r="AF10" s="48" t="n">
        <x:f>IF(AF8*AF9=0,0,IF('Assumptions'!$E$9=2,'Short-Term build'!AF10,IF('Assumptions'!$E$9=3,'Installment build'!AF10,('Short-Term build'!AF8*'Short-Term build'!AF9*'Short-Term build'!AF10+'Installment build'!AF8*'Installment build'!AF9*'Installment build'!AF10)/(AF8*AF9))))</x:f>
        <x:v>2437.5</x:v>
      </x:c>
      <x:c r="AG10" s="48" t="n">
        <x:f>IF(AG8*AG9=0,0,IF('Assumptions'!$E$9=2,'Short-Term build'!AG10,IF('Assumptions'!$E$9=3,'Installment build'!AG10,('Short-Term build'!AG8*'Short-Term build'!AG9*'Short-Term build'!AG10+'Installment build'!AG8*'Installment build'!AG9*'Installment build'!AG10)/(AG8*AG9))))</x:f>
        <x:v>2437.5</x:v>
      </x:c>
      <x:c r="AH10" s="48" t="n">
        <x:f>IF(AH8*AH9=0,0,IF('Assumptions'!$E$9=2,'Short-Term build'!AH10,IF('Assumptions'!$E$9=3,'Installment build'!AH10,('Short-Term build'!AH8*'Short-Term build'!AH9*'Short-Term build'!AH10+'Installment build'!AH8*'Installment build'!AH9*'Installment build'!AH10)/(AH8*AH9))))</x:f>
        <x:v>2437.5</x:v>
      </x:c>
      <x:c r="AI10" s="48" t="n">
        <x:f>IF(AI8*AI9=0,0,IF('Assumptions'!$E$9=2,'Short-Term build'!AI10,IF('Assumptions'!$E$9=3,'Installment build'!AI10,('Short-Term build'!AI8*'Short-Term build'!AI9*'Short-Term build'!AI10+'Installment build'!AI8*'Installment build'!AI9*'Installment build'!AI10)/(AI8*AI9))))</x:f>
        <x:v>2437.5</x:v>
      </x:c>
      <x:c r="AJ10" s="48" t="n">
        <x:f>IF(AJ8*AJ9=0,0,IF('Assumptions'!$E$9=2,'Short-Term build'!AJ10,IF('Assumptions'!$E$9=3,'Installment build'!AJ10,('Short-Term build'!AJ8*'Short-Term build'!AJ9*'Short-Term build'!AJ10+'Installment build'!AJ8*'Installment build'!AJ9*'Installment build'!AJ10)/(AJ8*AJ9))))</x:f>
        <x:v>2437.5</x:v>
      </x:c>
      <x:c r="AK10" s="48" t="n">
        <x:f>IF(AK8*AK9=0,0,IF('Assumptions'!$E$9=2,'Short-Term build'!AK10,IF('Assumptions'!$E$9=3,'Installment build'!AK10,('Short-Term build'!AK8*'Short-Term build'!AK9*'Short-Term build'!AK10+'Installment build'!AK8*'Installment build'!AK9*'Installment build'!AK10)/(AK8*AK9))))</x:f>
        <x:v>2437.5</x:v>
      </x:c>
      <x:c r="AL10" s="48" t="n">
        <x:f>IF(AL8*AL9=0,0,IF('Assumptions'!$E$9=2,'Short-Term build'!AL10,IF('Assumptions'!$E$9=3,'Installment build'!AL10,('Short-Term build'!AL8*'Short-Term build'!AL9*'Short-Term build'!AL10+'Installment build'!AL8*'Installment build'!AL9*'Installment build'!AL10)/(AL8*AL9))))</x:f>
        <x:v>2437.5</x:v>
      </x:c>
      <x:c r="AM10" s="48" t="n">
        <x:f>IF(AM8*AM9=0,0,IF('Assumptions'!$E$9=2,'Short-Term build'!AM10,IF('Assumptions'!$E$9=3,'Installment build'!AM10,('Short-Term build'!AM8*'Short-Term build'!AM9*'Short-Term build'!AM10+'Installment build'!AM8*'Installment build'!AM9*'Installment build'!AM10)/(AM8*AM9))))</x:f>
        <x:v>2437.5</x:v>
      </x:c>
      <x:c r="AN10" s="48" t="n">
        <x:f>IF(AN8*AN9=0,0,IF('Assumptions'!$E$9=2,'Short-Term build'!AN10,IF('Assumptions'!$E$9=3,'Installment build'!AN10,('Short-Term build'!AN8*'Short-Term build'!AN9*'Short-Term build'!AN10+'Installment build'!AN8*'Installment build'!AN9*'Installment build'!AN10)/(AN8*AN9))))</x:f>
        <x:v>2437.5</x:v>
      </x:c>
      <x:c r="AO10" s="48" t="n">
        <x:f>IF(AO8*AO9=0,0,IF('Assumptions'!$E$9=2,'Short-Term build'!AO10,IF('Assumptions'!$E$9=3,'Installment build'!AO10,('Short-Term build'!AO8*'Short-Term build'!AO9*'Short-Term build'!AO10+'Installment build'!AO8*'Installment build'!AO9*'Installment build'!AO10)/(AO8*AO9))))</x:f>
        <x:v>2437.5</x:v>
      </x:c>
      <x:c r="AP10" s="48" t="n">
        <x:f>IF(AP8*AP9=0,0,IF('Assumptions'!$E$9=2,'Short-Term build'!AP10,IF('Assumptions'!$E$9=3,'Installment build'!AP10,('Short-Term build'!AP8*'Short-Term build'!AP9*'Short-Term build'!AP10+'Installment build'!AP8*'Installment build'!AP9*'Installment build'!AP10)/(AP8*AP9))))</x:f>
        <x:v>2437.5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842400000</x:v>
      </x:c>
      <x:c r="F11" s="42"/>
      <x:c r="G11" s="43" t="n">
        <x:f>G8*G9*G10</x:f>
        <x:v>35100000</x:v>
      </x:c>
      <x:c r="H11" s="43" t="n">
        <x:f>H8*H9*H10</x:f>
        <x:v>35100000</x:v>
      </x:c>
      <x:c r="I11" s="43" t="n">
        <x:f>I8*I9*I10</x:f>
        <x:v>35100000</x:v>
      </x:c>
      <x:c r="J11" s="43" t="n">
        <x:f>J8*J9*J10</x:f>
        <x:v>35100000</x:v>
      </x:c>
      <x:c r="K11" s="43" t="n">
        <x:f>K8*K9*K10</x:f>
        <x:v>35100000</x:v>
      </x:c>
      <x:c r="L11" s="43" t="n">
        <x:f>L8*L9*L10</x:f>
        <x:v>35100000</x:v>
      </x:c>
      <x:c r="M11" s="43" t="n">
        <x:f>M8*M9*M10</x:f>
        <x:v>35100000</x:v>
      </x:c>
      <x:c r="N11" s="43" t="n">
        <x:f>N8*N9*N10</x:f>
        <x:v>35100000</x:v>
      </x:c>
      <x:c r="O11" s="43" t="n">
        <x:f>O8*O9*O10</x:f>
        <x:v>35100000</x:v>
      </x:c>
      <x:c r="P11" s="43" t="n">
        <x:f>P8*P9*P10</x:f>
        <x:v>35100000</x:v>
      </x:c>
      <x:c r="Q11" s="43" t="n">
        <x:f>Q8*Q9*Q10</x:f>
        <x:v>35100000</x:v>
      </x:c>
      <x:c r="R11" s="43" t="n">
        <x:f>R8*R9*R10</x:f>
        <x:v>35100000</x:v>
      </x:c>
      <x:c r="S11" s="43" t="n">
        <x:f>S8*S9*S10</x:f>
        <x:v>35100000</x:v>
      </x:c>
      <x:c r="T11" s="43" t="n">
        <x:f>T8*T9*T10</x:f>
        <x:v>35100000</x:v>
      </x:c>
      <x:c r="U11" s="43" t="n">
        <x:f>U8*U9*U10</x:f>
        <x:v>35100000</x:v>
      </x:c>
      <x:c r="V11" s="43" t="n">
        <x:f>V8*V9*V10</x:f>
        <x:v>35100000</x:v>
      </x:c>
      <x:c r="W11" s="43" t="n">
        <x:f>W8*W9*W10</x:f>
        <x:v>35100000</x:v>
      </x:c>
      <x:c r="X11" s="43" t="n">
        <x:f>X8*X9*X10</x:f>
        <x:v>35100000</x:v>
      </x:c>
      <x:c r="Y11" s="43" t="n">
        <x:f>Y8*Y9*Y10</x:f>
        <x:v>35100000</x:v>
      </x:c>
      <x:c r="Z11" s="43" t="n">
        <x:f>Z8*Z9*Z10</x:f>
        <x:v>35100000</x:v>
      </x:c>
      <x:c r="AA11" s="43" t="n">
        <x:f>AA8*AA9*AA10</x:f>
        <x:v>35100000</x:v>
      </x:c>
      <x:c r="AB11" s="43" t="n">
        <x:f>AB8*AB9*AB10</x:f>
        <x:v>35100000</x:v>
      </x:c>
      <x:c r="AC11" s="43" t="n">
        <x:f>AC8*AC9*AC10</x:f>
        <x:v>35100000</x:v>
      </x:c>
      <x:c r="AD11" s="43" t="n">
        <x:f>AD8*AD9*AD10</x:f>
        <x:v>35100000</x:v>
      </x:c>
      <x:c r="AE11" s="43" t="n">
        <x:f>AE8*AE9*AE10</x:f>
        <x:v>35100000</x:v>
      </x:c>
      <x:c r="AF11" s="43" t="n">
        <x:f>AF8*AF9*AF10</x:f>
        <x:v>35100000</x:v>
      </x:c>
      <x:c r="AG11" s="43" t="n">
        <x:f>AG8*AG9*AG10</x:f>
        <x:v>35100000</x:v>
      </x:c>
      <x:c r="AH11" s="43" t="n">
        <x:f>AH8*AH9*AH10</x:f>
        <x:v>35100000</x:v>
      </x:c>
      <x:c r="AI11" s="43" t="n">
        <x:f>AI8*AI9*AI10</x:f>
        <x:v>35100000</x:v>
      </x:c>
      <x:c r="AJ11" s="43" t="n">
        <x:f>AJ8*AJ9*AJ10</x:f>
        <x:v>35100000</x:v>
      </x:c>
      <x:c r="AK11" s="43" t="n">
        <x:f>AK8*AK9*AK10</x:f>
        <x:v>35100000</x:v>
      </x:c>
      <x:c r="AL11" s="43" t="n">
        <x:f>AL8*AL9*AL10</x:f>
        <x:v>35100000</x:v>
      </x:c>
      <x:c r="AM11" s="43" t="n">
        <x:f>AM8*AM9*AM10</x:f>
        <x:v>35100000</x:v>
      </x:c>
      <x:c r="AN11" s="43" t="n">
        <x:f>AN8*AN9*AN10</x:f>
        <x:v>35100000</x:v>
      </x:c>
      <x:c r="AO11" s="43" t="n">
        <x:f>AO8*AO9*AO10</x:f>
        <x:v>35100000</x:v>
      </x:c>
      <x:c r="AP11" s="43" t="n">
        <x:f>AP8*AP9*AP10</x:f>
        <x:v>35100000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639000000</x:v>
      </x:c>
      <x:c r="F13" s="2"/>
      <x:c r="G13" s="35" t="n">
        <x:f>IF('Assumptions'!$E$9=2,'Short-Term build'!G13,IF('Assumptions'!$E$9=3,'Installment build'!G13,'Short-Term build'!G13+'Installment build'!G13))</x:f>
        <x:v>639000000</x:v>
      </x:c>
      <x:c r="H13" s="35" t="n">
        <x:f>G16</x:f>
        <x:v>365696059.6294621</x:v>
      </x:c>
      <x:c r="I13" s="35" t="n">
        <x:f>H16</x:f>
        <x:v>236633652.03886664</x:v>
      </x:c>
      <x:c r="J13" s="35" t="n">
        <x:f>I16</x:f>
        <x:v>170007293.54580846</x:v>
      </x:c>
      <x:c r="K13" s="35" t="n">
        <x:f>J16</x:f>
        <x:v>135162029.32247338</x:v>
      </x:c>
      <x:c r="L13" s="35" t="n">
        <x:f>K16</x:f>
        <x:v>117223565.67349264</x:v>
      </x:c>
      <x:c r="M13" s="35" t="n">
        <x:f>L16</x:f>
        <x:v>108361800.31373739</x:v>
      </x:c>
      <x:c r="N13" s="35" t="n">
        <x:f>M16</x:f>
        <x:v>104066032.54939733</x:v>
      </x:c>
      <x:c r="O13" s="35" t="n">
        <x:f>N16</x:f>
        <x:v>102246508.94417654</x:v>
      </x:c>
      <x:c r="P13" s="35" t="n">
        <x:f>O16</x:f>
        <x:v>101692526.32803512</x:v>
      </x:c>
      <x:c r="Q13" s="35" t="n">
        <x:f>P16</x:f>
        <x:v>101692526.32803512</x:v>
      </x:c>
      <x:c r="R13" s="35" t="n">
        <x:f>Q16</x:f>
        <x:v>101692526.32803512</x:v>
      </x:c>
      <x:c r="S13" s="35" t="n">
        <x:f>R16</x:f>
        <x:v>101692526.32803512</x:v>
      </x:c>
      <x:c r="T13" s="35" t="n">
        <x:f>S16</x:f>
        <x:v>101692526.32803512</x:v>
      </x:c>
      <x:c r="U13" s="35" t="n">
        <x:f>T16</x:f>
        <x:v>101692526.32803512</x:v>
      </x:c>
      <x:c r="V13" s="35" t="n">
        <x:f>U16</x:f>
        <x:v>101692526.32803512</x:v>
      </x:c>
      <x:c r="W13" s="35" t="n">
        <x:f>V16</x:f>
        <x:v>101692526.32803512</x:v>
      </x:c>
      <x:c r="X13" s="35" t="n">
        <x:f>W16</x:f>
        <x:v>101692526.32803512</x:v>
      </x:c>
      <x:c r="Y13" s="35" t="n">
        <x:f>X16</x:f>
        <x:v>101692526.32803512</x:v>
      </x:c>
      <x:c r="Z13" s="35" t="n">
        <x:f>Y16</x:f>
        <x:v>101692526.32803512</x:v>
      </x:c>
      <x:c r="AA13" s="35" t="n">
        <x:f>Z16</x:f>
        <x:v>101692526.32803512</x:v>
      </x:c>
      <x:c r="AB13" s="35" t="n">
        <x:f>AA16</x:f>
        <x:v>101692526.32803512</x:v>
      </x:c>
      <x:c r="AC13" s="35" t="n">
        <x:f>AB16</x:f>
        <x:v>101692526.32803512</x:v>
      </x:c>
      <x:c r="AD13" s="35" t="n">
        <x:f>AC16</x:f>
        <x:v>101692526.32803512</x:v>
      </x:c>
      <x:c r="AE13" s="35" t="n">
        <x:f>AD16</x:f>
        <x:v>101692526.32803512</x:v>
      </x:c>
      <x:c r="AF13" s="35" t="n">
        <x:f>AE16</x:f>
        <x:v>101692526.32803512</x:v>
      </x:c>
      <x:c r="AG13" s="35" t="n">
        <x:f>AF16</x:f>
        <x:v>101692526.32803512</x:v>
      </x:c>
      <x:c r="AH13" s="35" t="n">
        <x:f>AG16</x:f>
        <x:v>101692526.32803512</x:v>
      </x:c>
      <x:c r="AI13" s="35" t="n">
        <x:f>AH16</x:f>
        <x:v>101692526.32803512</x:v>
      </x:c>
      <x:c r="AJ13" s="35" t="n">
        <x:f>AI16</x:f>
        <x:v>101692526.32803512</x:v>
      </x:c>
      <x:c r="AK13" s="35" t="n">
        <x:f>AJ16</x:f>
        <x:v>101692526.32803512</x:v>
      </x:c>
      <x:c r="AL13" s="35" t="n">
        <x:f>AK16</x:f>
        <x:v>101692526.32803512</x:v>
      </x:c>
      <x:c r="AM13" s="35" t="n">
        <x:f>AL16</x:f>
        <x:v>101692526.32803512</x:v>
      </x:c>
      <x:c r="AN13" s="35" t="n">
        <x:f>AM16</x:f>
        <x:v>101692526.32803512</x:v>
      </x:c>
      <x:c r="AO13" s="35" t="n">
        <x:f>AN16</x:f>
        <x:v>101692526.32803512</x:v>
      </x:c>
      <x:c r="AP13" s="35" t="n">
        <x:f>AO16</x:f>
        <x:v>101692526.32803512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1071977560.9034091</x:v>
      </x:c>
      <x:c r="F14" s="2"/>
      <x:c r="G14" s="35" t="n">
        <x:f>IF('Assumptions'!$E$9=2,'Short-Term build'!G14,IF('Assumptions'!$E$9=3,'Installment build'!G14,'Short-Term build'!G14+'Installment build'!G14))</x:f>
        <x:v>233823445.6490111</x:v>
      </x:c>
      <x:c r="H14" s="35" t="n">
        <x:f>IF('Assumptions'!$E$9=2,'Short-Term build'!H14,IF('Assumptions'!$E$9=3,'Installment build'!H14,'Short-Term build'!H14+'Installment build'!H14))</x:f>
        <x:v>126109150.49415682</x:v>
      </x:c>
      <x:c r="I14" s="35" t="n">
        <x:f>IF('Assumptions'!$E$9=2,'Short-Term build'!I14,IF('Assumptions'!$E$9=3,'Installment build'!I14,'Short-Term build'!I14+'Installment build'!I14))</x:f>
        <x:v>78907162.74735606</x:v>
      </x:c>
      <x:c r="J14" s="35" t="n">
        <x:f>IF('Assumptions'!$E$9=2,'Short-Term build'!J14,IF('Assumptions'!$E$9=3,'Installment build'!J14,'Short-Term build'!J14+'Installment build'!J14))</x:f>
        <x:v>54632426.940553114</x:v>
      </x:c>
      <x:c r="K14" s="35" t="n">
        <x:f>IF('Assumptions'!$E$9=2,'Short-Term build'!K14,IF('Assumptions'!$E$9=3,'Installment build'!K14,'Short-Term build'!K14+'Installment build'!K14))</x:f>
        <x:v>41616682.83091278</x:v>
      </x:c>
      <x:c r="L14" s="35" t="n">
        <x:f>IF('Assumptions'!$E$9=2,'Short-Term build'!L14,IF('Assumptions'!$E$9=3,'Installment build'!L14,'Short-Term build'!L14+'Installment build'!L14))</x:f>
        <x:v>34596074.007692225</x:v>
      </x:c>
      <x:c r="M14" s="35" t="n">
        <x:f>IF('Assumptions'!$E$9=2,'Short-Term build'!M14,IF('Assumptions'!$E$9=3,'Installment build'!M14,'Short-Term build'!M14+'Installment build'!M14))</x:f>
        <x:v>30975502.86412068</x:v>
      </x:c>
      <x:c r="N14" s="35" t="n">
        <x:f>IF('Assumptions'!$E$9=2,'Short-Term build'!N14,IF('Assumptions'!$E$9=3,'Installment build'!N14,'Short-Term build'!N14+'Installment build'!N14))</x:f>
        <x:v>29023603.276983827</x:v>
      </x:c>
      <x:c r="O14" s="35" t="n">
        <x:f>IF('Assumptions'!$E$9=2,'Short-Term build'!O14,IF('Assumptions'!$E$9=3,'Installment build'!O14,'Short-Term build'!O14+'Installment build'!O14))</x:f>
        <x:v>28044159.208803713</x:v>
      </x:c>
      <x:c r="P14" s="35" t="n">
        <x:f>IF('Assumptions'!$E$9=2,'Short-Term build'!P14,IF('Assumptions'!$E$9=3,'Installment build'!P14,'Short-Term build'!P14+'Installment build'!P14))</x:f>
        <x:v>27616623.525587924</x:v>
      </x:c>
      <x:c r="Q14" s="35" t="n">
        <x:f>IF('Assumptions'!$E$9=2,'Short-Term build'!Q14,IF('Assumptions'!$E$9=3,'Installment build'!Q14,'Short-Term build'!Q14+'Installment build'!Q14))</x:f>
        <x:v>27616623.525587924</x:v>
      </x:c>
      <x:c r="R14" s="35" t="n">
        <x:f>IF('Assumptions'!$E$9=2,'Short-Term build'!R14,IF('Assumptions'!$E$9=3,'Installment build'!R14,'Short-Term build'!R14+'Installment build'!R14))</x:f>
        <x:v>27616623.525587924</x:v>
      </x:c>
      <x:c r="S14" s="35" t="n">
        <x:f>IF('Assumptions'!$E$9=2,'Short-Term build'!S14,IF('Assumptions'!$E$9=3,'Installment build'!S14,'Short-Term build'!S14+'Installment build'!S14))</x:f>
        <x:v>27616623.525587924</x:v>
      </x:c>
      <x:c r="T14" s="35" t="n">
        <x:f>IF('Assumptions'!$E$9=2,'Short-Term build'!T14,IF('Assumptions'!$E$9=3,'Installment build'!T14,'Short-Term build'!T14+'Installment build'!T14))</x:f>
        <x:v>27616623.525587924</x:v>
      </x:c>
      <x:c r="U14" s="35" t="n">
        <x:f>IF('Assumptions'!$E$9=2,'Short-Term build'!U14,IF('Assumptions'!$E$9=3,'Installment build'!U14,'Short-Term build'!U14+'Installment build'!U14))</x:f>
        <x:v>27616623.525587924</x:v>
      </x:c>
      <x:c r="V14" s="35" t="n">
        <x:f>IF('Assumptions'!$E$9=2,'Short-Term build'!V14,IF('Assumptions'!$E$9=3,'Installment build'!V14,'Short-Term build'!V14+'Installment build'!V14))</x:f>
        <x:v>27616623.525587924</x:v>
      </x:c>
      <x:c r="W14" s="35" t="n">
        <x:f>IF('Assumptions'!$E$9=2,'Short-Term build'!W14,IF('Assumptions'!$E$9=3,'Installment build'!W14,'Short-Term build'!W14+'Installment build'!W14))</x:f>
        <x:v>27616623.525587924</x:v>
      </x:c>
      <x:c r="X14" s="35" t="n">
        <x:f>IF('Assumptions'!$E$9=2,'Short-Term build'!X14,IF('Assumptions'!$E$9=3,'Installment build'!X14,'Short-Term build'!X14+'Installment build'!X14))</x:f>
        <x:v>27616623.525587924</x:v>
      </x:c>
      <x:c r="Y14" s="35" t="n">
        <x:f>IF('Assumptions'!$E$9=2,'Short-Term build'!Y14,IF('Assumptions'!$E$9=3,'Installment build'!Y14,'Short-Term build'!Y14+'Installment build'!Y14))</x:f>
        <x:v>27616623.525587924</x:v>
      </x:c>
      <x:c r="Z14" s="35" t="n">
        <x:f>IF('Assumptions'!$E$9=2,'Short-Term build'!Z14,IF('Assumptions'!$E$9=3,'Installment build'!Z14,'Short-Term build'!Z14+'Installment build'!Z14))</x:f>
        <x:v>27616623.525587924</x:v>
      </x:c>
      <x:c r="AA14" s="35" t="n">
        <x:f>IF('Assumptions'!$E$9=2,'Short-Term build'!AA14,IF('Assumptions'!$E$9=3,'Installment build'!AA14,'Short-Term build'!AA14+'Installment build'!AA14))</x:f>
        <x:v>27616623.525587924</x:v>
      </x:c>
      <x:c r="AB14" s="35" t="n">
        <x:f>IF('Assumptions'!$E$9=2,'Short-Term build'!AB14,IF('Assumptions'!$E$9=3,'Installment build'!AB14,'Short-Term build'!AB14+'Installment build'!AB14))</x:f>
        <x:v>27616623.525587924</x:v>
      </x:c>
      <x:c r="AC14" s="35" t="n">
        <x:f>IF('Assumptions'!$E$9=2,'Short-Term build'!AC14,IF('Assumptions'!$E$9=3,'Installment build'!AC14,'Short-Term build'!AC14+'Installment build'!AC14))</x:f>
        <x:v>27616623.525587924</x:v>
      </x:c>
      <x:c r="AD14" s="35" t="n">
        <x:f>IF('Assumptions'!$E$9=2,'Short-Term build'!AD14,IF('Assumptions'!$E$9=3,'Installment build'!AD14,'Short-Term build'!AD14+'Installment build'!AD14))</x:f>
        <x:v>27616623.525587924</x:v>
      </x:c>
      <x:c r="AE14" s="35" t="n">
        <x:f>IF('Assumptions'!$E$9=2,'Short-Term build'!AE14,IF('Assumptions'!$E$9=3,'Installment build'!AE14,'Short-Term build'!AE14+'Installment build'!AE14))</x:f>
        <x:v>27616623.525587924</x:v>
      </x:c>
      <x:c r="AF14" s="35" t="n">
        <x:f>IF('Assumptions'!$E$9=2,'Short-Term build'!AF14,IF('Assumptions'!$E$9=3,'Installment build'!AF14,'Short-Term build'!AF14+'Installment build'!AF14))</x:f>
        <x:v>27616623.525587924</x:v>
      </x:c>
      <x:c r="AG14" s="35" t="n">
        <x:f>IF('Assumptions'!$E$9=2,'Short-Term build'!AG14,IF('Assumptions'!$E$9=3,'Installment build'!AG14,'Short-Term build'!AG14+'Installment build'!AG14))</x:f>
        <x:v>27616623.525587924</x:v>
      </x:c>
      <x:c r="AH14" s="35" t="n">
        <x:f>IF('Assumptions'!$E$9=2,'Short-Term build'!AH14,IF('Assumptions'!$E$9=3,'Installment build'!AH14,'Short-Term build'!AH14+'Installment build'!AH14))</x:f>
        <x:v>27616623.525587924</x:v>
      </x:c>
      <x:c r="AI14" s="35" t="n">
        <x:f>IF('Assumptions'!$E$9=2,'Short-Term build'!AI14,IF('Assumptions'!$E$9=3,'Installment build'!AI14,'Short-Term build'!AI14+'Installment build'!AI14))</x:f>
        <x:v>27616623.525587924</x:v>
      </x:c>
      <x:c r="AJ14" s="35" t="n">
        <x:f>IF('Assumptions'!$E$9=2,'Short-Term build'!AJ14,IF('Assumptions'!$E$9=3,'Installment build'!AJ14,'Short-Term build'!AJ14+'Installment build'!AJ14))</x:f>
        <x:v>27616623.525587924</x:v>
      </x:c>
      <x:c r="AK14" s="35" t="n">
        <x:f>IF('Assumptions'!$E$9=2,'Short-Term build'!AK14,IF('Assumptions'!$E$9=3,'Installment build'!AK14,'Short-Term build'!AK14+'Installment build'!AK14))</x:f>
        <x:v>27616623.525587924</x:v>
      </x:c>
      <x:c r="AL14" s="35" t="n">
        <x:f>IF('Assumptions'!$E$9=2,'Short-Term build'!AL14,IF('Assumptions'!$E$9=3,'Installment build'!AL14,'Short-Term build'!AL14+'Installment build'!AL14))</x:f>
        <x:v>27616623.525587924</x:v>
      </x:c>
      <x:c r="AM14" s="35" t="n">
        <x:f>IF('Assumptions'!$E$9=2,'Short-Term build'!AM14,IF('Assumptions'!$E$9=3,'Installment build'!AM14,'Short-Term build'!AM14+'Installment build'!AM14))</x:f>
        <x:v>27616623.525587924</x:v>
      </x:c>
      <x:c r="AN14" s="35" t="n">
        <x:f>IF('Assumptions'!$E$9=2,'Short-Term build'!AN14,IF('Assumptions'!$E$9=3,'Installment build'!AN14,'Short-Term build'!AN14+'Installment build'!AN14))</x:f>
        <x:v>27616623.525587924</x:v>
      </x:c>
      <x:c r="AO14" s="35" t="n">
        <x:f>IF('Assumptions'!$E$9=2,'Short-Term build'!AO14,IF('Assumptions'!$E$9=3,'Installment build'!AO14,'Short-Term build'!AO14+'Installment build'!AO14))</x:f>
        <x:v>27616623.525587924</x:v>
      </x:c>
      <x:c r="AP14" s="35" t="n">
        <x:f>IF('Assumptions'!$E$9=2,'Short-Term build'!AP14,IF('Assumptions'!$E$9=3,'Installment build'!AP14,'Short-Term build'!AP14+'Installment build'!AP14))</x:f>
        <x:v>27616623.525587924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307729912.7685558</x:v>
      </x:c>
      <x:c r="F15" s="2"/>
      <x:c r="G15" s="35" t="n">
        <x:f>IF('Assumptions'!$E$9=2,'Short-Term build'!G15,IF('Assumptions'!$E$9=3,'Installment build'!G15,'Short-Term build'!G15+'Installment build'!G15))</x:f>
        <x:v>74580494.72152674</x:v>
      </x:c>
      <x:c r="H15" s="35" t="n">
        <x:f>IF('Assumptions'!$E$9=2,'Short-Term build'!H15,IF('Assumptions'!$E$9=3,'Installment build'!H15,'Short-Term build'!H15+'Installment build'!H15))</x:f>
        <x:v>38053257.09643865</x:v>
      </x:c>
      <x:c r="I15" s="35" t="n">
        <x:f>IF('Assumptions'!$E$9=2,'Short-Term build'!I15,IF('Assumptions'!$E$9=3,'Installment build'!I15,'Short-Term build'!I15+'Installment build'!I15))</x:f>
        <x:v>22819195.745702125</x:v>
      </x:c>
      <x:c r="J15" s="35" t="n">
        <x:f>IF('Assumptions'!$E$9=2,'Short-Term build'!J15,IF('Assumptions'!$E$9=3,'Installment build'!J15,'Short-Term build'!J15+'Installment build'!J15))</x:f>
        <x:v>15312837.282781998</x:v>
      </x:c>
      <x:c r="K15" s="35" t="n">
        <x:f>IF('Assumptions'!$E$9=2,'Short-Term build'!K15,IF('Assumptions'!$E$9=3,'Installment build'!K15,'Short-Term build'!K15+'Installment build'!K15))</x:f>
        <x:v>11421780.818067968</x:v>
      </x:c>
      <x:c r="L15" s="35" t="n">
        <x:f>IF('Assumptions'!$E$9=2,'Short-Term build'!L15,IF('Assumptions'!$E$9=3,'Installment build'!L15,'Short-Term build'!L15+'Installment build'!L15))</x:f>
        <x:v>9365691.352063024</x:v>
      </x:c>
      <x:c r="M15" s="35" t="n">
        <x:f>IF('Assumptions'!$E$9=2,'Short-Term build'!M15,IF('Assumptions'!$E$9=3,'Installment build'!M15,'Short-Term build'!M15+'Installment build'!M15))</x:f>
        <x:v>8420264.900219377</x:v>
      </x:c>
      <x:c r="N15" s="35" t="n">
        <x:f>IF('Assumptions'!$E$9=2,'Short-Term build'!N15,IF('Assumptions'!$E$9=3,'Installment build'!N15,'Short-Term build'!N15+'Installment build'!N15))</x:f>
        <x:v>7895920.328236985</x:v>
      </x:c>
      <x:c r="O15" s="35" t="n">
        <x:f>IF('Assumptions'!$E$9=2,'Short-Term build'!O15,IF('Assumptions'!$E$9=3,'Installment build'!O15,'Short-Term build'!O15+'Installment build'!O15))</x:f>
        <x:v>7609823.407337723</x:v>
      </x:c>
      <x:c r="P15" s="35" t="n">
        <x:f>IF('Assumptions'!$E$9=2,'Short-Term build'!P15,IF('Assumptions'!$E$9=3,'Installment build'!P15,'Short-Term build'!P15+'Installment build'!P15))</x:f>
        <x:v>7483376.474412079</x:v>
      </x:c>
      <x:c r="Q15" s="35" t="n">
        <x:f>IF('Assumptions'!$E$9=2,'Short-Term build'!Q15,IF('Assumptions'!$E$9=3,'Installment build'!Q15,'Short-Term build'!Q15+'Installment build'!Q15))</x:f>
        <x:v>7483376.474412079</x:v>
      </x:c>
      <x:c r="R15" s="35" t="n">
        <x:f>IF('Assumptions'!$E$9=2,'Short-Term build'!R15,IF('Assumptions'!$E$9=3,'Installment build'!R15,'Short-Term build'!R15+'Installment build'!R15))</x:f>
        <x:v>7483376.474412079</x:v>
      </x:c>
      <x:c r="S15" s="35" t="n">
        <x:f>IF('Assumptions'!$E$9=2,'Short-Term build'!S15,IF('Assumptions'!$E$9=3,'Installment build'!S15,'Short-Term build'!S15+'Installment build'!S15))</x:f>
        <x:v>7483376.474412079</x:v>
      </x:c>
      <x:c r="T15" s="35" t="n">
        <x:f>IF('Assumptions'!$E$9=2,'Short-Term build'!T15,IF('Assumptions'!$E$9=3,'Installment build'!T15,'Short-Term build'!T15+'Installment build'!T15))</x:f>
        <x:v>7483376.474412079</x:v>
      </x:c>
      <x:c r="U15" s="35" t="n">
        <x:f>IF('Assumptions'!$E$9=2,'Short-Term build'!U15,IF('Assumptions'!$E$9=3,'Installment build'!U15,'Short-Term build'!U15+'Installment build'!U15))</x:f>
        <x:v>7483376.474412079</x:v>
      </x:c>
      <x:c r="V15" s="35" t="n">
        <x:f>IF('Assumptions'!$E$9=2,'Short-Term build'!V15,IF('Assumptions'!$E$9=3,'Installment build'!V15,'Short-Term build'!V15+'Installment build'!V15))</x:f>
        <x:v>7483376.474412079</x:v>
      </x:c>
      <x:c r="W15" s="35" t="n">
        <x:f>IF('Assumptions'!$E$9=2,'Short-Term build'!W15,IF('Assumptions'!$E$9=3,'Installment build'!W15,'Short-Term build'!W15+'Installment build'!W15))</x:f>
        <x:v>7483376.474412079</x:v>
      </x:c>
      <x:c r="X15" s="35" t="n">
        <x:f>IF('Assumptions'!$E$9=2,'Short-Term build'!X15,IF('Assumptions'!$E$9=3,'Installment build'!X15,'Short-Term build'!X15+'Installment build'!X15))</x:f>
        <x:v>7483376.474412079</x:v>
      </x:c>
      <x:c r="Y15" s="35" t="n">
        <x:f>IF('Assumptions'!$E$9=2,'Short-Term build'!Y15,IF('Assumptions'!$E$9=3,'Installment build'!Y15,'Short-Term build'!Y15+'Installment build'!Y15))</x:f>
        <x:v>7483376.474412079</x:v>
      </x:c>
      <x:c r="Z15" s="35" t="n">
        <x:f>IF('Assumptions'!$E$9=2,'Short-Term build'!Z15,IF('Assumptions'!$E$9=3,'Installment build'!Z15,'Short-Term build'!Z15+'Installment build'!Z15))</x:f>
        <x:v>7483376.474412079</x:v>
      </x:c>
      <x:c r="AA15" s="35" t="n">
        <x:f>IF('Assumptions'!$E$9=2,'Short-Term build'!AA15,IF('Assumptions'!$E$9=3,'Installment build'!AA15,'Short-Term build'!AA15+'Installment build'!AA15))</x:f>
        <x:v>7483376.474412079</x:v>
      </x:c>
      <x:c r="AB15" s="35" t="n">
        <x:f>IF('Assumptions'!$E$9=2,'Short-Term build'!AB15,IF('Assumptions'!$E$9=3,'Installment build'!AB15,'Short-Term build'!AB15+'Installment build'!AB15))</x:f>
        <x:v>7483376.474412079</x:v>
      </x:c>
      <x:c r="AC15" s="35" t="n">
        <x:f>IF('Assumptions'!$E$9=2,'Short-Term build'!AC15,IF('Assumptions'!$E$9=3,'Installment build'!AC15,'Short-Term build'!AC15+'Installment build'!AC15))</x:f>
        <x:v>7483376.474412079</x:v>
      </x:c>
      <x:c r="AD15" s="35" t="n">
        <x:f>IF('Assumptions'!$E$9=2,'Short-Term build'!AD15,IF('Assumptions'!$E$9=3,'Installment build'!AD15,'Short-Term build'!AD15+'Installment build'!AD15))</x:f>
        <x:v>7483376.474412079</x:v>
      </x:c>
      <x:c r="AE15" s="35" t="n">
        <x:f>IF('Assumptions'!$E$9=2,'Short-Term build'!AE15,IF('Assumptions'!$E$9=3,'Installment build'!AE15,'Short-Term build'!AE15+'Installment build'!AE15))</x:f>
        <x:v>7483376.474412079</x:v>
      </x:c>
      <x:c r="AF15" s="35" t="n">
        <x:f>IF('Assumptions'!$E$9=2,'Short-Term build'!AF15,IF('Assumptions'!$E$9=3,'Installment build'!AF15,'Short-Term build'!AF15+'Installment build'!AF15))</x:f>
        <x:v>7483376.474412079</x:v>
      </x:c>
      <x:c r="AG15" s="35" t="n">
        <x:f>IF('Assumptions'!$E$9=2,'Short-Term build'!AG15,IF('Assumptions'!$E$9=3,'Installment build'!AG15,'Short-Term build'!AG15+'Installment build'!AG15))</x:f>
        <x:v>7483376.474412079</x:v>
      </x:c>
      <x:c r="AH15" s="35" t="n">
        <x:f>IF('Assumptions'!$E$9=2,'Short-Term build'!AH15,IF('Assumptions'!$E$9=3,'Installment build'!AH15,'Short-Term build'!AH15+'Installment build'!AH15))</x:f>
        <x:v>7483376.474412079</x:v>
      </x:c>
      <x:c r="AI15" s="35" t="n">
        <x:f>IF('Assumptions'!$E$9=2,'Short-Term build'!AI15,IF('Assumptions'!$E$9=3,'Installment build'!AI15,'Short-Term build'!AI15+'Installment build'!AI15))</x:f>
        <x:v>7483376.474412079</x:v>
      </x:c>
      <x:c r="AJ15" s="35" t="n">
        <x:f>IF('Assumptions'!$E$9=2,'Short-Term build'!AJ15,IF('Assumptions'!$E$9=3,'Installment build'!AJ15,'Short-Term build'!AJ15+'Installment build'!AJ15))</x:f>
        <x:v>7483376.474412079</x:v>
      </x:c>
      <x:c r="AK15" s="35" t="n">
        <x:f>IF('Assumptions'!$E$9=2,'Short-Term build'!AK15,IF('Assumptions'!$E$9=3,'Installment build'!AK15,'Short-Term build'!AK15+'Installment build'!AK15))</x:f>
        <x:v>7483376.474412079</x:v>
      </x:c>
      <x:c r="AL15" s="35" t="n">
        <x:f>IF('Assumptions'!$E$9=2,'Short-Term build'!AL15,IF('Assumptions'!$E$9=3,'Installment build'!AL15,'Short-Term build'!AL15+'Installment build'!AL15))</x:f>
        <x:v>7483376.474412079</x:v>
      </x:c>
      <x:c r="AM15" s="35" t="n">
        <x:f>IF('Assumptions'!$E$9=2,'Short-Term build'!AM15,IF('Assumptions'!$E$9=3,'Installment build'!AM15,'Short-Term build'!AM15+'Installment build'!AM15))</x:f>
        <x:v>7483376.474412079</x:v>
      </x:c>
      <x:c r="AN15" s="35" t="n">
        <x:f>IF('Assumptions'!$E$9=2,'Short-Term build'!AN15,IF('Assumptions'!$E$9=3,'Installment build'!AN15,'Short-Term build'!AN15+'Installment build'!AN15))</x:f>
        <x:v>7483376.474412079</x:v>
      </x:c>
      <x:c r="AO15" s="35" t="n">
        <x:f>IF('Assumptions'!$E$9=2,'Short-Term build'!AO15,IF('Assumptions'!$E$9=3,'Installment build'!AO15,'Short-Term build'!AO15+'Installment build'!AO15))</x:f>
        <x:v>7483376.474412079</x:v>
      </x:c>
      <x:c r="AP15" s="35" t="n">
        <x:f>IF('Assumptions'!$E$9=2,'Short-Term build'!AP15,IF('Assumptions'!$E$9=3,'Installment build'!AP15,'Short-Term build'!AP15+'Installment build'!AP15))</x:f>
        <x:v>7483376.474412079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101692526.32803512</x:v>
      </x:c>
      <x:c r="F16" s="42"/>
      <x:c r="G16" s="43" t="n">
        <x:f>G13+G11-G14-G15</x:f>
        <x:v>365696059.6294621</x:v>
      </x:c>
      <x:c r="H16" s="43" t="n">
        <x:f>H13+H11-H14-H15</x:f>
        <x:v>236633652.03886664</x:v>
      </x:c>
      <x:c r="I16" s="43" t="n">
        <x:f>I13+I11-I14-I15</x:f>
        <x:v>170007293.54580846</x:v>
      </x:c>
      <x:c r="J16" s="43" t="n">
        <x:f>J13+J11-J14-J15</x:f>
        <x:v>135162029.32247338</x:v>
      </x:c>
      <x:c r="K16" s="43" t="n">
        <x:f>K13+K11-K14-K15</x:f>
        <x:v>117223565.67349264</x:v>
      </x:c>
      <x:c r="L16" s="43" t="n">
        <x:f>L13+L11-L14-L15</x:f>
        <x:v>108361800.31373739</x:v>
      </x:c>
      <x:c r="M16" s="43" t="n">
        <x:f>M13+M11-M14-M15</x:f>
        <x:v>104066032.54939733</x:v>
      </x:c>
      <x:c r="N16" s="43" t="n">
        <x:f>N13+N11-N14-N15</x:f>
        <x:v>102246508.94417654</x:v>
      </x:c>
      <x:c r="O16" s="43" t="n">
        <x:f>O13+O11-O14-O15</x:f>
        <x:v>101692526.32803512</x:v>
      </x:c>
      <x:c r="P16" s="43" t="n">
        <x:f>P13+P11-P14-P15</x:f>
        <x:v>101692526.32803512</x:v>
      </x:c>
      <x:c r="Q16" s="43" t="n">
        <x:f>Q13+Q11-Q14-Q15</x:f>
        <x:v>101692526.32803512</x:v>
      </x:c>
      <x:c r="R16" s="43" t="n">
        <x:f>R13+R11-R14-R15</x:f>
        <x:v>101692526.32803512</x:v>
      </x:c>
      <x:c r="S16" s="43" t="n">
        <x:f>S13+S11-S14-S15</x:f>
        <x:v>101692526.32803512</x:v>
      </x:c>
      <x:c r="T16" s="43" t="n">
        <x:f>T13+T11-T14-T15</x:f>
        <x:v>101692526.32803512</x:v>
      </x:c>
      <x:c r="U16" s="43" t="n">
        <x:f>U13+U11-U14-U15</x:f>
        <x:v>101692526.32803512</x:v>
      </x:c>
      <x:c r="V16" s="43" t="n">
        <x:f>V13+V11-V14-V15</x:f>
        <x:v>101692526.32803512</x:v>
      </x:c>
      <x:c r="W16" s="43" t="n">
        <x:f>W13+W11-W14-W15</x:f>
        <x:v>101692526.32803512</x:v>
      </x:c>
      <x:c r="X16" s="43" t="n">
        <x:f>X13+X11-X14-X15</x:f>
        <x:v>101692526.32803512</x:v>
      </x:c>
      <x:c r="Y16" s="43" t="n">
        <x:f>Y13+Y11-Y14-Y15</x:f>
        <x:v>101692526.32803512</x:v>
      </x:c>
      <x:c r="Z16" s="43" t="n">
        <x:f>Z13+Z11-Z14-Z15</x:f>
        <x:v>101692526.32803512</x:v>
      </x:c>
      <x:c r="AA16" s="43" t="n">
        <x:f>AA13+AA11-AA14-AA15</x:f>
        <x:v>101692526.32803512</x:v>
      </x:c>
      <x:c r="AB16" s="43" t="n">
        <x:f>AB13+AB11-AB14-AB15</x:f>
        <x:v>101692526.32803512</x:v>
      </x:c>
      <x:c r="AC16" s="43" t="n">
        <x:f>AC13+AC11-AC14-AC15</x:f>
        <x:v>101692526.32803512</x:v>
      </x:c>
      <x:c r="AD16" s="43" t="n">
        <x:f>AD13+AD11-AD14-AD15</x:f>
        <x:v>101692526.32803512</x:v>
      </x:c>
      <x:c r="AE16" s="43" t="n">
        <x:f>AE13+AE11-AE14-AE15</x:f>
        <x:v>101692526.32803512</x:v>
      </x:c>
      <x:c r="AF16" s="43" t="n">
        <x:f>AF13+AF11-AF14-AF15</x:f>
        <x:v>101692526.32803512</x:v>
      </x:c>
      <x:c r="AG16" s="43" t="n">
        <x:f>AG13+AG11-AG14-AG15</x:f>
        <x:v>101692526.32803512</x:v>
      </x:c>
      <x:c r="AH16" s="43" t="n">
        <x:f>AH13+AH11-AH14-AH15</x:f>
        <x:v>101692526.32803512</x:v>
      </x:c>
      <x:c r="AI16" s="43" t="n">
        <x:f>AI13+AI11-AI14-AI15</x:f>
        <x:v>101692526.32803512</x:v>
      </x:c>
      <x:c r="AJ16" s="43" t="n">
        <x:f>AJ13+AJ11-AJ14-AJ15</x:f>
        <x:v>101692526.32803512</x:v>
      </x:c>
      <x:c r="AK16" s="43" t="n">
        <x:f>AK13+AK11-AK14-AK15</x:f>
        <x:v>101692526.32803512</x:v>
      </x:c>
      <x:c r="AL16" s="43" t="n">
        <x:f>AL13+AL11-AL14-AL15</x:f>
        <x:v>101692526.32803512</x:v>
      </x:c>
      <x:c r="AM16" s="43" t="n">
        <x:f>AM13+AM11-AM14-AM15</x:f>
        <x:v>101692526.32803512</x:v>
      </x:c>
      <x:c r="AN16" s="43" t="n">
        <x:f>AN13+AN11-AN14-AN15</x:f>
        <x:v>101692526.32803512</x:v>
      </x:c>
      <x:c r="AO16" s="43" t="n">
        <x:f>AO13+AO11-AO14-AO15</x:f>
        <x:v>101692526.32803512</x:v>
      </x:c>
      <x:c r="AP16" s="43" t="n">
        <x:f>AP13+AP11-AP14-AP15</x:f>
        <x:v>101692526.32803512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149785615.0353614</x:v>
      </x:c>
      <x:c r="F18" s="2"/>
      <x:c r="G18" s="35" t="n">
        <x:f>IF('Assumptions'!$E$9=2,'Short-Term build'!G18,IF('Assumptions'!$E$9=3,'Installment build'!G18,'Short-Term build'!G18+'Installment build'!G18))</x:f>
        <x:v>149785615.0353614</x:v>
      </x:c>
      <x:c r="H18" s="35" t="n">
        <x:f>G20</x:f>
        <x:v>82688496.78824675</x:v>
      </x:c>
      <x:c r="I18" s="35" t="n">
        <x:f>H20</x:f>
        <x:v>52118616.16622019</x:v>
      </x:c>
      <x:c r="J18" s="35" t="n">
        <x:f>I20</x:f>
        <x:v>36782796.89493014</x:v>
      </x:c>
      <x:c r="K18" s="35" t="n">
        <x:f>J20</x:f>
        <x:v>28953336.08656022</x:v>
      </x:c>
      <x:c r="L18" s="35" t="n">
        <x:f>K20</x:f>
        <x:v>25014931.742904328</x:v>
      </x:c>
      <x:c r="M18" s="35" t="n">
        <x:f>L20</x:f>
        <x:v>23132616.86525338</x:v>
      </x:c>
      <x:c r="N18" s="35" t="n">
        <x:f>M20</x:f>
        <x:v>22195728.43944608</x:v>
      </x:c>
      <x:c r="O18" s="35" t="n">
        <x:f>N20</x:f>
        <x:v>21783184.585621174</x:v>
      </x:c>
      <x:c r="P18" s="35" t="n">
        <x:f>O20</x:f>
        <x:v>21656737.65269553</x:v>
      </x:c>
      <x:c r="Q18" s="35" t="n">
        <x:f>P20</x:f>
        <x:v>21656737.652695525</x:v>
      </x:c>
      <x:c r="R18" s="35" t="n">
        <x:f>Q20</x:f>
        <x:v>21656737.652695525</x:v>
      </x:c>
      <x:c r="S18" s="35" t="n">
        <x:f>R20</x:f>
        <x:v>21656737.652695525</x:v>
      </x:c>
      <x:c r="T18" s="35" t="n">
        <x:f>S20</x:f>
        <x:v>21656737.652695525</x:v>
      </x:c>
      <x:c r="U18" s="35" t="n">
        <x:f>T20</x:f>
        <x:v>21656737.652695525</x:v>
      </x:c>
      <x:c r="V18" s="35" t="n">
        <x:f>U20</x:f>
        <x:v>21656737.652695525</x:v>
      </x:c>
      <x:c r="W18" s="35" t="n">
        <x:f>V20</x:f>
        <x:v>21656737.652695525</x:v>
      </x:c>
      <x:c r="X18" s="35" t="n">
        <x:f>W20</x:f>
        <x:v>21656737.652695525</x:v>
      </x:c>
      <x:c r="Y18" s="35" t="n">
        <x:f>X20</x:f>
        <x:v>21656737.652695525</x:v>
      </x:c>
      <x:c r="Z18" s="35" t="n">
        <x:f>Y20</x:f>
        <x:v>21656737.652695525</x:v>
      </x:c>
      <x:c r="AA18" s="35" t="n">
        <x:f>Z20</x:f>
        <x:v>21656737.652695525</x:v>
      </x:c>
      <x:c r="AB18" s="35" t="n">
        <x:f>AA20</x:f>
        <x:v>21656737.652695525</x:v>
      </x:c>
      <x:c r="AC18" s="35" t="n">
        <x:f>AB20</x:f>
        <x:v>21656737.652695525</x:v>
      </x:c>
      <x:c r="AD18" s="35" t="n">
        <x:f>AC20</x:f>
        <x:v>21656737.652695525</x:v>
      </x:c>
      <x:c r="AE18" s="35" t="n">
        <x:f>AD20</x:f>
        <x:v>21656737.652695525</x:v>
      </x:c>
      <x:c r="AF18" s="35" t="n">
        <x:f>AE20</x:f>
        <x:v>21656737.652695525</x:v>
      </x:c>
      <x:c r="AG18" s="35" t="n">
        <x:f>AF20</x:f>
        <x:v>21656737.652695525</x:v>
      </x:c>
      <x:c r="AH18" s="35" t="n">
        <x:f>AG20</x:f>
        <x:v>21656737.652695525</x:v>
      </x:c>
      <x:c r="AI18" s="35" t="n">
        <x:f>AH20</x:f>
        <x:v>21656737.652695525</x:v>
      </x:c>
      <x:c r="AJ18" s="35" t="n">
        <x:f>AI20</x:f>
        <x:v>21656737.652695525</x:v>
      </x:c>
      <x:c r="AK18" s="35" t="n">
        <x:f>AJ20</x:f>
        <x:v>21656737.652695525</x:v>
      </x:c>
      <x:c r="AL18" s="35" t="n">
        <x:f>AK20</x:f>
        <x:v>21656737.652695525</x:v>
      </x:c>
      <x:c r="AM18" s="35" t="n">
        <x:f>AL20</x:f>
        <x:v>21656737.652695525</x:v>
      </x:c>
      <x:c r="AN18" s="35" t="n">
        <x:f>AM20</x:f>
        <x:v>21656737.652695525</x:v>
      </x:c>
      <x:c r="AO18" s="35" t="n">
        <x:f>AN20</x:f>
        <x:v>21656737.652695525</x:v>
      </x:c>
      <x:c r="AP18" s="35" t="n">
        <x:f>AO20</x:f>
        <x:v>21656737.652695525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179601035.38588995</x:v>
      </x:c>
      <x:c r="F19" s="2"/>
      <x:c r="G19" s="35" t="n">
        <x:f>IF('Assumptions'!$E$9=2,'Short-Term build'!G19,IF('Assumptions'!$E$9=3,'Installment build'!G19,'Short-Term build'!G19+'Installment build'!G19))</x:f>
        <x:v>7483376.474412078</x:v>
      </x:c>
      <x:c r="H19" s="35" t="n">
        <x:f>IF('Assumptions'!$E$9=2,'Short-Term build'!H19,IF('Assumptions'!$E$9=3,'Installment build'!H19,'Short-Term build'!H19+'Installment build'!H19))</x:f>
        <x:v>7483376.474412078</x:v>
      </x:c>
      <x:c r="I19" s="35" t="n">
        <x:f>IF('Assumptions'!$E$9=2,'Short-Term build'!I19,IF('Assumptions'!$E$9=3,'Installment build'!I19,'Short-Term build'!I19+'Installment build'!I19))</x:f>
        <x:v>7483376.474412078</x:v>
      </x:c>
      <x:c r="J19" s="35" t="n">
        <x:f>IF('Assumptions'!$E$9=2,'Short-Term build'!J19,IF('Assumptions'!$E$9=3,'Installment build'!J19,'Short-Term build'!J19+'Installment build'!J19))</x:f>
        <x:v>7483376.474412078</x:v>
      </x:c>
      <x:c r="K19" s="35" t="n">
        <x:f>IF('Assumptions'!$E$9=2,'Short-Term build'!K19,IF('Assumptions'!$E$9=3,'Installment build'!K19,'Short-Term build'!K19+'Installment build'!K19))</x:f>
        <x:v>7483376.474412078</x:v>
      </x:c>
      <x:c r="L19" s="35" t="n">
        <x:f>IF('Assumptions'!$E$9=2,'Short-Term build'!L19,IF('Assumptions'!$E$9=3,'Installment build'!L19,'Short-Term build'!L19+'Installment build'!L19))</x:f>
        <x:v>7483376.474412078</x:v>
      </x:c>
      <x:c r="M19" s="35" t="n">
        <x:f>IF('Assumptions'!$E$9=2,'Short-Term build'!M19,IF('Assumptions'!$E$9=3,'Installment build'!M19,'Short-Term build'!M19+'Installment build'!M19))</x:f>
        <x:v>7483376.474412078</x:v>
      </x:c>
      <x:c r="N19" s="35" t="n">
        <x:f>IF('Assumptions'!$E$9=2,'Short-Term build'!N19,IF('Assumptions'!$E$9=3,'Installment build'!N19,'Short-Term build'!N19+'Installment build'!N19))</x:f>
        <x:v>7483376.474412078</x:v>
      </x:c>
      <x:c r="O19" s="35" t="n">
        <x:f>IF('Assumptions'!$E$9=2,'Short-Term build'!O19,IF('Assumptions'!$E$9=3,'Installment build'!O19,'Short-Term build'!O19+'Installment build'!O19))</x:f>
        <x:v>7483376.474412078</x:v>
      </x:c>
      <x:c r="P19" s="35" t="n">
        <x:f>IF('Assumptions'!$E$9=2,'Short-Term build'!P19,IF('Assumptions'!$E$9=3,'Installment build'!P19,'Short-Term build'!P19+'Installment build'!P19))</x:f>
        <x:v>7483376.474412078</x:v>
      </x:c>
      <x:c r="Q19" s="35" t="n">
        <x:f>IF('Assumptions'!$E$9=2,'Short-Term build'!Q19,IF('Assumptions'!$E$9=3,'Installment build'!Q19,'Short-Term build'!Q19+'Installment build'!Q19))</x:f>
        <x:v>7483376.474412078</x:v>
      </x:c>
      <x:c r="R19" s="35" t="n">
        <x:f>IF('Assumptions'!$E$9=2,'Short-Term build'!R19,IF('Assumptions'!$E$9=3,'Installment build'!R19,'Short-Term build'!R19+'Installment build'!R19))</x:f>
        <x:v>7483376.474412078</x:v>
      </x:c>
      <x:c r="S19" s="35" t="n">
        <x:f>IF('Assumptions'!$E$9=2,'Short-Term build'!S19,IF('Assumptions'!$E$9=3,'Installment build'!S19,'Short-Term build'!S19+'Installment build'!S19))</x:f>
        <x:v>7483376.474412078</x:v>
      </x:c>
      <x:c r="T19" s="35" t="n">
        <x:f>IF('Assumptions'!$E$9=2,'Short-Term build'!T19,IF('Assumptions'!$E$9=3,'Installment build'!T19,'Short-Term build'!T19+'Installment build'!T19))</x:f>
        <x:v>7483376.474412078</x:v>
      </x:c>
      <x:c r="U19" s="35" t="n">
        <x:f>IF('Assumptions'!$E$9=2,'Short-Term build'!U19,IF('Assumptions'!$E$9=3,'Installment build'!U19,'Short-Term build'!U19+'Installment build'!U19))</x:f>
        <x:v>7483376.474412078</x:v>
      </x:c>
      <x:c r="V19" s="35" t="n">
        <x:f>IF('Assumptions'!$E$9=2,'Short-Term build'!V19,IF('Assumptions'!$E$9=3,'Installment build'!V19,'Short-Term build'!V19+'Installment build'!V19))</x:f>
        <x:v>7483376.474412078</x:v>
      </x:c>
      <x:c r="W19" s="35" t="n">
        <x:f>IF('Assumptions'!$E$9=2,'Short-Term build'!W19,IF('Assumptions'!$E$9=3,'Installment build'!W19,'Short-Term build'!W19+'Installment build'!W19))</x:f>
        <x:v>7483376.474412078</x:v>
      </x:c>
      <x:c r="X19" s="35" t="n">
        <x:f>IF('Assumptions'!$E$9=2,'Short-Term build'!X19,IF('Assumptions'!$E$9=3,'Installment build'!X19,'Short-Term build'!X19+'Installment build'!X19))</x:f>
        <x:v>7483376.474412078</x:v>
      </x:c>
      <x:c r="Y19" s="35" t="n">
        <x:f>IF('Assumptions'!$E$9=2,'Short-Term build'!Y19,IF('Assumptions'!$E$9=3,'Installment build'!Y19,'Short-Term build'!Y19+'Installment build'!Y19))</x:f>
        <x:v>7483376.474412078</x:v>
      </x:c>
      <x:c r="Z19" s="35" t="n">
        <x:f>IF('Assumptions'!$E$9=2,'Short-Term build'!Z19,IF('Assumptions'!$E$9=3,'Installment build'!Z19,'Short-Term build'!Z19+'Installment build'!Z19))</x:f>
        <x:v>7483376.474412078</x:v>
      </x:c>
      <x:c r="AA19" s="35" t="n">
        <x:f>IF('Assumptions'!$E$9=2,'Short-Term build'!AA19,IF('Assumptions'!$E$9=3,'Installment build'!AA19,'Short-Term build'!AA19+'Installment build'!AA19))</x:f>
        <x:v>7483376.474412078</x:v>
      </x:c>
      <x:c r="AB19" s="35" t="n">
        <x:f>IF('Assumptions'!$E$9=2,'Short-Term build'!AB19,IF('Assumptions'!$E$9=3,'Installment build'!AB19,'Short-Term build'!AB19+'Installment build'!AB19))</x:f>
        <x:v>7483376.474412078</x:v>
      </x:c>
      <x:c r="AC19" s="35" t="n">
        <x:f>IF('Assumptions'!$E$9=2,'Short-Term build'!AC19,IF('Assumptions'!$E$9=3,'Installment build'!AC19,'Short-Term build'!AC19+'Installment build'!AC19))</x:f>
        <x:v>7483376.474412078</x:v>
      </x:c>
      <x:c r="AD19" s="35" t="n">
        <x:f>IF('Assumptions'!$E$9=2,'Short-Term build'!AD19,IF('Assumptions'!$E$9=3,'Installment build'!AD19,'Short-Term build'!AD19+'Installment build'!AD19))</x:f>
        <x:v>7483376.474412078</x:v>
      </x:c>
      <x:c r="AE19" s="35" t="n">
        <x:f>IF('Assumptions'!$E$9=2,'Short-Term build'!AE19,IF('Assumptions'!$E$9=3,'Installment build'!AE19,'Short-Term build'!AE19+'Installment build'!AE19))</x:f>
        <x:v>7483376.474412078</x:v>
      </x:c>
      <x:c r="AF19" s="35" t="n">
        <x:f>IF('Assumptions'!$E$9=2,'Short-Term build'!AF19,IF('Assumptions'!$E$9=3,'Installment build'!AF19,'Short-Term build'!AF19+'Installment build'!AF19))</x:f>
        <x:v>7483376.474412078</x:v>
      </x:c>
      <x:c r="AG19" s="35" t="n">
        <x:f>IF('Assumptions'!$E$9=2,'Short-Term build'!AG19,IF('Assumptions'!$E$9=3,'Installment build'!AG19,'Short-Term build'!AG19+'Installment build'!AG19))</x:f>
        <x:v>7483376.474412078</x:v>
      </x:c>
      <x:c r="AH19" s="35" t="n">
        <x:f>IF('Assumptions'!$E$9=2,'Short-Term build'!AH19,IF('Assumptions'!$E$9=3,'Installment build'!AH19,'Short-Term build'!AH19+'Installment build'!AH19))</x:f>
        <x:v>7483376.474412078</x:v>
      </x:c>
      <x:c r="AI19" s="35" t="n">
        <x:f>IF('Assumptions'!$E$9=2,'Short-Term build'!AI19,IF('Assumptions'!$E$9=3,'Installment build'!AI19,'Short-Term build'!AI19+'Installment build'!AI19))</x:f>
        <x:v>7483376.474412078</x:v>
      </x:c>
      <x:c r="AJ19" s="35" t="n">
        <x:f>IF('Assumptions'!$E$9=2,'Short-Term build'!AJ19,IF('Assumptions'!$E$9=3,'Installment build'!AJ19,'Short-Term build'!AJ19+'Installment build'!AJ19))</x:f>
        <x:v>7483376.474412078</x:v>
      </x:c>
      <x:c r="AK19" s="35" t="n">
        <x:f>IF('Assumptions'!$E$9=2,'Short-Term build'!AK19,IF('Assumptions'!$E$9=3,'Installment build'!AK19,'Short-Term build'!AK19+'Installment build'!AK19))</x:f>
        <x:v>7483376.474412078</x:v>
      </x:c>
      <x:c r="AL19" s="35" t="n">
        <x:f>IF('Assumptions'!$E$9=2,'Short-Term build'!AL19,IF('Assumptions'!$E$9=3,'Installment build'!AL19,'Short-Term build'!AL19+'Installment build'!AL19))</x:f>
        <x:v>7483376.474412078</x:v>
      </x:c>
      <x:c r="AM19" s="35" t="n">
        <x:f>IF('Assumptions'!$E$9=2,'Short-Term build'!AM19,IF('Assumptions'!$E$9=3,'Installment build'!AM19,'Short-Term build'!AM19+'Installment build'!AM19))</x:f>
        <x:v>7483376.474412078</x:v>
      </x:c>
      <x:c r="AN19" s="35" t="n">
        <x:f>IF('Assumptions'!$E$9=2,'Short-Term build'!AN19,IF('Assumptions'!$E$9=3,'Installment build'!AN19,'Short-Term build'!AN19+'Installment build'!AN19))</x:f>
        <x:v>7483376.474412078</x:v>
      </x:c>
      <x:c r="AO19" s="35" t="n">
        <x:f>IF('Assumptions'!$E$9=2,'Short-Term build'!AO19,IF('Assumptions'!$E$9=3,'Installment build'!AO19,'Short-Term build'!AO19+'Installment build'!AO19))</x:f>
        <x:v>7483376.474412078</x:v>
      </x:c>
      <x:c r="AP19" s="35" t="n">
        <x:f>IF('Assumptions'!$E$9=2,'Short-Term build'!AP19,IF('Assumptions'!$E$9=3,'Installment build'!AP19,'Short-Term build'!AP19+'Installment build'!AP19))</x:f>
        <x:v>7483376.474412078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21656737.652695525</x:v>
      </x:c>
      <x:c r="F20" s="42"/>
      <x:c r="G20" s="43" t="n">
        <x:f>G18+G19-G15</x:f>
        <x:v>82688496.78824675</x:v>
      </x:c>
      <x:c r="H20" s="43" t="n">
        <x:f>H18+H19-H15</x:f>
        <x:v>52118616.16622019</x:v>
      </x:c>
      <x:c r="I20" s="43" t="n">
        <x:f>I18+I19-I15</x:f>
        <x:v>36782796.89493014</x:v>
      </x:c>
      <x:c r="J20" s="43" t="n">
        <x:f>J18+J19-J15</x:f>
        <x:v>28953336.08656022</x:v>
      </x:c>
      <x:c r="K20" s="43" t="n">
        <x:f>K18+K19-K15</x:f>
        <x:v>25014931.742904328</x:v>
      </x:c>
      <x:c r="L20" s="43" t="n">
        <x:f>L18+L19-L15</x:f>
        <x:v>23132616.86525338</x:v>
      </x:c>
      <x:c r="M20" s="43" t="n">
        <x:f>M18+M19-M15</x:f>
        <x:v>22195728.43944608</x:v>
      </x:c>
      <x:c r="N20" s="43" t="n">
        <x:f>N18+N19-N15</x:f>
        <x:v>21783184.585621174</x:v>
      </x:c>
      <x:c r="O20" s="43" t="n">
        <x:f>O18+O19-O15</x:f>
        <x:v>21656737.65269553</x:v>
      </x:c>
      <x:c r="P20" s="43" t="n">
        <x:f>P18+P19-P15</x:f>
        <x:v>21656737.652695525</x:v>
      </x:c>
      <x:c r="Q20" s="43" t="n">
        <x:f>Q18+Q19-Q15</x:f>
        <x:v>21656737.652695525</x:v>
      </x:c>
      <x:c r="R20" s="43" t="n">
        <x:f>R18+R19-R15</x:f>
        <x:v>21656737.652695525</x:v>
      </x:c>
      <x:c r="S20" s="43" t="n">
        <x:f>S18+S19-S15</x:f>
        <x:v>21656737.652695525</x:v>
      </x:c>
      <x:c r="T20" s="43" t="n">
        <x:f>T18+T19-T15</x:f>
        <x:v>21656737.652695525</x:v>
      </x:c>
      <x:c r="U20" s="43" t="n">
        <x:f>U18+U19-U15</x:f>
        <x:v>21656737.652695525</x:v>
      </x:c>
      <x:c r="V20" s="43" t="n">
        <x:f>V18+V19-V15</x:f>
        <x:v>21656737.652695525</x:v>
      </x:c>
      <x:c r="W20" s="43" t="n">
        <x:f>W18+W19-W15</x:f>
        <x:v>21656737.652695525</x:v>
      </x:c>
      <x:c r="X20" s="43" t="n">
        <x:f>X18+X19-X15</x:f>
        <x:v>21656737.652695525</x:v>
      </x:c>
      <x:c r="Y20" s="43" t="n">
        <x:f>Y18+Y19-Y15</x:f>
        <x:v>21656737.652695525</x:v>
      </x:c>
      <x:c r="Z20" s="43" t="n">
        <x:f>Z18+Z19-Z15</x:f>
        <x:v>21656737.652695525</x:v>
      </x:c>
      <x:c r="AA20" s="43" t="n">
        <x:f>AA18+AA19-AA15</x:f>
        <x:v>21656737.652695525</x:v>
      </x:c>
      <x:c r="AB20" s="43" t="n">
        <x:f>AB18+AB19-AB15</x:f>
        <x:v>21656737.652695525</x:v>
      </x:c>
      <x:c r="AC20" s="43" t="n">
        <x:f>AC18+AC19-AC15</x:f>
        <x:v>21656737.652695525</x:v>
      </x:c>
      <x:c r="AD20" s="43" t="n">
        <x:f>AD18+AD19-AD15</x:f>
        <x:v>21656737.652695525</x:v>
      </x:c>
      <x:c r="AE20" s="43" t="n">
        <x:f>AE18+AE19-AE15</x:f>
        <x:v>21656737.652695525</x:v>
      </x:c>
      <x:c r="AF20" s="43" t="n">
        <x:f>AF18+AF19-AF15</x:f>
        <x:v>21656737.652695525</x:v>
      </x:c>
      <x:c r="AG20" s="43" t="n">
        <x:f>AG18+AG19-AG15</x:f>
        <x:v>21656737.652695525</x:v>
      </x:c>
      <x:c r="AH20" s="43" t="n">
        <x:f>AH18+AH19-AH15</x:f>
        <x:v>21656737.652695525</x:v>
      </x:c>
      <x:c r="AI20" s="43" t="n">
        <x:f>AI18+AI19-AI15</x:f>
        <x:v>21656737.652695525</x:v>
      </x:c>
      <x:c r="AJ20" s="43" t="n">
        <x:f>AJ18+AJ19-AJ15</x:f>
        <x:v>21656737.652695525</x:v>
      </x:c>
      <x:c r="AK20" s="43" t="n">
        <x:f>AK18+AK19-AK15</x:f>
        <x:v>21656737.652695525</x:v>
      </x:c>
      <x:c r="AL20" s="43" t="n">
        <x:f>AL18+AL19-AL15</x:f>
        <x:v>21656737.652695525</x:v>
      </x:c>
      <x:c r="AM20" s="43" t="n">
        <x:f>AM18+AM19-AM15</x:f>
        <x:v>21656737.652695525</x:v>
      </x:c>
      <x:c r="AN20" s="43" t="n">
        <x:f>AN18+AN19-AN15</x:f>
        <x:v>21656737.652695525</x:v>
      </x:c>
      <x:c r="AO20" s="43" t="n">
        <x:f>AO18+AO19-AO15</x:f>
        <x:v>21656737.652695525</x:v>
      </x:c>
      <x:c r="AP20" s="43" t="n">
        <x:f>AP18+AP19-AP15</x:f>
        <x:v>21656737.652695525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80035788.6753396</x:v>
      </x:c>
      <x:c r="F21" s="42"/>
      <x:c r="G21" s="43" t="n">
        <x:f>G16-G20</x:f>
        <x:v>283007562.8412154</x:v>
      </x:c>
      <x:c r="H21" s="43" t="n">
        <x:f>H16-H20</x:f>
        <x:v>184515035.87264645</x:v>
      </x:c>
      <x:c r="I21" s="43" t="n">
        <x:f>I16-I20</x:f>
        <x:v>133224496.65087833</x:v>
      </x:c>
      <x:c r="J21" s="43" t="n">
        <x:f>J16-J20</x:f>
        <x:v>106208693.23591316</x:v>
      </x:c>
      <x:c r="K21" s="43" t="n">
        <x:f>K16-K20</x:f>
        <x:v>92208633.9305883</x:v>
      </x:c>
      <x:c r="L21" s="43" t="n">
        <x:f>L16-L20</x:f>
        <x:v>85229183.448484</x:v>
      </x:c>
      <x:c r="M21" s="43" t="n">
        <x:f>M16-M20</x:f>
        <x:v>81870304.10995126</x:v>
      </x:c>
      <x:c r="N21" s="43" t="n">
        <x:f>N16-N20</x:f>
        <x:v>80463324.35855536</x:v>
      </x:c>
      <x:c r="O21" s="43" t="n">
        <x:f>O16-O20</x:f>
        <x:v>80035788.67533958</x:v>
      </x:c>
      <x:c r="P21" s="43" t="n">
        <x:f>P16-P20</x:f>
        <x:v>80035788.6753396</x:v>
      </x:c>
      <x:c r="Q21" s="43" t="n">
        <x:f>Q16-Q20</x:f>
        <x:v>80035788.6753396</x:v>
      </x:c>
      <x:c r="R21" s="43" t="n">
        <x:f>R16-R20</x:f>
        <x:v>80035788.6753396</x:v>
      </x:c>
      <x:c r="S21" s="43" t="n">
        <x:f>S16-S20</x:f>
        <x:v>80035788.6753396</x:v>
      </x:c>
      <x:c r="T21" s="43" t="n">
        <x:f>T16-T20</x:f>
        <x:v>80035788.6753396</x:v>
      </x:c>
      <x:c r="U21" s="43" t="n">
        <x:f>U16-U20</x:f>
        <x:v>80035788.6753396</x:v>
      </x:c>
      <x:c r="V21" s="43" t="n">
        <x:f>V16-V20</x:f>
        <x:v>80035788.6753396</x:v>
      </x:c>
      <x:c r="W21" s="43" t="n">
        <x:f>W16-W20</x:f>
        <x:v>80035788.6753396</x:v>
      </x:c>
      <x:c r="X21" s="43" t="n">
        <x:f>X16-X20</x:f>
        <x:v>80035788.6753396</x:v>
      </x:c>
      <x:c r="Y21" s="43" t="n">
        <x:f>Y16-Y20</x:f>
        <x:v>80035788.6753396</x:v>
      </x:c>
      <x:c r="Z21" s="43" t="n">
        <x:f>Z16-Z20</x:f>
        <x:v>80035788.6753396</x:v>
      </x:c>
      <x:c r="AA21" s="43" t="n">
        <x:f>AA16-AA20</x:f>
        <x:v>80035788.6753396</x:v>
      </x:c>
      <x:c r="AB21" s="43" t="n">
        <x:f>AB16-AB20</x:f>
        <x:v>80035788.6753396</x:v>
      </x:c>
      <x:c r="AC21" s="43" t="n">
        <x:f>AC16-AC20</x:f>
        <x:v>80035788.6753396</x:v>
      </x:c>
      <x:c r="AD21" s="43" t="n">
        <x:f>AD16-AD20</x:f>
        <x:v>80035788.6753396</x:v>
      </x:c>
      <x:c r="AE21" s="43" t="n">
        <x:f>AE16-AE20</x:f>
        <x:v>80035788.6753396</x:v>
      </x:c>
      <x:c r="AF21" s="43" t="n">
        <x:f>AF16-AF20</x:f>
        <x:v>80035788.6753396</x:v>
      </x:c>
      <x:c r="AG21" s="43" t="n">
        <x:f>AG16-AG20</x:f>
        <x:v>80035788.6753396</x:v>
      </x:c>
      <x:c r="AH21" s="43" t="n">
        <x:f>AH16-AH20</x:f>
        <x:v>80035788.6753396</x:v>
      </x:c>
      <x:c r="AI21" s="43" t="n">
        <x:f>AI16-AI20</x:f>
        <x:v>80035788.6753396</x:v>
      </x:c>
      <x:c r="AJ21" s="43" t="n">
        <x:f>AJ16-AJ20</x:f>
        <x:v>80035788.6753396</x:v>
      </x:c>
      <x:c r="AK21" s="43" t="n">
        <x:f>AK16-AK20</x:f>
        <x:v>80035788.6753396</x:v>
      </x:c>
      <x:c r="AL21" s="43" t="n">
        <x:f>AL16-AL20</x:f>
        <x:v>80035788.6753396</x:v>
      </x:c>
      <x:c r="AM21" s="43" t="n">
        <x:f>AM16-AM20</x:f>
        <x:v>80035788.6753396</x:v>
      </x:c>
      <x:c r="AN21" s="43" t="n">
        <x:f>AN16-AN20</x:f>
        <x:v>80035788.6753396</x:v>
      </x:c>
      <x:c r="AO21" s="43" t="n">
        <x:f>AO16-AO20</x:f>
        <x:v>80035788.6753396</x:v>
      </x:c>
      <x:c r="AP21" s="43" t="n">
        <x:f>AP16-AP20</x:f>
        <x:v>80035788.6753396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12" t="n">
        <x:f>IF(G13-G15=0,0,G24*12/(G13-G15))</x:f>
        <x:v>0.7299999999999999</x:v>
      </x:c>
      <x:c r="H23" s="12" t="n">
        <x:f>IF(H13-H15=0,0,H24*12/(H13-H15))</x:f>
        <x:v>0.7236147528577789</x:v>
      </x:c>
      <x:c r="I23" s="12" t="n">
        <x:f>IF(I13-I15=0,0,I24*12/(I13-I15))</x:f>
        <x:v>0.7189033702494867</x:v>
      </x:c>
      <x:c r="J23" s="12" t="n">
        <x:f>IF(J13-J15=0,0,J24*12/(J13-J15))</x:f>
        <x:v>0.7159608433178459</x:v>
      </x:c>
      <x:c r="K23" s="12" t="n">
        <x:f>IF(K13-K15=0,0,K24*12/(K13-K15))</x:f>
        <x:v>0.7147587139625979</x:v>
      </x:c>
      <x:c r="L23" s="12" t="n">
        <x:f>IF(L13-L15=0,0,L24*12/(L13-L15))</x:f>
        <x:v>0.7147796850919734</x:v>
      </x:c>
      <x:c r="M23" s="12" t="n">
        <x:f>IF(M13-M15=0,0,M24*12/(M13-M15))</x:f>
        <x:v>0.7153216405480418</x:v>
      </x:c>
      <x:c r="N23" s="12" t="n">
        <x:f>IF(N13-N15=0,0,N24*12/(N13-N15))</x:f>
        <x:v>0.7159073330705708</x:v>
      </x:c>
      <x:c r="O23" s="12" t="n">
        <x:f>IF(O13-O15=0,0,O24*12/(O13-O15))</x:f>
        <x:v>0.7163053370279846</x:v>
      </x:c>
      <x:c r="P23" s="12" t="n">
        <x:f>IF(P13-P15=0,0,P24*12/(P13-P15))</x:f>
        <x:v>0.7164709673173041</x:v>
      </x:c>
      <x:c r="Q23" s="12" t="n">
        <x:f>IF(Q13-Q15=0,0,Q24*12/(Q13-Q15))</x:f>
        <x:v>0.7164709673173041</x:v>
      </x:c>
      <x:c r="R23" s="12" t="n">
        <x:f>IF(R13-R15=0,0,R24*12/(R13-R15))</x:f>
        <x:v>0.7164709673173041</x:v>
      </x:c>
      <x:c r="S23" s="12" t="n">
        <x:f>IF(S13-S15=0,0,S24*12/(S13-S15))</x:f>
        <x:v>0.7164709673173041</x:v>
      </x:c>
      <x:c r="T23" s="12" t="n">
        <x:f>IF(T13-T15=0,0,T24*12/(T13-T15))</x:f>
        <x:v>0.7164709673173041</x:v>
      </x:c>
      <x:c r="U23" s="12" t="n">
        <x:f>IF(U13-U15=0,0,U24*12/(U13-U15))</x:f>
        <x:v>0.7164709673173041</x:v>
      </x:c>
      <x:c r="V23" s="12" t="n">
        <x:f>IF(V13-V15=0,0,V24*12/(V13-V15))</x:f>
        <x:v>0.7164709673173041</x:v>
      </x:c>
      <x:c r="W23" s="12" t="n">
        <x:f>IF(W13-W15=0,0,W24*12/(W13-W15))</x:f>
        <x:v>0.7164709673173041</x:v>
      </x:c>
      <x:c r="X23" s="12" t="n">
        <x:f>IF(X13-X15=0,0,X24*12/(X13-X15))</x:f>
        <x:v>0.7164709673173041</x:v>
      </x:c>
      <x:c r="Y23" s="12" t="n">
        <x:f>IF(Y13-Y15=0,0,Y24*12/(Y13-Y15))</x:f>
        <x:v>0.7164709673173041</x:v>
      </x:c>
      <x:c r="Z23" s="12" t="n">
        <x:f>IF(Z13-Z15=0,0,Z24*12/(Z13-Z15))</x:f>
        <x:v>0.7164709673173041</x:v>
      </x:c>
      <x:c r="AA23" s="12" t="n">
        <x:f>IF(AA13-AA15=0,0,AA24*12/(AA13-AA15))</x:f>
        <x:v>0.7164709673173041</x:v>
      </x:c>
      <x:c r="AB23" s="12" t="n">
        <x:f>IF(AB13-AB15=0,0,AB24*12/(AB13-AB15))</x:f>
        <x:v>0.7164709673173041</x:v>
      </x:c>
      <x:c r="AC23" s="12" t="n">
        <x:f>IF(AC13-AC15=0,0,AC24*12/(AC13-AC15))</x:f>
        <x:v>0.7164709673173041</x:v>
      </x:c>
      <x:c r="AD23" s="12" t="n">
        <x:f>IF(AD13-AD15=0,0,AD24*12/(AD13-AD15))</x:f>
        <x:v>0.7164709673173041</x:v>
      </x:c>
      <x:c r="AE23" s="12" t="n">
        <x:f>IF(AE13-AE15=0,0,AE24*12/(AE13-AE15))</x:f>
        <x:v>0.7164709673173041</x:v>
      </x:c>
      <x:c r="AF23" s="12" t="n">
        <x:f>IF(AF13-AF15=0,0,AF24*12/(AF13-AF15))</x:f>
        <x:v>0.7164709673173041</x:v>
      </x:c>
      <x:c r="AG23" s="12" t="n">
        <x:f>IF(AG13-AG15=0,0,AG24*12/(AG13-AG15))</x:f>
        <x:v>0.7164709673173041</x:v>
      </x:c>
      <x:c r="AH23" s="12" t="n">
        <x:f>IF(AH13-AH15=0,0,AH24*12/(AH13-AH15))</x:f>
        <x:v>0.7164709673173041</x:v>
      </x:c>
      <x:c r="AI23" s="12" t="n">
        <x:f>IF(AI13-AI15=0,0,AI24*12/(AI13-AI15))</x:f>
        <x:v>0.7164709673173041</x:v>
      </x:c>
      <x:c r="AJ23" s="12" t="n">
        <x:f>IF(AJ13-AJ15=0,0,AJ24*12/(AJ13-AJ15))</x:f>
        <x:v>0.7164709673173041</x:v>
      </x:c>
      <x:c r="AK23" s="12" t="n">
        <x:f>IF(AK13-AK15=0,0,AK24*12/(AK13-AK15))</x:f>
        <x:v>0.7164709673173041</x:v>
      </x:c>
      <x:c r="AL23" s="12" t="n">
        <x:f>IF(AL13-AL15=0,0,AL24*12/(AL13-AL15))</x:f>
        <x:v>0.7164709673173041</x:v>
      </x:c>
      <x:c r="AM23" s="12" t="n">
        <x:f>IF(AM13-AM15=0,0,AM24*12/(AM13-AM15))</x:f>
        <x:v>0.7164709673173041</x:v>
      </x:c>
      <x:c r="AN23" s="12" t="n">
        <x:f>IF(AN13-AN15=0,0,AN24*12/(AN13-AN15))</x:f>
        <x:v>0.7164709673173041</x:v>
      </x:c>
      <x:c r="AO23" s="12" t="n">
        <x:f>IF(AO13-AO15=0,0,AO24*12/(AO13-AO15))</x:f>
        <x:v>0.7164709673173041</x:v>
      </x:c>
      <x:c r="AP23" s="12" t="n">
        <x:f>IF(AP13-AP15=0,0,AP24*12/(AP13-AP15))</x:f>
        <x:v>0.7164709673173041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191643279.56747723</x:v>
      </x:c>
      <x:c r="F24" s="42"/>
      <x:c r="G24" s="43" t="n">
        <x:f>G53</x:f>
        <x:v>34335519.904440455</x:v>
      </x:c>
      <x:c r="H24" s="43" t="n">
        <x:f>H53</x:f>
        <x:v>19757263.79838032</x:v>
      </x:c>
      <x:c r="I24" s="43" t="n">
        <x:f>I53</x:f>
        <x:v>12809327.76976813</x:v>
      </x:c>
      <x:c r="J24" s="43" t="n">
        <x:f>J53</x:f>
        <x:v>9229597.780222671</x:v>
      </x:c>
      <x:c r="K24" s="43" t="n">
        <x:f>K53</x:f>
        <x:v>7370368.407201759</x:v>
      </x:c>
      <x:c r="L24" s="43" t="n">
        <x:f>L53</x:f>
        <x:v>6424551.453513425</x:v>
      </x:c>
      <x:c r="M24" s="43" t="n">
        <x:f>M53</x:f>
        <x:v>5957528.58924066</x:v>
      </x:c>
      <x:c r="N24" s="43" t="n">
        <x:f>N53</x:f>
        <x:v>5737407.380112367</x:v>
      </x:c>
      <x:c r="O24" s="43" t="n">
        <x:f>O53</x:f>
        <x:v>5649063.577389726</x:v>
      </x:c>
      <x:c r="P24" s="43" t="n">
        <x:f>P53</x:f>
        <x:v>5624843.393813846</x:v>
      </x:c>
      <x:c r="Q24" s="43" t="n">
        <x:f>Q53</x:f>
        <x:v>5624843.393813847</x:v>
      </x:c>
      <x:c r="R24" s="43" t="n">
        <x:f>R53</x:f>
        <x:v>5624843.393813847</x:v>
      </x:c>
      <x:c r="S24" s="43" t="n">
        <x:f>S53</x:f>
        <x:v>5624843.393813847</x:v>
      </x:c>
      <x:c r="T24" s="43" t="n">
        <x:f>T53</x:f>
        <x:v>5624843.393813847</x:v>
      </x:c>
      <x:c r="U24" s="43" t="n">
        <x:f>U53</x:f>
        <x:v>5624843.393813847</x:v>
      </x:c>
      <x:c r="V24" s="43" t="n">
        <x:f>V53</x:f>
        <x:v>5624843.393813847</x:v>
      </x:c>
      <x:c r="W24" s="43" t="n">
        <x:f>W53</x:f>
        <x:v>5624843.393813847</x:v>
      </x:c>
      <x:c r="X24" s="43" t="n">
        <x:f>X53</x:f>
        <x:v>5624843.393813847</x:v>
      </x:c>
      <x:c r="Y24" s="43" t="n">
        <x:f>Y53</x:f>
        <x:v>5624843.393813847</x:v>
      </x:c>
      <x:c r="Z24" s="43" t="n">
        <x:f>Z53</x:f>
        <x:v>5624843.393813847</x:v>
      </x:c>
      <x:c r="AA24" s="43" t="n">
        <x:f>AA53</x:f>
        <x:v>5624843.393813847</x:v>
      </x:c>
      <x:c r="AB24" s="43" t="n">
        <x:f>AB53</x:f>
        <x:v>5624843.393813847</x:v>
      </x:c>
      <x:c r="AC24" s="43" t="n">
        <x:f>AC53</x:f>
        <x:v>5624843.393813847</x:v>
      </x:c>
      <x:c r="AD24" s="43" t="n">
        <x:f>AD53</x:f>
        <x:v>5624843.393813847</x:v>
      </x:c>
      <x:c r="AE24" s="43" t="n">
        <x:f>AE53</x:f>
        <x:v>5624843.393813847</x:v>
      </x:c>
      <x:c r="AF24" s="43" t="n">
        <x:f>AF53</x:f>
        <x:v>5624843.393813847</x:v>
      </x:c>
      <x:c r="AG24" s="43" t="n">
        <x:f>AG53</x:f>
        <x:v>5624843.393813847</x:v>
      </x:c>
      <x:c r="AH24" s="43" t="n">
        <x:f>AH53</x:f>
        <x:v>5624843.393813847</x:v>
      </x:c>
      <x:c r="AI24" s="43" t="n">
        <x:f>AI53</x:f>
        <x:v>5624843.393813847</x:v>
      </x:c>
      <x:c r="AJ24" s="43" t="n">
        <x:f>AJ53</x:f>
        <x:v>5624843.393813847</x:v>
      </x:c>
      <x:c r="AK24" s="43" t="n">
        <x:f>AK53</x:f>
        <x:v>5624843.393813847</x:v>
      </x:c>
      <x:c r="AL24" s="43" t="n">
        <x:f>AL53</x:f>
        <x:v>5624843.393813847</x:v>
      </x:c>
      <x:c r="AM24" s="43" t="n">
        <x:f>AM53</x:f>
        <x:v>5624843.393813847</x:v>
      </x:c>
      <x:c r="AN24" s="43" t="n">
        <x:f>AN53</x:f>
        <x:v>5624843.393813847</x:v>
      </x:c>
      <x:c r="AO24" s="43" t="n">
        <x:f>AO53</x:f>
        <x:v>5624843.393813847</x:v>
      </x:c>
      <x:c r="AP24" s="43" t="n">
        <x:f>AP53</x:f>
        <x:v>5624843.393813847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12042244.181587324</x:v>
      </x:c>
      <x:c r="F25" s="46"/>
      <x:c r="G25" s="47" t="n">
        <x:f>G24-G19</x:f>
        <x:v>26852143.43002838</x:v>
      </x:c>
      <x:c r="H25" s="47" t="n">
        <x:f>H24-H19</x:f>
        <x:v>12273887.323968241</x:v>
      </x:c>
      <x:c r="I25" s="47" t="n">
        <x:f>I24-I19</x:f>
        <x:v>5325951.295356052</x:v>
      </x:c>
      <x:c r="J25" s="47" t="n">
        <x:f>J24-J19</x:f>
        <x:v>1746221.305810593</x:v>
      </x:c>
      <x:c r="K25" s="47" t="n">
        <x:f>K24-K19</x:f>
        <x:v>-113008.06721031945</x:v>
      </x:c>
      <x:c r="L25" s="47" t="n">
        <x:f>L24-L19</x:f>
        <x:v>-1058825.0208986532</x:v>
      </x:c>
      <x:c r="M25" s="47" t="n">
        <x:f>M24-M19</x:f>
        <x:v>-1525847.885171418</x:v>
      </x:c>
      <x:c r="N25" s="47" t="n">
        <x:f>N24-N19</x:f>
        <x:v>-1745969.0942997113</x:v>
      </x:c>
      <x:c r="O25" s="47" t="n">
        <x:f>O24-O19</x:f>
        <x:v>-1834312.8970223516</x:v>
      </x:c>
      <x:c r="P25" s="47" t="n">
        <x:f>P24-P19</x:f>
        <x:v>-1858533.0805982323</x:v>
      </x:c>
      <x:c r="Q25" s="47" t="n">
        <x:f>Q24-Q19</x:f>
        <x:v>-1858533.0805982314</x:v>
      </x:c>
      <x:c r="R25" s="47" t="n">
        <x:f>R24-R19</x:f>
        <x:v>-1858533.0805982314</x:v>
      </x:c>
      <x:c r="S25" s="47" t="n">
        <x:f>S24-S19</x:f>
        <x:v>-1858533.0805982314</x:v>
      </x:c>
      <x:c r="T25" s="47" t="n">
        <x:f>T24-T19</x:f>
        <x:v>-1858533.0805982314</x:v>
      </x:c>
      <x:c r="U25" s="47" t="n">
        <x:f>U24-U19</x:f>
        <x:v>-1858533.0805982314</x:v>
      </x:c>
      <x:c r="V25" s="47" t="n">
        <x:f>V24-V19</x:f>
        <x:v>-1858533.0805982314</x:v>
      </x:c>
      <x:c r="W25" s="47" t="n">
        <x:f>W24-W19</x:f>
        <x:v>-1858533.0805982314</x:v>
      </x:c>
      <x:c r="X25" s="47" t="n">
        <x:f>X24-X19</x:f>
        <x:v>-1858533.0805982314</x:v>
      </x:c>
      <x:c r="Y25" s="47" t="n">
        <x:f>Y24-Y19</x:f>
        <x:v>-1858533.0805982314</x:v>
      </x:c>
      <x:c r="Z25" s="47" t="n">
        <x:f>Z24-Z19</x:f>
        <x:v>-1858533.0805982314</x:v>
      </x:c>
      <x:c r="AA25" s="47" t="n">
        <x:f>AA24-AA19</x:f>
        <x:v>-1858533.0805982314</x:v>
      </x:c>
      <x:c r="AB25" s="47" t="n">
        <x:f>AB24-AB19</x:f>
        <x:v>-1858533.0805982314</x:v>
      </x:c>
      <x:c r="AC25" s="47" t="n">
        <x:f>AC24-AC19</x:f>
        <x:v>-1858533.0805982314</x:v>
      </x:c>
      <x:c r="AD25" s="47" t="n">
        <x:f>AD24-AD19</x:f>
        <x:v>-1858533.0805982314</x:v>
      </x:c>
      <x:c r="AE25" s="47" t="n">
        <x:f>AE24-AE19</x:f>
        <x:v>-1858533.0805982314</x:v>
      </x:c>
      <x:c r="AF25" s="47" t="n">
        <x:f>AF24-AF19</x:f>
        <x:v>-1858533.0805982314</x:v>
      </x:c>
      <x:c r="AG25" s="47" t="n">
        <x:f>AG24-AG19</x:f>
        <x:v>-1858533.0805982314</x:v>
      </x:c>
      <x:c r="AH25" s="47" t="n">
        <x:f>AH24-AH19</x:f>
        <x:v>-1858533.0805982314</x:v>
      </x:c>
      <x:c r="AI25" s="47" t="n">
        <x:f>AI24-AI19</x:f>
        <x:v>-1858533.0805982314</x:v>
      </x:c>
      <x:c r="AJ25" s="47" t="n">
        <x:f>AJ24-AJ19</x:f>
        <x:v>-1858533.0805982314</x:v>
      </x:c>
      <x:c r="AK25" s="47" t="n">
        <x:f>AK24-AK19</x:f>
        <x:v>-1858533.0805982314</x:v>
      </x:c>
      <x:c r="AL25" s="47" t="n">
        <x:f>AL24-AL19</x:f>
        <x:v>-1858533.0805982314</x:v>
      </x:c>
      <x:c r="AM25" s="47" t="n">
        <x:f>AM24-AM19</x:f>
        <x:v>-1858533.0805982314</x:v>
      </x:c>
      <x:c r="AN25" s="47" t="n">
        <x:f>AN24-AN19</x:f>
        <x:v>-1858533.0805982314</x:v>
      </x:c>
      <x:c r="AO25" s="47" t="n">
        <x:f>AO24-AO19</x:f>
        <x:v>-1858533.0805982314</x:v>
      </x:c>
      <x:c r="AP25" s="47" t="n">
        <x:f>AP24-AP19</x:f>
        <x:v>-1858533.0805982314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149785615.0353614</x:v>
      </x:c>
      <x:c r="F27" s="2"/>
      <x:c r="G27" s="35" t="n">
        <x:f>IF('Assumptions'!$E$9=2,'Short-Term build'!G27,IF('Assumptions'!$E$9=3,'Installment build'!G27,'Short-Term build'!G27+'Installment build'!G27))</x:f>
        <x:v>74580494.72152674</x:v>
      </x:c>
      <x:c r="H27" s="35" t="n">
        <x:f>IF('Assumptions'!$E$9=2,'Short-Term build'!H27,IF('Assumptions'!$E$9=3,'Installment build'!H27,'Short-Term build'!H27+'Installment build'!H27))</x:f>
        <x:v>35693750.11285289</x:v>
      </x:c>
      <x:c r="I27" s="35" t="n">
        <x:f>IF('Assumptions'!$E$9=2,'Short-Term build'!I27,IF('Assumptions'!$E$9=3,'Installment build'!I27,'Short-Term build'!I27+'Installment build'!I27))</x:f>
        <x:v>18785650.833019786</x:v>
      </x:c>
      <x:c r="J27" s="35" t="n">
        <x:f>IF('Assumptions'!$E$9=2,'Short-Term build'!J27,IF('Assumptions'!$E$9=3,'Installment build'!J27,'Short-Term build'!J27+'Installment build'!J27))</x:f>
        <x:v>10126605.536961738</x:v>
      </x:c>
      <x:c r="K27" s="35" t="n">
        <x:f>IF('Assumptions'!$E$9=2,'Short-Term build'!K27,IF('Assumptions'!$E$9=3,'Installment build'!K27,'Short-Term build'!K27+'Installment build'!K27))</x:f>
        <x:v>5406575.380120412</x:v>
      </x:c>
      <x:c r="L27" s="35" t="n">
        <x:f>IF('Assumptions'!$E$9=2,'Short-Term build'!L27,IF('Assumptions'!$E$9=3,'Installment build'!L27,'Short-Term build'!L27+'Installment build'!L27))</x:f>
        <x:v>2741521.9375711777</x:v>
      </x:c>
      <x:c r="M27" s="35" t="n">
        <x:f>IF('Assumptions'!$E$9=2,'Short-Term build'!M27,IF('Assumptions'!$E$9=3,'Installment build'!M27,'Short-Term build'!M27+'Installment build'!M27))</x:f>
        <x:v>1475851.8802465503</x:v>
      </x:c>
      <x:c r="N27" s="35" t="n">
        <x:f>IF('Assumptions'!$E$9=2,'Short-Term build'!N27,IF('Assumptions'!$E$9=3,'Installment build'!N27,'Short-Term build'!N27+'Installment build'!N27))</x:f>
        <x:v>723127.3437963002</x:v>
      </x:c>
      <x:c r="O27" s="35" t="n">
        <x:f>IF('Assumptions'!$E$9=2,'Short-Term build'!O27,IF('Assumptions'!$E$9=3,'Installment build'!O27,'Short-Term build'!O27+'Installment build'!O27))</x:f>
        <x:v>252037.2892658139</x:v>
      </x:c>
      <x:c r="P27" s="35" t="n">
        <x:f>IF('Assumptions'!$E$9=2,'Short-Term build'!P27,IF('Assumptions'!$E$9=3,'Installment build'!P27,'Short-Term build'!P27+'Installment build'!P27))</x:f>
        <x:v>0</x:v>
      </x:c>
      <x:c r="Q27" s="35" t="n">
        <x:f>IF('Assumptions'!$E$9=2,'Short-Term build'!Q27,IF('Assumptions'!$E$9=3,'Installment build'!Q27,'Short-Term build'!Q27+'Installment build'!Q27))</x:f>
        <x:v>0</x:v>
      </x:c>
      <x:c r="R27" s="35" t="n">
        <x:f>IF('Assumptions'!$E$9=2,'Short-Term build'!R27,IF('Assumptions'!$E$9=3,'Installment build'!R27,'Short-Term build'!R27+'Installment build'!R27))</x:f>
        <x:v>0</x:v>
      </x:c>
      <x:c r="S27" s="35" t="n">
        <x:f>IF('Assumptions'!$E$9=2,'Short-Term build'!S27,IF('Assumptions'!$E$9=3,'Installment build'!S27,'Short-Term build'!S27+'Installment build'!S27))</x:f>
        <x:v>0</x:v>
      </x:c>
      <x:c r="T27" s="35" t="n">
        <x:f>IF('Assumptions'!$E$9=2,'Short-Term build'!T27,IF('Assumptions'!$E$9=3,'Installment build'!T27,'Short-Term build'!T27+'Installment build'!T27))</x:f>
        <x:v>0</x:v>
      </x:c>
      <x:c r="U27" s="35" t="n">
        <x:f>IF('Assumptions'!$E$9=2,'Short-Term build'!U27,IF('Assumptions'!$E$9=3,'Installment build'!U27,'Short-Term build'!U27+'Installment build'!U27))</x:f>
        <x:v>0</x:v>
      </x:c>
      <x:c r="V27" s="35" t="n">
        <x:f>IF('Assumptions'!$E$9=2,'Short-Term build'!V27,IF('Assumptions'!$E$9=3,'Installment build'!V27,'Short-Term build'!V27+'Installment build'!V27))</x:f>
        <x:v>0</x:v>
      </x:c>
      <x:c r="W27" s="35" t="n">
        <x:f>IF('Assumptions'!$E$9=2,'Short-Term build'!W27,IF('Assumptions'!$E$9=3,'Installment build'!W27,'Short-Term build'!W27+'Installment build'!W27))</x:f>
        <x:v>0</x:v>
      </x:c>
      <x:c r="X27" s="35" t="n">
        <x:f>IF('Assumptions'!$E$9=2,'Short-Term build'!X27,IF('Assumptions'!$E$9=3,'Installment build'!X27,'Short-Term build'!X27+'Installment build'!X27))</x:f>
        <x:v>0</x:v>
      </x:c>
      <x:c r="Y27" s="35" t="n">
        <x:f>IF('Assumptions'!$E$9=2,'Short-Term build'!Y27,IF('Assumptions'!$E$9=3,'Installment build'!Y27,'Short-Term build'!Y27+'Installment build'!Y27))</x:f>
        <x:v>0</x:v>
      </x:c>
      <x:c r="Z27" s="35" t="n">
        <x:f>IF('Assumptions'!$E$9=2,'Short-Term build'!Z27,IF('Assumptions'!$E$9=3,'Installment build'!Z27,'Short-Term build'!Z27+'Installment build'!Z27))</x:f>
        <x:v>0</x:v>
      </x:c>
      <x:c r="AA27" s="35" t="n">
        <x:f>IF('Assumptions'!$E$9=2,'Short-Term build'!AA27,IF('Assumptions'!$E$9=3,'Installment build'!AA27,'Short-Term build'!AA27+'Installment build'!AA27))</x:f>
        <x:v>0</x:v>
      </x:c>
      <x:c r="AB27" s="35" t="n">
        <x:f>IF('Assumptions'!$E$9=2,'Short-Term build'!AB27,IF('Assumptions'!$E$9=3,'Installment build'!AB27,'Short-Term build'!AB27+'Installment build'!AB27))</x:f>
        <x:v>0</x:v>
      </x:c>
      <x:c r="AC27" s="35" t="n">
        <x:f>IF('Assumptions'!$E$9=2,'Short-Term build'!AC27,IF('Assumptions'!$E$9=3,'Installment build'!AC27,'Short-Term build'!AC27+'Installment build'!AC27))</x:f>
        <x:v>0</x:v>
      </x:c>
      <x:c r="AD27" s="35" t="n">
        <x:f>IF('Assumptions'!$E$9=2,'Short-Term build'!AD27,IF('Assumptions'!$E$9=3,'Installment build'!AD27,'Short-Term build'!AD27+'Installment build'!AD27))</x:f>
        <x:v>0</x:v>
      </x:c>
      <x:c r="AE27" s="35" t="n">
        <x:f>IF('Assumptions'!$E$9=2,'Short-Term build'!AE27,IF('Assumptions'!$E$9=3,'Installment build'!AE27,'Short-Term build'!AE27+'Installment build'!AE27))</x:f>
        <x:v>0</x:v>
      </x:c>
      <x:c r="AF27" s="35" t="n">
        <x:f>IF('Assumptions'!$E$9=2,'Short-Term build'!AF27,IF('Assumptions'!$E$9=3,'Installment build'!AF27,'Short-Term build'!AF27+'Installment build'!AF27))</x:f>
        <x:v>0</x:v>
      </x:c>
      <x:c r="AG27" s="35" t="n">
        <x:f>IF('Assumptions'!$E$9=2,'Short-Term build'!AG27,IF('Assumptions'!$E$9=3,'Installment build'!AG27,'Short-Term build'!AG27+'Installment build'!AG27))</x:f>
        <x:v>0</x:v>
      </x:c>
      <x:c r="AH27" s="35" t="n">
        <x:f>IF('Assumptions'!$E$9=2,'Short-Term build'!AH27,IF('Assumptions'!$E$9=3,'Installment build'!AH27,'Short-Term build'!AH27+'Installment build'!AH27))</x:f>
        <x:v>0</x:v>
      </x:c>
      <x:c r="AI27" s="35" t="n">
        <x:f>IF('Assumptions'!$E$9=2,'Short-Term build'!AI27,IF('Assumptions'!$E$9=3,'Installment build'!AI27,'Short-Term build'!AI27+'Installment build'!AI27))</x:f>
        <x:v>0</x:v>
      </x:c>
      <x:c r="AJ27" s="35" t="n">
        <x:f>IF('Assumptions'!$E$9=2,'Short-Term build'!AJ27,IF('Assumptions'!$E$9=3,'Installment build'!AJ27,'Short-Term build'!AJ27+'Installment build'!AJ27))</x:f>
        <x:v>0</x:v>
      </x:c>
      <x:c r="AK27" s="35" t="n">
        <x:f>IF('Assumptions'!$E$9=2,'Short-Term build'!AK27,IF('Assumptions'!$E$9=3,'Installment build'!AK27,'Short-Term build'!AK27+'Installment build'!AK27))</x:f>
        <x:v>0</x:v>
      </x:c>
      <x:c r="AL27" s="35" t="n">
        <x:f>IF('Assumptions'!$E$9=2,'Short-Term build'!AL27,IF('Assumptions'!$E$9=3,'Installment build'!AL27,'Short-Term build'!AL27+'Installment build'!AL27))</x:f>
        <x:v>0</x:v>
      </x:c>
      <x:c r="AM27" s="35" t="n">
        <x:f>IF('Assumptions'!$E$9=2,'Short-Term build'!AM27,IF('Assumptions'!$E$9=3,'Installment build'!AM27,'Short-Term build'!AM27+'Installment build'!AM27))</x:f>
        <x:v>0</x:v>
      </x:c>
      <x:c r="AN27" s="35" t="n">
        <x:f>IF('Assumptions'!$E$9=2,'Short-Term build'!AN27,IF('Assumptions'!$E$9=3,'Installment build'!AN27,'Short-Term build'!AN27+'Installment build'!AN27))</x:f>
        <x:v>0</x:v>
      </x:c>
      <x:c r="AO27" s="35" t="n">
        <x:f>IF('Assumptions'!$E$9=2,'Short-Term build'!AO27,IF('Assumptions'!$E$9=3,'Installment build'!AO27,'Short-Term build'!AO27+'Installment build'!AO27))</x:f>
        <x:v>0</x:v>
      </x:c>
      <x:c r="AP27" s="35" t="n">
        <x:f>IF('Assumptions'!$E$9=2,'Short-Term build'!AP27,IF('Assumptions'!$E$9=3,'Installment build'!AP27,'Short-Term build'!AP27+'Installment build'!AP27))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157944297.7331944</x:v>
      </x:c>
      <x:c r="F28" s="2"/>
      <x:c r="G28" s="35" t="n">
        <x:f>IF('Assumptions'!$E$9=2,'Short-Term build'!G28,IF('Assumptions'!$E$9=3,'Installment build'!G28,'Short-Term build'!G28+'Installment build'!G28))</x:f>
        <x:v>0</x:v>
      </x:c>
      <x:c r="H28" s="35" t="n">
        <x:f>IF('Assumptions'!$E$9=2,'Short-Term build'!H28,IF('Assumptions'!$E$9=3,'Installment build'!H28,'Short-Term build'!H28+'Installment build'!H28))</x:f>
        <x:v>2359506.983585763</x:v>
      </x:c>
      <x:c r="I28" s="35" t="n">
        <x:f>IF('Assumptions'!$E$9=2,'Short-Term build'!I28,IF('Assumptions'!$E$9=3,'Installment build'!I28,'Short-Term build'!I28+'Installment build'!I28))</x:f>
        <x:v>4033544.912682344</x:v>
      </x:c>
      <x:c r="J28" s="35" t="n">
        <x:f>IF('Assumptions'!$E$9=2,'Short-Term build'!J28,IF('Assumptions'!$E$9=3,'Installment build'!J28,'Short-Term build'!J28+'Installment build'!J28))</x:f>
        <x:v>5186231.74582026</x:v>
      </x:c>
      <x:c r="K28" s="35" t="n">
        <x:f>IF('Assumptions'!$E$9=2,'Short-Term build'!K28,IF('Assumptions'!$E$9=3,'Installment build'!K28,'Short-Term build'!K28+'Installment build'!K28))</x:f>
        <x:v>6015205.4379475545</x:v>
      </x:c>
      <x:c r="L28" s="35" t="n">
        <x:f>IF('Assumptions'!$E$9=2,'Short-Term build'!L28,IF('Assumptions'!$E$9=3,'Installment build'!L28,'Short-Term build'!L28+'Installment build'!L28))</x:f>
        <x:v>6624169.414491846</x:v>
      </x:c>
      <x:c r="M28" s="35" t="n">
        <x:f>IF('Assumptions'!$E$9=2,'Short-Term build'!M28,IF('Assumptions'!$E$9=3,'Installment build'!M28,'Short-Term build'!M28+'Installment build'!M28))</x:f>
        <x:v>6944413.019972825</x:v>
      </x:c>
      <x:c r="N28" s="35" t="n">
        <x:f>IF('Assumptions'!$E$9=2,'Short-Term build'!N28,IF('Assumptions'!$E$9=3,'Installment build'!N28,'Short-Term build'!N28+'Installment build'!N28))</x:f>
        <x:v>7172792.984440684</x:v>
      </x:c>
      <x:c r="O28" s="35" t="n">
        <x:f>IF('Assumptions'!$E$9=2,'Short-Term build'!O28,IF('Assumptions'!$E$9=3,'Installment build'!O28,'Short-Term build'!O28+'Installment build'!O28))</x:f>
        <x:v>7357786.11807191</x:v>
      </x:c>
      <x:c r="P28" s="35" t="n">
        <x:f>IF('Assumptions'!$E$9=2,'Short-Term build'!P28,IF('Assumptions'!$E$9=3,'Installment build'!P28,'Short-Term build'!P28+'Installment build'!P28))</x:f>
        <x:v>7483376.474412079</x:v>
      </x:c>
      <x:c r="Q28" s="35" t="n">
        <x:f>IF('Assumptions'!$E$9=2,'Short-Term build'!Q28,IF('Assumptions'!$E$9=3,'Installment build'!Q28,'Short-Term build'!Q28+'Installment build'!Q28))</x:f>
        <x:v>7483376.474412079</x:v>
      </x:c>
      <x:c r="R28" s="35" t="n">
        <x:f>IF('Assumptions'!$E$9=2,'Short-Term build'!R28,IF('Assumptions'!$E$9=3,'Installment build'!R28,'Short-Term build'!R28+'Installment build'!R28))</x:f>
        <x:v>7483376.474412079</x:v>
      </x:c>
      <x:c r="S28" s="35" t="n">
        <x:f>IF('Assumptions'!$E$9=2,'Short-Term build'!S28,IF('Assumptions'!$E$9=3,'Installment build'!S28,'Short-Term build'!S28+'Installment build'!S28))</x:f>
        <x:v>7483376.474412079</x:v>
      </x:c>
      <x:c r="T28" s="35" t="n">
        <x:f>IF('Assumptions'!$E$9=2,'Short-Term build'!T28,IF('Assumptions'!$E$9=3,'Installment build'!T28,'Short-Term build'!T28+'Installment build'!T28))</x:f>
        <x:v>7483376.474412079</x:v>
      </x:c>
      <x:c r="U28" s="35" t="n">
        <x:f>IF('Assumptions'!$E$9=2,'Short-Term build'!U28,IF('Assumptions'!$E$9=3,'Installment build'!U28,'Short-Term build'!U28+'Installment build'!U28))</x:f>
        <x:v>7483376.474412079</x:v>
      </x:c>
      <x:c r="V28" s="35" t="n">
        <x:f>IF('Assumptions'!$E$9=2,'Short-Term build'!V28,IF('Assumptions'!$E$9=3,'Installment build'!V28,'Short-Term build'!V28+'Installment build'!V28))</x:f>
        <x:v>7483376.474412079</x:v>
      </x:c>
      <x:c r="W28" s="35" t="n">
        <x:f>IF('Assumptions'!$E$9=2,'Short-Term build'!W28,IF('Assumptions'!$E$9=3,'Installment build'!W28,'Short-Term build'!W28+'Installment build'!W28))</x:f>
        <x:v>7483376.474412079</x:v>
      </x:c>
      <x:c r="X28" s="35" t="n">
        <x:f>IF('Assumptions'!$E$9=2,'Short-Term build'!X28,IF('Assumptions'!$E$9=3,'Installment build'!X28,'Short-Term build'!X28+'Installment build'!X28))</x:f>
        <x:v>7483376.474412079</x:v>
      </x:c>
      <x:c r="Y28" s="35" t="n">
        <x:f>IF('Assumptions'!$E$9=2,'Short-Term build'!Y28,IF('Assumptions'!$E$9=3,'Installment build'!Y28,'Short-Term build'!Y28+'Installment build'!Y28))</x:f>
        <x:v>7483376.474412079</x:v>
      </x:c>
      <x:c r="Z28" s="35" t="n">
        <x:f>IF('Assumptions'!$E$9=2,'Short-Term build'!Z28,IF('Assumptions'!$E$9=3,'Installment build'!Z28,'Short-Term build'!Z28+'Installment build'!Z28))</x:f>
        <x:v>7483376.474412079</x:v>
      </x:c>
      <x:c r="AA28" s="35" t="n">
        <x:f>IF('Assumptions'!$E$9=2,'Short-Term build'!AA28,IF('Assumptions'!$E$9=3,'Installment build'!AA28,'Short-Term build'!AA28+'Installment build'!AA28))</x:f>
        <x:v>7483376.474412079</x:v>
      </x:c>
      <x:c r="AB28" s="35" t="n">
        <x:f>IF('Assumptions'!$E$9=2,'Short-Term build'!AB28,IF('Assumptions'!$E$9=3,'Installment build'!AB28,'Short-Term build'!AB28+'Installment build'!AB28))</x:f>
        <x:v>7483376.474412079</x:v>
      </x:c>
      <x:c r="AC28" s="35" t="n">
        <x:f>IF('Assumptions'!$E$9=2,'Short-Term build'!AC28,IF('Assumptions'!$E$9=3,'Installment build'!AC28,'Short-Term build'!AC28+'Installment build'!AC28))</x:f>
        <x:v>7483376.474412079</x:v>
      </x:c>
      <x:c r="AD28" s="35" t="n">
        <x:f>IF('Assumptions'!$E$9=2,'Short-Term build'!AD28,IF('Assumptions'!$E$9=3,'Installment build'!AD28,'Short-Term build'!AD28+'Installment build'!AD28))</x:f>
        <x:v>7483376.474412079</x:v>
      </x:c>
      <x:c r="AE28" s="35" t="n">
        <x:f>IF('Assumptions'!$E$9=2,'Short-Term build'!AE28,IF('Assumptions'!$E$9=3,'Installment build'!AE28,'Short-Term build'!AE28+'Installment build'!AE28))</x:f>
        <x:v>7483376.474412079</x:v>
      </x:c>
      <x:c r="AF28" s="35" t="n">
        <x:f>IF('Assumptions'!$E$9=2,'Short-Term build'!AF28,IF('Assumptions'!$E$9=3,'Installment build'!AF28,'Short-Term build'!AF28+'Installment build'!AF28))</x:f>
        <x:v>7483376.474412079</x:v>
      </x:c>
      <x:c r="AG28" s="35" t="n">
        <x:f>IF('Assumptions'!$E$9=2,'Short-Term build'!AG28,IF('Assumptions'!$E$9=3,'Installment build'!AG28,'Short-Term build'!AG28+'Installment build'!AG28))</x:f>
        <x:v>7483376.474412079</x:v>
      </x:c>
      <x:c r="AH28" s="35" t="n">
        <x:f>IF('Assumptions'!$E$9=2,'Short-Term build'!AH28,IF('Assumptions'!$E$9=3,'Installment build'!AH28,'Short-Term build'!AH28+'Installment build'!AH28))</x:f>
        <x:v>7483376.474412079</x:v>
      </x:c>
      <x:c r="AI28" s="35" t="n">
        <x:f>IF('Assumptions'!$E$9=2,'Short-Term build'!AI28,IF('Assumptions'!$E$9=3,'Installment build'!AI28,'Short-Term build'!AI28+'Installment build'!AI28))</x:f>
        <x:v>7483376.474412079</x:v>
      </x:c>
      <x:c r="AJ28" s="35" t="n">
        <x:f>IF('Assumptions'!$E$9=2,'Short-Term build'!AJ28,IF('Assumptions'!$E$9=3,'Installment build'!AJ28,'Short-Term build'!AJ28+'Installment build'!AJ28))</x:f>
        <x:v>7483376.474412079</x:v>
      </x:c>
      <x:c r="AK28" s="35" t="n">
        <x:f>IF('Assumptions'!$E$9=2,'Short-Term build'!AK28,IF('Assumptions'!$E$9=3,'Installment build'!AK28,'Short-Term build'!AK28+'Installment build'!AK28))</x:f>
        <x:v>7483376.474412079</x:v>
      </x:c>
      <x:c r="AL28" s="35" t="n">
        <x:f>IF('Assumptions'!$E$9=2,'Short-Term build'!AL28,IF('Assumptions'!$E$9=3,'Installment build'!AL28,'Short-Term build'!AL28+'Installment build'!AL28))</x:f>
        <x:v>7483376.474412079</x:v>
      </x:c>
      <x:c r="AM28" s="35" t="n">
        <x:f>IF('Assumptions'!$E$9=2,'Short-Term build'!AM28,IF('Assumptions'!$E$9=3,'Installment build'!AM28,'Short-Term build'!AM28+'Installment build'!AM28))</x:f>
        <x:v>7483376.474412079</x:v>
      </x:c>
      <x:c r="AN28" s="35" t="n">
        <x:f>IF('Assumptions'!$E$9=2,'Short-Term build'!AN28,IF('Assumptions'!$E$9=3,'Installment build'!AN28,'Short-Term build'!AN28+'Installment build'!AN28))</x:f>
        <x:v>7483376.474412079</x:v>
      </x:c>
      <x:c r="AO28" s="35" t="n">
        <x:f>IF('Assumptions'!$E$9=2,'Short-Term build'!AO28,IF('Assumptions'!$E$9=3,'Installment build'!AO28,'Short-Term build'!AO28+'Installment build'!AO28))</x:f>
        <x:v>7483376.474412079</x:v>
      </x:c>
      <x:c r="AP28" s="35" t="n">
        <x:f>IF('Assumptions'!$E$9=2,'Short-Term build'!AP28,IF('Assumptions'!$E$9=3,'Installment build'!AP28,'Short-Term build'!AP28+'Installment build'!AP28))</x:f>
        <x:v>7483376.474412079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489214384.9646387</x:v>
      </x:c>
      <x:c r="F29" s="2"/>
      <x:c r="G29" s="35" t="n">
        <x:f>IF('Assumptions'!$E$9=2,'Short-Term build'!G29,IF('Assumptions'!$E$9=3,'Installment build'!G29,'Short-Term build'!G29+'Installment build'!G29))</x:f>
        <x:v>233823445.6490111</x:v>
      </x:c>
      <x:c r="H29" s="35" t="n">
        <x:f>IF('Assumptions'!$E$9=2,'Short-Term build'!H29,IF('Assumptions'!$E$9=3,'Installment build'!H29,'Short-Term build'!H29+'Installment build'!H29))</x:f>
        <x:v>117402049.84392494</x:v>
      </x:c>
      <x:c r="I29" s="35" t="n">
        <x:f>IF('Assumptions'!$E$9=2,'Short-Term build'!I29,IF('Assumptions'!$E$9=3,'Installment build'!I29,'Short-Term build'!I29+'Installment build'!I29))</x:f>
        <x:v>64087243.033120036</x:v>
      </x:c>
      <x:c r="J29" s="35" t="n">
        <x:f>IF('Assumptions'!$E$9=2,'Short-Term build'!J29,IF('Assumptions'!$E$9=3,'Installment build'!J29,'Short-Term build'!J29+'Installment build'!J29))</x:f>
        <x:v>35479116.53575233</x:v>
      </x:c>
      <x:c r="K29" s="35" t="n">
        <x:f>IF('Assumptions'!$E$9=2,'Short-Term build'!K29,IF('Assumptions'!$E$9=3,'Installment build'!K29,'Short-Term build'!K29+'Installment build'!K29))</x:f>
        <x:v>19428239.01239329</x:v>
      </x:c>
      <x:c r="L29" s="35" t="n">
        <x:f>IF('Assumptions'!$E$9=2,'Short-Term build'!L29,IF('Assumptions'!$E$9=3,'Installment build'!L29,'Short-Term build'!L29+'Installment build'!L29))</x:f>
        <x:v>10321323.425682805</x:v>
      </x:c>
      <x:c r="M29" s="35" t="n">
        <x:f>IF('Assumptions'!$E$9=2,'Short-Term build'!M29,IF('Assumptions'!$E$9=3,'Installment build'!M29,'Short-Term build'!M29+'Installment build'!M29))</x:f>
        <x:v>5353777.125410465</x:v>
      </x:c>
      <x:c r="N29" s="35" t="n">
        <x:f>IF('Assumptions'!$E$9=2,'Short-Term build'!N29,IF('Assumptions'!$E$9=3,'Installment build'!N29,'Short-Term build'!N29+'Installment build'!N29))</x:f>
        <x:v>2467015.1843680954</x:v>
      </x:c>
      <x:c r="O29" s="35" t="n">
        <x:f>IF('Assumptions'!$E$9=2,'Short-Term build'!O29,IF('Assumptions'!$E$9=3,'Installment build'!O29,'Short-Term build'!O29+'Installment build'!O29))</x:f>
        <x:v>852175.1549757246</x:v>
      </x:c>
      <x:c r="P29" s="35" t="n">
        <x:f>IF('Assumptions'!$E$9=2,'Short-Term build'!P29,IF('Assumptions'!$E$9=3,'Installment build'!P29,'Short-Term build'!P29+'Installment build'!P29))</x:f>
        <x:v>0</x:v>
      </x:c>
      <x:c r="Q29" s="35" t="n">
        <x:f>IF('Assumptions'!$E$9=2,'Short-Term build'!Q29,IF('Assumptions'!$E$9=3,'Installment build'!Q29,'Short-Term build'!Q29+'Installment build'!Q29))</x:f>
        <x:v>0</x:v>
      </x:c>
      <x:c r="R29" s="35" t="n">
        <x:f>IF('Assumptions'!$E$9=2,'Short-Term build'!R29,IF('Assumptions'!$E$9=3,'Installment build'!R29,'Short-Term build'!R29+'Installment build'!R29))</x:f>
        <x:v>0</x:v>
      </x:c>
      <x:c r="S29" s="35" t="n">
        <x:f>IF('Assumptions'!$E$9=2,'Short-Term build'!S29,IF('Assumptions'!$E$9=3,'Installment build'!S29,'Short-Term build'!S29+'Installment build'!S29))</x:f>
        <x:v>0</x:v>
      </x:c>
      <x:c r="T29" s="35" t="n">
        <x:f>IF('Assumptions'!$E$9=2,'Short-Term build'!T29,IF('Assumptions'!$E$9=3,'Installment build'!T29,'Short-Term build'!T29+'Installment build'!T29))</x:f>
        <x:v>0</x:v>
      </x:c>
      <x:c r="U29" s="35" t="n">
        <x:f>IF('Assumptions'!$E$9=2,'Short-Term build'!U29,IF('Assumptions'!$E$9=3,'Installment build'!U29,'Short-Term build'!U29+'Installment build'!U29))</x:f>
        <x:v>0</x:v>
      </x:c>
      <x:c r="V29" s="35" t="n">
        <x:f>IF('Assumptions'!$E$9=2,'Short-Term build'!V29,IF('Assumptions'!$E$9=3,'Installment build'!V29,'Short-Term build'!V29+'Installment build'!V29))</x:f>
        <x:v>0</x:v>
      </x:c>
      <x:c r="W29" s="35" t="n">
        <x:f>IF('Assumptions'!$E$9=2,'Short-Term build'!W29,IF('Assumptions'!$E$9=3,'Installment build'!W29,'Short-Term build'!W29+'Installment build'!W29))</x:f>
        <x:v>0</x:v>
      </x:c>
      <x:c r="X29" s="35" t="n">
        <x:f>IF('Assumptions'!$E$9=2,'Short-Term build'!X29,IF('Assumptions'!$E$9=3,'Installment build'!X29,'Short-Term build'!X29+'Installment build'!X29))</x:f>
        <x:v>0</x:v>
      </x:c>
      <x:c r="Y29" s="35" t="n">
        <x:f>IF('Assumptions'!$E$9=2,'Short-Term build'!Y29,IF('Assumptions'!$E$9=3,'Installment build'!Y29,'Short-Term build'!Y29+'Installment build'!Y29))</x:f>
        <x:v>0</x:v>
      </x:c>
      <x:c r="Z29" s="35" t="n">
        <x:f>IF('Assumptions'!$E$9=2,'Short-Term build'!Z29,IF('Assumptions'!$E$9=3,'Installment build'!Z29,'Short-Term build'!Z29+'Installment build'!Z29))</x:f>
        <x:v>0</x:v>
      </x:c>
      <x:c r="AA29" s="35" t="n">
        <x:f>IF('Assumptions'!$E$9=2,'Short-Term build'!AA29,IF('Assumptions'!$E$9=3,'Installment build'!AA29,'Short-Term build'!AA29+'Installment build'!AA29))</x:f>
        <x:v>0</x:v>
      </x:c>
      <x:c r="AB29" s="35" t="n">
        <x:f>IF('Assumptions'!$E$9=2,'Short-Term build'!AB29,IF('Assumptions'!$E$9=3,'Installment build'!AB29,'Short-Term build'!AB29+'Installment build'!AB29))</x:f>
        <x:v>0</x:v>
      </x:c>
      <x:c r="AC29" s="35" t="n">
        <x:f>IF('Assumptions'!$E$9=2,'Short-Term build'!AC29,IF('Assumptions'!$E$9=3,'Installment build'!AC29,'Short-Term build'!AC29+'Installment build'!AC29))</x:f>
        <x:v>0</x:v>
      </x:c>
      <x:c r="AD29" s="35" t="n">
        <x:f>IF('Assumptions'!$E$9=2,'Short-Term build'!AD29,IF('Assumptions'!$E$9=3,'Installment build'!AD29,'Short-Term build'!AD29+'Installment build'!AD29))</x:f>
        <x:v>0</x:v>
      </x:c>
      <x:c r="AE29" s="35" t="n">
        <x:f>IF('Assumptions'!$E$9=2,'Short-Term build'!AE29,IF('Assumptions'!$E$9=3,'Installment build'!AE29,'Short-Term build'!AE29+'Installment build'!AE29))</x:f>
        <x:v>0</x:v>
      </x:c>
      <x:c r="AF29" s="35" t="n">
        <x:f>IF('Assumptions'!$E$9=2,'Short-Term build'!AF29,IF('Assumptions'!$E$9=3,'Installment build'!AF29,'Short-Term build'!AF29+'Installment build'!AF29))</x:f>
        <x:v>0</x:v>
      </x:c>
      <x:c r="AG29" s="35" t="n">
        <x:f>IF('Assumptions'!$E$9=2,'Short-Term build'!AG29,IF('Assumptions'!$E$9=3,'Installment build'!AG29,'Short-Term build'!AG29+'Installment build'!AG29))</x:f>
        <x:v>0</x:v>
      </x:c>
      <x:c r="AH29" s="35" t="n">
        <x:f>IF('Assumptions'!$E$9=2,'Short-Term build'!AH29,IF('Assumptions'!$E$9=3,'Installment build'!AH29,'Short-Term build'!AH29+'Installment build'!AH29))</x:f>
        <x:v>0</x:v>
      </x:c>
      <x:c r="AI29" s="35" t="n">
        <x:f>IF('Assumptions'!$E$9=2,'Short-Term build'!AI29,IF('Assumptions'!$E$9=3,'Installment build'!AI29,'Short-Term build'!AI29+'Installment build'!AI29))</x:f>
        <x:v>0</x:v>
      </x:c>
      <x:c r="AJ29" s="35" t="n">
        <x:f>IF('Assumptions'!$E$9=2,'Short-Term build'!AJ29,IF('Assumptions'!$E$9=3,'Installment build'!AJ29,'Short-Term build'!AJ29+'Installment build'!AJ29))</x:f>
        <x:v>0</x:v>
      </x:c>
      <x:c r="AK29" s="35" t="n">
        <x:f>IF('Assumptions'!$E$9=2,'Short-Term build'!AK29,IF('Assumptions'!$E$9=3,'Installment build'!AK29,'Short-Term build'!AK29+'Installment build'!AK29))</x:f>
        <x:v>0</x:v>
      </x:c>
      <x:c r="AL29" s="35" t="n">
        <x:f>IF('Assumptions'!$E$9=2,'Short-Term build'!AL29,IF('Assumptions'!$E$9=3,'Installment build'!AL29,'Short-Term build'!AL29+'Installment build'!AL29))</x:f>
        <x:v>0</x:v>
      </x:c>
      <x:c r="AM29" s="35" t="n">
        <x:f>IF('Assumptions'!$E$9=2,'Short-Term build'!AM29,IF('Assumptions'!$E$9=3,'Installment build'!AM29,'Short-Term build'!AM29+'Installment build'!AM29))</x:f>
        <x:v>0</x:v>
      </x:c>
      <x:c r="AN29" s="35" t="n">
        <x:f>IF('Assumptions'!$E$9=2,'Short-Term build'!AN29,IF('Assumptions'!$E$9=3,'Installment build'!AN29,'Short-Term build'!AN29+'Installment build'!AN29))</x:f>
        <x:v>0</x:v>
      </x:c>
      <x:c r="AO29" s="35" t="n">
        <x:f>IF('Assumptions'!$E$9=2,'Short-Term build'!AO29,IF('Assumptions'!$E$9=3,'Installment build'!AO29,'Short-Term build'!AO29+'Installment build'!AO29))</x:f>
        <x:v>0</x:v>
      </x:c>
      <x:c r="AP29" s="35" t="n">
        <x:f>IF('Assumptions'!$E$9=2,'Short-Term build'!AP29,IF('Assumptions'!$E$9=3,'Installment build'!AP29,'Short-Term build'!AP29+'Installment build'!AP29))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582763175.9387703</x:v>
      </x:c>
      <x:c r="F30" s="2"/>
      <x:c r="G30" s="35" t="n">
        <x:f>IF('Assumptions'!$E$9=2,'Short-Term build'!G30,IF('Assumptions'!$E$9=3,'Installment build'!G30,'Short-Term build'!G30+'Installment build'!G30))</x:f>
        <x:v>0</x:v>
      </x:c>
      <x:c r="H30" s="35" t="n">
        <x:f>IF('Assumptions'!$E$9=2,'Short-Term build'!H30,IF('Assumptions'!$E$9=3,'Installment build'!H30,'Short-Term build'!H30+'Installment build'!H30))</x:f>
        <x:v>8707100.65023188</x:v>
      </x:c>
      <x:c r="I30" s="35" t="n">
        <x:f>IF('Assumptions'!$E$9=2,'Short-Term build'!I30,IF('Assumptions'!$E$9=3,'Installment build'!I30,'Short-Term build'!I30+'Installment build'!I30))</x:f>
        <x:v>14819919.714236028</x:v>
      </x:c>
      <x:c r="J30" s="35" t="n">
        <x:f>IF('Assumptions'!$E$9=2,'Short-Term build'!J30,IF('Assumptions'!$E$9=3,'Installment build'!J30,'Short-Term build'!J30+'Installment build'!J30))</x:f>
        <x:v>19153310.404800784</x:v>
      </x:c>
      <x:c r="K30" s="35" t="n">
        <x:f>IF('Assumptions'!$E$9=2,'Short-Term build'!K30,IF('Assumptions'!$E$9=3,'Installment build'!K30,'Short-Term build'!K30+'Installment build'!K30))</x:f>
        <x:v>22188443.818519488</x:v>
      </x:c>
      <x:c r="L30" s="35" t="n">
        <x:f>IF('Assumptions'!$E$9=2,'Short-Term build'!L30,IF('Assumptions'!$E$9=3,'Installment build'!L30,'Short-Term build'!L30+'Installment build'!L30))</x:f>
        <x:v>24274750.58200942</x:v>
      </x:c>
      <x:c r="M30" s="35" t="n">
        <x:f>IF('Assumptions'!$E$9=2,'Short-Term build'!M30,IF('Assumptions'!$E$9=3,'Installment build'!M30,'Short-Term build'!M30+'Installment build'!M30))</x:f>
        <x:v>25621725.738710217</x:v>
      </x:c>
      <x:c r="N30" s="35" t="n">
        <x:f>IF('Assumptions'!$E$9=2,'Short-Term build'!N30,IF('Assumptions'!$E$9=3,'Installment build'!N30,'Short-Term build'!N30+'Installment build'!N30))</x:f>
        <x:v>26556588.09261573</x:v>
      </x:c>
      <x:c r="O30" s="35" t="n">
        <x:f>IF('Assumptions'!$E$9=2,'Short-Term build'!O30,IF('Assumptions'!$E$9=3,'Installment build'!O30,'Short-Term build'!O30+'Installment build'!O30))</x:f>
        <x:v>27191984.05382799</x:v>
      </x:c>
      <x:c r="P30" s="35" t="n">
        <x:f>IF('Assumptions'!$E$9=2,'Short-Term build'!P30,IF('Assumptions'!$E$9=3,'Installment build'!P30,'Short-Term build'!P30+'Installment build'!P30))</x:f>
        <x:v>27616623.525587924</x:v>
      </x:c>
      <x:c r="Q30" s="35" t="n">
        <x:f>IF('Assumptions'!$E$9=2,'Short-Term build'!Q30,IF('Assumptions'!$E$9=3,'Installment build'!Q30,'Short-Term build'!Q30+'Installment build'!Q30))</x:f>
        <x:v>27616623.525587924</x:v>
      </x:c>
      <x:c r="R30" s="35" t="n">
        <x:f>IF('Assumptions'!$E$9=2,'Short-Term build'!R30,IF('Assumptions'!$E$9=3,'Installment build'!R30,'Short-Term build'!R30+'Installment build'!R30))</x:f>
        <x:v>27616623.525587924</x:v>
      </x:c>
      <x:c r="S30" s="35" t="n">
        <x:f>IF('Assumptions'!$E$9=2,'Short-Term build'!S30,IF('Assumptions'!$E$9=3,'Installment build'!S30,'Short-Term build'!S30+'Installment build'!S30))</x:f>
        <x:v>27616623.525587924</x:v>
      </x:c>
      <x:c r="T30" s="35" t="n">
        <x:f>IF('Assumptions'!$E$9=2,'Short-Term build'!T30,IF('Assumptions'!$E$9=3,'Installment build'!T30,'Short-Term build'!T30+'Installment build'!T30))</x:f>
        <x:v>27616623.525587924</x:v>
      </x:c>
      <x:c r="U30" s="35" t="n">
        <x:f>IF('Assumptions'!$E$9=2,'Short-Term build'!U30,IF('Assumptions'!$E$9=3,'Installment build'!U30,'Short-Term build'!U30+'Installment build'!U30))</x:f>
        <x:v>27616623.525587924</x:v>
      </x:c>
      <x:c r="V30" s="35" t="n">
        <x:f>IF('Assumptions'!$E$9=2,'Short-Term build'!V30,IF('Assumptions'!$E$9=3,'Installment build'!V30,'Short-Term build'!V30+'Installment build'!V30))</x:f>
        <x:v>27616623.525587924</x:v>
      </x:c>
      <x:c r="W30" s="35" t="n">
        <x:f>IF('Assumptions'!$E$9=2,'Short-Term build'!W30,IF('Assumptions'!$E$9=3,'Installment build'!W30,'Short-Term build'!W30+'Installment build'!W30))</x:f>
        <x:v>27616623.525587924</x:v>
      </x:c>
      <x:c r="X30" s="35" t="n">
        <x:f>IF('Assumptions'!$E$9=2,'Short-Term build'!X30,IF('Assumptions'!$E$9=3,'Installment build'!X30,'Short-Term build'!X30+'Installment build'!X30))</x:f>
        <x:v>27616623.525587924</x:v>
      </x:c>
      <x:c r="Y30" s="35" t="n">
        <x:f>IF('Assumptions'!$E$9=2,'Short-Term build'!Y30,IF('Assumptions'!$E$9=3,'Installment build'!Y30,'Short-Term build'!Y30+'Installment build'!Y30))</x:f>
        <x:v>27616623.525587924</x:v>
      </x:c>
      <x:c r="Z30" s="35" t="n">
        <x:f>IF('Assumptions'!$E$9=2,'Short-Term build'!Z30,IF('Assumptions'!$E$9=3,'Installment build'!Z30,'Short-Term build'!Z30+'Installment build'!Z30))</x:f>
        <x:v>27616623.525587924</x:v>
      </x:c>
      <x:c r="AA30" s="35" t="n">
        <x:f>IF('Assumptions'!$E$9=2,'Short-Term build'!AA30,IF('Assumptions'!$E$9=3,'Installment build'!AA30,'Short-Term build'!AA30+'Installment build'!AA30))</x:f>
        <x:v>27616623.525587924</x:v>
      </x:c>
      <x:c r="AB30" s="35" t="n">
        <x:f>IF('Assumptions'!$E$9=2,'Short-Term build'!AB30,IF('Assumptions'!$E$9=3,'Installment build'!AB30,'Short-Term build'!AB30+'Installment build'!AB30))</x:f>
        <x:v>27616623.525587924</x:v>
      </x:c>
      <x:c r="AC30" s="35" t="n">
        <x:f>IF('Assumptions'!$E$9=2,'Short-Term build'!AC30,IF('Assumptions'!$E$9=3,'Installment build'!AC30,'Short-Term build'!AC30+'Installment build'!AC30))</x:f>
        <x:v>27616623.525587924</x:v>
      </x:c>
      <x:c r="AD30" s="35" t="n">
        <x:f>IF('Assumptions'!$E$9=2,'Short-Term build'!AD30,IF('Assumptions'!$E$9=3,'Installment build'!AD30,'Short-Term build'!AD30+'Installment build'!AD30))</x:f>
        <x:v>27616623.525587924</x:v>
      </x:c>
      <x:c r="AE30" s="35" t="n">
        <x:f>IF('Assumptions'!$E$9=2,'Short-Term build'!AE30,IF('Assumptions'!$E$9=3,'Installment build'!AE30,'Short-Term build'!AE30+'Installment build'!AE30))</x:f>
        <x:v>27616623.525587924</x:v>
      </x:c>
      <x:c r="AF30" s="35" t="n">
        <x:f>IF('Assumptions'!$E$9=2,'Short-Term build'!AF30,IF('Assumptions'!$E$9=3,'Installment build'!AF30,'Short-Term build'!AF30+'Installment build'!AF30))</x:f>
        <x:v>27616623.525587924</x:v>
      </x:c>
      <x:c r="AG30" s="35" t="n">
        <x:f>IF('Assumptions'!$E$9=2,'Short-Term build'!AG30,IF('Assumptions'!$E$9=3,'Installment build'!AG30,'Short-Term build'!AG30+'Installment build'!AG30))</x:f>
        <x:v>27616623.525587924</x:v>
      </x:c>
      <x:c r="AH30" s="35" t="n">
        <x:f>IF('Assumptions'!$E$9=2,'Short-Term build'!AH30,IF('Assumptions'!$E$9=3,'Installment build'!AH30,'Short-Term build'!AH30+'Installment build'!AH30))</x:f>
        <x:v>27616623.525587924</x:v>
      </x:c>
      <x:c r="AI30" s="35" t="n">
        <x:f>IF('Assumptions'!$E$9=2,'Short-Term build'!AI30,IF('Assumptions'!$E$9=3,'Installment build'!AI30,'Short-Term build'!AI30+'Installment build'!AI30))</x:f>
        <x:v>27616623.525587924</x:v>
      </x:c>
      <x:c r="AJ30" s="35" t="n">
        <x:f>IF('Assumptions'!$E$9=2,'Short-Term build'!AJ30,IF('Assumptions'!$E$9=3,'Installment build'!AJ30,'Short-Term build'!AJ30+'Installment build'!AJ30))</x:f>
        <x:v>27616623.525587924</x:v>
      </x:c>
      <x:c r="AK30" s="35" t="n">
        <x:f>IF('Assumptions'!$E$9=2,'Short-Term build'!AK30,IF('Assumptions'!$E$9=3,'Installment build'!AK30,'Short-Term build'!AK30+'Installment build'!AK30))</x:f>
        <x:v>27616623.525587924</x:v>
      </x:c>
      <x:c r="AL30" s="35" t="n">
        <x:f>IF('Assumptions'!$E$9=2,'Short-Term build'!AL30,IF('Assumptions'!$E$9=3,'Installment build'!AL30,'Short-Term build'!AL30+'Installment build'!AL30))</x:f>
        <x:v>27616623.525587924</x:v>
      </x:c>
      <x:c r="AM30" s="35" t="n">
        <x:f>IF('Assumptions'!$E$9=2,'Short-Term build'!AM30,IF('Assumptions'!$E$9=3,'Installment build'!AM30,'Short-Term build'!AM30+'Installment build'!AM30))</x:f>
        <x:v>27616623.525587924</x:v>
      </x:c>
      <x:c r="AN30" s="35" t="n">
        <x:f>IF('Assumptions'!$E$9=2,'Short-Term build'!AN30,IF('Assumptions'!$E$9=3,'Installment build'!AN30,'Short-Term build'!AN30+'Installment build'!AN30))</x:f>
        <x:v>27616623.525587924</x:v>
      </x:c>
      <x:c r="AO30" s="35" t="n">
        <x:f>IF('Assumptions'!$E$9=2,'Short-Term build'!AO30,IF('Assumptions'!$E$9=3,'Installment build'!AO30,'Short-Term build'!AO30+'Installment build'!AO30))</x:f>
        <x:v>27616623.525587924</x:v>
      </x:c>
      <x:c r="AP30" s="35" t="n">
        <x:f>IF('Assumptions'!$E$9=2,'Short-Term build'!AP30,IF('Assumptions'!$E$9=3,'Installment build'!AP30,'Short-Term build'!AP30+'Installment build'!AP30))</x:f>
        <x:v>27616623.525587924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71252904.89431152</x:v>
      </x:c>
      <x:c r="F32" s="2"/>
      <x:c r="G32" s="35" t="n">
        <x:f>IF('Assumptions'!$E$9=2,'Short-Term build'!G32,IF('Assumptions'!$E$9=3,'Installment build'!G32,'Short-Term build'!G32+'Installment build'!G32))</x:f>
        <x:v>34335519.904440455</x:v>
      </x:c>
      <x:c r="H32" s="35" t="n">
        <x:f>IF('Assumptions'!$E$9=2,'Short-Term build'!H32,IF('Assumptions'!$E$9=3,'Installment build'!H32,'Short-Term build'!H32+'Installment build'!H32))</x:f>
        <x:v>17784439.219186127</x:v>
      </x:c>
      <x:c r="I32" s="35" t="n">
        <x:f>IF('Assumptions'!$E$9=2,'Short-Term build'!I32,IF('Assumptions'!$E$9=3,'Installment build'!I32,'Short-Term build'!I32+'Installment build'!I32))</x:f>
        <x:v>9494950.313593466</x:v>
      </x:c>
      <x:c r="J32" s="35" t="n">
        <x:f>IF('Assumptions'!$E$9=2,'Short-Term build'!J32,IF('Assumptions'!$E$9=3,'Installment build'!J32,'Short-Term build'!J32+'Installment build'!J32))</x:f>
        <x:v>5014242.234600494</x:v>
      </x:c>
      <x:c r="K32" s="35" t="n">
        <x:f>IF('Assumptions'!$E$9=2,'Short-Term build'!K32,IF('Assumptions'!$E$9=3,'Installment build'!K32,'Short-Term build'!K32+'Installment build'!K32))</x:f>
        <x:v>2565869.845753812</x:v>
      </x:c>
      <x:c r="L32" s="35" t="n">
        <x:f>IF('Assumptions'!$E$9=2,'Short-Term build'!L32,IF('Assumptions'!$E$9=3,'Installment build'!L32,'Short-Term build'!L32+'Installment build'!L32))</x:f>
        <x:v>1249909.655417854</x:v>
      </x:c>
      <x:c r="M32" s="35" t="n">
        <x:f>IF('Assumptions'!$E$9=2,'Short-Term build'!M32,IF('Assumptions'!$E$9=3,'Installment build'!M32,'Short-Term build'!M32+'Installment build'!M32))</x:f>
        <x:v>556554.924071128</x:v>
      </x:c>
      <x:c r="N32" s="35" t="n">
        <x:f>IF('Assumptions'!$E$9=2,'Short-Term build'!N32,IF('Assumptions'!$E$9=3,'Installment build'!N32,'Short-Term build'!N32+'Installment build'!N32))</x:f>
        <x:v>203545.7179091715</x:v>
      </x:c>
      <x:c r="O32" s="35" t="n">
        <x:f>IF('Assumptions'!$E$9=2,'Short-Term build'!O32,IF('Assumptions'!$E$9=3,'Installment build'!O32,'Short-Term build'!O32+'Installment build'!O32))</x:f>
        <x:v>47873.079339224976</x:v>
      </x:c>
      <x:c r="P32" s="35" t="n">
        <x:f>IF('Assumptions'!$E$9=2,'Short-Term build'!P32,IF('Assumptions'!$E$9=3,'Installment build'!P32,'Short-Term build'!P32+'Installment build'!P32))</x:f>
        <x:v>-1.1602727075417835e-8</x:v>
      </x:c>
      <x:c r="Q32" s="35" t="n">
        <x:f>IF('Assumptions'!$E$9=2,'Short-Term build'!Q32,IF('Assumptions'!$E$9=3,'Installment build'!Q32,'Short-Term build'!Q32+'Installment build'!Q32))</x:f>
        <x:v>-1.1602727075417835e-8</x:v>
      </x:c>
      <x:c r="R32" s="35" t="n">
        <x:f>IF('Assumptions'!$E$9=2,'Short-Term build'!R32,IF('Assumptions'!$E$9=3,'Installment build'!R32,'Short-Term build'!R32+'Installment build'!R32))</x:f>
        <x:v>-1.1602727075417835e-8</x:v>
      </x:c>
      <x:c r="S32" s="35" t="n">
        <x:f>IF('Assumptions'!$E$9=2,'Short-Term build'!S32,IF('Assumptions'!$E$9=3,'Installment build'!S32,'Short-Term build'!S32+'Installment build'!S32))</x:f>
        <x:v>-1.1602727075417835e-8</x:v>
      </x:c>
      <x:c r="T32" s="35" t="n">
        <x:f>IF('Assumptions'!$E$9=2,'Short-Term build'!T32,IF('Assumptions'!$E$9=3,'Installment build'!T32,'Short-Term build'!T32+'Installment build'!T32))</x:f>
        <x:v>-1.1602727075417835e-8</x:v>
      </x:c>
      <x:c r="U32" s="35" t="n">
        <x:f>IF('Assumptions'!$E$9=2,'Short-Term build'!U32,IF('Assumptions'!$E$9=3,'Installment build'!U32,'Short-Term build'!U32+'Installment build'!U32))</x:f>
        <x:v>-1.1602727075417835e-8</x:v>
      </x:c>
      <x:c r="V32" s="35" t="n">
        <x:f>IF('Assumptions'!$E$9=2,'Short-Term build'!V32,IF('Assumptions'!$E$9=3,'Installment build'!V32,'Short-Term build'!V32+'Installment build'!V32))</x:f>
        <x:v>-1.1602727075417835e-8</x:v>
      </x:c>
      <x:c r="W32" s="35" t="n">
        <x:f>IF('Assumptions'!$E$9=2,'Short-Term build'!W32,IF('Assumptions'!$E$9=3,'Installment build'!W32,'Short-Term build'!W32+'Installment build'!W32))</x:f>
        <x:v>-1.1602727075417835e-8</x:v>
      </x:c>
      <x:c r="X32" s="35" t="n">
        <x:f>IF('Assumptions'!$E$9=2,'Short-Term build'!X32,IF('Assumptions'!$E$9=3,'Installment build'!X32,'Short-Term build'!X32+'Installment build'!X32))</x:f>
        <x:v>-1.1602727075417835e-8</x:v>
      </x:c>
      <x:c r="Y32" s="35" t="n">
        <x:f>IF('Assumptions'!$E$9=2,'Short-Term build'!Y32,IF('Assumptions'!$E$9=3,'Installment build'!Y32,'Short-Term build'!Y32+'Installment build'!Y32))</x:f>
        <x:v>-1.1602727075417835e-8</x:v>
      </x:c>
      <x:c r="Z32" s="35" t="n">
        <x:f>IF('Assumptions'!$E$9=2,'Short-Term build'!Z32,IF('Assumptions'!$E$9=3,'Installment build'!Z32,'Short-Term build'!Z32+'Installment build'!Z32))</x:f>
        <x:v>-1.1602727075417835e-8</x:v>
      </x:c>
      <x:c r="AA32" s="35" t="n">
        <x:f>IF('Assumptions'!$E$9=2,'Short-Term build'!AA32,IF('Assumptions'!$E$9=3,'Installment build'!AA32,'Short-Term build'!AA32+'Installment build'!AA32))</x:f>
        <x:v>-1.1602727075417835e-8</x:v>
      </x:c>
      <x:c r="AB32" s="35" t="n">
        <x:f>IF('Assumptions'!$E$9=2,'Short-Term build'!AB32,IF('Assumptions'!$E$9=3,'Installment build'!AB32,'Short-Term build'!AB32+'Installment build'!AB32))</x:f>
        <x:v>-1.1602727075417835e-8</x:v>
      </x:c>
      <x:c r="AC32" s="35" t="n">
        <x:f>IF('Assumptions'!$E$9=2,'Short-Term build'!AC32,IF('Assumptions'!$E$9=3,'Installment build'!AC32,'Short-Term build'!AC32+'Installment build'!AC32))</x:f>
        <x:v>-1.1602727075417835e-8</x:v>
      </x:c>
      <x:c r="AD32" s="35" t="n">
        <x:f>IF('Assumptions'!$E$9=2,'Short-Term build'!AD32,IF('Assumptions'!$E$9=3,'Installment build'!AD32,'Short-Term build'!AD32+'Installment build'!AD32))</x:f>
        <x:v>-1.1602727075417835e-8</x:v>
      </x:c>
      <x:c r="AE32" s="35" t="n">
        <x:f>IF('Assumptions'!$E$9=2,'Short-Term build'!AE32,IF('Assumptions'!$E$9=3,'Installment build'!AE32,'Short-Term build'!AE32+'Installment build'!AE32))</x:f>
        <x:v>-1.1602727075417835e-8</x:v>
      </x:c>
      <x:c r="AF32" s="35" t="n">
        <x:f>IF('Assumptions'!$E$9=2,'Short-Term build'!AF32,IF('Assumptions'!$E$9=3,'Installment build'!AF32,'Short-Term build'!AF32+'Installment build'!AF32))</x:f>
        <x:v>-1.1602727075417835e-8</x:v>
      </x:c>
      <x:c r="AG32" s="35" t="n">
        <x:f>IF('Assumptions'!$E$9=2,'Short-Term build'!AG32,IF('Assumptions'!$E$9=3,'Installment build'!AG32,'Short-Term build'!AG32+'Installment build'!AG32))</x:f>
        <x:v>-1.1602727075417835e-8</x:v>
      </x:c>
      <x:c r="AH32" s="35" t="n">
        <x:f>IF('Assumptions'!$E$9=2,'Short-Term build'!AH32,IF('Assumptions'!$E$9=3,'Installment build'!AH32,'Short-Term build'!AH32+'Installment build'!AH32))</x:f>
        <x:v>-1.1602727075417835e-8</x:v>
      </x:c>
      <x:c r="AI32" s="35" t="n">
        <x:f>IF('Assumptions'!$E$9=2,'Short-Term build'!AI32,IF('Assumptions'!$E$9=3,'Installment build'!AI32,'Short-Term build'!AI32+'Installment build'!AI32))</x:f>
        <x:v>-1.1602727075417835e-8</x:v>
      </x:c>
      <x:c r="AJ32" s="35" t="n">
        <x:f>IF('Assumptions'!$E$9=2,'Short-Term build'!AJ32,IF('Assumptions'!$E$9=3,'Installment build'!AJ32,'Short-Term build'!AJ32+'Installment build'!AJ32))</x:f>
        <x:v>-1.1602727075417835e-8</x:v>
      </x:c>
      <x:c r="AK32" s="35" t="n">
        <x:f>IF('Assumptions'!$E$9=2,'Short-Term build'!AK32,IF('Assumptions'!$E$9=3,'Installment build'!AK32,'Short-Term build'!AK32+'Installment build'!AK32))</x:f>
        <x:v>-1.1602727075417835e-8</x:v>
      </x:c>
      <x:c r="AL32" s="35" t="n">
        <x:f>IF('Assumptions'!$E$9=2,'Short-Term build'!AL32,IF('Assumptions'!$E$9=3,'Installment build'!AL32,'Short-Term build'!AL32+'Installment build'!AL32))</x:f>
        <x:v>-1.1602727075417835e-8</x:v>
      </x:c>
      <x:c r="AM32" s="35" t="n">
        <x:f>IF('Assumptions'!$E$9=2,'Short-Term build'!AM32,IF('Assumptions'!$E$9=3,'Installment build'!AM32,'Short-Term build'!AM32+'Installment build'!AM32))</x:f>
        <x:v>-1.1602727075417835e-8</x:v>
      </x:c>
      <x:c r="AN32" s="35" t="n">
        <x:f>IF('Assumptions'!$E$9=2,'Short-Term build'!AN32,IF('Assumptions'!$E$9=3,'Installment build'!AN32,'Short-Term build'!AN32+'Installment build'!AN32))</x:f>
        <x:v>-1.1602727075417835e-8</x:v>
      </x:c>
      <x:c r="AO32" s="35" t="n">
        <x:f>IF('Assumptions'!$E$9=2,'Short-Term build'!AO32,IF('Assumptions'!$E$9=3,'Installment build'!AO32,'Short-Term build'!AO32+'Installment build'!AO32))</x:f>
        <x:v>-1.1602727075417835e-8</x:v>
      </x:c>
      <x:c r="AP32" s="35" t="n">
        <x:f>IF('Assumptions'!$E$9=2,'Short-Term build'!AP32,IF('Assumptions'!$E$9=3,'Installment build'!AP32,'Short-Term build'!AP32+'Installment build'!AP32))</x:f>
        <x:v>-1.1602727075417835e-8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120390374.6731657</x:v>
      </x:c>
      <x:c r="F33" s="2"/>
      <x:c r="G33" s="35" t="n">
        <x:f>IF('Assumptions'!$E$9=2,'Short-Term build'!G33,IF('Assumptions'!$E$9=3,'Installment build'!G33,'Short-Term build'!G33+'Installment build'!G33))</x:f>
        <x:v>0</x:v>
      </x:c>
      <x:c r="H33" s="35" t="n">
        <x:f>IF('Assumptions'!$E$9=2,'Short-Term build'!H33,IF('Assumptions'!$E$9=3,'Installment build'!H33,'Short-Term build'!H33+'Installment build'!H33))</x:f>
        <x:v>1972824.5791941928</x:v>
      </x:c>
      <x:c r="I33" s="35" t="n">
        <x:f>IF('Assumptions'!$E$9=2,'Short-Term build'!I33,IF('Assumptions'!$E$9=3,'Installment build'!I33,'Short-Term build'!I33+'Installment build'!I33))</x:f>
        <x:v>3314377.456174664</x:v>
      </x:c>
      <x:c r="J33" s="35" t="n">
        <x:f>IF('Assumptions'!$E$9=2,'Short-Term build'!J33,IF('Assumptions'!$E$9=3,'Installment build'!J33,'Short-Term build'!J33+'Installment build'!J33))</x:f>
        <x:v>4215355.5456221765</x:v>
      </x:c>
      <x:c r="K33" s="35" t="n">
        <x:f>IF('Assumptions'!$E$9=2,'Short-Term build'!K33,IF('Assumptions'!$E$9=3,'Installment build'!K33,'Short-Term build'!K33+'Installment build'!K33))</x:f>
        <x:v>4804498.561447946</x:v>
      </x:c>
      <x:c r="L33" s="35" t="n">
        <x:f>IF('Assumptions'!$E$9=2,'Short-Term build'!L33,IF('Assumptions'!$E$9=3,'Installment build'!L33,'Short-Term build'!L33+'Installment build'!L33))</x:f>
        <x:v>5174641.798095571</x:v>
      </x:c>
      <x:c r="M33" s="35" t="n">
        <x:f>IF('Assumptions'!$E$9=2,'Short-Term build'!M33,IF('Assumptions'!$E$9=3,'Installment build'!M33,'Short-Term build'!M33+'Installment build'!M33))</x:f>
        <x:v>5400973.6651695315</x:v>
      </x:c>
      <x:c r="N33" s="35" t="n">
        <x:f>IF('Assumptions'!$E$9=2,'Short-Term build'!N33,IF('Assumptions'!$E$9=3,'Installment build'!N33,'Short-Term build'!N33+'Installment build'!N33))</x:f>
        <x:v>5533861.662203195</x:v>
      </x:c>
      <x:c r="O33" s="35" t="n">
        <x:f>IF('Assumptions'!$E$9=2,'Short-Term build'!O33,IF('Assumptions'!$E$9=3,'Installment build'!O33,'Short-Term build'!O33+'Installment build'!O33))</x:f>
        <x:v>5601190.498050502</x:v>
      </x:c>
      <x:c r="P33" s="35" t="n">
        <x:f>IF('Assumptions'!$E$9=2,'Short-Term build'!P33,IF('Assumptions'!$E$9=3,'Installment build'!P33,'Short-Term build'!P33+'Installment build'!P33))</x:f>
        <x:v>5624843.393813858</x:v>
      </x:c>
      <x:c r="Q33" s="35" t="n">
        <x:f>IF('Assumptions'!$E$9=2,'Short-Term build'!Q33,IF('Assumptions'!$E$9=3,'Installment build'!Q33,'Short-Term build'!Q33+'Installment build'!Q33))</x:f>
        <x:v>5624843.393813858</x:v>
      </x:c>
      <x:c r="R33" s="35" t="n">
        <x:f>IF('Assumptions'!$E$9=2,'Short-Term build'!R33,IF('Assumptions'!$E$9=3,'Installment build'!R33,'Short-Term build'!R33+'Installment build'!R33))</x:f>
        <x:v>5624843.393813858</x:v>
      </x:c>
      <x:c r="S33" s="35" t="n">
        <x:f>IF('Assumptions'!$E$9=2,'Short-Term build'!S33,IF('Assumptions'!$E$9=3,'Installment build'!S33,'Short-Term build'!S33+'Installment build'!S33))</x:f>
        <x:v>5624843.393813858</x:v>
      </x:c>
      <x:c r="T33" s="35" t="n">
        <x:f>IF('Assumptions'!$E$9=2,'Short-Term build'!T33,IF('Assumptions'!$E$9=3,'Installment build'!T33,'Short-Term build'!T33+'Installment build'!T33))</x:f>
        <x:v>5624843.393813858</x:v>
      </x:c>
      <x:c r="U33" s="35" t="n">
        <x:f>IF('Assumptions'!$E$9=2,'Short-Term build'!U33,IF('Assumptions'!$E$9=3,'Installment build'!U33,'Short-Term build'!U33+'Installment build'!U33))</x:f>
        <x:v>5624843.393813858</x:v>
      </x:c>
      <x:c r="V33" s="35" t="n">
        <x:f>IF('Assumptions'!$E$9=2,'Short-Term build'!V33,IF('Assumptions'!$E$9=3,'Installment build'!V33,'Short-Term build'!V33+'Installment build'!V33))</x:f>
        <x:v>5624843.393813858</x:v>
      </x:c>
      <x:c r="W33" s="35" t="n">
        <x:f>IF('Assumptions'!$E$9=2,'Short-Term build'!W33,IF('Assumptions'!$E$9=3,'Installment build'!W33,'Short-Term build'!W33+'Installment build'!W33))</x:f>
        <x:v>5624843.393813858</x:v>
      </x:c>
      <x:c r="X33" s="35" t="n">
        <x:f>IF('Assumptions'!$E$9=2,'Short-Term build'!X33,IF('Assumptions'!$E$9=3,'Installment build'!X33,'Short-Term build'!X33+'Installment build'!X33))</x:f>
        <x:v>5624843.393813858</x:v>
      </x:c>
      <x:c r="Y33" s="35" t="n">
        <x:f>IF('Assumptions'!$E$9=2,'Short-Term build'!Y33,IF('Assumptions'!$E$9=3,'Installment build'!Y33,'Short-Term build'!Y33+'Installment build'!Y33))</x:f>
        <x:v>5624843.393813858</x:v>
      </x:c>
      <x:c r="Z33" s="35" t="n">
        <x:f>IF('Assumptions'!$E$9=2,'Short-Term build'!Z33,IF('Assumptions'!$E$9=3,'Installment build'!Z33,'Short-Term build'!Z33+'Installment build'!Z33))</x:f>
        <x:v>5624843.393813858</x:v>
      </x:c>
      <x:c r="AA33" s="35" t="n">
        <x:f>IF('Assumptions'!$E$9=2,'Short-Term build'!AA33,IF('Assumptions'!$E$9=3,'Installment build'!AA33,'Short-Term build'!AA33+'Installment build'!AA33))</x:f>
        <x:v>5624843.393813858</x:v>
      </x:c>
      <x:c r="AB33" s="35" t="n">
        <x:f>IF('Assumptions'!$E$9=2,'Short-Term build'!AB33,IF('Assumptions'!$E$9=3,'Installment build'!AB33,'Short-Term build'!AB33+'Installment build'!AB33))</x:f>
        <x:v>5624843.393813858</x:v>
      </x:c>
      <x:c r="AC33" s="35" t="n">
        <x:f>IF('Assumptions'!$E$9=2,'Short-Term build'!AC33,IF('Assumptions'!$E$9=3,'Installment build'!AC33,'Short-Term build'!AC33+'Installment build'!AC33))</x:f>
        <x:v>5624843.393813858</x:v>
      </x:c>
      <x:c r="AD33" s="35" t="n">
        <x:f>IF('Assumptions'!$E$9=2,'Short-Term build'!AD33,IF('Assumptions'!$E$9=3,'Installment build'!AD33,'Short-Term build'!AD33+'Installment build'!AD33))</x:f>
        <x:v>5624843.393813858</x:v>
      </x:c>
      <x:c r="AE33" s="35" t="n">
        <x:f>IF('Assumptions'!$E$9=2,'Short-Term build'!AE33,IF('Assumptions'!$E$9=3,'Installment build'!AE33,'Short-Term build'!AE33+'Installment build'!AE33))</x:f>
        <x:v>5624843.393813858</x:v>
      </x:c>
      <x:c r="AF33" s="35" t="n">
        <x:f>IF('Assumptions'!$E$9=2,'Short-Term build'!AF33,IF('Assumptions'!$E$9=3,'Installment build'!AF33,'Short-Term build'!AF33+'Installment build'!AF33))</x:f>
        <x:v>5624843.393813858</x:v>
      </x:c>
      <x:c r="AG33" s="35" t="n">
        <x:f>IF('Assumptions'!$E$9=2,'Short-Term build'!AG33,IF('Assumptions'!$E$9=3,'Installment build'!AG33,'Short-Term build'!AG33+'Installment build'!AG33))</x:f>
        <x:v>5624843.393813858</x:v>
      </x:c>
      <x:c r="AH33" s="35" t="n">
        <x:f>IF('Assumptions'!$E$9=2,'Short-Term build'!AH33,IF('Assumptions'!$E$9=3,'Installment build'!AH33,'Short-Term build'!AH33+'Installment build'!AH33))</x:f>
        <x:v>5624843.393813858</x:v>
      </x:c>
      <x:c r="AI33" s="35" t="n">
        <x:f>IF('Assumptions'!$E$9=2,'Short-Term build'!AI33,IF('Assumptions'!$E$9=3,'Installment build'!AI33,'Short-Term build'!AI33+'Installment build'!AI33))</x:f>
        <x:v>5624843.393813858</x:v>
      </x:c>
      <x:c r="AJ33" s="35" t="n">
        <x:f>IF('Assumptions'!$E$9=2,'Short-Term build'!AJ33,IF('Assumptions'!$E$9=3,'Installment build'!AJ33,'Short-Term build'!AJ33+'Installment build'!AJ33))</x:f>
        <x:v>5624843.393813858</x:v>
      </x:c>
      <x:c r="AK33" s="35" t="n">
        <x:f>IF('Assumptions'!$E$9=2,'Short-Term build'!AK33,IF('Assumptions'!$E$9=3,'Installment build'!AK33,'Short-Term build'!AK33+'Installment build'!AK33))</x:f>
        <x:v>5624843.393813858</x:v>
      </x:c>
      <x:c r="AL33" s="35" t="n">
        <x:f>IF('Assumptions'!$E$9=2,'Short-Term build'!AL33,IF('Assumptions'!$E$9=3,'Installment build'!AL33,'Short-Term build'!AL33+'Installment build'!AL33))</x:f>
        <x:v>5624843.393813858</x:v>
      </x:c>
      <x:c r="AM33" s="35" t="n">
        <x:f>IF('Assumptions'!$E$9=2,'Short-Term build'!AM33,IF('Assumptions'!$E$9=3,'Installment build'!AM33,'Short-Term build'!AM33+'Installment build'!AM33))</x:f>
        <x:v>5624843.393813858</x:v>
      </x:c>
      <x:c r="AN33" s="35" t="n">
        <x:f>IF('Assumptions'!$E$9=2,'Short-Term build'!AN33,IF('Assumptions'!$E$9=3,'Installment build'!AN33,'Short-Term build'!AN33+'Installment build'!AN33))</x:f>
        <x:v>5624843.393813858</x:v>
      </x:c>
      <x:c r="AO33" s="35" t="n">
        <x:f>IF('Assumptions'!$E$9=2,'Short-Term build'!AO33,IF('Assumptions'!$E$9=3,'Installment build'!AO33,'Short-Term build'!AO33+'Installment build'!AO33))</x:f>
        <x:v>5624843.393813858</x:v>
      </x:c>
      <x:c r="AP33" s="35" t="n">
        <x:f>IF('Assumptions'!$E$9=2,'Short-Term build'!AP33,IF('Assumptions'!$E$9=3,'Installment build'!AP33,'Short-Term build'!AP33+'Installment build'!AP33))</x:f>
        <x:v>5624843.393813858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-1.921434886753559e-7</x:v>
      </x:c>
      <x:c r="F34" s="2"/>
      <x:c r="G34" s="35" t="n">
        <x:f>IF('Assumptions'!$E$9=2,'Short-Term build'!G34,IF('Assumptions'!$E$9=3,'Installment build'!G34,'Short-Term build'!G34+'Installment build'!G34))</x:f>
        <x:v>330596059.6294621</x:v>
      </x:c>
      <x:c r="H34" s="35" t="n">
        <x:f>IF('Assumptions'!$E$9=2,'Short-Term build'!H34,IF('Assumptions'!$E$9=3,'Installment build'!H34,'Short-Term build'!H34+'Installment build'!H34))</x:f>
        <x:v>177500259.6726843</x:v>
      </x:c>
      <x:c r="I34" s="35" t="n">
        <x:f>IF('Assumptions'!$E$9=2,'Short-Term build'!I34,IF('Assumptions'!$E$9=3,'Installment build'!I34,'Short-Term build'!I34+'Installment build'!I34))</x:f>
        <x:v>94627365.80654451</x:v>
      </x:c>
      <x:c r="J34" s="35" t="n">
        <x:f>IF('Assumptions'!$E$9=2,'Short-Term build'!J34,IF('Assumptions'!$E$9=3,'Installment build'!J34,'Short-Term build'!J34+'Installment build'!J34))</x:f>
        <x:v>49021643.73383044</x:v>
      </x:c>
      <x:c r="K34" s="35" t="n">
        <x:f>IF('Assumptions'!$E$9=2,'Short-Term build'!K34,IF('Assumptions'!$E$9=3,'Installment build'!K34,'Short-Term build'!K34+'Installment build'!K34))</x:f>
        <x:v>24186829.341316737</x:v>
      </x:c>
      <x:c r="L34" s="35" t="n">
        <x:f>IF('Assumptions'!$E$9=2,'Short-Term build'!L34,IF('Assumptions'!$E$9=3,'Installment build'!L34,'Short-Term build'!L34+'Installment build'!L34))</x:f>
        <x:v>11123983.978062756</x:v>
      </x:c>
      <x:c r="M34" s="35" t="n">
        <x:f>IF('Assumptions'!$E$9=2,'Short-Term build'!M34,IF('Assumptions'!$E$9=3,'Installment build'!M34,'Short-Term build'!M34+'Installment build'!M34))</x:f>
        <x:v>4294354.972405741</x:v>
      </x:c>
      <x:c r="N34" s="35" t="n">
        <x:f>IF('Assumptions'!$E$9=2,'Short-Term build'!N34,IF('Assumptions'!$E$9=3,'Installment build'!N34,'Short-Term build'!N34+'Installment build'!N34))</x:f>
        <x:v>1104212.4442413463</x:v>
      </x:c>
      <x:c r="O34" s="35" t="n">
        <x:f>IF('Assumptions'!$E$9=2,'Short-Term build'!O34,IF('Assumptions'!$E$9=3,'Installment build'!O34,'Short-Term build'!O34+'Installment build'!O34))</x:f>
        <x:v>-1.921434886753559e-7</x:v>
      </x:c>
      <x:c r="P34" s="35" t="n">
        <x:f>IF('Assumptions'!$E$9=2,'Short-Term build'!P34,IF('Assumptions'!$E$9=3,'Installment build'!P34,'Short-Term build'!P34+'Installment build'!P34))</x:f>
        <x:v>-1.921434886753559e-7</x:v>
      </x:c>
      <x:c r="Q34" s="35" t="n">
        <x:f>IF('Assumptions'!$E$9=2,'Short-Term build'!Q34,IF('Assumptions'!$E$9=3,'Installment build'!Q34,'Short-Term build'!Q34+'Installment build'!Q34))</x:f>
        <x:v>-1.921434886753559e-7</x:v>
      </x:c>
      <x:c r="R34" s="35" t="n">
        <x:f>IF('Assumptions'!$E$9=2,'Short-Term build'!R34,IF('Assumptions'!$E$9=3,'Installment build'!R34,'Short-Term build'!R34+'Installment build'!R34))</x:f>
        <x:v>-1.921434886753559e-7</x:v>
      </x:c>
      <x:c r="S34" s="35" t="n">
        <x:f>IF('Assumptions'!$E$9=2,'Short-Term build'!S34,IF('Assumptions'!$E$9=3,'Installment build'!S34,'Short-Term build'!S34+'Installment build'!S34))</x:f>
        <x:v>-1.921434886753559e-7</x:v>
      </x:c>
      <x:c r="T34" s="35" t="n">
        <x:f>IF('Assumptions'!$E$9=2,'Short-Term build'!T34,IF('Assumptions'!$E$9=3,'Installment build'!T34,'Short-Term build'!T34+'Installment build'!T34))</x:f>
        <x:v>-1.921434886753559e-7</x:v>
      </x:c>
      <x:c r="U34" s="35" t="n">
        <x:f>IF('Assumptions'!$E$9=2,'Short-Term build'!U34,IF('Assumptions'!$E$9=3,'Installment build'!U34,'Short-Term build'!U34+'Installment build'!U34))</x:f>
        <x:v>-1.921434886753559e-7</x:v>
      </x:c>
      <x:c r="V34" s="35" t="n">
        <x:f>IF('Assumptions'!$E$9=2,'Short-Term build'!V34,IF('Assumptions'!$E$9=3,'Installment build'!V34,'Short-Term build'!V34+'Installment build'!V34))</x:f>
        <x:v>-1.921434886753559e-7</x:v>
      </x:c>
      <x:c r="W34" s="35" t="n">
        <x:f>IF('Assumptions'!$E$9=2,'Short-Term build'!W34,IF('Assumptions'!$E$9=3,'Installment build'!W34,'Short-Term build'!W34+'Installment build'!W34))</x:f>
        <x:v>-1.921434886753559e-7</x:v>
      </x:c>
      <x:c r="X34" s="35" t="n">
        <x:f>IF('Assumptions'!$E$9=2,'Short-Term build'!X34,IF('Assumptions'!$E$9=3,'Installment build'!X34,'Short-Term build'!X34+'Installment build'!X34))</x:f>
        <x:v>-1.921434886753559e-7</x:v>
      </x:c>
      <x:c r="Y34" s="35" t="n">
        <x:f>IF('Assumptions'!$E$9=2,'Short-Term build'!Y34,IF('Assumptions'!$E$9=3,'Installment build'!Y34,'Short-Term build'!Y34+'Installment build'!Y34))</x:f>
        <x:v>-1.921434886753559e-7</x:v>
      </x:c>
      <x:c r="Z34" s="35" t="n">
        <x:f>IF('Assumptions'!$E$9=2,'Short-Term build'!Z34,IF('Assumptions'!$E$9=3,'Installment build'!Z34,'Short-Term build'!Z34+'Installment build'!Z34))</x:f>
        <x:v>-1.921434886753559e-7</x:v>
      </x:c>
      <x:c r="AA34" s="35" t="n">
        <x:f>IF('Assumptions'!$E$9=2,'Short-Term build'!AA34,IF('Assumptions'!$E$9=3,'Installment build'!AA34,'Short-Term build'!AA34+'Installment build'!AA34))</x:f>
        <x:v>-1.921434886753559e-7</x:v>
      </x:c>
      <x:c r="AB34" s="35" t="n">
        <x:f>IF('Assumptions'!$E$9=2,'Short-Term build'!AB34,IF('Assumptions'!$E$9=3,'Installment build'!AB34,'Short-Term build'!AB34+'Installment build'!AB34))</x:f>
        <x:v>-1.921434886753559e-7</x:v>
      </x:c>
      <x:c r="AC34" s="35" t="n">
        <x:f>IF('Assumptions'!$E$9=2,'Short-Term build'!AC34,IF('Assumptions'!$E$9=3,'Installment build'!AC34,'Short-Term build'!AC34+'Installment build'!AC34))</x:f>
        <x:v>-1.921434886753559e-7</x:v>
      </x:c>
      <x:c r="AD34" s="35" t="n">
        <x:f>IF('Assumptions'!$E$9=2,'Short-Term build'!AD34,IF('Assumptions'!$E$9=3,'Installment build'!AD34,'Short-Term build'!AD34+'Installment build'!AD34))</x:f>
        <x:v>-1.921434886753559e-7</x:v>
      </x:c>
      <x:c r="AE34" s="35" t="n">
        <x:f>IF('Assumptions'!$E$9=2,'Short-Term build'!AE34,IF('Assumptions'!$E$9=3,'Installment build'!AE34,'Short-Term build'!AE34+'Installment build'!AE34))</x:f>
        <x:v>-1.921434886753559e-7</x:v>
      </x:c>
      <x:c r="AF34" s="35" t="n">
        <x:f>IF('Assumptions'!$E$9=2,'Short-Term build'!AF34,IF('Assumptions'!$E$9=3,'Installment build'!AF34,'Short-Term build'!AF34+'Installment build'!AF34))</x:f>
        <x:v>-1.921434886753559e-7</x:v>
      </x:c>
      <x:c r="AG34" s="35" t="n">
        <x:f>IF('Assumptions'!$E$9=2,'Short-Term build'!AG34,IF('Assumptions'!$E$9=3,'Installment build'!AG34,'Short-Term build'!AG34+'Installment build'!AG34))</x:f>
        <x:v>-1.921434886753559e-7</x:v>
      </x:c>
      <x:c r="AH34" s="35" t="n">
        <x:f>IF('Assumptions'!$E$9=2,'Short-Term build'!AH34,IF('Assumptions'!$E$9=3,'Installment build'!AH34,'Short-Term build'!AH34+'Installment build'!AH34))</x:f>
        <x:v>-1.921434886753559e-7</x:v>
      </x:c>
      <x:c r="AI34" s="35" t="n">
        <x:f>IF('Assumptions'!$E$9=2,'Short-Term build'!AI34,IF('Assumptions'!$E$9=3,'Installment build'!AI34,'Short-Term build'!AI34+'Installment build'!AI34))</x:f>
        <x:v>-1.921434886753559e-7</x:v>
      </x:c>
      <x:c r="AJ34" s="35" t="n">
        <x:f>IF('Assumptions'!$E$9=2,'Short-Term build'!AJ34,IF('Assumptions'!$E$9=3,'Installment build'!AJ34,'Short-Term build'!AJ34+'Installment build'!AJ34))</x:f>
        <x:v>-1.921434886753559e-7</x:v>
      </x:c>
      <x:c r="AK34" s="35" t="n">
        <x:f>IF('Assumptions'!$E$9=2,'Short-Term build'!AK34,IF('Assumptions'!$E$9=3,'Installment build'!AK34,'Short-Term build'!AK34+'Installment build'!AK34))</x:f>
        <x:v>-1.921434886753559e-7</x:v>
      </x:c>
      <x:c r="AL34" s="35" t="n">
        <x:f>IF('Assumptions'!$E$9=2,'Short-Term build'!AL34,IF('Assumptions'!$E$9=3,'Installment build'!AL34,'Short-Term build'!AL34+'Installment build'!AL34))</x:f>
        <x:v>-1.921434886753559e-7</x:v>
      </x:c>
      <x:c r="AM34" s="35" t="n">
        <x:f>IF('Assumptions'!$E$9=2,'Short-Term build'!AM34,IF('Assumptions'!$E$9=3,'Installment build'!AM34,'Short-Term build'!AM34+'Installment build'!AM34))</x:f>
        <x:v>-1.921434886753559e-7</x:v>
      </x:c>
      <x:c r="AN34" s="35" t="n">
        <x:f>IF('Assumptions'!$E$9=2,'Short-Term build'!AN34,IF('Assumptions'!$E$9=3,'Installment build'!AN34,'Short-Term build'!AN34+'Installment build'!AN34))</x:f>
        <x:v>-1.921434886753559e-7</x:v>
      </x:c>
      <x:c r="AO34" s="35" t="n">
        <x:f>IF('Assumptions'!$E$9=2,'Short-Term build'!AO34,IF('Assumptions'!$E$9=3,'Installment build'!AO34,'Short-Term build'!AO34+'Installment build'!AO34))</x:f>
        <x:v>-1.921434886753559e-7</x:v>
      </x:c>
      <x:c r="AP34" s="35" t="n">
        <x:f>IF('Assumptions'!$E$9=2,'Short-Term build'!AP34,IF('Assumptions'!$E$9=3,'Installment build'!AP34,'Short-Term build'!AP34+'Installment build'!AP34))</x:f>
        <x:v>-1.921434886753559e-7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IF('Assumptions'!$E$9=2,'Short-Term build'!G35,IF('Assumptions'!$E$9=3,'Installment build'!G35,'Short-Term build'!G35+'Installment build'!G35))</x:f>
        <x:v>0</x:v>
      </x:c>
      <x:c r="H35" s="36" t="n">
        <x:f>IF('Assumptions'!$E$9=2,'Short-Term build'!H35,IF('Assumptions'!$E$9=3,'Installment build'!H35,'Short-Term build'!H35+'Installment build'!H35))</x:f>
        <x:v>0</x:v>
      </x:c>
      <x:c r="I35" s="36" t="n">
        <x:f>IF('Assumptions'!$E$9=2,'Short-Term build'!I35,IF('Assumptions'!$E$9=3,'Installment build'!I35,'Short-Term build'!I35+'Installment build'!I35))</x:f>
        <x:v>0</x:v>
      </x:c>
      <x:c r="J35" s="36" t="n">
        <x:f>IF('Assumptions'!$E$9=2,'Short-Term build'!J35,IF('Assumptions'!$E$9=3,'Installment build'!J35,'Short-Term build'!J35+'Installment build'!J35))</x:f>
        <x:v>0</x:v>
      </x:c>
      <x:c r="K35" s="36" t="n">
        <x:f>IF('Assumptions'!$E$9=2,'Short-Term build'!K35,IF('Assumptions'!$E$9=3,'Installment build'!K35,'Short-Term build'!K35+'Installment build'!K35))</x:f>
        <x:v>0</x:v>
      </x:c>
      <x:c r="L35" s="36" t="n">
        <x:f>IF('Assumptions'!$E$9=2,'Short-Term build'!L35,IF('Assumptions'!$E$9=3,'Installment build'!L35,'Short-Term build'!L35+'Installment build'!L35))</x:f>
        <x:v>0</x:v>
      </x:c>
      <x:c r="M35" s="36" t="n">
        <x:f>IF('Assumptions'!$E$9=2,'Short-Term build'!M35,IF('Assumptions'!$E$9=3,'Installment build'!M35,'Short-Term build'!M35+'Installment build'!M35))</x:f>
        <x:v>0</x:v>
      </x:c>
      <x:c r="N35" s="36" t="n">
        <x:f>IF('Assumptions'!$E$9=2,'Short-Term build'!N35,IF('Assumptions'!$E$9=3,'Installment build'!N35,'Short-Term build'!N35+'Installment build'!N35))</x:f>
        <x:v>0</x:v>
      </x:c>
      <x:c r="O35" s="36" t="n">
        <x:f>IF('Assumptions'!$E$9=2,'Short-Term build'!O35,IF('Assumptions'!$E$9=3,'Installment build'!O35,'Short-Term build'!O35+'Installment build'!O35))</x:f>
        <x:v>0</x:v>
      </x:c>
      <x:c r="P35" s="36" t="n">
        <x:f>IF('Assumptions'!$E$9=2,'Short-Term build'!P35,IF('Assumptions'!$E$9=3,'Installment build'!P35,'Short-Term build'!P35+'Installment build'!P35))</x:f>
        <x:v>0</x:v>
      </x:c>
      <x:c r="Q35" s="36" t="n">
        <x:f>IF('Assumptions'!$E$9=2,'Short-Term build'!Q35,IF('Assumptions'!$E$9=3,'Installment build'!Q35,'Short-Term build'!Q35+'Installment build'!Q35))</x:f>
        <x:v>0</x:v>
      </x:c>
      <x:c r="R35" s="36" t="n">
        <x:f>IF('Assumptions'!$E$9=2,'Short-Term build'!R35,IF('Assumptions'!$E$9=3,'Installment build'!R35,'Short-Term build'!R35+'Installment build'!R35))</x:f>
        <x:v>0</x:v>
      </x:c>
      <x:c r="S35" s="36" t="n">
        <x:f>IF('Assumptions'!$E$9=2,'Short-Term build'!S35,IF('Assumptions'!$E$9=3,'Installment build'!S35,'Short-Term build'!S35+'Installment build'!S35))</x:f>
        <x:v>0</x:v>
      </x:c>
      <x:c r="T35" s="36" t="n">
        <x:f>IF('Assumptions'!$E$9=2,'Short-Term build'!T35,IF('Assumptions'!$E$9=3,'Installment build'!T35,'Short-Term build'!T35+'Installment build'!T35))</x:f>
        <x:v>0</x:v>
      </x:c>
      <x:c r="U35" s="36" t="n">
        <x:f>IF('Assumptions'!$E$9=2,'Short-Term build'!U35,IF('Assumptions'!$E$9=3,'Installment build'!U35,'Short-Term build'!U35+'Installment build'!U35))</x:f>
        <x:v>0</x:v>
      </x:c>
      <x:c r="V35" s="36" t="n">
        <x:f>IF('Assumptions'!$E$9=2,'Short-Term build'!V35,IF('Assumptions'!$E$9=3,'Installment build'!V35,'Short-Term build'!V35+'Installment build'!V35))</x:f>
        <x:v>0</x:v>
      </x:c>
      <x:c r="W35" s="36" t="n">
        <x:f>IF('Assumptions'!$E$9=2,'Short-Term build'!W35,IF('Assumptions'!$E$9=3,'Installment build'!W35,'Short-Term build'!W35+'Installment build'!W35))</x:f>
        <x:v>0</x:v>
      </x:c>
      <x:c r="X35" s="36" t="n">
        <x:f>IF('Assumptions'!$E$9=2,'Short-Term build'!X35,IF('Assumptions'!$E$9=3,'Installment build'!X35,'Short-Term build'!X35+'Installment build'!X35))</x:f>
        <x:v>0</x:v>
      </x:c>
      <x:c r="Y35" s="36" t="n">
        <x:f>IF('Assumptions'!$E$9=2,'Short-Term build'!Y35,IF('Assumptions'!$E$9=3,'Installment build'!Y35,'Short-Term build'!Y35+'Installment build'!Y35))</x:f>
        <x:v>0</x:v>
      </x:c>
      <x:c r="Z35" s="36" t="n">
        <x:f>IF('Assumptions'!$E$9=2,'Short-Term build'!Z35,IF('Assumptions'!$E$9=3,'Installment build'!Z35,'Short-Term build'!Z35+'Installment build'!Z35))</x:f>
        <x:v>0</x:v>
      </x:c>
      <x:c r="AA35" s="36" t="n">
        <x:f>IF('Assumptions'!$E$9=2,'Short-Term build'!AA35,IF('Assumptions'!$E$9=3,'Installment build'!AA35,'Short-Term build'!AA35+'Installment build'!AA35))</x:f>
        <x:v>0</x:v>
      </x:c>
      <x:c r="AB35" s="36" t="n">
        <x:f>IF('Assumptions'!$E$9=2,'Short-Term build'!AB35,IF('Assumptions'!$E$9=3,'Installment build'!AB35,'Short-Term build'!AB35+'Installment build'!AB35))</x:f>
        <x:v>0</x:v>
      </x:c>
      <x:c r="AC35" s="36" t="n">
        <x:f>IF('Assumptions'!$E$9=2,'Short-Term build'!AC35,IF('Assumptions'!$E$9=3,'Installment build'!AC35,'Short-Term build'!AC35+'Installment build'!AC35))</x:f>
        <x:v>0</x:v>
      </x:c>
      <x:c r="AD35" s="36" t="n">
        <x:f>IF('Assumptions'!$E$9=2,'Short-Term build'!AD35,IF('Assumptions'!$E$9=3,'Installment build'!AD35,'Short-Term build'!AD35+'Installment build'!AD35))</x:f>
        <x:v>0</x:v>
      </x:c>
      <x:c r="AE35" s="36" t="n">
        <x:f>IF('Assumptions'!$E$9=2,'Short-Term build'!AE35,IF('Assumptions'!$E$9=3,'Installment build'!AE35,'Short-Term build'!AE35+'Installment build'!AE35))</x:f>
        <x:v>0</x:v>
      </x:c>
      <x:c r="AF35" s="36" t="n">
        <x:f>IF('Assumptions'!$E$9=2,'Short-Term build'!AF35,IF('Assumptions'!$E$9=3,'Installment build'!AF35,'Short-Term build'!AF35+'Installment build'!AF35))</x:f>
        <x:v>0</x:v>
      </x:c>
      <x:c r="AG35" s="36" t="n">
        <x:f>IF('Assumptions'!$E$9=2,'Short-Term build'!AG35,IF('Assumptions'!$E$9=3,'Installment build'!AG35,'Short-Term build'!AG35+'Installment build'!AG35))</x:f>
        <x:v>0</x:v>
      </x:c>
      <x:c r="AH35" s="36" t="n">
        <x:f>IF('Assumptions'!$E$9=2,'Short-Term build'!AH35,IF('Assumptions'!$E$9=3,'Installment build'!AH35,'Short-Term build'!AH35+'Installment build'!AH35))</x:f>
        <x:v>0</x:v>
      </x:c>
      <x:c r="AI35" s="36" t="n">
        <x:f>IF('Assumptions'!$E$9=2,'Short-Term build'!AI35,IF('Assumptions'!$E$9=3,'Installment build'!AI35,'Short-Term build'!AI35+'Installment build'!AI35))</x:f>
        <x:v>0</x:v>
      </x:c>
      <x:c r="AJ35" s="36" t="n">
        <x:f>IF('Assumptions'!$E$9=2,'Short-Term build'!AJ35,IF('Assumptions'!$E$9=3,'Installment build'!AJ35,'Short-Term build'!AJ35+'Installment build'!AJ35))</x:f>
        <x:v>0</x:v>
      </x:c>
      <x:c r="AK35" s="36" t="n">
        <x:f>IF('Assumptions'!$E$9=2,'Short-Term build'!AK35,IF('Assumptions'!$E$9=3,'Installment build'!AK35,'Short-Term build'!AK35+'Installment build'!AK35))</x:f>
        <x:v>0</x:v>
      </x:c>
      <x:c r="AL35" s="36" t="n">
        <x:f>IF('Assumptions'!$E$9=2,'Short-Term build'!AL35,IF('Assumptions'!$E$9=3,'Installment build'!AL35,'Short-Term build'!AL35+'Installment build'!AL35))</x:f>
        <x:v>0</x:v>
      </x:c>
      <x:c r="AM35" s="36" t="n">
        <x:f>IF('Assumptions'!$E$9=2,'Short-Term build'!AM35,IF('Assumptions'!$E$9=3,'Installment build'!AM35,'Short-Term build'!AM35+'Installment build'!AM35))</x:f>
        <x:v>0</x:v>
      </x:c>
      <x:c r="AN35" s="36" t="n">
        <x:f>IF('Assumptions'!$E$9=2,'Short-Term build'!AN35,IF('Assumptions'!$E$9=3,'Installment build'!AN35,'Short-Term build'!AN35+'Installment build'!AN35))</x:f>
        <x:v>0</x:v>
      </x:c>
      <x:c r="AO35" s="36" t="n">
        <x:f>IF('Assumptions'!$E$9=2,'Short-Term build'!AO35,IF('Assumptions'!$E$9=3,'Installment build'!AO35,'Short-Term build'!AO35+'Installment build'!AO35))</x:f>
        <x:v>0</x:v>
      </x:c>
      <x:c r="AP35" s="36" t="n">
        <x:f>IF('Assumptions'!$E$9=2,'Short-Term build'!AP35,IF('Assumptions'!$E$9=3,'Installment build'!AP35,'Short-Term build'!AP35+'Installment build'!AP35))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IF('Assumptions'!$E$9=2,'Short-Term build'!G36,IF('Assumptions'!$E$9=3,'Installment build'!G36,'Short-Term build'!G36+'Installment build'!G36))</x:f>
        <x:v>0</x:v>
      </x:c>
      <x:c r="H36" s="36" t="n">
        <x:f>IF('Assumptions'!$E$9=2,'Short-Term build'!H36,IF('Assumptions'!$E$9=3,'Installment build'!H36,'Short-Term build'!H36+'Installment build'!H36))</x:f>
        <x:v>0</x:v>
      </x:c>
      <x:c r="I36" s="36" t="n">
        <x:f>IF('Assumptions'!$E$9=2,'Short-Term build'!I36,IF('Assumptions'!$E$9=3,'Installment build'!I36,'Short-Term build'!I36+'Installment build'!I36))</x:f>
        <x:v>0</x:v>
      </x:c>
      <x:c r="J36" s="36" t="n">
        <x:f>IF('Assumptions'!$E$9=2,'Short-Term build'!J36,IF('Assumptions'!$E$9=3,'Installment build'!J36,'Short-Term build'!J36+'Installment build'!J36))</x:f>
        <x:v>0</x:v>
      </x:c>
      <x:c r="K36" s="36" t="n">
        <x:f>IF('Assumptions'!$E$9=2,'Short-Term build'!K36,IF('Assumptions'!$E$9=3,'Installment build'!K36,'Short-Term build'!K36+'Installment build'!K36))</x:f>
        <x:v>0</x:v>
      </x:c>
      <x:c r="L36" s="36" t="n">
        <x:f>IF('Assumptions'!$E$9=2,'Short-Term build'!L36,IF('Assumptions'!$E$9=3,'Installment build'!L36,'Short-Term build'!L36+'Installment build'!L36))</x:f>
        <x:v>0</x:v>
      </x:c>
      <x:c r="M36" s="36" t="n">
        <x:f>IF('Assumptions'!$E$9=2,'Short-Term build'!M36,IF('Assumptions'!$E$9=3,'Installment build'!M36,'Short-Term build'!M36+'Installment build'!M36))</x:f>
        <x:v>0</x:v>
      </x:c>
      <x:c r="N36" s="36" t="n">
        <x:f>IF('Assumptions'!$E$9=2,'Short-Term build'!N36,IF('Assumptions'!$E$9=3,'Installment build'!N36,'Short-Term build'!N36+'Installment build'!N36))</x:f>
        <x:v>0</x:v>
      </x:c>
      <x:c r="O36" s="36" t="n">
        <x:f>IF('Assumptions'!$E$9=2,'Short-Term build'!O36,IF('Assumptions'!$E$9=3,'Installment build'!O36,'Short-Term build'!O36+'Installment build'!O36))</x:f>
        <x:v>0</x:v>
      </x:c>
      <x:c r="P36" s="36" t="n">
        <x:f>IF('Assumptions'!$E$9=2,'Short-Term build'!P36,IF('Assumptions'!$E$9=3,'Installment build'!P36,'Short-Term build'!P36+'Installment build'!P36))</x:f>
        <x:v>0</x:v>
      </x:c>
      <x:c r="Q36" s="36" t="n">
        <x:f>IF('Assumptions'!$E$9=2,'Short-Term build'!Q36,IF('Assumptions'!$E$9=3,'Installment build'!Q36,'Short-Term build'!Q36+'Installment build'!Q36))</x:f>
        <x:v>0</x:v>
      </x:c>
      <x:c r="R36" s="36" t="n">
        <x:f>IF('Assumptions'!$E$9=2,'Short-Term build'!R36,IF('Assumptions'!$E$9=3,'Installment build'!R36,'Short-Term build'!R36+'Installment build'!R36))</x:f>
        <x:v>0</x:v>
      </x:c>
      <x:c r="S36" s="36" t="n">
        <x:f>IF('Assumptions'!$E$9=2,'Short-Term build'!S36,IF('Assumptions'!$E$9=3,'Installment build'!S36,'Short-Term build'!S36+'Installment build'!S36))</x:f>
        <x:v>0</x:v>
      </x:c>
      <x:c r="T36" s="36" t="n">
        <x:f>IF('Assumptions'!$E$9=2,'Short-Term build'!T36,IF('Assumptions'!$E$9=3,'Installment build'!T36,'Short-Term build'!T36+'Installment build'!T36))</x:f>
        <x:v>0</x:v>
      </x:c>
      <x:c r="U36" s="36" t="n">
        <x:f>IF('Assumptions'!$E$9=2,'Short-Term build'!U36,IF('Assumptions'!$E$9=3,'Installment build'!U36,'Short-Term build'!U36+'Installment build'!U36))</x:f>
        <x:v>0</x:v>
      </x:c>
      <x:c r="V36" s="36" t="n">
        <x:f>IF('Assumptions'!$E$9=2,'Short-Term build'!V36,IF('Assumptions'!$E$9=3,'Installment build'!V36,'Short-Term build'!V36+'Installment build'!V36))</x:f>
        <x:v>0</x:v>
      </x:c>
      <x:c r="W36" s="36" t="n">
        <x:f>IF('Assumptions'!$E$9=2,'Short-Term build'!W36,IF('Assumptions'!$E$9=3,'Installment build'!W36,'Short-Term build'!W36+'Installment build'!W36))</x:f>
        <x:v>0</x:v>
      </x:c>
      <x:c r="X36" s="36" t="n">
        <x:f>IF('Assumptions'!$E$9=2,'Short-Term build'!X36,IF('Assumptions'!$E$9=3,'Installment build'!X36,'Short-Term build'!X36+'Installment build'!X36))</x:f>
        <x:v>0</x:v>
      </x:c>
      <x:c r="Y36" s="36" t="n">
        <x:f>IF('Assumptions'!$E$9=2,'Short-Term build'!Y36,IF('Assumptions'!$E$9=3,'Installment build'!Y36,'Short-Term build'!Y36+'Installment build'!Y36))</x:f>
        <x:v>0</x:v>
      </x:c>
      <x:c r="Z36" s="36" t="n">
        <x:f>IF('Assumptions'!$E$9=2,'Short-Term build'!Z36,IF('Assumptions'!$E$9=3,'Installment build'!Z36,'Short-Term build'!Z36+'Installment build'!Z36))</x:f>
        <x:v>0</x:v>
      </x:c>
      <x:c r="AA36" s="36" t="n">
        <x:f>IF('Assumptions'!$E$9=2,'Short-Term build'!AA36,IF('Assumptions'!$E$9=3,'Installment build'!AA36,'Short-Term build'!AA36+'Installment build'!AA36))</x:f>
        <x:v>0</x:v>
      </x:c>
      <x:c r="AB36" s="36" t="n">
        <x:f>IF('Assumptions'!$E$9=2,'Short-Term build'!AB36,IF('Assumptions'!$E$9=3,'Installment build'!AB36,'Short-Term build'!AB36+'Installment build'!AB36))</x:f>
        <x:v>0</x:v>
      </x:c>
      <x:c r="AC36" s="36" t="n">
        <x:f>IF('Assumptions'!$E$9=2,'Short-Term build'!AC36,IF('Assumptions'!$E$9=3,'Installment build'!AC36,'Short-Term build'!AC36+'Installment build'!AC36))</x:f>
        <x:v>0</x:v>
      </x:c>
      <x:c r="AD36" s="36" t="n">
        <x:f>IF('Assumptions'!$E$9=2,'Short-Term build'!AD36,IF('Assumptions'!$E$9=3,'Installment build'!AD36,'Short-Term build'!AD36+'Installment build'!AD36))</x:f>
        <x:v>0</x:v>
      </x:c>
      <x:c r="AE36" s="36" t="n">
        <x:f>IF('Assumptions'!$E$9=2,'Short-Term build'!AE36,IF('Assumptions'!$E$9=3,'Installment build'!AE36,'Short-Term build'!AE36+'Installment build'!AE36))</x:f>
        <x:v>0</x:v>
      </x:c>
      <x:c r="AF36" s="36" t="n">
        <x:f>IF('Assumptions'!$E$9=2,'Short-Term build'!AF36,IF('Assumptions'!$E$9=3,'Installment build'!AF36,'Short-Term build'!AF36+'Installment build'!AF36))</x:f>
        <x:v>0</x:v>
      </x:c>
      <x:c r="AG36" s="36" t="n">
        <x:f>IF('Assumptions'!$E$9=2,'Short-Term build'!AG36,IF('Assumptions'!$E$9=3,'Installment build'!AG36,'Short-Term build'!AG36+'Installment build'!AG36))</x:f>
        <x:v>0</x:v>
      </x:c>
      <x:c r="AH36" s="36" t="n">
        <x:f>IF('Assumptions'!$E$9=2,'Short-Term build'!AH36,IF('Assumptions'!$E$9=3,'Installment build'!AH36,'Short-Term build'!AH36+'Installment build'!AH36))</x:f>
        <x:v>0</x:v>
      </x:c>
      <x:c r="AI36" s="36" t="n">
        <x:f>IF('Assumptions'!$E$9=2,'Short-Term build'!AI36,IF('Assumptions'!$E$9=3,'Installment build'!AI36,'Short-Term build'!AI36+'Installment build'!AI36))</x:f>
        <x:v>0</x:v>
      </x:c>
      <x:c r="AJ36" s="36" t="n">
        <x:f>IF('Assumptions'!$E$9=2,'Short-Term build'!AJ36,IF('Assumptions'!$E$9=3,'Installment build'!AJ36,'Short-Term build'!AJ36+'Installment build'!AJ36))</x:f>
        <x:v>0</x:v>
      </x:c>
      <x:c r="AK36" s="36" t="n">
        <x:f>IF('Assumptions'!$E$9=2,'Short-Term build'!AK36,IF('Assumptions'!$E$9=3,'Installment build'!AK36,'Short-Term build'!AK36+'Installment build'!AK36))</x:f>
        <x:v>0</x:v>
      </x:c>
      <x:c r="AL36" s="36" t="n">
        <x:f>IF('Assumptions'!$E$9=2,'Short-Term build'!AL36,IF('Assumptions'!$E$9=3,'Installment build'!AL36,'Short-Term build'!AL36+'Installment build'!AL36))</x:f>
        <x:v>0</x:v>
      </x:c>
      <x:c r="AM36" s="36" t="n">
        <x:f>IF('Assumptions'!$E$9=2,'Short-Term build'!AM36,IF('Assumptions'!$E$9=3,'Installment build'!AM36,'Short-Term build'!AM36+'Installment build'!AM36))</x:f>
        <x:v>0</x:v>
      </x:c>
      <x:c r="AN36" s="36" t="n">
        <x:f>IF('Assumptions'!$E$9=2,'Short-Term build'!AN36,IF('Assumptions'!$E$9=3,'Installment build'!AN36,'Short-Term build'!AN36+'Installment build'!AN36))</x:f>
        <x:v>0</x:v>
      </x:c>
      <x:c r="AO36" s="36" t="n">
        <x:f>IF('Assumptions'!$E$9=2,'Short-Term build'!AO36,IF('Assumptions'!$E$9=3,'Installment build'!AO36,'Short-Term build'!AO36+'Installment build'!AO36))</x:f>
        <x:v>0</x:v>
      </x:c>
      <x:c r="AP36" s="36" t="n">
        <x:f>IF('Assumptions'!$E$9=2,'Short-Term build'!AP36,IF('Assumptions'!$E$9=3,'Installment build'!AP36,'Short-Term build'!AP36+'Installment build'!AP36))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IF('Assumptions'!$E$9=2,'Short-Term build'!G37,IF('Assumptions'!$E$9=3,'Installment build'!G37,'Short-Term build'!G37+'Installment build'!G37))</x:f>
        <x:v>0</x:v>
      </x:c>
      <x:c r="H37" s="36" t="n">
        <x:f>IF('Assumptions'!$E$9=2,'Short-Term build'!H37,IF('Assumptions'!$E$9=3,'Installment build'!H37,'Short-Term build'!H37+'Installment build'!H37))</x:f>
        <x:v>0</x:v>
      </x:c>
      <x:c r="I37" s="36" t="n">
        <x:f>IF('Assumptions'!$E$9=2,'Short-Term build'!I37,IF('Assumptions'!$E$9=3,'Installment build'!I37,'Short-Term build'!I37+'Installment build'!I37))</x:f>
        <x:v>0</x:v>
      </x:c>
      <x:c r="J37" s="36" t="n">
        <x:f>IF('Assumptions'!$E$9=2,'Short-Term build'!J37,IF('Assumptions'!$E$9=3,'Installment build'!J37,'Short-Term build'!J37+'Installment build'!J37))</x:f>
        <x:v>0</x:v>
      </x:c>
      <x:c r="K37" s="36" t="n">
        <x:f>IF('Assumptions'!$E$9=2,'Short-Term build'!K37,IF('Assumptions'!$E$9=3,'Installment build'!K37,'Short-Term build'!K37+'Installment build'!K37))</x:f>
        <x:v>0</x:v>
      </x:c>
      <x:c r="L37" s="36" t="n">
        <x:f>IF('Assumptions'!$E$9=2,'Short-Term build'!L37,IF('Assumptions'!$E$9=3,'Installment build'!L37,'Short-Term build'!L37+'Installment build'!L37))</x:f>
        <x:v>0</x:v>
      </x:c>
      <x:c r="M37" s="36" t="n">
        <x:f>IF('Assumptions'!$E$9=2,'Short-Term build'!M37,IF('Assumptions'!$E$9=3,'Installment build'!M37,'Short-Term build'!M37+'Installment build'!M37))</x:f>
        <x:v>0</x:v>
      </x:c>
      <x:c r="N37" s="36" t="n">
        <x:f>IF('Assumptions'!$E$9=2,'Short-Term build'!N37,IF('Assumptions'!$E$9=3,'Installment build'!N37,'Short-Term build'!N37+'Installment build'!N37))</x:f>
        <x:v>0</x:v>
      </x:c>
      <x:c r="O37" s="36" t="n">
        <x:f>IF('Assumptions'!$E$9=2,'Short-Term build'!O37,IF('Assumptions'!$E$9=3,'Installment build'!O37,'Short-Term build'!O37+'Installment build'!O37))</x:f>
        <x:v>0</x:v>
      </x:c>
      <x:c r="P37" s="36" t="n">
        <x:f>IF('Assumptions'!$E$9=2,'Short-Term build'!P37,IF('Assumptions'!$E$9=3,'Installment build'!P37,'Short-Term build'!P37+'Installment build'!P37))</x:f>
        <x:v>0</x:v>
      </x:c>
      <x:c r="Q37" s="36" t="n">
        <x:f>IF('Assumptions'!$E$9=2,'Short-Term build'!Q37,IF('Assumptions'!$E$9=3,'Installment build'!Q37,'Short-Term build'!Q37+'Installment build'!Q37))</x:f>
        <x:v>0</x:v>
      </x:c>
      <x:c r="R37" s="36" t="n">
        <x:f>IF('Assumptions'!$E$9=2,'Short-Term build'!R37,IF('Assumptions'!$E$9=3,'Installment build'!R37,'Short-Term build'!R37+'Installment build'!R37))</x:f>
        <x:v>0</x:v>
      </x:c>
      <x:c r="S37" s="36" t="n">
        <x:f>IF('Assumptions'!$E$9=2,'Short-Term build'!S37,IF('Assumptions'!$E$9=3,'Installment build'!S37,'Short-Term build'!S37+'Installment build'!S37))</x:f>
        <x:v>0</x:v>
      </x:c>
      <x:c r="T37" s="36" t="n">
        <x:f>IF('Assumptions'!$E$9=2,'Short-Term build'!T37,IF('Assumptions'!$E$9=3,'Installment build'!T37,'Short-Term build'!T37+'Installment build'!T37))</x:f>
        <x:v>0</x:v>
      </x:c>
      <x:c r="U37" s="36" t="n">
        <x:f>IF('Assumptions'!$E$9=2,'Short-Term build'!U37,IF('Assumptions'!$E$9=3,'Installment build'!U37,'Short-Term build'!U37+'Installment build'!U37))</x:f>
        <x:v>0</x:v>
      </x:c>
      <x:c r="V37" s="36" t="n">
        <x:f>IF('Assumptions'!$E$9=2,'Short-Term build'!V37,IF('Assumptions'!$E$9=3,'Installment build'!V37,'Short-Term build'!V37+'Installment build'!V37))</x:f>
        <x:v>0</x:v>
      </x:c>
      <x:c r="W37" s="36" t="n">
        <x:f>IF('Assumptions'!$E$9=2,'Short-Term build'!W37,IF('Assumptions'!$E$9=3,'Installment build'!W37,'Short-Term build'!W37+'Installment build'!W37))</x:f>
        <x:v>0</x:v>
      </x:c>
      <x:c r="X37" s="36" t="n">
        <x:f>IF('Assumptions'!$E$9=2,'Short-Term build'!X37,IF('Assumptions'!$E$9=3,'Installment build'!X37,'Short-Term build'!X37+'Installment build'!X37))</x:f>
        <x:v>0</x:v>
      </x:c>
      <x:c r="Y37" s="36" t="n">
        <x:f>IF('Assumptions'!$E$9=2,'Short-Term build'!Y37,IF('Assumptions'!$E$9=3,'Installment build'!Y37,'Short-Term build'!Y37+'Installment build'!Y37))</x:f>
        <x:v>0</x:v>
      </x:c>
      <x:c r="Z37" s="36" t="n">
        <x:f>IF('Assumptions'!$E$9=2,'Short-Term build'!Z37,IF('Assumptions'!$E$9=3,'Installment build'!Z37,'Short-Term build'!Z37+'Installment build'!Z37))</x:f>
        <x:v>0</x:v>
      </x:c>
      <x:c r="AA37" s="36" t="n">
        <x:f>IF('Assumptions'!$E$9=2,'Short-Term build'!AA37,IF('Assumptions'!$E$9=3,'Installment build'!AA37,'Short-Term build'!AA37+'Installment build'!AA37))</x:f>
        <x:v>0</x:v>
      </x:c>
      <x:c r="AB37" s="36" t="n">
        <x:f>IF('Assumptions'!$E$9=2,'Short-Term build'!AB37,IF('Assumptions'!$E$9=3,'Installment build'!AB37,'Short-Term build'!AB37+'Installment build'!AB37))</x:f>
        <x:v>0</x:v>
      </x:c>
      <x:c r="AC37" s="36" t="n">
        <x:f>IF('Assumptions'!$E$9=2,'Short-Term build'!AC37,IF('Assumptions'!$E$9=3,'Installment build'!AC37,'Short-Term build'!AC37+'Installment build'!AC37))</x:f>
        <x:v>0</x:v>
      </x:c>
      <x:c r="AD37" s="36" t="n">
        <x:f>IF('Assumptions'!$E$9=2,'Short-Term build'!AD37,IF('Assumptions'!$E$9=3,'Installment build'!AD37,'Short-Term build'!AD37+'Installment build'!AD37))</x:f>
        <x:v>0</x:v>
      </x:c>
      <x:c r="AE37" s="36" t="n">
        <x:f>IF('Assumptions'!$E$9=2,'Short-Term build'!AE37,IF('Assumptions'!$E$9=3,'Installment build'!AE37,'Short-Term build'!AE37+'Installment build'!AE37))</x:f>
        <x:v>0</x:v>
      </x:c>
      <x:c r="AF37" s="36" t="n">
        <x:f>IF('Assumptions'!$E$9=2,'Short-Term build'!AF37,IF('Assumptions'!$E$9=3,'Installment build'!AF37,'Short-Term build'!AF37+'Installment build'!AF37))</x:f>
        <x:v>0</x:v>
      </x:c>
      <x:c r="AG37" s="36" t="n">
        <x:f>IF('Assumptions'!$E$9=2,'Short-Term build'!AG37,IF('Assumptions'!$E$9=3,'Installment build'!AG37,'Short-Term build'!AG37+'Installment build'!AG37))</x:f>
        <x:v>0</x:v>
      </x:c>
      <x:c r="AH37" s="36" t="n">
        <x:f>IF('Assumptions'!$E$9=2,'Short-Term build'!AH37,IF('Assumptions'!$E$9=3,'Installment build'!AH37,'Short-Term build'!AH37+'Installment build'!AH37))</x:f>
        <x:v>0</x:v>
      </x:c>
      <x:c r="AI37" s="36" t="n">
        <x:f>IF('Assumptions'!$E$9=2,'Short-Term build'!AI37,IF('Assumptions'!$E$9=3,'Installment build'!AI37,'Short-Term build'!AI37+'Installment build'!AI37))</x:f>
        <x:v>0</x:v>
      </x:c>
      <x:c r="AJ37" s="36" t="n">
        <x:f>IF('Assumptions'!$E$9=2,'Short-Term build'!AJ37,IF('Assumptions'!$E$9=3,'Installment build'!AJ37,'Short-Term build'!AJ37+'Installment build'!AJ37))</x:f>
        <x:v>0</x:v>
      </x:c>
      <x:c r="AK37" s="36" t="n">
        <x:f>IF('Assumptions'!$E$9=2,'Short-Term build'!AK37,IF('Assumptions'!$E$9=3,'Installment build'!AK37,'Short-Term build'!AK37+'Installment build'!AK37))</x:f>
        <x:v>0</x:v>
      </x:c>
      <x:c r="AL37" s="36" t="n">
        <x:f>IF('Assumptions'!$E$9=2,'Short-Term build'!AL37,IF('Assumptions'!$E$9=3,'Installment build'!AL37,'Short-Term build'!AL37+'Installment build'!AL37))</x:f>
        <x:v>0</x:v>
      </x:c>
      <x:c r="AM37" s="36" t="n">
        <x:f>IF('Assumptions'!$E$9=2,'Short-Term build'!AM37,IF('Assumptions'!$E$9=3,'Installment build'!AM37,'Short-Term build'!AM37+'Installment build'!AM37))</x:f>
        <x:v>0</x:v>
      </x:c>
      <x:c r="AN37" s="36" t="n">
        <x:f>IF('Assumptions'!$E$9=2,'Short-Term build'!AN37,IF('Assumptions'!$E$9=3,'Installment build'!AN37,'Short-Term build'!AN37+'Installment build'!AN37))</x:f>
        <x:v>0</x:v>
      </x:c>
      <x:c r="AO37" s="36" t="n">
        <x:f>IF('Assumptions'!$E$9=2,'Short-Term build'!AO37,IF('Assumptions'!$E$9=3,'Installment build'!AO37,'Short-Term build'!AO37+'Installment build'!AO37))</x:f>
        <x:v>0</x:v>
      </x:c>
      <x:c r="AP37" s="36" t="n">
        <x:f>IF('Assumptions'!$E$9=2,'Short-Term build'!AP37,IF('Assumptions'!$E$9=3,'Installment build'!AP37,'Short-Term build'!AP37+'Installment build'!AP37))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Opening reserve is carried forward, not expensed again. New originations receive a lifetime loss provision.</x:v>
      </x:c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Existing loans earn in month 1; new originations earn from the next month. No recoveries or prepayments.</x:v>
      </x:c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The build includes 36 months. Horizon totals use the selected export horizon; monthly columns remain editable.</x:v>
      </x:c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6" t="str">
        <x:v>Revenue by product (selected loan types)</x:v>
      </x:c>
      <x:c r="D46" s="6"/>
      <x:c r="E46" s="6"/>
      <x:c r="F46" s="6"/>
      <x:c r="G46" s="6"/>
      <x:c r="H46" s="6"/>
      <x:c r="I46" s="6"/>
      <x:c r="J46" s="6"/>
      <x:c r="K46" s="6"/>
      <x:c r="L46" s="6"/>
      <x:c r="M46" s="6"/>
      <x:c r="N46" s="6"/>
      <x:c r="O46" s="6"/>
      <x:c r="P46" s="6"/>
      <x:c r="Q46" s="6"/>
      <x:c r="R46" s="6"/>
      <x:c r="S46" s="6"/>
      <x:c r="T46" s="6"/>
      <x:c r="U46" s="6"/>
      <x:c r="V46" s="6"/>
      <x:c r="W46" s="6"/>
      <x:c r="X46" s="6"/>
      <x:c r="Y46" s="6"/>
      <x:c r="Z46" s="6"/>
      <x:c r="AA46" s="6"/>
      <x:c r="AB46" s="6"/>
      <x:c r="AC46" s="6"/>
      <x:c r="AD46" s="6"/>
      <x:c r="AE46" s="6"/>
      <x:c r="AF46" s="6"/>
      <x:c r="AG46" s="6"/>
      <x:c r="AH46" s="6"/>
      <x:c r="AI46" s="6"/>
      <x:c r="AJ46" s="6"/>
      <x:c r="AK46" s="6"/>
      <x:c r="AL46" s="6"/>
      <x:c r="AM46" s="6"/>
      <x:c r="AN46" s="6"/>
      <x:c r="AO46" s="6"/>
      <x:c r="AP46" s="6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CreditFresh - Short-Term</x:v>
      </x:c>
      <x:c r="D47" s="2"/>
      <x:c r="E47" s="35" t="n">
        <x:f>SUMIFS(G47:AP47,$G$6:$AP$6,"&lt;="&amp;'Assumptions'!$E$7)</x:f>
        <x:v>86772274.90133587</x:v>
      </x:c>
      <x:c r="F47" s="35"/>
      <x:c r="G47" s="51" t="n">
        <x:f>IF('Assumptions'!$E$9=3,0,'CF Short-Term'!G24)</x:f>
        <x:v>15495576.69184173</x:v>
      </x:c>
      <x:c r="H47" s="51" t="n">
        <x:f>IF('Assumptions'!$E$9=3,0,'CF Short-Term'!H24)</x:f>
        <x:v>9093440.437627548</x:v>
      </x:c>
      <x:c r="I47" s="51" t="n">
        <x:f>IF('Assumptions'!$E$9=3,0,'CF Short-Term'!I24)</x:f>
        <x:v>5945406.365337741</x:v>
      </x:c>
      <x:c r="J47" s="51" t="n">
        <x:f>IF('Assumptions'!$E$9=3,0,'CF Short-Term'!J24)</x:f>
        <x:v>4271815.372282657</x:v>
      </x:c>
      <x:c r="K47" s="51" t="n">
        <x:f>IF('Assumptions'!$E$9=3,0,'CF Short-Term'!K24)</x:f>
        <x:v>3378279.9008434494</x:v>
      </x:c>
      <x:c r="L47" s="51" t="n">
        <x:f>IF('Assumptions'!$E$9=3,0,'CF Short-Term'!L24)</x:f>
        <x:v>2912488.3565929816</x:v>
      </x:c>
      <x:c r="M47" s="51" t="n">
        <x:f>IF('Assumptions'!$E$9=3,0,'CF Short-Term'!M24)</x:f>
        <x:v>2680953.5469778334</x:v>
      </x:c>
      <x:c r="N47" s="51" t="n">
        <x:f>IF('Assumptions'!$E$9=3,0,'CF Short-Term'!N24)</x:f>
        <x:v>2575921.7407291685</x:v>
      </x:c>
      <x:c r="O47" s="51" t="n">
        <x:f>IF('Assumptions'!$E$9=3,0,'CF Short-Term'!O24)</x:f>
        <x:v>2535784.5266004964</x:v>
      </x:c>
      <x:c r="P47" s="51" t="n">
        <x:f>IF('Assumptions'!$E$9=3,0,'CF Short-Term'!P24)</x:f>
        <x:v>2525507.1975001483</x:v>
      </x:c>
      <x:c r="Q47" s="51" t="n">
        <x:f>IF('Assumptions'!$E$9=3,0,'CF Short-Term'!Q24)</x:f>
        <x:v>2525507.197500149</x:v>
      </x:c>
      <x:c r="R47" s="51" t="n">
        <x:f>IF('Assumptions'!$E$9=3,0,'CF Short-Term'!R24)</x:f>
        <x:v>2525507.197500149</x:v>
      </x:c>
      <x:c r="S47" s="51" t="n">
        <x:f>IF('Assumptions'!$E$9=3,0,'CF Short-Term'!S24)</x:f>
        <x:v>2525507.197500149</x:v>
      </x:c>
      <x:c r="T47" s="51" t="n">
        <x:f>IF('Assumptions'!$E$9=3,0,'CF Short-Term'!T24)</x:f>
        <x:v>2525507.197500149</x:v>
      </x:c>
      <x:c r="U47" s="51" t="n">
        <x:f>IF('Assumptions'!$E$9=3,0,'CF Short-Term'!U24)</x:f>
        <x:v>2525507.197500149</x:v>
      </x:c>
      <x:c r="V47" s="51" t="n">
        <x:f>IF('Assumptions'!$E$9=3,0,'CF Short-Term'!V24)</x:f>
        <x:v>2525507.197500149</x:v>
      </x:c>
      <x:c r="W47" s="51" t="n">
        <x:f>IF('Assumptions'!$E$9=3,0,'CF Short-Term'!W24)</x:f>
        <x:v>2525507.197500149</x:v>
      </x:c>
      <x:c r="X47" s="51" t="n">
        <x:f>IF('Assumptions'!$E$9=3,0,'CF Short-Term'!X24)</x:f>
        <x:v>2525507.197500149</x:v>
      </x:c>
      <x:c r="Y47" s="51" t="n">
        <x:f>IF('Assumptions'!$E$9=3,0,'CF Short-Term'!Y24)</x:f>
        <x:v>2525507.197500149</x:v>
      </x:c>
      <x:c r="Z47" s="51" t="n">
        <x:f>IF('Assumptions'!$E$9=3,0,'CF Short-Term'!Z24)</x:f>
        <x:v>2525507.197500149</x:v>
      </x:c>
      <x:c r="AA47" s="51" t="n">
        <x:f>IF('Assumptions'!$E$9=3,0,'CF Short-Term'!AA24)</x:f>
        <x:v>2525507.197500149</x:v>
      </x:c>
      <x:c r="AB47" s="51" t="n">
        <x:f>IF('Assumptions'!$E$9=3,0,'CF Short-Term'!AB24)</x:f>
        <x:v>2525507.197500149</x:v>
      </x:c>
      <x:c r="AC47" s="51" t="n">
        <x:f>IF('Assumptions'!$E$9=3,0,'CF Short-Term'!AC24)</x:f>
        <x:v>2525507.197500149</x:v>
      </x:c>
      <x:c r="AD47" s="51" t="n">
        <x:f>IF('Assumptions'!$E$9=3,0,'CF Short-Term'!AD24)</x:f>
        <x:v>2525507.197500149</x:v>
      </x:c>
      <x:c r="AE47" s="51" t="n">
        <x:f>IF('Assumptions'!$E$9=3,0,'CF Short-Term'!AE24)</x:f>
        <x:v>2525507.197500149</x:v>
      </x:c>
      <x:c r="AF47" s="51" t="n">
        <x:f>IF('Assumptions'!$E$9=3,0,'CF Short-Term'!AF24)</x:f>
        <x:v>2525507.197500149</x:v>
      </x:c>
      <x:c r="AG47" s="51" t="n">
        <x:f>IF('Assumptions'!$E$9=3,0,'CF Short-Term'!AG24)</x:f>
        <x:v>2525507.197500149</x:v>
      </x:c>
      <x:c r="AH47" s="51" t="n">
        <x:f>IF('Assumptions'!$E$9=3,0,'CF Short-Term'!AH24)</x:f>
        <x:v>2525507.197500149</x:v>
      </x:c>
      <x:c r="AI47" s="51" t="n">
        <x:f>IF('Assumptions'!$E$9=3,0,'CF Short-Term'!AI24)</x:f>
        <x:v>2525507.197500149</x:v>
      </x:c>
      <x:c r="AJ47" s="51" t="n">
        <x:f>IF('Assumptions'!$E$9=3,0,'CF Short-Term'!AJ24)</x:f>
        <x:v>2525507.197500149</x:v>
      </x:c>
      <x:c r="AK47" s="51" t="n">
        <x:f>IF('Assumptions'!$E$9=3,0,'CF Short-Term'!AK24)</x:f>
        <x:v>2525507.197500149</x:v>
      </x:c>
      <x:c r="AL47" s="51" t="n">
        <x:f>IF('Assumptions'!$E$9=3,0,'CF Short-Term'!AL24)</x:f>
        <x:v>2525507.197500149</x:v>
      </x:c>
      <x:c r="AM47" s="51" t="n">
        <x:f>IF('Assumptions'!$E$9=3,0,'CF Short-Term'!AM24)</x:f>
        <x:v>2525507.197500149</x:v>
      </x:c>
      <x:c r="AN47" s="51" t="n">
        <x:f>IF('Assumptions'!$E$9=3,0,'CF Short-Term'!AN24)</x:f>
        <x:v>2525507.197500149</x:v>
      </x:c>
      <x:c r="AO47" s="51" t="n">
        <x:f>IF('Assumptions'!$E$9=3,0,'CF Short-Term'!AO24)</x:f>
        <x:v>2525507.197500149</x:v>
      </x:c>
      <x:c r="AP47" s="51" t="n">
        <x:f>IF('Assumptions'!$E$9=3,0,'CF Short-Term'!AP24)</x:f>
        <x:v>2525507.197500149</x:v>
      </x:c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CreditFresh - Installment</x:v>
      </x:c>
      <x:c r="D48" s="2"/>
      <x:c r="E48" s="35" t="n">
        <x:f>SUMIFS(G48:AP48,$G$6:$AP$6,"&lt;="&amp;'Assumptions'!$E$7)</x:f>
        <x:v>79355473.93871075</x:v>
      </x:c>
      <x:c r="F48" s="35"/>
      <x:c r="G48" s="51" t="n">
        <x:f>IF('Assumptions'!$E$9=2,0,'CF Installment'!G24)</x:f>
        <x:v>12783850.77076943</x:v>
      </x:c>
      <x:c r="H48" s="51" t="n">
        <x:f>IF('Assumptions'!$E$9=2,0,'CF Installment'!H24)</x:f>
        <x:v>7984665.074947844</x:v>
      </x:c>
      <x:c r="I48" s="51" t="n">
        <x:f>IF('Assumptions'!$E$9=2,0,'CF Installment'!I24)</x:f>
        <x:v>5461389.852654118</x:v>
      </x:c>
      <x:c r="J48" s="51" t="n">
        <x:f>IF('Assumptions'!$E$9=2,0,'CF Installment'!J24)</x:f>
        <x:v>4038889.281071002</x:v>
      </x:c>
      <x:c r="K48" s="51" t="n">
        <x:f>IF('Assumptions'!$E$9=2,0,'CF Installment'!K24)</x:f>
        <x:v>3235205.445349691</x:v>
      </x:c>
      <x:c r="L48" s="51" t="n">
        <x:f>IF('Assumptions'!$E$9=2,0,'CF Installment'!L24)</x:f>
        <x:v>2790906.662176101</x:v>
      </x:c>
      <x:c r="M48" s="51" t="n">
        <x:f>IF('Assumptions'!$E$9=2,0,'CF Installment'!M24)</x:f>
        <x:v>2555418.607518484</x:v>
      </x:c>
      <x:c r="N48" s="51" t="n">
        <x:f>IF('Assumptions'!$E$9=2,0,'CF Installment'!N24)</x:f>
        <x:v>2440329.204638856</x:v>
      </x:c>
      <x:c r="O48" s="51" t="n">
        <x:f>IF('Assumptions'!$E$9=2,0,'CF Installment'!O24)</x:f>
        <x:v>2392122.616044888</x:v>
      </x:c>
      <x:c r="P48" s="51" t="n">
        <x:f>IF('Assumptions'!$E$9=2,0,'CF Installment'!P24)</x:f>
        <x:v>2378179.761569355</x:v>
      </x:c>
      <x:c r="Q48" s="51" t="n">
        <x:f>IF('Assumptions'!$E$9=2,0,'CF Installment'!Q24)</x:f>
        <x:v>2378179.7615693556</x:v>
      </x:c>
      <x:c r="R48" s="51" t="n">
        <x:f>IF('Assumptions'!$E$9=2,0,'CF Installment'!R24)</x:f>
        <x:v>2378179.7615693556</x:v>
      </x:c>
      <x:c r="S48" s="51" t="n">
        <x:f>IF('Assumptions'!$E$9=2,0,'CF Installment'!S24)</x:f>
        <x:v>2378179.7615693556</x:v>
      </x:c>
      <x:c r="T48" s="51" t="n">
        <x:f>IF('Assumptions'!$E$9=2,0,'CF Installment'!T24)</x:f>
        <x:v>2378179.7615693556</x:v>
      </x:c>
      <x:c r="U48" s="51" t="n">
        <x:f>IF('Assumptions'!$E$9=2,0,'CF Installment'!U24)</x:f>
        <x:v>2378179.7615693556</x:v>
      </x:c>
      <x:c r="V48" s="51" t="n">
        <x:f>IF('Assumptions'!$E$9=2,0,'CF Installment'!V24)</x:f>
        <x:v>2378179.7615693556</x:v>
      </x:c>
      <x:c r="W48" s="51" t="n">
        <x:f>IF('Assumptions'!$E$9=2,0,'CF Installment'!W24)</x:f>
        <x:v>2378179.7615693556</x:v>
      </x:c>
      <x:c r="X48" s="51" t="n">
        <x:f>IF('Assumptions'!$E$9=2,0,'CF Installment'!X24)</x:f>
        <x:v>2378179.7615693556</x:v>
      </x:c>
      <x:c r="Y48" s="51" t="n">
        <x:f>IF('Assumptions'!$E$9=2,0,'CF Installment'!Y24)</x:f>
        <x:v>2378179.7615693556</x:v>
      </x:c>
      <x:c r="Z48" s="51" t="n">
        <x:f>IF('Assumptions'!$E$9=2,0,'CF Installment'!Z24)</x:f>
        <x:v>2378179.7615693556</x:v>
      </x:c>
      <x:c r="AA48" s="51" t="n">
        <x:f>IF('Assumptions'!$E$9=2,0,'CF Installment'!AA24)</x:f>
        <x:v>2378179.7615693556</x:v>
      </x:c>
      <x:c r="AB48" s="51" t="n">
        <x:f>IF('Assumptions'!$E$9=2,0,'CF Installment'!AB24)</x:f>
        <x:v>2378179.7615693556</x:v>
      </x:c>
      <x:c r="AC48" s="51" t="n">
        <x:f>IF('Assumptions'!$E$9=2,0,'CF Installment'!AC24)</x:f>
        <x:v>2378179.7615693556</x:v>
      </x:c>
      <x:c r="AD48" s="51" t="n">
        <x:f>IF('Assumptions'!$E$9=2,0,'CF Installment'!AD24)</x:f>
        <x:v>2378179.7615693556</x:v>
      </x:c>
      <x:c r="AE48" s="51" t="n">
        <x:f>IF('Assumptions'!$E$9=2,0,'CF Installment'!AE24)</x:f>
        <x:v>2378179.7615693556</x:v>
      </x:c>
      <x:c r="AF48" s="51" t="n">
        <x:f>IF('Assumptions'!$E$9=2,0,'CF Installment'!AF24)</x:f>
        <x:v>2378179.7615693556</x:v>
      </x:c>
      <x:c r="AG48" s="51" t="n">
        <x:f>IF('Assumptions'!$E$9=2,0,'CF Installment'!AG24)</x:f>
        <x:v>2378179.7615693556</x:v>
      </x:c>
      <x:c r="AH48" s="51" t="n">
        <x:f>IF('Assumptions'!$E$9=2,0,'CF Installment'!AH24)</x:f>
        <x:v>2378179.7615693556</x:v>
      </x:c>
      <x:c r="AI48" s="51" t="n">
        <x:f>IF('Assumptions'!$E$9=2,0,'CF Installment'!AI24)</x:f>
        <x:v>2378179.7615693556</x:v>
      </x:c>
      <x:c r="AJ48" s="51" t="n">
        <x:f>IF('Assumptions'!$E$9=2,0,'CF Installment'!AJ24)</x:f>
        <x:v>2378179.7615693556</x:v>
      </x:c>
      <x:c r="AK48" s="51" t="n">
        <x:f>IF('Assumptions'!$E$9=2,0,'CF Installment'!AK24)</x:f>
        <x:v>2378179.7615693556</x:v>
      </x:c>
      <x:c r="AL48" s="51" t="n">
        <x:f>IF('Assumptions'!$E$9=2,0,'CF Installment'!AL24)</x:f>
        <x:v>2378179.7615693556</x:v>
      </x:c>
      <x:c r="AM48" s="51" t="n">
        <x:f>IF('Assumptions'!$E$9=2,0,'CF Installment'!AM24)</x:f>
        <x:v>2378179.7615693556</x:v>
      </x:c>
      <x:c r="AN48" s="51" t="n">
        <x:f>IF('Assumptions'!$E$9=2,0,'CF Installment'!AN24)</x:f>
        <x:v>2378179.7615693556</x:v>
      </x:c>
      <x:c r="AO48" s="51" t="n">
        <x:f>IF('Assumptions'!$E$9=2,0,'CF Installment'!AO24)</x:f>
        <x:v>2378179.7615693556</x:v>
      </x:c>
      <x:c r="AP48" s="51" t="n">
        <x:f>IF('Assumptions'!$E$9=2,0,'CF Installment'!AP24)</x:f>
        <x:v>2378179.7615693556</x:v>
      </x:c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8" t="str">
        <x:v>CreditFresh revenue</x:v>
      </x:c>
      <x:c r="D49" s="28"/>
      <x:c r="E49" s="45" t="n">
        <x:f>SUMIFS(G49:AP49,$G$6:$AP$6,"&lt;="&amp;'Assumptions'!$E$7)</x:f>
        <x:v>166127748.8400465</x:v>
      </x:c>
      <x:c r="F49" s="45"/>
      <x:c r="G49" s="45" t="n">
        <x:f>SUM(G47:G48)</x:f>
        <x:v>28279427.46261116</x:v>
      </x:c>
      <x:c r="H49" s="45" t="n">
        <x:f>SUM(H47:H48)</x:f>
        <x:v>17078105.51257539</x:v>
      </x:c>
      <x:c r="I49" s="45" t="n">
        <x:f>SUM(I47:I48)</x:f>
        <x:v>11406796.217991859</x:v>
      </x:c>
      <x:c r="J49" s="45" t="n">
        <x:f>SUM(J47:J48)</x:f>
        <x:v>8310704.653353659</x:v>
      </x:c>
      <x:c r="K49" s="45" t="n">
        <x:f>SUM(K47:K48)</x:f>
        <x:v>6613485.34619314</x:v>
      </x:c>
      <x:c r="L49" s="45" t="n">
        <x:f>SUM(L47:L48)</x:f>
        <x:v>5703395.018769083</x:v>
      </x:c>
      <x:c r="M49" s="45" t="n">
        <x:f>SUM(M47:M48)</x:f>
        <x:v>5236372.154496318</x:v>
      </x:c>
      <x:c r="N49" s="45" t="n">
        <x:f>SUM(N47:N48)</x:f>
        <x:v>5016250.9453680245</x:v>
      </x:c>
      <x:c r="O49" s="45" t="n">
        <x:f>SUM(O47:O48)</x:f>
        <x:v>4927907.142645384</x:v>
      </x:c>
      <x:c r="P49" s="45" t="n">
        <x:f>SUM(P47:P48)</x:f>
        <x:v>4903686.9590695035</x:v>
      </x:c>
      <x:c r="Q49" s="45" t="n">
        <x:f>SUM(Q47:Q48)</x:f>
        <x:v>4903686.959069504</x:v>
      </x:c>
      <x:c r="R49" s="45" t="n">
        <x:f>SUM(R47:R48)</x:f>
        <x:v>4903686.959069504</x:v>
      </x:c>
      <x:c r="S49" s="45" t="n">
        <x:f>SUM(S47:S48)</x:f>
        <x:v>4903686.959069504</x:v>
      </x:c>
      <x:c r="T49" s="45" t="n">
        <x:f>SUM(T47:T48)</x:f>
        <x:v>4903686.959069504</x:v>
      </x:c>
      <x:c r="U49" s="45" t="n">
        <x:f>SUM(U47:U48)</x:f>
        <x:v>4903686.959069504</x:v>
      </x:c>
      <x:c r="V49" s="45" t="n">
        <x:f>SUM(V47:V48)</x:f>
        <x:v>4903686.959069504</x:v>
      </x:c>
      <x:c r="W49" s="45" t="n">
        <x:f>SUM(W47:W48)</x:f>
        <x:v>4903686.959069504</x:v>
      </x:c>
      <x:c r="X49" s="45" t="n">
        <x:f>SUM(X47:X48)</x:f>
        <x:v>4903686.959069504</x:v>
      </x:c>
      <x:c r="Y49" s="45" t="n">
        <x:f>SUM(Y47:Y48)</x:f>
        <x:v>4903686.959069504</x:v>
      </x:c>
      <x:c r="Z49" s="45" t="n">
        <x:f>SUM(Z47:Z48)</x:f>
        <x:v>4903686.959069504</x:v>
      </x:c>
      <x:c r="AA49" s="45" t="n">
        <x:f>SUM(AA47:AA48)</x:f>
        <x:v>4903686.959069504</x:v>
      </x:c>
      <x:c r="AB49" s="45" t="n">
        <x:f>SUM(AB47:AB48)</x:f>
        <x:v>4903686.959069504</x:v>
      </x:c>
      <x:c r="AC49" s="45" t="n">
        <x:f>SUM(AC47:AC48)</x:f>
        <x:v>4903686.959069504</x:v>
      </x:c>
      <x:c r="AD49" s="45" t="n">
        <x:f>SUM(AD47:AD48)</x:f>
        <x:v>4903686.959069504</x:v>
      </x:c>
      <x:c r="AE49" s="45" t="n">
        <x:f>SUM(AE47:AE48)</x:f>
        <x:v>4903686.959069504</x:v>
      </x:c>
      <x:c r="AF49" s="45" t="n">
        <x:f>SUM(AF47:AF48)</x:f>
        <x:v>4903686.959069504</x:v>
      </x:c>
      <x:c r="AG49" s="45" t="n">
        <x:f>SUM(AG47:AG48)</x:f>
        <x:v>4903686.959069504</x:v>
      </x:c>
      <x:c r="AH49" s="45" t="n">
        <x:f>SUM(AH47:AH48)</x:f>
        <x:v>4903686.959069504</x:v>
      </x:c>
      <x:c r="AI49" s="45" t="n">
        <x:f>SUM(AI47:AI48)</x:f>
        <x:v>4903686.959069504</x:v>
      </x:c>
      <x:c r="AJ49" s="45" t="n">
        <x:f>SUM(AJ47:AJ48)</x:f>
        <x:v>4903686.959069504</x:v>
      </x:c>
      <x:c r="AK49" s="45" t="n">
        <x:f>SUM(AK47:AK48)</x:f>
        <x:v>4903686.959069504</x:v>
      </x:c>
      <x:c r="AL49" s="45" t="n">
        <x:f>SUM(AL47:AL48)</x:f>
        <x:v>4903686.959069504</x:v>
      </x:c>
      <x:c r="AM49" s="45" t="n">
        <x:f>SUM(AM47:AM48)</x:f>
        <x:v>4903686.959069504</x:v>
      </x:c>
      <x:c r="AN49" s="45" t="n">
        <x:f>SUM(AN47:AN48)</x:f>
        <x:v>4903686.959069504</x:v>
      </x:c>
      <x:c r="AO49" s="45" t="n">
        <x:f>SUM(AO47:AO48)</x:f>
        <x:v>4903686.959069504</x:v>
      </x:c>
      <x:c r="AP49" s="45" t="n">
        <x:f>SUM(AP47:AP48)</x:f>
        <x:v>4903686.959069504</x:v>
      </x:c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2" t="str">
        <x:v>MoneyKey - Short-Term</x:v>
      </x:c>
      <x:c r="D50" s="2"/>
      <x:c r="E50" s="35" t="n">
        <x:f>SUMIFS(G50:AP50,$G$6:$AP$6,"&lt;="&amp;'Assumptions'!$E$7)</x:f>
        <x:v>13577567.04617614</x:v>
      </x:c>
      <x:c r="F50" s="35"/>
      <x:c r="G50" s="51" t="n">
        <x:f>IF('Assumptions'!$E$9=3,0,'MK Short-Term'!G24)</x:f>
        <x:v>3318406.8174407096</x:v>
      </x:c>
      <x:c r="H50" s="51" t="n">
        <x:f>IF('Assumptions'!$E$9=3,0,'MK Short-Term'!H24)</x:f>
        <x:v>1440564.0415207623</x:v>
      </x:c>
      <x:c r="I50" s="51" t="n">
        <x:f>IF('Assumptions'!$E$9=3,0,'MK Short-Term'!I24)</x:f>
        <x:v>742368.1302135632</x:v>
      </x:c>
      <x:c r="J50" s="51" t="n">
        <x:f>IF('Assumptions'!$E$9=3,0,'MK Short-Term'!J24)</x:f>
        <x:v>482485.0754965016</x:v>
      </x:c>
      <x:c r="K50" s="51" t="n">
        <x:f>IF('Assumptions'!$E$9=3,0,'MK Short-Term'!K24)</x:f>
        <x:v>397143.10082286765</x:v>
      </x:c>
      <x:c r="L50" s="51" t="n">
        <x:f>IF('Assumptions'!$E$9=3,0,'MK Short-Term'!L24)</x:f>
        <x:v>378768.4147727224</x:v>
      </x:c>
      <x:c r="M50" s="51" t="n">
        <x:f>IF('Assumptions'!$E$9=3,0,'MK Short-Term'!M24)</x:f>
        <x:v>378768.4147727224</x:v>
      </x:c>
      <x:c r="N50" s="51" t="n">
        <x:f>IF('Assumptions'!$E$9=3,0,'MK Short-Term'!N24)</x:f>
        <x:v>378768.4147727224</x:v>
      </x:c>
      <x:c r="O50" s="51" t="n">
        <x:f>IF('Assumptions'!$E$9=3,0,'MK Short-Term'!O24)</x:f>
        <x:v>378768.4147727224</x:v>
      </x:c>
      <x:c r="P50" s="51" t="n">
        <x:f>IF('Assumptions'!$E$9=3,0,'MK Short-Term'!P24)</x:f>
        <x:v>378768.4147727224</x:v>
      </x:c>
      <x:c r="Q50" s="51" t="n">
        <x:f>IF('Assumptions'!$E$9=3,0,'MK Short-Term'!Q24)</x:f>
        <x:v>378768.4147727224</x:v>
      </x:c>
      <x:c r="R50" s="51" t="n">
        <x:f>IF('Assumptions'!$E$9=3,0,'MK Short-Term'!R24)</x:f>
        <x:v>378768.4147727224</x:v>
      </x:c>
      <x:c r="S50" s="51" t="n">
        <x:f>IF('Assumptions'!$E$9=3,0,'MK Short-Term'!S24)</x:f>
        <x:v>378768.4147727224</x:v>
      </x:c>
      <x:c r="T50" s="51" t="n">
        <x:f>IF('Assumptions'!$E$9=3,0,'MK Short-Term'!T24)</x:f>
        <x:v>378768.4147727224</x:v>
      </x:c>
      <x:c r="U50" s="51" t="n">
        <x:f>IF('Assumptions'!$E$9=3,0,'MK Short-Term'!U24)</x:f>
        <x:v>378768.4147727224</x:v>
      </x:c>
      <x:c r="V50" s="51" t="n">
        <x:f>IF('Assumptions'!$E$9=3,0,'MK Short-Term'!V24)</x:f>
        <x:v>378768.4147727224</x:v>
      </x:c>
      <x:c r="W50" s="51" t="n">
        <x:f>IF('Assumptions'!$E$9=3,0,'MK Short-Term'!W24)</x:f>
        <x:v>378768.4147727224</x:v>
      </x:c>
      <x:c r="X50" s="51" t="n">
        <x:f>IF('Assumptions'!$E$9=3,0,'MK Short-Term'!X24)</x:f>
        <x:v>378768.4147727224</x:v>
      </x:c>
      <x:c r="Y50" s="51" t="n">
        <x:f>IF('Assumptions'!$E$9=3,0,'MK Short-Term'!Y24)</x:f>
        <x:v>378768.4147727224</x:v>
      </x:c>
      <x:c r="Z50" s="51" t="n">
        <x:f>IF('Assumptions'!$E$9=3,0,'MK Short-Term'!Z24)</x:f>
        <x:v>378768.4147727224</x:v>
      </x:c>
      <x:c r="AA50" s="51" t="n">
        <x:f>IF('Assumptions'!$E$9=3,0,'MK Short-Term'!AA24)</x:f>
        <x:v>378768.4147727224</x:v>
      </x:c>
      <x:c r="AB50" s="51" t="n">
        <x:f>IF('Assumptions'!$E$9=3,0,'MK Short-Term'!AB24)</x:f>
        <x:v>378768.4147727224</x:v>
      </x:c>
      <x:c r="AC50" s="51" t="n">
        <x:f>IF('Assumptions'!$E$9=3,0,'MK Short-Term'!AC24)</x:f>
        <x:v>378768.4147727224</x:v>
      </x:c>
      <x:c r="AD50" s="51" t="n">
        <x:f>IF('Assumptions'!$E$9=3,0,'MK Short-Term'!AD24)</x:f>
        <x:v>378768.4147727224</x:v>
      </x:c>
      <x:c r="AE50" s="51" t="n">
        <x:f>IF('Assumptions'!$E$9=3,0,'MK Short-Term'!AE24)</x:f>
        <x:v>378768.4147727224</x:v>
      </x:c>
      <x:c r="AF50" s="51" t="n">
        <x:f>IF('Assumptions'!$E$9=3,0,'MK Short-Term'!AF24)</x:f>
        <x:v>378768.4147727224</x:v>
      </x:c>
      <x:c r="AG50" s="51" t="n">
        <x:f>IF('Assumptions'!$E$9=3,0,'MK Short-Term'!AG24)</x:f>
        <x:v>378768.4147727224</x:v>
      </x:c>
      <x:c r="AH50" s="51" t="n">
        <x:f>IF('Assumptions'!$E$9=3,0,'MK Short-Term'!AH24)</x:f>
        <x:v>378768.4147727224</x:v>
      </x:c>
      <x:c r="AI50" s="51" t="n">
        <x:f>IF('Assumptions'!$E$9=3,0,'MK Short-Term'!AI24)</x:f>
        <x:v>378768.4147727224</x:v>
      </x:c>
      <x:c r="AJ50" s="51" t="n">
        <x:f>IF('Assumptions'!$E$9=3,0,'MK Short-Term'!AJ24)</x:f>
        <x:v>378768.4147727224</x:v>
      </x:c>
      <x:c r="AK50" s="51" t="n">
        <x:f>IF('Assumptions'!$E$9=3,0,'MK Short-Term'!AK24)</x:f>
        <x:v>378768.4147727224</x:v>
      </x:c>
      <x:c r="AL50" s="51" t="n">
        <x:f>IF('Assumptions'!$E$9=3,0,'MK Short-Term'!AL24)</x:f>
        <x:v>378768.4147727224</x:v>
      </x:c>
      <x:c r="AM50" s="51" t="n">
        <x:f>IF('Assumptions'!$E$9=3,0,'MK Short-Term'!AM24)</x:f>
        <x:v>378768.4147727224</x:v>
      </x:c>
      <x:c r="AN50" s="51" t="n">
        <x:f>IF('Assumptions'!$E$9=3,0,'MK Short-Term'!AN24)</x:f>
        <x:v>378768.4147727224</x:v>
      </x:c>
      <x:c r="AO50" s="51" t="n">
        <x:f>IF('Assumptions'!$E$9=3,0,'MK Short-Term'!AO24)</x:f>
        <x:v>378768.4147727224</x:v>
      </x:c>
      <x:c r="AP50" s="51" t="n">
        <x:f>IF('Assumptions'!$E$9=3,0,'MK Short-Term'!AP24)</x:f>
        <x:v>378768.4147727224</x:v>
      </x:c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str">
        <x:v>MoneyKey - Installment</x:v>
      </x:c>
      <x:c r="D51" s="2"/>
      <x:c r="E51" s="35" t="n">
        <x:f>SUMIFS(G51:AP51,$G$6:$AP$6,"&lt;="&amp;'Assumptions'!$E$7)</x:f>
        <x:v>11937963.681254502</x:v>
      </x:c>
      <x:c r="F51" s="35"/>
      <x:c r="G51" s="51" t="n">
        <x:f>IF('Assumptions'!$E$9=2,0,'MK Installment'!G24)</x:f>
        <x:v>2737685.6243885863</x:v>
      </x:c>
      <x:c r="H51" s="51" t="n">
        <x:f>IF('Assumptions'!$E$9=2,0,'MK Installment'!H24)</x:f>
        <x:v>1238594.2442841637</x:v>
      </x:c>
      <x:c r="I51" s="51" t="n">
        <x:f>IF('Assumptions'!$E$9=2,0,'MK Installment'!I24)</x:f>
        <x:v>660163.4215627079</x:v>
      </x:c>
      <x:c r="J51" s="51" t="n">
        <x:f>IF('Assumptions'!$E$9=2,0,'MK Installment'!J24)</x:f>
        <x:v>436408.0513725096</x:v>
      </x:c>
      <x:c r="K51" s="51" t="n">
        <x:f>IF('Assumptions'!$E$9=2,0,'MK Installment'!K24)</x:f>
        <x:v>359739.9601857508</x:v>
      </x:c>
      <x:c r="L51" s="51" t="n">
        <x:f>IF('Assumptions'!$E$9=2,0,'MK Installment'!L24)</x:f>
        <x:v>342388.01997161977</x:v>
      </x:c>
      <x:c r="M51" s="51" t="n">
        <x:f>IF('Assumptions'!$E$9=2,0,'MK Installment'!M24)</x:f>
        <x:v>342388.0199716198</x:v>
      </x:c>
      <x:c r="N51" s="51" t="n">
        <x:f>IF('Assumptions'!$E$9=2,0,'MK Installment'!N24)</x:f>
        <x:v>342388.0199716198</x:v>
      </x:c>
      <x:c r="O51" s="51" t="n">
        <x:f>IF('Assumptions'!$E$9=2,0,'MK Installment'!O24)</x:f>
        <x:v>342388.0199716198</x:v>
      </x:c>
      <x:c r="P51" s="51" t="n">
        <x:f>IF('Assumptions'!$E$9=2,0,'MK Installment'!P24)</x:f>
        <x:v>342388.0199716198</x:v>
      </x:c>
      <x:c r="Q51" s="51" t="n">
        <x:f>IF('Assumptions'!$E$9=2,0,'MK Installment'!Q24)</x:f>
        <x:v>342388.0199716198</x:v>
      </x:c>
      <x:c r="R51" s="51" t="n">
        <x:f>IF('Assumptions'!$E$9=2,0,'MK Installment'!R24)</x:f>
        <x:v>342388.0199716198</x:v>
      </x:c>
      <x:c r="S51" s="51" t="n">
        <x:f>IF('Assumptions'!$E$9=2,0,'MK Installment'!S24)</x:f>
        <x:v>342388.0199716198</x:v>
      </x:c>
      <x:c r="T51" s="51" t="n">
        <x:f>IF('Assumptions'!$E$9=2,0,'MK Installment'!T24)</x:f>
        <x:v>342388.0199716198</x:v>
      </x:c>
      <x:c r="U51" s="51" t="n">
        <x:f>IF('Assumptions'!$E$9=2,0,'MK Installment'!U24)</x:f>
        <x:v>342388.0199716198</x:v>
      </x:c>
      <x:c r="V51" s="51" t="n">
        <x:f>IF('Assumptions'!$E$9=2,0,'MK Installment'!V24)</x:f>
        <x:v>342388.0199716198</x:v>
      </x:c>
      <x:c r="W51" s="51" t="n">
        <x:f>IF('Assumptions'!$E$9=2,0,'MK Installment'!W24)</x:f>
        <x:v>342388.0199716198</x:v>
      </x:c>
      <x:c r="X51" s="51" t="n">
        <x:f>IF('Assumptions'!$E$9=2,0,'MK Installment'!X24)</x:f>
        <x:v>342388.0199716198</x:v>
      </x:c>
      <x:c r="Y51" s="51" t="n">
        <x:f>IF('Assumptions'!$E$9=2,0,'MK Installment'!Y24)</x:f>
        <x:v>342388.0199716198</x:v>
      </x:c>
      <x:c r="Z51" s="51" t="n">
        <x:f>IF('Assumptions'!$E$9=2,0,'MK Installment'!Z24)</x:f>
        <x:v>342388.0199716198</x:v>
      </x:c>
      <x:c r="AA51" s="51" t="n">
        <x:f>IF('Assumptions'!$E$9=2,0,'MK Installment'!AA24)</x:f>
        <x:v>342388.0199716198</x:v>
      </x:c>
      <x:c r="AB51" s="51" t="n">
        <x:f>IF('Assumptions'!$E$9=2,0,'MK Installment'!AB24)</x:f>
        <x:v>342388.0199716198</x:v>
      </x:c>
      <x:c r="AC51" s="51" t="n">
        <x:f>IF('Assumptions'!$E$9=2,0,'MK Installment'!AC24)</x:f>
        <x:v>342388.0199716198</x:v>
      </x:c>
      <x:c r="AD51" s="51" t="n">
        <x:f>IF('Assumptions'!$E$9=2,0,'MK Installment'!AD24)</x:f>
        <x:v>342388.0199716198</x:v>
      </x:c>
      <x:c r="AE51" s="51" t="n">
        <x:f>IF('Assumptions'!$E$9=2,0,'MK Installment'!AE24)</x:f>
        <x:v>342388.0199716198</x:v>
      </x:c>
      <x:c r="AF51" s="51" t="n">
        <x:f>IF('Assumptions'!$E$9=2,0,'MK Installment'!AF24)</x:f>
        <x:v>342388.0199716198</x:v>
      </x:c>
      <x:c r="AG51" s="51" t="n">
        <x:f>IF('Assumptions'!$E$9=2,0,'MK Installment'!AG24)</x:f>
        <x:v>342388.0199716198</x:v>
      </x:c>
      <x:c r="AH51" s="51" t="n">
        <x:f>IF('Assumptions'!$E$9=2,0,'MK Installment'!AH24)</x:f>
        <x:v>342388.0199716198</x:v>
      </x:c>
      <x:c r="AI51" s="51" t="n">
        <x:f>IF('Assumptions'!$E$9=2,0,'MK Installment'!AI24)</x:f>
        <x:v>342388.0199716198</x:v>
      </x:c>
      <x:c r="AJ51" s="51" t="n">
        <x:f>IF('Assumptions'!$E$9=2,0,'MK Installment'!AJ24)</x:f>
        <x:v>342388.0199716198</x:v>
      </x:c>
      <x:c r="AK51" s="51" t="n">
        <x:f>IF('Assumptions'!$E$9=2,0,'MK Installment'!AK24)</x:f>
        <x:v>342388.0199716198</x:v>
      </x:c>
      <x:c r="AL51" s="51" t="n">
        <x:f>IF('Assumptions'!$E$9=2,0,'MK Installment'!AL24)</x:f>
        <x:v>342388.0199716198</x:v>
      </x:c>
      <x:c r="AM51" s="51" t="n">
        <x:f>IF('Assumptions'!$E$9=2,0,'MK Installment'!AM24)</x:f>
        <x:v>342388.0199716198</x:v>
      </x:c>
      <x:c r="AN51" s="51" t="n">
        <x:f>IF('Assumptions'!$E$9=2,0,'MK Installment'!AN24)</x:f>
        <x:v>342388.0199716198</x:v>
      </x:c>
      <x:c r="AO51" s="51" t="n">
        <x:f>IF('Assumptions'!$E$9=2,0,'MK Installment'!AO24)</x:f>
        <x:v>342388.0199716198</x:v>
      </x:c>
      <x:c r="AP51" s="51" t="n">
        <x:f>IF('Assumptions'!$E$9=2,0,'MK Installment'!AP24)</x:f>
        <x:v>342388.0199716198</x:v>
      </x:c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8" t="str">
        <x:v>MoneyKey revenue</x:v>
      </x:c>
      <x:c r="D52" s="28"/>
      <x:c r="E52" s="45" t="n">
        <x:f>SUMIFS(G52:AP52,$G$6:$AP$6,"&lt;="&amp;'Assumptions'!$E$7)</x:f>
        <x:v>25515530.72743064</x:v>
      </x:c>
      <x:c r="F52" s="45"/>
      <x:c r="G52" s="45" t="n">
        <x:f>SUM(G50:G51)</x:f>
        <x:v>6056092.441829296</x:v>
      </x:c>
      <x:c r="H52" s="45" t="n">
        <x:f>SUM(H50:H51)</x:f>
        <x:v>2679158.285804926</x:v>
      </x:c>
      <x:c r="I52" s="45" t="n">
        <x:f>SUM(I50:I51)</x:f>
        <x:v>1402531.551776271</x:v>
      </x:c>
      <x:c r="J52" s="45" t="n">
        <x:f>SUM(J50:J51)</x:f>
        <x:v>918893.1268690112</x:v>
      </x:c>
      <x:c r="K52" s="45" t="n">
        <x:f>SUM(K50:K51)</x:f>
        <x:v>756883.0610086184</x:v>
      </x:c>
      <x:c r="L52" s="45" t="n">
        <x:f>SUM(L50:L51)</x:f>
        <x:v>721156.4347443422</x:v>
      </x:c>
      <x:c r="M52" s="45" t="n">
        <x:f>SUM(M50:M51)</x:f>
        <x:v>721156.4347443422</x:v>
      </x:c>
      <x:c r="N52" s="45" t="n">
        <x:f>SUM(N50:N51)</x:f>
        <x:v>721156.4347443422</x:v>
      </x:c>
      <x:c r="O52" s="45" t="n">
        <x:f>SUM(O50:O51)</x:f>
        <x:v>721156.4347443422</x:v>
      </x:c>
      <x:c r="P52" s="45" t="n">
        <x:f>SUM(P50:P51)</x:f>
        <x:v>721156.4347443422</x:v>
      </x:c>
      <x:c r="Q52" s="45" t="n">
        <x:f>SUM(Q50:Q51)</x:f>
        <x:v>721156.4347443422</x:v>
      </x:c>
      <x:c r="R52" s="45" t="n">
        <x:f>SUM(R50:R51)</x:f>
        <x:v>721156.4347443422</x:v>
      </x:c>
      <x:c r="S52" s="45" t="n">
        <x:f>SUM(S50:S51)</x:f>
        <x:v>721156.4347443422</x:v>
      </x:c>
      <x:c r="T52" s="45" t="n">
        <x:f>SUM(T50:T51)</x:f>
        <x:v>721156.4347443422</x:v>
      </x:c>
      <x:c r="U52" s="45" t="n">
        <x:f>SUM(U50:U51)</x:f>
        <x:v>721156.4347443422</x:v>
      </x:c>
      <x:c r="V52" s="45" t="n">
        <x:f>SUM(V50:V51)</x:f>
        <x:v>721156.4347443422</x:v>
      </x:c>
      <x:c r="W52" s="45" t="n">
        <x:f>SUM(W50:W51)</x:f>
        <x:v>721156.4347443422</x:v>
      </x:c>
      <x:c r="X52" s="45" t="n">
        <x:f>SUM(X50:X51)</x:f>
        <x:v>721156.4347443422</x:v>
      </x:c>
      <x:c r="Y52" s="45" t="n">
        <x:f>SUM(Y50:Y51)</x:f>
        <x:v>721156.4347443422</x:v>
      </x:c>
      <x:c r="Z52" s="45" t="n">
        <x:f>SUM(Z50:Z51)</x:f>
        <x:v>721156.4347443422</x:v>
      </x:c>
      <x:c r="AA52" s="45" t="n">
        <x:f>SUM(AA50:AA51)</x:f>
        <x:v>721156.4347443422</x:v>
      </x:c>
      <x:c r="AB52" s="45" t="n">
        <x:f>SUM(AB50:AB51)</x:f>
        <x:v>721156.4347443422</x:v>
      </x:c>
      <x:c r="AC52" s="45" t="n">
        <x:f>SUM(AC50:AC51)</x:f>
        <x:v>721156.4347443422</x:v>
      </x:c>
      <x:c r="AD52" s="45" t="n">
        <x:f>SUM(AD50:AD51)</x:f>
        <x:v>721156.4347443422</x:v>
      </x:c>
      <x:c r="AE52" s="45" t="n">
        <x:f>SUM(AE50:AE51)</x:f>
        <x:v>721156.4347443422</x:v>
      </x:c>
      <x:c r="AF52" s="45" t="n">
        <x:f>SUM(AF50:AF51)</x:f>
        <x:v>721156.4347443422</x:v>
      </x:c>
      <x:c r="AG52" s="45" t="n">
        <x:f>SUM(AG50:AG51)</x:f>
        <x:v>721156.4347443422</x:v>
      </x:c>
      <x:c r="AH52" s="45" t="n">
        <x:f>SUM(AH50:AH51)</x:f>
        <x:v>721156.4347443422</x:v>
      </x:c>
      <x:c r="AI52" s="45" t="n">
        <x:f>SUM(AI50:AI51)</x:f>
        <x:v>721156.4347443422</x:v>
      </x:c>
      <x:c r="AJ52" s="45" t="n">
        <x:f>SUM(AJ50:AJ51)</x:f>
        <x:v>721156.4347443422</x:v>
      </x:c>
      <x:c r="AK52" s="45" t="n">
        <x:f>SUM(AK50:AK51)</x:f>
        <x:v>721156.4347443422</x:v>
      </x:c>
      <x:c r="AL52" s="45" t="n">
        <x:f>SUM(AL50:AL51)</x:f>
        <x:v>721156.4347443422</x:v>
      </x:c>
      <x:c r="AM52" s="45" t="n">
        <x:f>SUM(AM50:AM51)</x:f>
        <x:v>721156.4347443422</x:v>
      </x:c>
      <x:c r="AN52" s="45" t="n">
        <x:f>SUM(AN50:AN51)</x:f>
        <x:v>721156.4347443422</x:v>
      </x:c>
      <x:c r="AO52" s="45" t="n">
        <x:f>SUM(AO50:AO51)</x:f>
        <x:v>721156.4347443422</x:v>
      </x:c>
      <x:c r="AP52" s="45" t="n">
        <x:f>SUM(AP50:AP51)</x:f>
        <x:v>721156.4347443422</x:v>
      </x:c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8" t="str">
        <x:v>Total revenue</x:v>
      </x:c>
      <x:c r="D53" s="28"/>
      <x:c r="E53" s="45" t="n">
        <x:f>SUMIFS(G53:AP53,$G$6:$AP$6,"&lt;="&amp;'Assumptions'!$E$7)</x:f>
        <x:v>191643279.56747723</x:v>
      </x:c>
      <x:c r="F53" s="45"/>
      <x:c r="G53" s="45" t="n">
        <x:f>G49+G52</x:f>
        <x:v>34335519.904440455</x:v>
      </x:c>
      <x:c r="H53" s="45" t="n">
        <x:f>H49+H52</x:f>
        <x:v>19757263.79838032</x:v>
      </x:c>
      <x:c r="I53" s="45" t="n">
        <x:f>I49+I52</x:f>
        <x:v>12809327.76976813</x:v>
      </x:c>
      <x:c r="J53" s="45" t="n">
        <x:f>J49+J52</x:f>
        <x:v>9229597.780222671</x:v>
      </x:c>
      <x:c r="K53" s="45" t="n">
        <x:f>K49+K52</x:f>
        <x:v>7370368.407201759</x:v>
      </x:c>
      <x:c r="L53" s="45" t="n">
        <x:f>L49+L52</x:f>
        <x:v>6424551.453513425</x:v>
      </x:c>
      <x:c r="M53" s="45" t="n">
        <x:f>M49+M52</x:f>
        <x:v>5957528.58924066</x:v>
      </x:c>
      <x:c r="N53" s="45" t="n">
        <x:f>N49+N52</x:f>
        <x:v>5737407.380112367</x:v>
      </x:c>
      <x:c r="O53" s="45" t="n">
        <x:f>O49+O52</x:f>
        <x:v>5649063.577389726</x:v>
      </x:c>
      <x:c r="P53" s="45" t="n">
        <x:f>P49+P52</x:f>
        <x:v>5624843.393813846</x:v>
      </x:c>
      <x:c r="Q53" s="45" t="n">
        <x:f>Q49+Q52</x:f>
        <x:v>5624843.393813847</x:v>
      </x:c>
      <x:c r="R53" s="45" t="n">
        <x:f>R49+R52</x:f>
        <x:v>5624843.393813847</x:v>
      </x:c>
      <x:c r="S53" s="45" t="n">
        <x:f>S49+S52</x:f>
        <x:v>5624843.393813847</x:v>
      </x:c>
      <x:c r="T53" s="45" t="n">
        <x:f>T49+T52</x:f>
        <x:v>5624843.393813847</x:v>
      </x:c>
      <x:c r="U53" s="45" t="n">
        <x:f>U49+U52</x:f>
        <x:v>5624843.393813847</x:v>
      </x:c>
      <x:c r="V53" s="45" t="n">
        <x:f>V49+V52</x:f>
        <x:v>5624843.393813847</x:v>
      </x:c>
      <x:c r="W53" s="45" t="n">
        <x:f>W49+W52</x:f>
        <x:v>5624843.393813847</x:v>
      </x:c>
      <x:c r="X53" s="45" t="n">
        <x:f>X49+X52</x:f>
        <x:v>5624843.393813847</x:v>
      </x:c>
      <x:c r="Y53" s="45" t="n">
        <x:f>Y49+Y52</x:f>
        <x:v>5624843.393813847</x:v>
      </x:c>
      <x:c r="Z53" s="45" t="n">
        <x:f>Z49+Z52</x:f>
        <x:v>5624843.393813847</x:v>
      </x:c>
      <x:c r="AA53" s="45" t="n">
        <x:f>AA49+AA52</x:f>
        <x:v>5624843.393813847</x:v>
      </x:c>
      <x:c r="AB53" s="45" t="n">
        <x:f>AB49+AB52</x:f>
        <x:v>5624843.393813847</x:v>
      </x:c>
      <x:c r="AC53" s="45" t="n">
        <x:f>AC49+AC52</x:f>
        <x:v>5624843.393813847</x:v>
      </x:c>
      <x:c r="AD53" s="45" t="n">
        <x:f>AD49+AD52</x:f>
        <x:v>5624843.393813847</x:v>
      </x:c>
      <x:c r="AE53" s="45" t="n">
        <x:f>AE49+AE52</x:f>
        <x:v>5624843.393813847</x:v>
      </x:c>
      <x:c r="AF53" s="45" t="n">
        <x:f>AF49+AF52</x:f>
        <x:v>5624843.393813847</x:v>
      </x:c>
      <x:c r="AG53" s="45" t="n">
        <x:f>AG49+AG52</x:f>
        <x:v>5624843.393813847</x:v>
      </x:c>
      <x:c r="AH53" s="45" t="n">
        <x:f>AH49+AH52</x:f>
        <x:v>5624843.393813847</x:v>
      </x:c>
      <x:c r="AI53" s="45" t="n">
        <x:f>AI49+AI52</x:f>
        <x:v>5624843.393813847</x:v>
      </x:c>
      <x:c r="AJ53" s="45" t="n">
        <x:f>AJ49+AJ52</x:f>
        <x:v>5624843.393813847</x:v>
      </x:c>
      <x:c r="AK53" s="45" t="n">
        <x:f>AK49+AK52</x:f>
        <x:v>5624843.393813847</x:v>
      </x:c>
      <x:c r="AL53" s="45" t="n">
        <x:f>AL49+AL52</x:f>
        <x:v>5624843.393813847</x:v>
      </x:c>
      <x:c r="AM53" s="45" t="n">
        <x:f>AM49+AM52</x:f>
        <x:v>5624843.393813847</x:v>
      </x:c>
      <x:c r="AN53" s="45" t="n">
        <x:f>AN49+AN52</x:f>
        <x:v>5624843.393813847</x:v>
      </x:c>
      <x:c r="AO53" s="45" t="n">
        <x:f>AO49+AO52</x:f>
        <x:v>5624843.393813847</x:v>
      </x:c>
      <x:c r="AP53" s="45" t="n">
        <x:f>AP49+AP52</x:f>
        <x:v>5624843.393813847</x:v>
      </x:c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4" priority="1">
      <x:formula>ABS(G35)&gt;0.01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38DD5"/>
  </x:sheetPr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17" hidden="0" customWidth="1"/>
    <x:col min="7" max="7" width="14" hidden="0" customWidth="1"/>
    <x:col min="8" max="8" width="16" hidden="0" customWidth="1"/>
    <x:col min="9" max="9" width="16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Assumptions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Blue inputs; black formulas; green worksheet links. No external workbook links.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2" t="str">
        <x:v>Curve source (1 manual, 2 historical)</x:v>
      </x:c>
      <x:c r="D6" s="2"/>
      <x:c r="E6" s="8" t="n">
        <x:v>1</x:v>
      </x:c>
      <x:c r="F6" s="2"/>
      <x:c r="G6" s="2"/>
      <x:c r="H6" s="2" t="str">
        <x:v>Source selector changes both product builds and all model results.</x:v>
      </x:c>
      <x:c r="I6" s="2"/>
      <x:c r="J6" s="2"/>
      <x:c r="K6" s="2"/>
      <x:c r="L6" s="2"/>
      <x:c r="M6" s="2"/>
      <x:c r="N6" s="2"/>
      <x:c r="O6" s="2"/>
      <x:c r="P6" s="2"/>
      <x:c r="Q6" s="2"/>
      <x:c r="R6" s="2"/>
      <x:c r="S6" s="2"/>
      <x:c r="T6" s="2"/>
      <x:c r="U6" s="2"/>
      <x:c r="V6" s="2"/>
      <x:c r="W6" s="2"/>
      <x:c r="X6" s="2"/>
      <x:c r="Y6" s="2"/>
      <x:c r="Z6" s="2"/>
      <x:c r="AA6" s="2"/>
      <x:c r="AB6" s="2"/>
      <x:c r="AC6" s="2"/>
      <x:c r="AD6" s="2"/>
      <x:c r="AE6" s="2"/>
      <x:c r="AF6" s="2"/>
      <x:c r="AG6" s="2"/>
      <x:c r="AH6" s="2"/>
      <x:c r="AI6" s="2"/>
      <x:c r="AJ6" s="2"/>
      <x:c r="AK6" s="2"/>
      <x:c r="AL6" s="2"/>
      <x:c r="AM6" s="2"/>
      <x:c r="AN6" s="2"/>
      <x:c r="AO6" s="2"/>
      <x:c r="AP6" s="2"/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 t="str">
        <x:v>Forecast horizon (months)</x:v>
      </x:c>
      <x:c r="D7" s="2"/>
      <x:c r="E7" s="8" t="n">
        <x:v>24</x:v>
      </x:c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Exported scenario</x:v>
      </x:c>
      <x:c r="D8" s="2"/>
      <x:c r="E8" s="8" t="str">
        <x:v>Base</x:v>
      </x:c>
      <x:c r="F8" s="2"/>
      <x:c r="G8" s="2"/>
      <x:c r="H8" s="2" t="str">
        <x:v>Scenario label describes exported inputs; edit individual blue cells to change the case.</x:v>
      </x:c>
      <x:c r="I8" s="2"/>
      <x:c r="J8" s="2"/>
      <x:c r="K8" s="2"/>
      <x:c r="L8" s="2"/>
      <x:c r="M8" s="2"/>
      <x:c r="N8" s="2"/>
      <x:c r="O8" s="2"/>
      <x:c r="P8" s="2"/>
      <x:c r="Q8" s="2"/>
      <x:c r="R8" s="2"/>
      <x:c r="S8" s="2"/>
      <x:c r="T8" s="2"/>
      <x:c r="U8" s="2"/>
      <x:c r="V8" s="2"/>
      <x:c r="W8" s="2"/>
      <x:c r="X8" s="2"/>
      <x:c r="Y8" s="2"/>
      <x:c r="Z8" s="2"/>
      <x:c r="AA8" s="2"/>
      <x:c r="AB8" s="2"/>
      <x:c r="AC8" s="2"/>
      <x:c r="AD8" s="2"/>
      <x:c r="AE8" s="2"/>
      <x:c r="AF8" s="2"/>
      <x:c r="AG8" s="2"/>
      <x:c r="AH8" s="2"/>
      <x:c r="AI8" s="2"/>
      <x:c r="AJ8" s="2"/>
      <x:c r="AK8" s="2"/>
      <x:c r="AL8" s="2"/>
      <x:c r="AM8" s="2"/>
      <x:c r="AN8" s="2"/>
      <x:c r="AO8" s="2"/>
      <x:c r="AP8" s="2"/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View (1 combined, 2 short, 3 installment)</x:v>
      </x:c>
      <x:c r="D9" s="2"/>
      <x:c r="E9" s="8" t="n">
        <x:v>1</x:v>
      </x:c>
      <x:c r="F9" s="2"/>
      <x:c r="G9" s="2"/>
      <x:c r="H9" s="2"/>
      <x:c r="I9" s="2"/>
      <x:c r="J9" s="2"/>
      <x:c r="K9" s="2"/>
      <x:c r="L9" s="2"/>
      <x:c r="M9" s="2"/>
      <x:c r="N9" s="2"/>
      <x:c r="O9" s="2"/>
      <x:c r="P9" s="2"/>
      <x:c r="Q9" s="2"/>
      <x:c r="R9" s="2"/>
      <x:c r="S9" s="2"/>
      <x:c r="T9" s="2"/>
      <x:c r="U9" s="2"/>
      <x:c r="V9" s="2"/>
      <x:c r="W9" s="2"/>
      <x:c r="X9" s="2"/>
      <x:c r="Y9" s="2"/>
      <x:c r="Z9" s="2"/>
      <x:c r="AA9" s="2"/>
      <x:c r="AB9" s="2"/>
      <x:c r="AC9" s="2"/>
      <x:c r="AD9" s="2"/>
      <x:c r="AE9" s="2"/>
      <x:c r="AF9" s="2"/>
      <x:c r="AG9" s="2"/>
      <x:c r="AH9" s="2"/>
      <x:c r="AI9" s="2"/>
      <x:c r="AJ9" s="2"/>
      <x:c r="AK9" s="2"/>
      <x:c r="AL9" s="2"/>
      <x:c r="AM9" s="2"/>
      <x:c r="AN9" s="2"/>
      <x:c r="AO9" s="2"/>
      <x:c r="AP9" s="2"/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6"/>
      <x:c r="D10" s="6"/>
      <x:c r="E10" s="6" t="str">
        <x:v>Short-Term</x:v>
      </x:c>
      <x:c r="F10" s="6" t="str">
        <x:v>Installment</x:v>
      </x:c>
      <x:c r="G10" s="2"/>
      <x:c r="H10" s="2"/>
      <x:c r="I10" s="2"/>
      <x:c r="J10" s="2"/>
      <x:c r="K10" s="2"/>
      <x:c r="L10" s="2"/>
      <x:c r="M10" s="2"/>
      <x:c r="N10" s="2"/>
      <x:c r="O10" s="2"/>
      <x:c r="P10" s="2"/>
      <x:c r="Q10" s="2"/>
      <x:c r="R10" s="2"/>
      <x:c r="S10" s="2"/>
      <x:c r="T10" s="2"/>
      <x:c r="U10" s="2"/>
      <x:c r="V10" s="2"/>
      <x:c r="W10" s="2"/>
      <x:c r="X10" s="2"/>
      <x:c r="Y10" s="2"/>
      <x:c r="Z10" s="2"/>
      <x:c r="AA10" s="2"/>
      <x:c r="AB10" s="2"/>
      <x:c r="AC10" s="2"/>
      <x:c r="AD10" s="2"/>
      <x:c r="AE10" s="2"/>
      <x:c r="AF10" s="2"/>
      <x:c r="AG10" s="2"/>
      <x:c r="AH10" s="2"/>
      <x:c r="AI10" s="2"/>
      <x:c r="AJ10" s="2"/>
      <x:c r="AK10" s="2"/>
      <x:c r="AL10" s="2"/>
      <x:c r="AM10" s="2"/>
      <x:c r="AN10" s="2"/>
      <x:c r="AO10" s="2"/>
      <x:c r="AP10" s="2"/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2" t="str">
        <x:v>Monthly applications</x:v>
      </x:c>
      <x:c r="D11" s="2"/>
      <x:c r="E11" s="9" t="n">
        <x:v>30000</x:v>
      </x:c>
      <x:c r="F11" s="9" t="n">
        <x:v>12000</x:v>
      </x:c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  <x:c r="AA11" s="2"/>
      <x:c r="AB11" s="2"/>
      <x:c r="AC11" s="2"/>
      <x:c r="AD11" s="2"/>
      <x:c r="AE11" s="2"/>
      <x:c r="AF11" s="2"/>
      <x:c r="AG11" s="2"/>
      <x:c r="AH11" s="2"/>
      <x:c r="AI11" s="2"/>
      <x:c r="AJ11" s="2"/>
      <x:c r="AK11" s="2"/>
      <x:c r="AL11" s="2"/>
      <x:c r="AM11" s="2"/>
      <x:c r="AN11" s="2"/>
      <x:c r="AO11" s="2"/>
      <x:c r="AP11" s="2"/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 t="str">
        <x:v>Monthly growth</x:v>
      </x:c>
      <x:c r="D12" s="2"/>
      <x:c r="E12" s="11" t="n">
        <x:v>0</x:v>
      </x:c>
      <x:c r="F12" s="11" t="n">
        <x:v>0</x:v>
      </x:c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Approval rate</x:v>
      </x:c>
      <x:c r="D13" s="2"/>
      <x:c r="E13" s="11" t="n">
        <x:v>0.3</x:v>
      </x:c>
      <x:c r="F13" s="11" t="n">
        <x:v>0.45</x:v>
      </x:c>
      <x:c r="G13" s="2"/>
      <x:c r="H13" s="2"/>
      <x:c r="I13" s="2"/>
      <x:c r="J13" s="2"/>
      <x:c r="K13" s="2"/>
      <x:c r="L13" s="2"/>
      <x:c r="M13" s="2"/>
      <x:c r="N13" s="2"/>
      <x:c r="O13" s="2"/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  <x:c r="AA13" s="2"/>
      <x:c r="AB13" s="2"/>
      <x:c r="AC13" s="2"/>
      <x:c r="AD13" s="2"/>
      <x:c r="AE13" s="2"/>
      <x:c r="AF13" s="2"/>
      <x:c r="AG13" s="2"/>
      <x:c r="AH13" s="2"/>
      <x:c r="AI13" s="2"/>
      <x:c r="AJ13" s="2"/>
      <x:c r="AK13" s="2"/>
      <x:c r="AL13" s="2"/>
      <x:c r="AM13" s="2"/>
      <x:c r="AN13" s="2"/>
      <x:c r="AO13" s="2"/>
      <x:c r="AP13" s="2"/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Average loan size ($)</x:v>
      </x:c>
      <x:c r="D14" s="2"/>
      <x:c r="E14" s="9" t="n">
        <x:v>1500</x:v>
      </x:c>
      <x:c r="F14" s="9" t="n">
        <x:v>4000</x:v>
      </x:c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  <x:c r="AA14" s="2"/>
      <x:c r="AB14" s="2"/>
      <x:c r="AC14" s="2"/>
      <x:c r="AD14" s="2"/>
      <x:c r="AE14" s="2"/>
      <x:c r="AF14" s="2"/>
      <x:c r="AG14" s="2"/>
      <x:c r="AH14" s="2"/>
      <x:c r="AI14" s="2"/>
      <x:c r="AJ14" s="2"/>
      <x:c r="AK14" s="2"/>
      <x:c r="AL14" s="2"/>
      <x:c r="AM14" s="2"/>
      <x:c r="AN14" s="2"/>
      <x:c r="AO14" s="2"/>
      <x:c r="AP14" s="2"/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Annual yield</x:v>
      </x:c>
      <x:c r="D15" s="2"/>
      <x:c r="E15" s="11" t="n">
        <x:v>1</x:v>
      </x:c>
      <x:c r="F15" s="11" t="n">
        <x:v>0.55</x:v>
      </x:c>
      <x:c r="G15" s="2"/>
      <x:c r="H15" s="2"/>
      <x:c r="I15" s="2"/>
      <x:c r="J15" s="2"/>
      <x:c r="K15" s="2"/>
      <x:c r="L15" s="2"/>
      <x:c r="M15" s="2"/>
      <x:c r="N15" s="2"/>
      <x:c r="O15" s="2"/>
      <x:c r="P15" s="2"/>
      <x:c r="Q15" s="2"/>
      <x:c r="R15" s="2"/>
      <x:c r="S15" s="2"/>
      <x:c r="T15" s="2"/>
      <x:c r="U15" s="2"/>
      <x:c r="V15" s="2"/>
      <x:c r="W15" s="2"/>
      <x:c r="X15" s="2"/>
      <x:c r="Y15" s="2"/>
      <x:c r="Z15" s="2"/>
      <x:c r="AA15" s="2"/>
      <x:c r="AB15" s="2"/>
      <x:c r="AC15" s="2"/>
      <x:c r="AD15" s="2"/>
      <x:c r="AE15" s="2"/>
      <x:c r="AF15" s="2"/>
      <x:c r="AG15" s="2"/>
      <x:c r="AH15" s="2"/>
      <x:c r="AI15" s="2"/>
      <x:c r="AJ15" s="2"/>
      <x:c r="AK15" s="2"/>
      <x:c r="AL15" s="2"/>
      <x:c r="AM15" s="2"/>
      <x:c r="AN15" s="2"/>
      <x:c r="AO15" s="2"/>
      <x:c r="AP15" s="2"/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2" t="str">
        <x:v>Loan term (months)</x:v>
      </x:c>
      <x:c r="D16" s="2"/>
      <x:c r="E16" s="17" t="n">
        <x:v>12</x:v>
      </x:c>
      <x:c r="F16" s="17" t="n">
        <x:v>24</x:v>
      </x:c>
      <x:c r="G16" s="2"/>
      <x:c r="H16" s="2"/>
      <x:c r="I16" s="2"/>
      <x:c r="J16" s="2"/>
      <x:c r="K16" s="2"/>
      <x:c r="L16" s="2"/>
      <x:c r="M16" s="2"/>
      <x:c r="N16" s="2"/>
      <x:c r="O16" s="2"/>
      <x:c r="P16" s="2"/>
      <x:c r="Q16" s="2"/>
      <x:c r="R16" s="2"/>
      <x:c r="S16" s="2"/>
      <x:c r="T16" s="2"/>
      <x:c r="U16" s="2"/>
      <x:c r="V16" s="2"/>
      <x:c r="W16" s="2"/>
      <x:c r="X16" s="2"/>
      <x:c r="Y16" s="2"/>
      <x:c r="Z16" s="2"/>
      <x:c r="AA16" s="2"/>
      <x:c r="AB16" s="2"/>
      <x:c r="AC16" s="2"/>
      <x:c r="AD16" s="2"/>
      <x:c r="AE16" s="2"/>
      <x:c r="AF16" s="2"/>
      <x:c r="AG16" s="2"/>
      <x:c r="AH16" s="2"/>
      <x:c r="AI16" s="2"/>
      <x:c r="AJ16" s="2"/>
      <x:c r="AK16" s="2"/>
      <x:c r="AL16" s="2"/>
      <x:c r="AM16" s="2"/>
      <x:c r="AN16" s="2"/>
      <x:c r="AO16" s="2"/>
      <x:c r="AP16" s="2"/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 t="str">
        <x:v>Opening gross CLAB ($)</x:v>
      </x:c>
      <x:c r="D17" s="2"/>
      <x:c r="E17" s="13" t="n">
        <x:v>255600000</x:v>
      </x:c>
      <x:c r="F17" s="13" t="n">
        <x:v>383400000</x:v>
      </x:c>
      <x:c r="G17" s="2"/>
      <x:c r="H17" s="2" t="str">
        <x:v>Source: user-provided $639M end-Q2 CLAB. Treated as gross performing principal.</x:v>
      </x:c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Age mix (0 even, 1 single)</x:v>
      </x:c>
      <x:c r="D18" s="2"/>
      <x:c r="E18" s="17" t="n">
        <x:v>0</x:v>
      </x:c>
      <x:c r="F18" s="17" t="n">
        <x:v>0</x:v>
      </x:c>
      <x:c r="G18" s="2"/>
      <x:c r="H18" s="2" t="str">
        <x:v>Initial 40% / 60% product split and even balance by active MOB are assumptions.</x:v>
      </x:c>
      <x:c r="I18" s="2"/>
      <x:c r="J18" s="2"/>
      <x:c r="K18" s="2"/>
      <x:c r="L18" s="2"/>
      <x:c r="M18" s="2"/>
      <x:c r="N18" s="2"/>
      <x:c r="O18" s="2"/>
      <x:c r="P18" s="2"/>
      <x:c r="Q18" s="2"/>
      <x:c r="R18" s="2"/>
      <x:c r="S18" s="2"/>
      <x:c r="T18" s="2"/>
      <x:c r="U18" s="2"/>
      <x:c r="V18" s="2"/>
      <x:c r="W18" s="2"/>
      <x:c r="X18" s="2"/>
      <x:c r="Y18" s="2"/>
      <x:c r="Z18" s="2"/>
      <x:c r="AA18" s="2"/>
      <x:c r="AB18" s="2"/>
      <x:c r="AC18" s="2"/>
      <x:c r="AD18" s="2"/>
      <x:c r="AE18" s="2"/>
      <x:c r="AF18" s="2"/>
      <x:c r="AG18" s="2"/>
      <x:c r="AH18" s="2"/>
      <x:c r="AI18" s="2"/>
      <x:c r="AJ18" s="2"/>
      <x:c r="AK18" s="2"/>
      <x:c r="AL18" s="2"/>
      <x:c r="AM18" s="2"/>
      <x:c r="AN18" s="2"/>
      <x:c r="AO18" s="2"/>
      <x:c r="AP18" s="2"/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Single-cohort opening age</x:v>
      </x:c>
      <x:c r="D19" s="2"/>
      <x:c r="E19" s="17" t="n">
        <x:v>3</x:v>
      </x:c>
      <x:c r="F19" s="17" t="n">
        <x:v>6</x:v>
      </x:c>
      <x:c r="G19" s="2"/>
      <x:c r="H19" s="2"/>
      <x:c r="I19" s="2"/>
      <x:c r="J19" s="2"/>
      <x:c r="K19" s="2"/>
      <x:c r="L19" s="2"/>
      <x:c r="M19" s="2"/>
      <x:c r="N19" s="2"/>
      <x:c r="O19" s="2"/>
      <x:c r="P19" s="2"/>
      <x:c r="Q19" s="2"/>
      <x:c r="R19" s="2"/>
      <x:c r="S19" s="2"/>
      <x:c r="T19" s="2"/>
      <x:c r="U19" s="2"/>
      <x:c r="V19" s="2"/>
      <x:c r="W19" s="2"/>
      <x:c r="X19" s="2"/>
      <x:c r="Y19" s="2"/>
      <x:c r="Z19" s="2"/>
      <x:c r="AA19" s="2"/>
      <x:c r="AB19" s="2"/>
      <x:c r="AC19" s="2"/>
      <x:c r="AD19" s="2"/>
      <x:c r="AE19" s="2"/>
      <x:c r="AF19" s="2"/>
      <x:c r="AG19" s="2"/>
      <x:c r="AH19" s="2"/>
      <x:c r="AI19" s="2"/>
      <x:c r="AJ19" s="2"/>
      <x:c r="AK19" s="2"/>
      <x:c r="AL19" s="2"/>
      <x:c r="AM19" s="2"/>
      <x:c r="AN19" s="2"/>
      <x:c r="AO19" s="2"/>
      <x:c r="AP19" s="2"/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2" t="str">
        <x:v>Product credit assumptions below</x:v>
      </x:c>
      <x:c r="D20" s="2"/>
      <x:c r="E20" s="11"/>
      <x:c r="F20" s="11"/>
      <x:c r="G20" s="2"/>
      <x:c r="H20" s="2"/>
      <x:c r="I20" s="2"/>
      <x:c r="J20" s="2"/>
      <x:c r="K20" s="2"/>
      <x:c r="L20" s="2"/>
      <x:c r="M20" s="2"/>
      <x:c r="N20" s="2"/>
      <x:c r="O20" s="2"/>
      <x:c r="P20" s="2"/>
      <x:c r="Q20" s="2"/>
      <x:c r="R20" s="2"/>
      <x:c r="S20" s="2"/>
      <x:c r="T20" s="2"/>
      <x:c r="U20" s="2"/>
      <x:c r="V20" s="2"/>
      <x:c r="W20" s="2"/>
      <x:c r="X20" s="2"/>
      <x:c r="Y20" s="2"/>
      <x:c r="Z20" s="2"/>
      <x:c r="AA20" s="2"/>
      <x:c r="AB20" s="2"/>
      <x:c r="AC20" s="2"/>
      <x:c r="AD20" s="2"/>
      <x:c r="AE20" s="2"/>
      <x:c r="AF20" s="2"/>
      <x:c r="AG20" s="2"/>
      <x:c r="AH20" s="2"/>
      <x:c r="AI20" s="2"/>
      <x:c r="AJ20" s="2"/>
      <x:c r="AK20" s="2"/>
      <x:c r="AL20" s="2"/>
      <x:c r="AM20" s="2"/>
      <x:c r="AN20" s="2"/>
      <x:c r="AO20" s="2"/>
      <x:c r="AP20" s="2"/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2"/>
      <x:c r="D21" s="2"/>
      <x:c r="E21" s="10"/>
      <x:c r="F21" s="10"/>
      <x:c r="G21" s="2"/>
      <x:c r="H21" s="2"/>
      <x:c r="I21" s="2"/>
      <x:c r="J21" s="2"/>
      <x:c r="K21" s="2"/>
      <x:c r="L21" s="2"/>
      <x:c r="M21" s="2"/>
      <x:c r="N21" s="2"/>
      <x:c r="O21" s="2"/>
      <x:c r="P21" s="2"/>
      <x:c r="Q21" s="2"/>
      <x:c r="R21" s="2"/>
      <x:c r="S21" s="2"/>
      <x:c r="T21" s="2"/>
      <x:c r="U21" s="2"/>
      <x:c r="V21" s="2"/>
      <x:c r="W21" s="2"/>
      <x:c r="X21" s="2"/>
      <x:c r="Y21" s="2"/>
      <x:c r="Z21" s="2"/>
      <x:c r="AA21" s="2"/>
      <x:c r="AB21" s="2"/>
      <x:c r="AC21" s="2"/>
      <x:c r="AD21" s="2"/>
      <x:c r="AE21" s="2"/>
      <x:c r="AF21" s="2"/>
      <x:c r="AG21" s="2"/>
      <x:c r="AH21" s="2"/>
      <x:c r="AI21" s="2"/>
      <x:c r="AJ21" s="2"/>
      <x:c r="AK21" s="2"/>
      <x:c r="AL21" s="2"/>
      <x:c r="AM21" s="2"/>
      <x:c r="AN21" s="2"/>
      <x:c r="AO21" s="2"/>
      <x:c r="AP21" s="2"/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11"/>
      <x:c r="F22" s="11"/>
      <x:c r="G22" s="2"/>
      <x:c r="H22" s="2" t="str">
        <x:v>Product-specific curves below drive the four segment builds. Legacy loan-type risk inputs have been removed.</x:v>
      </x:c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/>
      <x:c r="D23" s="2"/>
      <x:c r="E23" s="10"/>
      <x:c r="F23" s="10"/>
      <x:c r="G23" s="2"/>
      <x:c r="H23" s="2" t="str">
        <x:v>Curve-fitting calibration runs in Python; the fitted curve is rebuilt with Excel formulas below.</x:v>
      </x:c>
      <x:c r="I23" s="2"/>
      <x:c r="J23" s="2"/>
      <x:c r="K23" s="2"/>
      <x:c r="L23" s="2"/>
      <x:c r="M23" s="2"/>
      <x:c r="N23" s="2"/>
      <x:c r="O23" s="2"/>
      <x:c r="P23" s="2"/>
      <x:c r="Q23" s="2"/>
      <x:c r="R23" s="2"/>
      <x:c r="S23" s="2"/>
      <x:c r="T23" s="2"/>
      <x:c r="U23" s="2"/>
      <x:c r="V23" s="2"/>
      <x:c r="W23" s="2"/>
      <x:c r="X23" s="2"/>
      <x:c r="Y23" s="2"/>
      <x:c r="Z23" s="2"/>
      <x:c r="AA23" s="2"/>
      <x:c r="AB23" s="2"/>
      <x:c r="AC23" s="2"/>
      <x:c r="AD23" s="2"/>
      <x:c r="AE23" s="2"/>
      <x:c r="AF23" s="2"/>
      <x:c r="AG23" s="2"/>
      <x:c r="AH23" s="2"/>
      <x:c r="AI23" s="2"/>
      <x:c r="AJ23" s="2"/>
      <x:c r="AK23" s="2"/>
      <x:c r="AL23" s="2"/>
      <x:c r="AM23" s="2"/>
      <x:c r="AN23" s="2"/>
      <x:c r="AO23" s="2"/>
      <x:c r="AP23" s="2"/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2"/>
      <x:c r="D24" s="2"/>
      <x:c r="E24" s="11"/>
      <x:c r="F24" s="11"/>
      <x:c r="G24" s="2"/>
      <x:c r="H24" s="2"/>
      <x:c r="I24" s="2"/>
      <x:c r="J24" s="2"/>
      <x:c r="K24" s="2"/>
      <x:c r="L24" s="2"/>
      <x:c r="M24" s="2"/>
      <x:c r="N24" s="2"/>
      <x:c r="O24" s="2"/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  <x:c r="AA24" s="2"/>
      <x:c r="AB24" s="2"/>
      <x:c r="AC24" s="2"/>
      <x:c r="AD24" s="2"/>
      <x:c r="AE24" s="2"/>
      <x:c r="AF24" s="2"/>
      <x:c r="AG24" s="2"/>
      <x:c r="AH24" s="2"/>
      <x:c r="AI24" s="2"/>
      <x:c r="AJ24" s="2"/>
      <x:c r="AK24" s="2"/>
      <x:c r="AL24" s="2"/>
      <x:c r="AM24" s="2"/>
      <x:c r="AN24" s="2"/>
      <x:c r="AO24" s="2"/>
      <x:c r="AP24" s="2"/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2"/>
      <x:c r="D25" s="2"/>
      <x:c r="E25" s="14"/>
      <x:c r="F25" s="14"/>
      <x:c r="G25" s="2"/>
      <x:c r="H25" s="2"/>
      <x:c r="I25" s="2"/>
      <x:c r="J25" s="2"/>
      <x:c r="K25" s="2"/>
      <x:c r="L25" s="2"/>
      <x:c r="M25" s="2"/>
      <x:c r="N25" s="2"/>
      <x:c r="O25" s="2"/>
      <x:c r="P25" s="2"/>
      <x:c r="Q25" s="2"/>
      <x:c r="R25" s="2"/>
      <x:c r="S25" s="2"/>
      <x:c r="T25" s="2"/>
      <x:c r="U25" s="2"/>
      <x:c r="V25" s="2"/>
      <x:c r="W25" s="2"/>
      <x:c r="X25" s="2"/>
      <x:c r="Y25" s="2"/>
      <x:c r="Z25" s="2"/>
      <x:c r="AA25" s="2"/>
      <x:c r="AB25" s="2"/>
      <x:c r="AC25" s="2"/>
      <x:c r="AD25" s="2"/>
      <x:c r="AE25" s="2"/>
      <x:c r="AF25" s="2"/>
      <x:c r="AG25" s="2"/>
      <x:c r="AH25" s="2"/>
      <x:c r="AI25" s="2"/>
      <x:c r="AJ25" s="2"/>
      <x:c r="AK25" s="2"/>
      <x:c r="AL25" s="2"/>
      <x:c r="AM25" s="2"/>
      <x:c r="AN25" s="2"/>
      <x:c r="AO25" s="2"/>
      <x:c r="AP25" s="2"/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16"/>
      <x:c r="F26" s="16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Curve steepness</x:v>
      </x:c>
      <x:c r="D27" s="2"/>
      <x:c r="E27" s="10" t="n">
        <x:v>0.55</x:v>
      </x:c>
      <x:c r="F27" s="10" t="n">
        <x:v>0.55</x:v>
      </x:c>
      <x:c r="G27" s="2"/>
      <x:c r="H27" s="2" t="str">
        <x:v>Existing engine fixed shape. Yield is also the contractual amortization rate.</x:v>
      </x:c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  <x:c r="AA27" s="2"/>
      <x:c r="AB27" s="2"/>
      <x:c r="AC27" s="2"/>
      <x:c r="AD27" s="2"/>
      <x:c r="AE27" s="2"/>
      <x:c r="AF27" s="2"/>
      <x:c r="AG27" s="2"/>
      <x:c r="AH27" s="2"/>
      <x:c r="AI27" s="2"/>
      <x:c r="AJ27" s="2"/>
      <x:c r="AK27" s="2"/>
      <x:c r="AL27" s="2"/>
      <x:c r="AM27" s="2"/>
      <x:c r="AN27" s="2"/>
      <x:c r="AO27" s="2"/>
      <x:c r="AP27" s="2"/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/>
      <x:c r="D28" s="2"/>
      <x:c r="E28" s="2"/>
      <x:c r="F28" s="2"/>
      <x:c r="G28" s="2"/>
      <x:c r="H28" s="2"/>
      <x:c r="I28" s="2"/>
      <x:c r="J28" s="2"/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  <x:c r="AA28" s="2"/>
      <x:c r="AB28" s="2"/>
      <x:c r="AC28" s="2"/>
      <x:c r="AD28" s="2"/>
      <x:c r="AE28" s="2"/>
      <x:c r="AF28" s="2"/>
      <x:c r="AG28" s="2"/>
      <x:c r="AH28" s="2"/>
      <x:c r="AI28" s="2"/>
      <x:c r="AJ28" s="2"/>
      <x:c r="AK28" s="2"/>
      <x:c r="AL28" s="2"/>
      <x:c r="AM28" s="2"/>
      <x:c r="AN28" s="2"/>
      <x:c r="AO28" s="2"/>
      <x:c r="AP28" s="2"/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CreditFresh share of each loan type</x:v>
      </x:c>
      <x:c r="D29" s="2"/>
      <x:c r="E29" s="11" t="n">
        <x:v>0.8</x:v>
      </x:c>
      <x:c r="F29" s="2"/>
      <x:c r="G29" s="2"/>
      <x:c r="H29" s="2" t="str">
        <x:v>User assumption: 80% CreditFresh / 20% MoneyKey, editable. Applies to opening loans and new lending.</x:v>
      </x:c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  <x:c r="AA29" s="2"/>
      <x:c r="AB29" s="2"/>
      <x:c r="AC29" s="2"/>
      <x:c r="AD29" s="2"/>
      <x:c r="AE29" s="2"/>
      <x:c r="AF29" s="2"/>
      <x:c r="AG29" s="2"/>
      <x:c r="AH29" s="2"/>
      <x:c r="AI29" s="2"/>
      <x:c r="AJ29" s="2"/>
      <x:c r="AK29" s="2"/>
      <x:c r="AL29" s="2"/>
      <x:c r="AM29" s="2"/>
      <x:c r="AN29" s="2"/>
      <x:c r="AO29" s="2"/>
      <x:c r="AP29" s="2"/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MoneyKey share of each loan type</x:v>
      </x:c>
      <x:c r="D30" s="2"/>
      <x:c r="E30" s="12" t="n">
        <x:f>1-E29</x:f>
        <x:v>0.19999999999999996</x:v>
      </x:c>
      <x:c r="F30" s="2"/>
      <x:c r="G30" s="2"/>
      <x:c r="H30" s="2" t="str">
        <x:v>Both products contain both loan types. Product risk differs; pricing and repayment terms are shared by loan type.</x:v>
      </x:c>
      <x:c r="I30" s="2"/>
      <x:c r="J30" s="2"/>
      <x:c r="K30" s="2"/>
      <x:c r="L30" s="2"/>
      <x:c r="M30" s="2"/>
      <x:c r="N30" s="2"/>
      <x:c r="O30" s="2"/>
      <x:c r="P30" s="2"/>
      <x:c r="Q30" s="2"/>
      <x:c r="R30" s="2"/>
      <x:c r="S30" s="2"/>
      <x:c r="T30" s="2"/>
      <x:c r="U30" s="2"/>
      <x:c r="V30" s="2"/>
      <x:c r="W30" s="2"/>
      <x:c r="X30" s="2"/>
      <x:c r="Y30" s="2"/>
      <x:c r="Z30" s="2"/>
      <x:c r="AA30" s="2"/>
      <x:c r="AB30" s="2"/>
      <x:c r="AC30" s="2"/>
      <x:c r="AD30" s="2"/>
      <x:c r="AE30" s="2"/>
      <x:c r="AF30" s="2"/>
      <x:c r="AG30" s="2"/>
      <x:c r="AH30" s="2"/>
      <x:c r="AI30" s="2"/>
      <x:c r="AJ30" s="2"/>
      <x:c r="AK30" s="2"/>
      <x:c r="AL30" s="2"/>
      <x:c r="AM30" s="2"/>
      <x:c r="AN30" s="2"/>
      <x:c r="AO30" s="2"/>
      <x:c r="AP30" s="2"/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23" customHeight="1">
      <x:c r="A32" s="1"/>
      <x:c r="B32" s="1"/>
      <x:c r="C32" s="6" t="str">
        <x:v>Seasonality</x:v>
      </x:c>
      <x:c r="D32" s="6"/>
      <x:c r="E32" s="6"/>
      <x:c r="F32" s="6"/>
      <x:c r="G32" s="2"/>
      <x:c r="H32" s="2" t="str">
        <x:v>Pattern repeats every 12 months. Growth compounds on the base application volume.</x:v>
      </x:c>
      <x:c r="I32" s="2"/>
      <x:c r="J32" s="2"/>
      <x:c r="K32" s="2"/>
      <x:c r="L32" s="2"/>
      <x:c r="M32" s="2"/>
      <x:c r="N32" s="2"/>
      <x:c r="O32" s="2"/>
      <x:c r="P32" s="2"/>
      <x:c r="Q32" s="2"/>
      <x:c r="R32" s="2"/>
      <x:c r="S32" s="2"/>
      <x:c r="T32" s="2"/>
      <x:c r="U32" s="2"/>
      <x:c r="V32" s="2"/>
      <x:c r="W32" s="2"/>
      <x:c r="X32" s="2"/>
      <x:c r="Y32" s="2"/>
      <x:c r="Z32" s="2"/>
      <x:c r="AA32" s="2"/>
      <x:c r="AB32" s="2"/>
      <x:c r="AC32" s="2"/>
      <x:c r="AD32" s="2"/>
      <x:c r="AE32" s="2"/>
      <x:c r="AF32" s="2"/>
      <x:c r="AG32" s="2"/>
      <x:c r="AH32" s="2"/>
      <x:c r="AI32" s="2"/>
      <x:c r="AJ32" s="2"/>
      <x:c r="AK32" s="2"/>
      <x:c r="AL32" s="2"/>
      <x:c r="AM32" s="2"/>
      <x:c r="AN32" s="2"/>
      <x:c r="AO32" s="2"/>
      <x:c r="AP32" s="2"/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/>
      <x:c r="D33" s="2"/>
      <x:c r="E33" s="2"/>
      <x:c r="F33" s="2"/>
      <x:c r="G33" s="2"/>
      <x:c r="H33" s="2"/>
      <x:c r="I33" s="2"/>
      <x:c r="J33" s="2"/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  <x:c r="AA33" s="2"/>
      <x:c r="AB33" s="2"/>
      <x:c r="AC33" s="2"/>
      <x:c r="AD33" s="2"/>
      <x:c r="AE33" s="2"/>
      <x:c r="AF33" s="2"/>
      <x:c r="AG33" s="2"/>
      <x:c r="AH33" s="2"/>
      <x:c r="AI33" s="2"/>
      <x:c r="AJ33" s="2"/>
      <x:c r="AK33" s="2"/>
      <x:c r="AL33" s="2"/>
      <x:c r="AM33" s="2"/>
      <x:c r="AN33" s="2"/>
      <x:c r="AO33" s="2"/>
      <x:c r="AP33" s="2"/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Month 1</x:v>
      </x:c>
      <x:c r="D34" s="2"/>
      <x:c r="E34" s="18" t="n">
        <x:v>1</x:v>
      </x:c>
      <x:c r="F34" s="18" t="n">
        <x:v>1</x:v>
      </x:c>
      <x:c r="G34" s="2"/>
      <x:c r="H34" s="2"/>
      <x:c r="I34" s="2"/>
      <x:c r="J34" s="2"/>
      <x:c r="K34" s="2"/>
      <x:c r="L34" s="2"/>
      <x:c r="M34" s="2"/>
      <x:c r="N34" s="2"/>
      <x:c r="O34" s="2"/>
      <x:c r="P34" s="2"/>
      <x:c r="Q34" s="2"/>
      <x:c r="R34" s="2"/>
      <x:c r="S34" s="2"/>
      <x:c r="T34" s="2"/>
      <x:c r="U34" s="2"/>
      <x:c r="V34" s="2"/>
      <x:c r="W34" s="2"/>
      <x:c r="X34" s="2"/>
      <x:c r="Y34" s="2"/>
      <x:c r="Z34" s="2"/>
      <x:c r="AA34" s="2"/>
      <x:c r="AB34" s="2"/>
      <x:c r="AC34" s="2"/>
      <x:c r="AD34" s="2"/>
      <x:c r="AE34" s="2"/>
      <x:c r="AF34" s="2"/>
      <x:c r="AG34" s="2"/>
      <x:c r="AH34" s="2"/>
      <x:c r="AI34" s="2"/>
      <x:c r="AJ34" s="2"/>
      <x:c r="AK34" s="2"/>
      <x:c r="AL34" s="2"/>
      <x:c r="AM34" s="2"/>
      <x:c r="AN34" s="2"/>
      <x:c r="AO34" s="2"/>
      <x:c r="AP34" s="2"/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Month 2</x:v>
      </x:c>
      <x:c r="D35" s="2"/>
      <x:c r="E35" s="18" t="n">
        <x:v>1</x:v>
      </x:c>
      <x:c r="F35" s="18" t="n">
        <x:v>1</x:v>
      </x:c>
      <x:c r="G35" s="2"/>
      <x:c r="H35" s="2"/>
      <x:c r="I35" s="2"/>
      <x:c r="J35" s="2"/>
      <x:c r="K35" s="2"/>
      <x:c r="L35" s="2"/>
      <x:c r="M35" s="2"/>
      <x:c r="N35" s="2"/>
      <x:c r="O35" s="2"/>
      <x:c r="P35" s="2"/>
      <x:c r="Q35" s="2"/>
      <x:c r="R35" s="2"/>
      <x:c r="S35" s="2"/>
      <x:c r="T35" s="2"/>
      <x:c r="U35" s="2"/>
      <x:c r="V35" s="2"/>
      <x:c r="W35" s="2"/>
      <x:c r="X35" s="2"/>
      <x:c r="Y35" s="2"/>
      <x:c r="Z35" s="2"/>
      <x:c r="AA35" s="2"/>
      <x:c r="AB35" s="2"/>
      <x:c r="AC35" s="2"/>
      <x:c r="AD35" s="2"/>
      <x:c r="AE35" s="2"/>
      <x:c r="AF35" s="2"/>
      <x:c r="AG35" s="2"/>
      <x:c r="AH35" s="2"/>
      <x:c r="AI35" s="2"/>
      <x:c r="AJ35" s="2"/>
      <x:c r="AK35" s="2"/>
      <x:c r="AL35" s="2"/>
      <x:c r="AM35" s="2"/>
      <x:c r="AN35" s="2"/>
      <x:c r="AO35" s="2"/>
      <x:c r="AP35" s="2"/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Month 3</x:v>
      </x:c>
      <x:c r="D36" s="2"/>
      <x:c r="E36" s="18" t="n">
        <x:v>1</x:v>
      </x:c>
      <x:c r="F36" s="18" t="n">
        <x:v>1</x:v>
      </x:c>
      <x:c r="G36" s="2"/>
      <x:c r="H36" s="2"/>
      <x:c r="I36" s="2"/>
      <x:c r="J36" s="2"/>
      <x:c r="K36" s="2"/>
      <x:c r="L36" s="2"/>
      <x:c r="M36" s="2"/>
      <x:c r="N36" s="2"/>
      <x:c r="O36" s="2"/>
      <x:c r="P36" s="2"/>
      <x:c r="Q36" s="2"/>
      <x:c r="R36" s="2"/>
      <x:c r="S36" s="2"/>
      <x:c r="T36" s="2"/>
      <x:c r="U36" s="2"/>
      <x:c r="V36" s="2"/>
      <x:c r="W36" s="2"/>
      <x:c r="X36" s="2"/>
      <x:c r="Y36" s="2"/>
      <x:c r="Z36" s="2"/>
      <x:c r="AA36" s="2"/>
      <x:c r="AB36" s="2"/>
      <x:c r="AC36" s="2"/>
      <x:c r="AD36" s="2"/>
      <x:c r="AE36" s="2"/>
      <x:c r="AF36" s="2"/>
      <x:c r="AG36" s="2"/>
      <x:c r="AH36" s="2"/>
      <x:c r="AI36" s="2"/>
      <x:c r="AJ36" s="2"/>
      <x:c r="AK36" s="2"/>
      <x:c r="AL36" s="2"/>
      <x:c r="AM36" s="2"/>
      <x:c r="AN36" s="2"/>
      <x:c r="AO36" s="2"/>
      <x:c r="AP36" s="2"/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Month 4</x:v>
      </x:c>
      <x:c r="D37" s="2"/>
      <x:c r="E37" s="18" t="n">
        <x:v>1</x:v>
      </x:c>
      <x:c r="F37" s="18" t="n">
        <x:v>1</x:v>
      </x:c>
      <x:c r="G37" s="2"/>
      <x:c r="H37" s="2"/>
      <x:c r="I37" s="2"/>
      <x:c r="J37" s="2"/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  <x:c r="AA37" s="2"/>
      <x:c r="AB37" s="2"/>
      <x:c r="AC37" s="2"/>
      <x:c r="AD37" s="2"/>
      <x:c r="AE37" s="2"/>
      <x:c r="AF37" s="2"/>
      <x:c r="AG37" s="2"/>
      <x:c r="AH37" s="2"/>
      <x:c r="AI37" s="2"/>
      <x:c r="AJ37" s="2"/>
      <x:c r="AK37" s="2"/>
      <x:c r="AL37" s="2"/>
      <x:c r="AM37" s="2"/>
      <x:c r="AN37" s="2"/>
      <x:c r="AO37" s="2"/>
      <x:c r="AP37" s="2"/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 t="str">
        <x:v>Month 5</x:v>
      </x:c>
      <x:c r="D38" s="2"/>
      <x:c r="E38" s="18" t="n">
        <x:v>1</x:v>
      </x:c>
      <x:c r="F38" s="18" t="n">
        <x:v>1</x:v>
      </x:c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 t="str">
        <x:v>Month 6</x:v>
      </x:c>
      <x:c r="D39" s="2"/>
      <x:c r="E39" s="18" t="n">
        <x:v>1</x:v>
      </x:c>
      <x:c r="F39" s="18" t="n">
        <x:v>1</x:v>
      </x:c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Month 7</x:v>
      </x:c>
      <x:c r="D40" s="2"/>
      <x:c r="E40" s="18" t="n">
        <x:v>1</x:v>
      </x:c>
      <x:c r="F40" s="18" t="n">
        <x:v>1</x:v>
      </x:c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Month 8</x:v>
      </x:c>
      <x:c r="D41" s="2"/>
      <x:c r="E41" s="18" t="n">
        <x:v>1</x:v>
      </x:c>
      <x:c r="F41" s="18" t="n">
        <x:v>1</x:v>
      </x:c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 9</x:v>
      </x:c>
      <x:c r="D42" s="2"/>
      <x:c r="E42" s="18" t="n">
        <x:v>1</x:v>
      </x:c>
      <x:c r="F42" s="18" t="n">
        <x:v>1</x:v>
      </x:c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Month 10</x:v>
      </x:c>
      <x:c r="D43" s="2"/>
      <x:c r="E43" s="18" t="n">
        <x:v>1</x:v>
      </x:c>
      <x:c r="F43" s="18" t="n">
        <x:v>1</x:v>
      </x:c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Month 11</x:v>
      </x:c>
      <x:c r="D44" s="2"/>
      <x:c r="E44" s="18" t="n">
        <x:v>1</x:v>
      </x:c>
      <x:c r="F44" s="18" t="n">
        <x:v>1</x:v>
      </x:c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Month 12</x:v>
      </x:c>
      <x:c r="D45" s="2"/>
      <x:c r="E45" s="18" t="n">
        <x:v>1</x:v>
      </x:c>
      <x:c r="F45" s="18" t="n">
        <x:v>1</x:v>
      </x:c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6" t="str">
        <x:v>Product credit assumptions</x:v>
      </x:c>
      <x:c r="D50" s="6"/>
      <x:c r="E50" s="6"/>
      <x:c r="F50" s="6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/>
      <x:c r="D51" s="2"/>
      <x:c r="E51" s="2" t="str">
        <x:v>CreditFresh</x:v>
      </x:c>
      <x:c r="F51" s="2" t="str">
        <x:v>MoneyKey</x:v>
      </x:c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38" customHeight="1">
      <x:c r="A52" s="1"/>
      <x:c r="B52" s="1"/>
      <x:c r="C52" s="2" t="str">
        <x:v>Manual lifetime PD</x:v>
      </x:c>
      <x:c r="D52" s="2"/>
      <x:c r="E52" s="11" t="n">
        <x:v>0.2</x:v>
      </x:c>
      <x:c r="F52" s="11" t="n">
        <x:v>0.36</x:v>
      </x:c>
      <x:c r="G52" s="2"/>
      <x:c r="H52" s="49" t="str">
        <x:v>Manual 20% / 36% are synthetic generator assumptions. Historical parameters are fitted from product vintage curves.</x:v>
      </x:c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38" customHeight="1">
      <x:c r="A53" s="1"/>
      <x:c r="B53" s="1"/>
      <x:c r="C53" s="2" t="str">
        <x:v>Manual midpoint</x:v>
      </x:c>
      <x:c r="D53" s="2"/>
      <x:c r="E53" s="10" t="n">
        <x:v>3</x:v>
      </x:c>
      <x:c r="F53" s="10" t="n">
        <x:v>5</x:v>
      </x:c>
      <x:c r="G53" s="2"/>
      <x:c r="H53" s="49" t="str">
        <x:v>Default and payoff shapes are empirical. Midpoint is retained for compatibility and is not used.</x:v>
      </x:c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str">
        <x:v>Historical lifetime PD</x:v>
      </x:c>
      <x:c r="D54" s="2"/>
      <x:c r="E54" s="11" t="n">
        <x:v>0.2</x:v>
      </x:c>
      <x:c r="F54" s="11" t="n">
        <x:v>0.36</x:v>
      </x:c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str">
        <x:v>Historical midpoint</x:v>
      </x:c>
      <x:c r="D55" s="2"/>
      <x:c r="E55" s="10" t="n">
        <x:v>3</x:v>
      </x:c>
      <x:c r="F55" s="10" t="n">
        <x:v>5</x:v>
      </x:c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str">
        <x:v>Applied product PD</x:v>
      </x:c>
      <x:c r="D58" s="2"/>
      <x:c r="E58" s="12" t="n">
        <x:f>MIN(0.99,MAX(0,IF($E$6=2,E54,E52)))</x:f>
        <x:v>0.2</x:v>
      </x:c>
      <x:c r="F58" s="12" t="n">
        <x:f>MIN(0.99,MAX(0,IF($E$6=2,F54,F52)))</x:f>
        <x:v>0.36</x:v>
      </x:c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str">
        <x:v>Applied product midpoint</x:v>
      </x:c>
      <x:c r="D59" s="2"/>
      <x:c r="E59" s="36" t="n">
        <x:f>IF($E$6=2,E55,E53)</x:f>
        <x:v>3</x:v>
      </x:c>
      <x:c r="F59" s="36" t="n">
        <x:f>IF($E$6=2,F55,F53)</x:f>
        <x:v>5</x:v>
      </x:c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str">
        <x:v>Empirical default and payoff timing (36 vintages)</x:v>
      </x:c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 t="str">
        <x:v>CF default</x:v>
      </x:c>
      <x:c r="F64" s="2" t="str">
        <x:v>MK default</x:v>
      </x:c>
      <x:c r="G64" s="2"/>
      <x:c r="H64" s="2" t="str">
        <x:v>CF payoff</x:v>
      </x:c>
      <x:c r="I64" s="2" t="str">
        <x:v>MK payoff</x:v>
      </x:c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str">
        <x:v>MOB 0</x:v>
      </x:c>
      <x:c r="D65" s="2"/>
      <x:c r="E65" s="30" t="n">
        <x:v>0</x:v>
      </x:c>
      <x:c r="F65" s="30" t="n">
        <x:v>0</x:v>
      </x:c>
      <x:c r="G65" s="30"/>
      <x:c r="H65" s="30" t="n">
        <x:v>0</x:v>
      </x:c>
      <x:c r="I65" s="30" t="n">
        <x:v>0</x:v>
      </x:c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str">
        <x:v>MOB 1</x:v>
      </x:c>
      <x:c r="D66" s="2"/>
      <x:c r="E66" s="30" t="n">
        <x:v>0.23896953816559172</x:v>
      </x:c>
      <x:c r="F66" s="30" t="n">
        <x:v>0.40260132053173464</x:v>
      </x:c>
      <x:c r="G66" s="30"/>
      <x:c r="H66" s="30" t="n">
        <x:v>0.2638640041173904</x:v>
      </x:c>
      <x:c r="I66" s="30" t="n">
        <x:v>0.4277047013701871</x:v>
      </x:c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str">
        <x:v>MOB 2</x:v>
      </x:c>
      <x:c r="D67" s="2"/>
      <x:c r="E67" s="30" t="n">
        <x:v>0.429744239549027</x:v>
      </x:c>
      <x:c r="F67" s="30" t="n">
        <x:v>0.6647157732981706</x:v>
      </x:c>
      <x:c r="G67" s="30"/>
      <x:c r="H67" s="30" t="n">
        <x:v>0.4645285041572191</x:v>
      </x:c>
      <x:c r="I67" s="30" t="n">
        <x:v>0.6851493445081813</x:v>
      </x:c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str">
        <x:v>MOB 3</x:v>
      </x:c>
      <x:c r="D68" s="2"/>
      <x:c r="E68" s="30" t="n">
        <x:v>0.5751106635575859</x:v>
      </x:c>
      <x:c r="F68" s="30" t="n">
        <x:v>0.8327931352756105</x:v>
      </x:c>
      <x:c r="G68" s="30"/>
      <x:c r="H68" s="30" t="n">
        <x:v>0.6179672976615197</x:v>
      </x:c>
      <x:c r="I68" s="30" t="n">
        <x:v>0.8425694949780278</x:v>
      </x:c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str">
        <x:v>MOB 4</x:v>
      </x:c>
      <x:c r="D69" s="2"/>
      <x:c r="E69" s="30" t="n">
        <x:v>0.69573001513793</x:v>
      </x:c>
      <x:c r="F69" s="30" t="n">
        <x:v>0.9335451496085042</x:v>
      </x:c>
      <x:c r="G69" s="30"/>
      <x:c r="H69" s="30" t="n">
        <x:v>0.7332498307189482</x:v>
      </x:c>
      <x:c r="I69" s="30" t="n">
        <x:v>0.9402259079538721</x:v>
      </x:c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str">
        <x:v>MOB 5</x:v>
      </x:c>
      <x:c r="D70" s="2"/>
      <x:c r="E70" s="30" t="n">
        <x:v>0.7937749622827617</x:v>
      </x:c>
      <x:c r="F70" s="30" t="n">
        <x:v>1</x:v>
      </x:c>
      <x:c r="G70" s="30"/>
      <x:c r="H70" s="30" t="n">
        <x:v>0.8185562709507157</x:v>
      </x:c>
      <x:c r="I70" s="30" t="n">
        <x:v>1</x:v>
      </x:c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str">
        <x:v>MOB 6</x:v>
      </x:c>
      <x:c r="D71" s="2"/>
      <x:c r="E71" s="30" t="n">
        <x:v>0.8648202709417439</x:v>
      </x:c>
      <x:c r="F71" s="30" t="n">
        <x:v>1</x:v>
      </x:c>
      <x:c r="G71" s="30"/>
      <x:c r="H71" s="30" t="n">
        <x:v>0.8843393222061546</x:v>
      </x:c>
      <x:c r="I71" s="30" t="n">
        <x:v>1</x:v>
      </x:c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str">
        <x:v>MOB 7</x:v>
      </x:c>
      <x:c r="D72" s="2"/>
      <x:c r="E72" s="30" t="n">
        <x:v>0.9187027272627089</x:v>
      </x:c>
      <x:c r="F72" s="30" t="n">
        <x:v>1</x:v>
      </x:c>
      <x:c r="G72" s="30"/>
      <x:c r="H72" s="30" t="n">
        <x:v>0.9335937214240282</x:v>
      </x:c>
      <x:c r="I72" s="30" t="n">
        <x:v>1</x:v>
      </x:c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str">
        <x:v>MOB 8</x:v>
      </x:c>
      <x:c r="D73" s="2"/>
      <x:c r="E73" s="30" t="n">
        <x:v>0.9655270184141406</x:v>
      </x:c>
      <x:c r="F73" s="30" t="n">
        <x:v>1</x:v>
      </x:c>
      <x:c r="G73" s="30"/>
      <x:c r="H73" s="30" t="n">
        <x:v>0.9708604443900143</x:v>
      </x:c>
      <x:c r="I73" s="30" t="n">
        <x:v>1</x:v>
      </x:c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str">
        <x:v>MOB 9</x:v>
      </x:c>
      <x:c r="D74" s="2"/>
      <x:c r="E74" s="30" t="n">
        <x:v>1</x:v>
      </x:c>
      <x:c r="F74" s="30" t="n">
        <x:v>1</x:v>
      </x:c>
      <x:c r="G74" s="30"/>
      <x:c r="H74" s="30" t="n">
        <x:v>1</x:v>
      </x:c>
      <x:c r="I74" s="30" t="n">
        <x:v>1</x:v>
      </x:c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str">
        <x:v>MOB 10</x:v>
      </x:c>
      <x:c r="D75" s="2"/>
      <x:c r="E75" s="30" t="n">
        <x:v>1</x:v>
      </x:c>
      <x:c r="F75" s="30" t="n">
        <x:v>1</x:v>
      </x:c>
      <x:c r="G75" s="30"/>
      <x:c r="H75" s="30" t="n">
        <x:v>1</x:v>
      </x:c>
      <x:c r="I75" s="30" t="n">
        <x:v>1</x:v>
      </x:c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str">
        <x:v>MOB 11</x:v>
      </x:c>
      <x:c r="D76" s="2"/>
      <x:c r="E76" s="30" t="n">
        <x:v>1</x:v>
      </x:c>
      <x:c r="F76" s="30" t="n">
        <x:v>1</x:v>
      </x:c>
      <x:c r="G76" s="30"/>
      <x:c r="H76" s="30" t="n">
        <x:v>1</x:v>
      </x:c>
      <x:c r="I76" s="30" t="n">
        <x:v>1</x:v>
      </x:c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str">
        <x:v>MOB 12</x:v>
      </x:c>
      <x:c r="D77" s="2"/>
      <x:c r="E77" s="30" t="n">
        <x:v>1</x:v>
      </x:c>
      <x:c r="F77" s="30" t="n">
        <x:v>1</x:v>
      </x:c>
      <x:c r="G77" s="30"/>
      <x:c r="H77" s="30" t="n">
        <x:v>1</x:v>
      </x:c>
      <x:c r="I77" s="30" t="n">
        <x:v>1</x:v>
      </x:c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str">
        <x:v>MOB 13</x:v>
      </x:c>
      <x:c r="D78" s="2"/>
      <x:c r="E78" s="30" t="n">
        <x:v>1</x:v>
      </x:c>
      <x:c r="F78" s="30" t="n">
        <x:v>1</x:v>
      </x:c>
      <x:c r="G78" s="30"/>
      <x:c r="H78" s="30" t="n">
        <x:v>1</x:v>
      </x:c>
      <x:c r="I78" s="30" t="n">
        <x:v>1</x:v>
      </x:c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str">
        <x:v>MOB 14</x:v>
      </x:c>
      <x:c r="D79" s="2"/>
      <x:c r="E79" s="30" t="n">
        <x:v>1</x:v>
      </x:c>
      <x:c r="F79" s="30" t="n">
        <x:v>1</x:v>
      </x:c>
      <x:c r="G79" s="30"/>
      <x:c r="H79" s="30" t="n">
        <x:v>1</x:v>
      </x:c>
      <x:c r="I79" s="30" t="n">
        <x:v>1</x:v>
      </x:c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str">
        <x:v>MOB 15</x:v>
      </x:c>
      <x:c r="D80" s="2"/>
      <x:c r="E80" s="30" t="n">
        <x:v>1</x:v>
      </x:c>
      <x:c r="F80" s="30" t="n">
        <x:v>1</x:v>
      </x:c>
      <x:c r="G80" s="30"/>
      <x:c r="H80" s="30" t="n">
        <x:v>1</x:v>
      </x:c>
      <x:c r="I80" s="30" t="n">
        <x:v>1</x:v>
      </x:c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str">
        <x:v>MOB 16</x:v>
      </x:c>
      <x:c r="D81" s="2"/>
      <x:c r="E81" s="30" t="n">
        <x:v>1</x:v>
      </x:c>
      <x:c r="F81" s="30" t="n">
        <x:v>1</x:v>
      </x:c>
      <x:c r="G81" s="30"/>
      <x:c r="H81" s="30" t="n">
        <x:v>1</x:v>
      </x:c>
      <x:c r="I81" s="30" t="n">
        <x:v>1</x:v>
      </x:c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str">
        <x:v>MOB 17</x:v>
      </x:c>
      <x:c r="D82" s="2"/>
      <x:c r="E82" s="30" t="n">
        <x:v>1</x:v>
      </x:c>
      <x:c r="F82" s="30" t="n">
        <x:v>1</x:v>
      </x:c>
      <x:c r="G82" s="30"/>
      <x:c r="H82" s="30" t="n">
        <x:v>1</x:v>
      </x:c>
      <x:c r="I82" s="30" t="n">
        <x:v>1</x:v>
      </x:c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str">
        <x:v>MOB 18</x:v>
      </x:c>
      <x:c r="D83" s="2"/>
      <x:c r="E83" s="30" t="n">
        <x:v>1</x:v>
      </x:c>
      <x:c r="F83" s="30" t="n">
        <x:v>1</x:v>
      </x:c>
      <x:c r="G83" s="30"/>
      <x:c r="H83" s="30" t="n">
        <x:v>1</x:v>
      </x:c>
      <x:c r="I83" s="30" t="n">
        <x:v>1</x:v>
      </x:c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str">
        <x:v>MOB 19</x:v>
      </x:c>
      <x:c r="D84" s="2"/>
      <x:c r="E84" s="30" t="n">
        <x:v>1</x:v>
      </x:c>
      <x:c r="F84" s="30" t="n">
        <x:v>1</x:v>
      </x:c>
      <x:c r="G84" s="30"/>
      <x:c r="H84" s="30" t="n">
        <x:v>1</x:v>
      </x:c>
      <x:c r="I84" s="30" t="n">
        <x:v>1</x:v>
      </x:c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str">
        <x:v>MOB 20</x:v>
      </x:c>
      <x:c r="D85" s="2"/>
      <x:c r="E85" s="30" t="n">
        <x:v>1</x:v>
      </x:c>
      <x:c r="F85" s="30" t="n">
        <x:v>1</x:v>
      </x:c>
      <x:c r="G85" s="30"/>
      <x:c r="H85" s="30" t="n">
        <x:v>1</x:v>
      </x:c>
      <x:c r="I85" s="30" t="n">
        <x:v>1</x:v>
      </x:c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str">
        <x:v>MOB 21</x:v>
      </x:c>
      <x:c r="D86" s="2"/>
      <x:c r="E86" s="30" t="n">
        <x:v>1</x:v>
      </x:c>
      <x:c r="F86" s="30" t="n">
        <x:v>1</x:v>
      </x:c>
      <x:c r="G86" s="30"/>
      <x:c r="H86" s="30" t="n">
        <x:v>1</x:v>
      </x:c>
      <x:c r="I86" s="30" t="n">
        <x:v>1</x:v>
      </x:c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str">
        <x:v>MOB 22</x:v>
      </x:c>
      <x:c r="D87" s="2"/>
      <x:c r="E87" s="30" t="n">
        <x:v>1</x:v>
      </x:c>
      <x:c r="F87" s="30" t="n">
        <x:v>1</x:v>
      </x:c>
      <x:c r="G87" s="30"/>
      <x:c r="H87" s="30" t="n">
        <x:v>1</x:v>
      </x:c>
      <x:c r="I87" s="30" t="n">
        <x:v>1</x:v>
      </x:c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str">
        <x:v>MOB 23</x:v>
      </x:c>
      <x:c r="D88" s="2"/>
      <x:c r="E88" s="30" t="n">
        <x:v>1</x:v>
      </x:c>
      <x:c r="F88" s="30" t="n">
        <x:v>1</x:v>
      </x:c>
      <x:c r="G88" s="30"/>
      <x:c r="H88" s="30" t="n">
        <x:v>1</x:v>
      </x:c>
      <x:c r="I88" s="30" t="n">
        <x:v>1</x:v>
      </x:c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str">
        <x:v>MOB 24</x:v>
      </x:c>
      <x:c r="D89" s="2"/>
      <x:c r="E89" s="30" t="n">
        <x:v>1</x:v>
      </x:c>
      <x:c r="F89" s="30" t="n">
        <x:v>1</x:v>
      </x:c>
      <x:c r="G89" s="30"/>
      <x:c r="H89" s="30" t="n">
        <x:v>1</x:v>
      </x:c>
      <x:c r="I89" s="30" t="n">
        <x:v>1</x:v>
      </x:c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str">
        <x:v>MOB 25</x:v>
      </x:c>
      <x:c r="D90" s="2"/>
      <x:c r="E90" s="30" t="n">
        <x:v>1</x:v>
      </x:c>
      <x:c r="F90" s="30" t="n">
        <x:v>1</x:v>
      </x:c>
      <x:c r="G90" s="30"/>
      <x:c r="H90" s="30" t="n">
        <x:v>1</x:v>
      </x:c>
      <x:c r="I90" s="30" t="n">
        <x:v>1</x:v>
      </x:c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str">
        <x:v>MOB 26</x:v>
      </x:c>
      <x:c r="D91" s="2"/>
      <x:c r="E91" s="30" t="n">
        <x:v>1</x:v>
      </x:c>
      <x:c r="F91" s="30" t="n">
        <x:v>1</x:v>
      </x:c>
      <x:c r="G91" s="30"/>
      <x:c r="H91" s="30" t="n">
        <x:v>1</x:v>
      </x:c>
      <x:c r="I91" s="30" t="n">
        <x:v>1</x:v>
      </x:c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str">
        <x:v>MOB 27</x:v>
      </x:c>
      <x:c r="D92" s="2"/>
      <x:c r="E92" s="30" t="n">
        <x:v>1</x:v>
      </x:c>
      <x:c r="F92" s="30" t="n">
        <x:v>1</x:v>
      </x:c>
      <x:c r="G92" s="30"/>
      <x:c r="H92" s="30" t="n">
        <x:v>1</x:v>
      </x:c>
      <x:c r="I92" s="30" t="n">
        <x:v>1</x:v>
      </x:c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str">
        <x:v>MOB 28</x:v>
      </x:c>
      <x:c r="D93" s="2"/>
      <x:c r="E93" s="30" t="n">
        <x:v>1</x:v>
      </x:c>
      <x:c r="F93" s="30" t="n">
        <x:v>1</x:v>
      </x:c>
      <x:c r="G93" s="30"/>
      <x:c r="H93" s="30" t="n">
        <x:v>1</x:v>
      </x:c>
      <x:c r="I93" s="30" t="n">
        <x:v>1</x:v>
      </x:c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str">
        <x:v>MOB 29</x:v>
      </x:c>
      <x:c r="D94" s="2"/>
      <x:c r="E94" s="30" t="n">
        <x:v>1</x:v>
      </x:c>
      <x:c r="F94" s="30" t="n">
        <x:v>1</x:v>
      </x:c>
      <x:c r="G94" s="30"/>
      <x:c r="H94" s="30" t="n">
        <x:v>1</x:v>
      </x:c>
      <x:c r="I94" s="30" t="n">
        <x:v>1</x:v>
      </x:c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str">
        <x:v>MOB 30</x:v>
      </x:c>
      <x:c r="D95" s="2"/>
      <x:c r="E95" s="30" t="n">
        <x:v>1</x:v>
      </x:c>
      <x:c r="F95" s="30" t="n">
        <x:v>1</x:v>
      </x:c>
      <x:c r="G95" s="30"/>
      <x:c r="H95" s="30" t="n">
        <x:v>1</x:v>
      </x:c>
      <x:c r="I95" s="30" t="n">
        <x:v>1</x:v>
      </x:c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str">
        <x:v>MOB 31</x:v>
      </x:c>
      <x:c r="D96" s="2"/>
      <x:c r="E96" s="30" t="n">
        <x:v>1</x:v>
      </x:c>
      <x:c r="F96" s="30" t="n">
        <x:v>1</x:v>
      </x:c>
      <x:c r="G96" s="30"/>
      <x:c r="H96" s="30" t="n">
        <x:v>1</x:v>
      </x:c>
      <x:c r="I96" s="30" t="n">
        <x:v>1</x:v>
      </x:c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str">
        <x:v>MOB 32</x:v>
      </x:c>
      <x:c r="D97" s="2"/>
      <x:c r="E97" s="30" t="n">
        <x:v>1</x:v>
      </x:c>
      <x:c r="F97" s="30" t="n">
        <x:v>1</x:v>
      </x:c>
      <x:c r="G97" s="30"/>
      <x:c r="H97" s="30" t="n">
        <x:v>1</x:v>
      </x:c>
      <x:c r="I97" s="30" t="n">
        <x:v>1</x:v>
      </x:c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str">
        <x:v>MOB 33</x:v>
      </x:c>
      <x:c r="D98" s="2"/>
      <x:c r="E98" s="30" t="n">
        <x:v>1</x:v>
      </x:c>
      <x:c r="F98" s="30" t="n">
        <x:v>1</x:v>
      </x:c>
      <x:c r="G98" s="30"/>
      <x:c r="H98" s="30" t="n">
        <x:v>1</x:v>
      </x:c>
      <x:c r="I98" s="30" t="n">
        <x:v>1</x:v>
      </x:c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str">
        <x:v>MOB 34</x:v>
      </x:c>
      <x:c r="D99" s="2"/>
      <x:c r="E99" s="30" t="n">
        <x:v>1</x:v>
      </x:c>
      <x:c r="F99" s="30" t="n">
        <x:v>1</x:v>
      </x:c>
      <x:c r="G99" s="30"/>
      <x:c r="H99" s="30" t="n">
        <x:v>1</x:v>
      </x:c>
      <x:c r="I99" s="30" t="n">
        <x:v>1</x:v>
      </x:c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str">
        <x:v>MOB 35</x:v>
      </x:c>
      <x:c r="D100" s="2"/>
      <x:c r="E100" s="30" t="n">
        <x:v>1</x:v>
      </x:c>
      <x:c r="F100" s="30" t="n">
        <x:v>1</x:v>
      </x:c>
      <x:c r="G100" s="30"/>
      <x:c r="H100" s="30" t="n">
        <x:v>1</x:v>
      </x:c>
      <x:c r="I100" s="30" t="n">
        <x:v>1</x:v>
      </x:c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str">
        <x:v>MOB 36</x:v>
      </x:c>
      <x:c r="D101" s="2"/>
      <x:c r="E101" s="30" t="n">
        <x:v>1</x:v>
      </x:c>
      <x:c r="F101" s="30" t="n">
        <x:v>1</x:v>
      </x:c>
      <x:c r="G101" s="30"/>
      <x:c r="H101" s="30" t="n">
        <x:v>1</x:v>
      </x:c>
      <x:c r="I101" s="30" t="n">
        <x:v>1</x:v>
      </x:c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dataValidations count="7">
    <x:dataValidation type="list" sqref="E6">
      <x:formula1>"1,2"</x:formula1>
    </x:dataValidation>
    <x:dataValidation type="list" sqref="E9">
      <x:formula1>"1,2,3"</x:formula1>
    </x:dataValidation>
    <x:dataValidation type="list" sqref="E18:F18">
      <x:formula1>"0,1"</x:formula1>
    </x:dataValidation>
    <x:dataValidation type="whole" operator="between" sqref="E7">
      <x:formula1>6</x:formula1>
      <x:formula2>36</x:formula2>
    </x:dataValidation>
    <x:dataValidation type="whole" operator="between" sqref="E16:F16">
      <x:formula1>1</x:formula1>
      <x:formula2>60</x:formula2>
    </x:dataValidation>
    <x:dataValidation type="whole" operator="between" sqref="E19:F19">
      <x:formula1>0</x:formula1>
      <x:formula2>59</x:formula2>
    </x:dataValidation>
    <x:dataValidation type="decimal" operator="between" sqref="E29">
      <x:formula1>0</x:formula1>
      <x:formula2>1</x:formula2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3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Short-Term build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Loan-type totals from the two product segment builds.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2"/>
      <x:c r="D6" s="2"/>
      <x:c r="E6" s="2"/>
      <x:c r="F6" s="2"/>
      <x:c r="G6" s="19" t="n">
        <x:v>1</x:v>
      </x:c>
      <x:c r="H6" s="19" t="n">
        <x:v>2</x:v>
      </x:c>
      <x:c r="I6" s="19" t="n">
        <x:v>3</x:v>
      </x:c>
      <x:c r="J6" s="19" t="n">
        <x:v>4</x:v>
      </x:c>
      <x:c r="K6" s="19" t="n">
        <x:v>5</x:v>
      </x:c>
      <x:c r="L6" s="19" t="n">
        <x:v>6</x:v>
      </x:c>
      <x:c r="M6" s="19" t="n">
        <x:v>7</x:v>
      </x:c>
      <x:c r="N6" s="19" t="n">
        <x:v>8</x:v>
      </x:c>
      <x:c r="O6" s="19" t="n">
        <x:v>9</x:v>
      </x:c>
      <x:c r="P6" s="19" t="n">
        <x:v>10</x:v>
      </x:c>
      <x:c r="Q6" s="19" t="n">
        <x:v>11</x:v>
      </x:c>
      <x:c r="R6" s="19" t="n">
        <x:v>12</x:v>
      </x:c>
      <x:c r="S6" s="19" t="n">
        <x:v>13</x:v>
      </x:c>
      <x:c r="T6" s="19" t="n">
        <x:v>14</x:v>
      </x:c>
      <x:c r="U6" s="19" t="n">
        <x:v>15</x:v>
      </x:c>
      <x:c r="V6" s="19" t="n">
        <x:v>16</x:v>
      </x:c>
      <x:c r="W6" s="19" t="n">
        <x:v>17</x:v>
      </x:c>
      <x:c r="X6" s="19" t="n">
        <x:v>18</x:v>
      </x:c>
      <x:c r="Y6" s="19" t="n">
        <x:v>19</x:v>
      </x:c>
      <x:c r="Z6" s="19" t="n">
        <x:v>20</x:v>
      </x:c>
      <x:c r="AA6" s="19" t="n">
        <x:v>21</x:v>
      </x:c>
      <x:c r="AB6" s="19" t="n">
        <x:v>22</x:v>
      </x:c>
      <x:c r="AC6" s="19" t="n">
        <x:v>23</x:v>
      </x:c>
      <x:c r="AD6" s="19" t="n">
        <x:v>24</x:v>
      </x:c>
      <x:c r="AE6" s="19" t="n">
        <x:v>25</x:v>
      </x:c>
      <x:c r="AF6" s="19" t="n">
        <x:v>26</x:v>
      </x:c>
      <x:c r="AG6" s="19" t="n">
        <x:v>27</x:v>
      </x:c>
      <x:c r="AH6" s="19" t="n">
        <x:v>28</x:v>
      </x:c>
      <x:c r="AI6" s="19" t="n">
        <x:v>29</x:v>
      </x:c>
      <x:c r="AJ6" s="19" t="n">
        <x:v>30</x:v>
      </x:c>
      <x:c r="AK6" s="19" t="n">
        <x:v>31</x:v>
      </x:c>
      <x:c r="AL6" s="19" t="n">
        <x:v>32</x:v>
      </x:c>
      <x:c r="AM6" s="19" t="n">
        <x:v>33</x:v>
      </x:c>
      <x:c r="AN6" s="19" t="n">
        <x:v>34</x:v>
      </x:c>
      <x:c r="AO6" s="19" t="n">
        <x:v>35</x:v>
      </x:c>
      <x:c r="AP6" s="19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720000</x:v>
      </x:c>
      <x:c r="F8" s="2"/>
      <x:c r="G8" s="37" t="n">
        <x:f>'CF Short-Term'!G8+'MK Short-Term'!G8</x:f>
        <x:v>30000</x:v>
      </x:c>
      <x:c r="H8" s="37" t="n">
        <x:f>'CF Short-Term'!H8+'MK Short-Term'!H8</x:f>
        <x:v>30000</x:v>
      </x:c>
      <x:c r="I8" s="37" t="n">
        <x:f>'CF Short-Term'!I8+'MK Short-Term'!I8</x:f>
        <x:v>30000</x:v>
      </x:c>
      <x:c r="J8" s="37" t="n">
        <x:f>'CF Short-Term'!J8+'MK Short-Term'!J8</x:f>
        <x:v>30000</x:v>
      </x:c>
      <x:c r="K8" s="37" t="n">
        <x:f>'CF Short-Term'!K8+'MK Short-Term'!K8</x:f>
        <x:v>30000</x:v>
      </x:c>
      <x:c r="L8" s="37" t="n">
        <x:f>'CF Short-Term'!L8+'MK Short-Term'!L8</x:f>
        <x:v>30000</x:v>
      </x:c>
      <x:c r="M8" s="37" t="n">
        <x:f>'CF Short-Term'!M8+'MK Short-Term'!M8</x:f>
        <x:v>30000</x:v>
      </x:c>
      <x:c r="N8" s="37" t="n">
        <x:f>'CF Short-Term'!N8+'MK Short-Term'!N8</x:f>
        <x:v>30000</x:v>
      </x:c>
      <x:c r="O8" s="37" t="n">
        <x:f>'CF Short-Term'!O8+'MK Short-Term'!O8</x:f>
        <x:v>30000</x:v>
      </x:c>
      <x:c r="P8" s="37" t="n">
        <x:f>'CF Short-Term'!P8+'MK Short-Term'!P8</x:f>
        <x:v>30000</x:v>
      </x:c>
      <x:c r="Q8" s="37" t="n">
        <x:f>'CF Short-Term'!Q8+'MK Short-Term'!Q8</x:f>
        <x:v>30000</x:v>
      </x:c>
      <x:c r="R8" s="37" t="n">
        <x:f>'CF Short-Term'!R8+'MK Short-Term'!R8</x:f>
        <x:v>30000</x:v>
      </x:c>
      <x:c r="S8" s="37" t="n">
        <x:f>'CF Short-Term'!S8+'MK Short-Term'!S8</x:f>
        <x:v>30000</x:v>
      </x:c>
      <x:c r="T8" s="37" t="n">
        <x:f>'CF Short-Term'!T8+'MK Short-Term'!T8</x:f>
        <x:v>30000</x:v>
      </x:c>
      <x:c r="U8" s="37" t="n">
        <x:f>'CF Short-Term'!U8+'MK Short-Term'!U8</x:f>
        <x:v>30000</x:v>
      </x:c>
      <x:c r="V8" s="37" t="n">
        <x:f>'CF Short-Term'!V8+'MK Short-Term'!V8</x:f>
        <x:v>30000</x:v>
      </x:c>
      <x:c r="W8" s="37" t="n">
        <x:f>'CF Short-Term'!W8+'MK Short-Term'!W8</x:f>
        <x:v>30000</x:v>
      </x:c>
      <x:c r="X8" s="37" t="n">
        <x:f>'CF Short-Term'!X8+'MK Short-Term'!X8</x:f>
        <x:v>30000</x:v>
      </x:c>
      <x:c r="Y8" s="37" t="n">
        <x:f>'CF Short-Term'!Y8+'MK Short-Term'!Y8</x:f>
        <x:v>30000</x:v>
      </x:c>
      <x:c r="Z8" s="37" t="n">
        <x:f>'CF Short-Term'!Z8+'MK Short-Term'!Z8</x:f>
        <x:v>30000</x:v>
      </x:c>
      <x:c r="AA8" s="37" t="n">
        <x:f>'CF Short-Term'!AA8+'MK Short-Term'!AA8</x:f>
        <x:v>30000</x:v>
      </x:c>
      <x:c r="AB8" s="37" t="n">
        <x:f>'CF Short-Term'!AB8+'MK Short-Term'!AB8</x:f>
        <x:v>30000</x:v>
      </x:c>
      <x:c r="AC8" s="37" t="n">
        <x:f>'CF Short-Term'!AC8+'MK Short-Term'!AC8</x:f>
        <x:v>30000</x:v>
      </x:c>
      <x:c r="AD8" s="37" t="n">
        <x:f>'CF Short-Term'!AD8+'MK Short-Term'!AD8</x:f>
        <x:v>30000</x:v>
      </x:c>
      <x:c r="AE8" s="37" t="n">
        <x:f>'CF Short-Term'!AE8+'MK Short-Term'!AE8</x:f>
        <x:v>30000</x:v>
      </x:c>
      <x:c r="AF8" s="37" t="n">
        <x:f>'CF Short-Term'!AF8+'MK Short-Term'!AF8</x:f>
        <x:v>30000</x:v>
      </x:c>
      <x:c r="AG8" s="37" t="n">
        <x:f>'CF Short-Term'!AG8+'MK Short-Term'!AG8</x:f>
        <x:v>30000</x:v>
      </x:c>
      <x:c r="AH8" s="37" t="n">
        <x:f>'CF Short-Term'!AH8+'MK Short-Term'!AH8</x:f>
        <x:v>30000</x:v>
      </x:c>
      <x:c r="AI8" s="37" t="n">
        <x:f>'CF Short-Term'!AI8+'MK Short-Term'!AI8</x:f>
        <x:v>30000</x:v>
      </x:c>
      <x:c r="AJ8" s="37" t="n">
        <x:f>'CF Short-Term'!AJ8+'MK Short-Term'!AJ8</x:f>
        <x:v>30000</x:v>
      </x:c>
      <x:c r="AK8" s="37" t="n">
        <x:f>'CF Short-Term'!AK8+'MK Short-Term'!AK8</x:f>
        <x:v>30000</x:v>
      </x:c>
      <x:c r="AL8" s="37" t="n">
        <x:f>'CF Short-Term'!AL8+'MK Short-Term'!AL8</x:f>
        <x:v>30000</x:v>
      </x:c>
      <x:c r="AM8" s="37" t="n">
        <x:f>'CF Short-Term'!AM8+'MK Short-Term'!AM8</x:f>
        <x:v>30000</x:v>
      </x:c>
      <x:c r="AN8" s="37" t="n">
        <x:f>'CF Short-Term'!AN8+'MK Short-Term'!AN8</x:f>
        <x:v>30000</x:v>
      </x:c>
      <x:c r="AO8" s="37" t="n">
        <x:f>'CF Short-Term'!AO8+'MK Short-Term'!AO8</x:f>
        <x:v>30000</x:v>
      </x:c>
      <x:c r="AP8" s="37" t="n">
        <x:f>'CF Short-Term'!AP8+'MK Short-Term'!AP8</x:f>
        <x:v>30000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12" t="n">
        <x:f>'CF Short-Term'!G9</x:f>
        <x:v>0.3</x:v>
      </x:c>
      <x:c r="H9" s="12" t="n">
        <x:f>'CF Short-Term'!H9</x:f>
        <x:v>0.3</x:v>
      </x:c>
      <x:c r="I9" s="12" t="n">
        <x:f>'CF Short-Term'!I9</x:f>
        <x:v>0.3</x:v>
      </x:c>
      <x:c r="J9" s="12" t="n">
        <x:f>'CF Short-Term'!J9</x:f>
        <x:v>0.3</x:v>
      </x:c>
      <x:c r="K9" s="12" t="n">
        <x:f>'CF Short-Term'!K9</x:f>
        <x:v>0.3</x:v>
      </x:c>
      <x:c r="L9" s="12" t="n">
        <x:f>'CF Short-Term'!L9</x:f>
        <x:v>0.3</x:v>
      </x:c>
      <x:c r="M9" s="12" t="n">
        <x:f>'CF Short-Term'!M9</x:f>
        <x:v>0.3</x:v>
      </x:c>
      <x:c r="N9" s="12" t="n">
        <x:f>'CF Short-Term'!N9</x:f>
        <x:v>0.3</x:v>
      </x:c>
      <x:c r="O9" s="12" t="n">
        <x:f>'CF Short-Term'!O9</x:f>
        <x:v>0.3</x:v>
      </x:c>
      <x:c r="P9" s="12" t="n">
        <x:f>'CF Short-Term'!P9</x:f>
        <x:v>0.3</x:v>
      </x:c>
      <x:c r="Q9" s="12" t="n">
        <x:f>'CF Short-Term'!Q9</x:f>
        <x:v>0.3</x:v>
      </x:c>
      <x:c r="R9" s="12" t="n">
        <x:f>'CF Short-Term'!R9</x:f>
        <x:v>0.3</x:v>
      </x:c>
      <x:c r="S9" s="12" t="n">
        <x:f>'CF Short-Term'!S9</x:f>
        <x:v>0.3</x:v>
      </x:c>
      <x:c r="T9" s="12" t="n">
        <x:f>'CF Short-Term'!T9</x:f>
        <x:v>0.3</x:v>
      </x:c>
      <x:c r="U9" s="12" t="n">
        <x:f>'CF Short-Term'!U9</x:f>
        <x:v>0.3</x:v>
      </x:c>
      <x:c r="V9" s="12" t="n">
        <x:f>'CF Short-Term'!V9</x:f>
        <x:v>0.3</x:v>
      </x:c>
      <x:c r="W9" s="12" t="n">
        <x:f>'CF Short-Term'!W9</x:f>
        <x:v>0.3</x:v>
      </x:c>
      <x:c r="X9" s="12" t="n">
        <x:f>'CF Short-Term'!X9</x:f>
        <x:v>0.3</x:v>
      </x:c>
      <x:c r="Y9" s="12" t="n">
        <x:f>'CF Short-Term'!Y9</x:f>
        <x:v>0.3</x:v>
      </x:c>
      <x:c r="Z9" s="12" t="n">
        <x:f>'CF Short-Term'!Z9</x:f>
        <x:v>0.3</x:v>
      </x:c>
      <x:c r="AA9" s="12" t="n">
        <x:f>'CF Short-Term'!AA9</x:f>
        <x:v>0.3</x:v>
      </x:c>
      <x:c r="AB9" s="12" t="n">
        <x:f>'CF Short-Term'!AB9</x:f>
        <x:v>0.3</x:v>
      </x:c>
      <x:c r="AC9" s="12" t="n">
        <x:f>'CF Short-Term'!AC9</x:f>
        <x:v>0.3</x:v>
      </x:c>
      <x:c r="AD9" s="12" t="n">
        <x:f>'CF Short-Term'!AD9</x:f>
        <x:v>0.3</x:v>
      </x:c>
      <x:c r="AE9" s="12" t="n">
        <x:f>'CF Short-Term'!AE9</x:f>
        <x:v>0.3</x:v>
      </x:c>
      <x:c r="AF9" s="12" t="n">
        <x:f>'CF Short-Term'!AF9</x:f>
        <x:v>0.3</x:v>
      </x:c>
      <x:c r="AG9" s="12" t="n">
        <x:f>'CF Short-Term'!AG9</x:f>
        <x:v>0.3</x:v>
      </x:c>
      <x:c r="AH9" s="12" t="n">
        <x:f>'CF Short-Term'!AH9</x:f>
        <x:v>0.3</x:v>
      </x:c>
      <x:c r="AI9" s="12" t="n">
        <x:f>'CF Short-Term'!AI9</x:f>
        <x:v>0.3</x:v>
      </x:c>
      <x:c r="AJ9" s="12" t="n">
        <x:f>'CF Short-Term'!AJ9</x:f>
        <x:v>0.3</x:v>
      </x:c>
      <x:c r="AK9" s="12" t="n">
        <x:f>'CF Short-Term'!AK9</x:f>
        <x:v>0.3</x:v>
      </x:c>
      <x:c r="AL9" s="12" t="n">
        <x:f>'CF Short-Term'!AL9</x:f>
        <x:v>0.3</x:v>
      </x:c>
      <x:c r="AM9" s="12" t="n">
        <x:f>'CF Short-Term'!AM9</x:f>
        <x:v>0.3</x:v>
      </x:c>
      <x:c r="AN9" s="12" t="n">
        <x:f>'CF Short-Term'!AN9</x:f>
        <x:v>0.3</x:v>
      </x:c>
      <x:c r="AO9" s="12" t="n">
        <x:f>'CF Short-Term'!AO9</x:f>
        <x:v>0.3</x:v>
      </x:c>
      <x:c r="AP9" s="12" t="n">
        <x:f>'CF Short-Term'!AP9</x:f>
        <x:v>0.3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48" t="n">
        <x:f>'CF Short-Term'!G10</x:f>
        <x:v>1500</x:v>
      </x:c>
      <x:c r="H10" s="48" t="n">
        <x:f>'CF Short-Term'!H10</x:f>
        <x:v>1500</x:v>
      </x:c>
      <x:c r="I10" s="48" t="n">
        <x:f>'CF Short-Term'!I10</x:f>
        <x:v>1500</x:v>
      </x:c>
      <x:c r="J10" s="48" t="n">
        <x:f>'CF Short-Term'!J10</x:f>
        <x:v>1500</x:v>
      </x:c>
      <x:c r="K10" s="48" t="n">
        <x:f>'CF Short-Term'!K10</x:f>
        <x:v>1500</x:v>
      </x:c>
      <x:c r="L10" s="48" t="n">
        <x:f>'CF Short-Term'!L10</x:f>
        <x:v>1500</x:v>
      </x:c>
      <x:c r="M10" s="48" t="n">
        <x:f>'CF Short-Term'!M10</x:f>
        <x:v>1500</x:v>
      </x:c>
      <x:c r="N10" s="48" t="n">
        <x:f>'CF Short-Term'!N10</x:f>
        <x:v>1500</x:v>
      </x:c>
      <x:c r="O10" s="48" t="n">
        <x:f>'CF Short-Term'!O10</x:f>
        <x:v>1500</x:v>
      </x:c>
      <x:c r="P10" s="48" t="n">
        <x:f>'CF Short-Term'!P10</x:f>
        <x:v>1500</x:v>
      </x:c>
      <x:c r="Q10" s="48" t="n">
        <x:f>'CF Short-Term'!Q10</x:f>
        <x:v>1500</x:v>
      </x:c>
      <x:c r="R10" s="48" t="n">
        <x:f>'CF Short-Term'!R10</x:f>
        <x:v>1500</x:v>
      </x:c>
      <x:c r="S10" s="48" t="n">
        <x:f>'CF Short-Term'!S10</x:f>
        <x:v>1500</x:v>
      </x:c>
      <x:c r="T10" s="48" t="n">
        <x:f>'CF Short-Term'!T10</x:f>
        <x:v>1500</x:v>
      </x:c>
      <x:c r="U10" s="48" t="n">
        <x:f>'CF Short-Term'!U10</x:f>
        <x:v>1500</x:v>
      </x:c>
      <x:c r="V10" s="48" t="n">
        <x:f>'CF Short-Term'!V10</x:f>
        <x:v>1500</x:v>
      </x:c>
      <x:c r="W10" s="48" t="n">
        <x:f>'CF Short-Term'!W10</x:f>
        <x:v>1500</x:v>
      </x:c>
      <x:c r="X10" s="48" t="n">
        <x:f>'CF Short-Term'!X10</x:f>
        <x:v>1500</x:v>
      </x:c>
      <x:c r="Y10" s="48" t="n">
        <x:f>'CF Short-Term'!Y10</x:f>
        <x:v>1500</x:v>
      </x:c>
      <x:c r="Z10" s="48" t="n">
        <x:f>'CF Short-Term'!Z10</x:f>
        <x:v>1500</x:v>
      </x:c>
      <x:c r="AA10" s="48" t="n">
        <x:f>'CF Short-Term'!AA10</x:f>
        <x:v>1500</x:v>
      </x:c>
      <x:c r="AB10" s="48" t="n">
        <x:f>'CF Short-Term'!AB10</x:f>
        <x:v>1500</x:v>
      </x:c>
      <x:c r="AC10" s="48" t="n">
        <x:f>'CF Short-Term'!AC10</x:f>
        <x:v>1500</x:v>
      </x:c>
      <x:c r="AD10" s="48" t="n">
        <x:f>'CF Short-Term'!AD10</x:f>
        <x:v>1500</x:v>
      </x:c>
      <x:c r="AE10" s="48" t="n">
        <x:f>'CF Short-Term'!AE10</x:f>
        <x:v>1500</x:v>
      </x:c>
      <x:c r="AF10" s="48" t="n">
        <x:f>'CF Short-Term'!AF10</x:f>
        <x:v>1500</x:v>
      </x:c>
      <x:c r="AG10" s="48" t="n">
        <x:f>'CF Short-Term'!AG10</x:f>
        <x:v>1500</x:v>
      </x:c>
      <x:c r="AH10" s="48" t="n">
        <x:f>'CF Short-Term'!AH10</x:f>
        <x:v>1500</x:v>
      </x:c>
      <x:c r="AI10" s="48" t="n">
        <x:f>'CF Short-Term'!AI10</x:f>
        <x:v>1500</x:v>
      </x:c>
      <x:c r="AJ10" s="48" t="n">
        <x:f>'CF Short-Term'!AJ10</x:f>
        <x:v>1500</x:v>
      </x:c>
      <x:c r="AK10" s="48" t="n">
        <x:f>'CF Short-Term'!AK10</x:f>
        <x:v>1500</x:v>
      </x:c>
      <x:c r="AL10" s="48" t="n">
        <x:f>'CF Short-Term'!AL10</x:f>
        <x:v>1500</x:v>
      </x:c>
      <x:c r="AM10" s="48" t="n">
        <x:f>'CF Short-Term'!AM10</x:f>
        <x:v>1500</x:v>
      </x:c>
      <x:c r="AN10" s="48" t="n">
        <x:f>'CF Short-Term'!AN10</x:f>
        <x:v>1500</x:v>
      </x:c>
      <x:c r="AO10" s="48" t="n">
        <x:f>'CF Short-Term'!AO10</x:f>
        <x:v>1500</x:v>
      </x:c>
      <x:c r="AP10" s="48" t="n">
        <x:f>'CF Short-Term'!AP10</x:f>
        <x:v>1500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2" t="str">
        <x:v>Originations</x:v>
      </x:c>
      <x:c r="D11" s="2"/>
      <x:c r="E11" s="35" t="n">
        <x:f>SUMIFS(G11:AP11,$G$6:$AP$6,"&lt;="&amp;'Assumptions'!$E$7)</x:f>
        <x:v>324000000</x:v>
      </x:c>
      <x:c r="F11" s="2"/>
      <x:c r="G11" s="35" t="n">
        <x:f>'CF Short-Term'!G11+'MK Short-Term'!G11</x:f>
        <x:v>13500000</x:v>
      </x:c>
      <x:c r="H11" s="35" t="n">
        <x:f>'CF Short-Term'!H11+'MK Short-Term'!H11</x:f>
        <x:v>13500000</x:v>
      </x:c>
      <x:c r="I11" s="35" t="n">
        <x:f>'CF Short-Term'!I11+'MK Short-Term'!I11</x:f>
        <x:v>13500000</x:v>
      </x:c>
      <x:c r="J11" s="35" t="n">
        <x:f>'CF Short-Term'!J11+'MK Short-Term'!J11</x:f>
        <x:v>13500000</x:v>
      </x:c>
      <x:c r="K11" s="35" t="n">
        <x:f>'CF Short-Term'!K11+'MK Short-Term'!K11</x:f>
        <x:v>13500000</x:v>
      </x:c>
      <x:c r="L11" s="35" t="n">
        <x:f>'CF Short-Term'!L11+'MK Short-Term'!L11</x:f>
        <x:v>13500000</x:v>
      </x:c>
      <x:c r="M11" s="35" t="n">
        <x:f>'CF Short-Term'!M11+'MK Short-Term'!M11</x:f>
        <x:v>13500000</x:v>
      </x:c>
      <x:c r="N11" s="35" t="n">
        <x:f>'CF Short-Term'!N11+'MK Short-Term'!N11</x:f>
        <x:v>13500000</x:v>
      </x:c>
      <x:c r="O11" s="35" t="n">
        <x:f>'CF Short-Term'!O11+'MK Short-Term'!O11</x:f>
        <x:v>13500000</x:v>
      </x:c>
      <x:c r="P11" s="35" t="n">
        <x:f>'CF Short-Term'!P11+'MK Short-Term'!P11</x:f>
        <x:v>13500000</x:v>
      </x:c>
      <x:c r="Q11" s="35" t="n">
        <x:f>'CF Short-Term'!Q11+'MK Short-Term'!Q11</x:f>
        <x:v>13500000</x:v>
      </x:c>
      <x:c r="R11" s="35" t="n">
        <x:f>'CF Short-Term'!R11+'MK Short-Term'!R11</x:f>
        <x:v>13500000</x:v>
      </x:c>
      <x:c r="S11" s="35" t="n">
        <x:f>'CF Short-Term'!S11+'MK Short-Term'!S11</x:f>
        <x:v>13500000</x:v>
      </x:c>
      <x:c r="T11" s="35" t="n">
        <x:f>'CF Short-Term'!T11+'MK Short-Term'!T11</x:f>
        <x:v>13500000</x:v>
      </x:c>
      <x:c r="U11" s="35" t="n">
        <x:f>'CF Short-Term'!U11+'MK Short-Term'!U11</x:f>
        <x:v>13500000</x:v>
      </x:c>
      <x:c r="V11" s="35" t="n">
        <x:f>'CF Short-Term'!V11+'MK Short-Term'!V11</x:f>
        <x:v>13500000</x:v>
      </x:c>
      <x:c r="W11" s="35" t="n">
        <x:f>'CF Short-Term'!W11+'MK Short-Term'!W11</x:f>
        <x:v>13500000</x:v>
      </x:c>
      <x:c r="X11" s="35" t="n">
        <x:f>'CF Short-Term'!X11+'MK Short-Term'!X11</x:f>
        <x:v>13500000</x:v>
      </x:c>
      <x:c r="Y11" s="35" t="n">
        <x:f>'CF Short-Term'!Y11+'MK Short-Term'!Y11</x:f>
        <x:v>13500000</x:v>
      </x:c>
      <x:c r="Z11" s="35" t="n">
        <x:f>'CF Short-Term'!Z11+'MK Short-Term'!Z11</x:f>
        <x:v>13500000</x:v>
      </x:c>
      <x:c r="AA11" s="35" t="n">
        <x:f>'CF Short-Term'!AA11+'MK Short-Term'!AA11</x:f>
        <x:v>13500000</x:v>
      </x:c>
      <x:c r="AB11" s="35" t="n">
        <x:f>'CF Short-Term'!AB11+'MK Short-Term'!AB11</x:f>
        <x:v>13500000</x:v>
      </x:c>
      <x:c r="AC11" s="35" t="n">
        <x:f>'CF Short-Term'!AC11+'MK Short-Term'!AC11</x:f>
        <x:v>13500000</x:v>
      </x:c>
      <x:c r="AD11" s="35" t="n">
        <x:f>'CF Short-Term'!AD11+'MK Short-Term'!AD11</x:f>
        <x:v>13500000</x:v>
      </x:c>
      <x:c r="AE11" s="35" t="n">
        <x:f>'CF Short-Term'!AE11+'MK Short-Term'!AE11</x:f>
        <x:v>13500000</x:v>
      </x:c>
      <x:c r="AF11" s="35" t="n">
        <x:f>'CF Short-Term'!AF11+'MK Short-Term'!AF11</x:f>
        <x:v>13500000</x:v>
      </x:c>
      <x:c r="AG11" s="35" t="n">
        <x:f>'CF Short-Term'!AG11+'MK Short-Term'!AG11</x:f>
        <x:v>13500000</x:v>
      </x:c>
      <x:c r="AH11" s="35" t="n">
        <x:f>'CF Short-Term'!AH11+'MK Short-Term'!AH11</x:f>
        <x:v>13500000</x:v>
      </x:c>
      <x:c r="AI11" s="35" t="n">
        <x:f>'CF Short-Term'!AI11+'MK Short-Term'!AI11</x:f>
        <x:v>13500000</x:v>
      </x:c>
      <x:c r="AJ11" s="35" t="n">
        <x:f>'CF Short-Term'!AJ11+'MK Short-Term'!AJ11</x:f>
        <x:v>13500000</x:v>
      </x:c>
      <x:c r="AK11" s="35" t="n">
        <x:f>'CF Short-Term'!AK11+'MK Short-Term'!AK11</x:f>
        <x:v>13500000</x:v>
      </x:c>
      <x:c r="AL11" s="35" t="n">
        <x:f>'CF Short-Term'!AL11+'MK Short-Term'!AL11</x:f>
        <x:v>13500000</x:v>
      </x:c>
      <x:c r="AM11" s="35" t="n">
        <x:f>'CF Short-Term'!AM11+'MK Short-Term'!AM11</x:f>
        <x:v>13500000</x:v>
      </x:c>
      <x:c r="AN11" s="35" t="n">
        <x:f>'CF Short-Term'!AN11+'MK Short-Term'!AN11</x:f>
        <x:v>13500000</x:v>
      </x:c>
      <x:c r="AO11" s="35" t="n">
        <x:f>'CF Short-Term'!AO11+'MK Short-Term'!AO11</x:f>
        <x:v>13500000</x:v>
      </x:c>
      <x:c r="AP11" s="35" t="n">
        <x:f>'CF Short-Term'!AP11+'MK Short-Term'!AP11</x:f>
        <x:v>13500000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255600000</x:v>
      </x:c>
      <x:c r="F13" s="2"/>
      <x:c r="G13" s="35" t="n">
        <x:f>'CF Short-Term'!G13+'MK Short-Term'!G13</x:f>
        <x:v>255600000</x:v>
      </x:c>
      <x:c r="H13" s="35" t="n">
        <x:f>'CF Short-Term'!H13+'MK Short-Term'!H13</x:f>
        <x:v>141007250.98815894</x:v>
      </x:c>
      <x:c r="I13" s="35" t="n">
        <x:f>'CF Short-Term'!I13+'MK Short-Term'!I13</x:f>
        <x:v>88728879.02727212</x:v>
      </x:c>
      <x:c r="J13" s="35" t="n">
        <x:f>'CF Short-Term'!J13+'MK Short-Term'!J13</x:f>
        <x:v>62614167.26487485</x:v>
      </x:c>
      <x:c r="K13" s="35" t="n">
        <x:f>'CF Short-Term'!K13+'MK Short-Term'!K13</x:f>
        <x:v>49410299.85853885</x:v>
      </x:c>
      <x:c r="L13" s="35" t="n">
        <x:f>'CF Short-Term'!L13+'MK Short-Term'!L13</x:f>
        <x:v>42859244.33456865</x:v>
      </x:c>
      <x:c r="M13" s="35" t="n">
        <x:f>'CF Short-Term'!M13+'MK Short-Term'!M13</x:f>
        <x:v>39755696.752219185</x:v>
      </x:c>
      <x:c r="N13" s="35" t="n">
        <x:f>'CF Short-Term'!N13+'MK Short-Term'!N13</x:f>
        <x:v>38323176.665276095</x:v>
      </x:c>
      <x:c r="O13" s="35" t="n">
        <x:f>'CF Short-Term'!O13+'MK Short-Term'!O13</x:f>
        <x:v>37752490.901321635</x:v>
      </x:c>
      <x:c r="P13" s="35" t="n">
        <x:f>'CF Short-Term'!P13+'MK Short-Term'!P13</x:f>
        <x:v>37592687.77230655</x:v>
      </x:c>
      <x:c r="Q13" s="35" t="n">
        <x:f>'CF Short-Term'!Q13+'MK Short-Term'!Q13</x:f>
        <x:v>37592687.77230655</x:v>
      </x:c>
      <x:c r="R13" s="35" t="n">
        <x:f>'CF Short-Term'!R13+'MK Short-Term'!R13</x:f>
        <x:v>37592687.77230655</x:v>
      </x:c>
      <x:c r="S13" s="35" t="n">
        <x:f>'CF Short-Term'!S13+'MK Short-Term'!S13</x:f>
        <x:v>37592687.77230655</x:v>
      </x:c>
      <x:c r="T13" s="35" t="n">
        <x:f>'CF Short-Term'!T13+'MK Short-Term'!T13</x:f>
        <x:v>37592687.77230655</x:v>
      </x:c>
      <x:c r="U13" s="35" t="n">
        <x:f>'CF Short-Term'!U13+'MK Short-Term'!U13</x:f>
        <x:v>37592687.77230655</x:v>
      </x:c>
      <x:c r="V13" s="35" t="n">
        <x:f>'CF Short-Term'!V13+'MK Short-Term'!V13</x:f>
        <x:v>37592687.77230655</x:v>
      </x:c>
      <x:c r="W13" s="35" t="n">
        <x:f>'CF Short-Term'!W13+'MK Short-Term'!W13</x:f>
        <x:v>37592687.77230655</x:v>
      </x:c>
      <x:c r="X13" s="35" t="n">
        <x:f>'CF Short-Term'!X13+'MK Short-Term'!X13</x:f>
        <x:v>37592687.77230655</x:v>
      </x:c>
      <x:c r="Y13" s="35" t="n">
        <x:f>'CF Short-Term'!Y13+'MK Short-Term'!Y13</x:f>
        <x:v>37592687.77230655</x:v>
      </x:c>
      <x:c r="Z13" s="35" t="n">
        <x:f>'CF Short-Term'!Z13+'MK Short-Term'!Z13</x:f>
        <x:v>37592687.77230655</x:v>
      </x:c>
      <x:c r="AA13" s="35" t="n">
        <x:f>'CF Short-Term'!AA13+'MK Short-Term'!AA13</x:f>
        <x:v>37592687.77230655</x:v>
      </x:c>
      <x:c r="AB13" s="35" t="n">
        <x:f>'CF Short-Term'!AB13+'MK Short-Term'!AB13</x:f>
        <x:v>37592687.77230655</x:v>
      </x:c>
      <x:c r="AC13" s="35" t="n">
        <x:f>'CF Short-Term'!AC13+'MK Short-Term'!AC13</x:f>
        <x:v>37592687.77230655</x:v>
      </x:c>
      <x:c r="AD13" s="35" t="n">
        <x:f>'CF Short-Term'!AD13+'MK Short-Term'!AD13</x:f>
        <x:v>37592687.77230655</x:v>
      </x:c>
      <x:c r="AE13" s="35" t="n">
        <x:f>'CF Short-Term'!AE13+'MK Short-Term'!AE13</x:f>
        <x:v>37592687.77230655</x:v>
      </x:c>
      <x:c r="AF13" s="35" t="n">
        <x:f>'CF Short-Term'!AF13+'MK Short-Term'!AF13</x:f>
        <x:v>37592687.77230655</x:v>
      </x:c>
      <x:c r="AG13" s="35" t="n">
        <x:f>'CF Short-Term'!AG13+'MK Short-Term'!AG13</x:f>
        <x:v>37592687.77230655</x:v>
      </x:c>
      <x:c r="AH13" s="35" t="n">
        <x:f>'CF Short-Term'!AH13+'MK Short-Term'!AH13</x:f>
        <x:v>37592687.77230655</x:v>
      </x:c>
      <x:c r="AI13" s="35" t="n">
        <x:f>'CF Short-Term'!AI13+'MK Short-Term'!AI13</x:f>
        <x:v>37592687.77230655</x:v>
      </x:c>
      <x:c r="AJ13" s="35" t="n">
        <x:f>'CF Short-Term'!AJ13+'MK Short-Term'!AJ13</x:f>
        <x:v>37592687.77230655</x:v>
      </x:c>
      <x:c r="AK13" s="35" t="n">
        <x:f>'CF Short-Term'!AK13+'MK Short-Term'!AK13</x:f>
        <x:v>37592687.77230655</x:v>
      </x:c>
      <x:c r="AL13" s="35" t="n">
        <x:f>'CF Short-Term'!AL13+'MK Short-Term'!AL13</x:f>
        <x:v>37592687.77230655</x:v>
      </x:c>
      <x:c r="AM13" s="35" t="n">
        <x:f>'CF Short-Term'!AM13+'MK Short-Term'!AM13</x:f>
        <x:v>37592687.77230655</x:v>
      </x:c>
      <x:c r="AN13" s="35" t="n">
        <x:f>'CF Short-Term'!AN13+'MK Short-Term'!AN13</x:f>
        <x:v>37592687.77230655</x:v>
      </x:c>
      <x:c r="AO13" s="35" t="n">
        <x:f>'CF Short-Term'!AO13+'MK Short-Term'!AO13</x:f>
        <x:v>37592687.77230655</x:v>
      </x:c>
      <x:c r="AP13" s="35" t="n">
        <x:f>'CF Short-Term'!AP13+'MK Short-Term'!AP13</x:f>
        <x:v>37592687.77230655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426263893.2210087</x:v>
      </x:c>
      <x:c r="F14" s="2"/>
      <x:c r="G14" s="35" t="n">
        <x:f>'CF Short-Term'!G14+'MK Short-Term'!G14</x:f>
        <x:v>98260551.12323037</x:v>
      </x:c>
      <x:c r="H14" s="35" t="n">
        <x:f>'CF Short-Term'!H14+'MK Short-Term'!H14</x:f>
        <x:v>51179174.722507596</x:v>
      </x:c>
      <x:c r="I14" s="35" t="n">
        <x:f>'CF Short-Term'!I14+'MK Short-Term'!I14</x:f>
        <x:v>31139126.6817408</x:v>
      </x:c>
      <x:c r="J14" s="35" t="n">
        <x:f>'CF Short-Term'!J14+'MK Short-Term'!J14</x:f>
        <x:v>21141305.51481105</x:v>
      </x:c>
      <x:c r="K14" s="35" t="n">
        <x:f>'CF Short-Term'!K14+'MK Short-Term'!K14</x:f>
        <x:v>15945831.685427155</x:v>
      </x:c>
      <x:c r="L14" s="35" t="n">
        <x:f>'CF Short-Term'!L14+'MK Short-Term'!L14</x:f>
        <x:v>13239384.504169269</x:v>
      </x:c>
      <x:c r="M14" s="35" t="n">
        <x:f>'CF Short-Term'!M14+'MK Short-Term'!M14</x:f>
        <x:v>11893486.87573057</x:v>
      </x:c>
      <x:c r="N14" s="35" t="n">
        <x:f>'CF Short-Term'!N14+'MK Short-Term'!N14</x:f>
        <x:v>11203790.964701056</x:v>
      </x:c>
      <x:c r="O14" s="35" t="n">
        <x:f>'CF Short-Term'!O14+'MK Short-Term'!O14</x:f>
        <x:v>10881947.524172088</x:v>
      </x:c>
      <x:c r="P14" s="35" t="n">
        <x:f>'CF Short-Term'!P14+'MK Short-Term'!P14</x:f>
        <x:v>10758619.574967904</x:v>
      </x:c>
      <x:c r="Q14" s="35" t="n">
        <x:f>'CF Short-Term'!Q14+'MK Short-Term'!Q14</x:f>
        <x:v>10758619.574967904</x:v>
      </x:c>
      <x:c r="R14" s="35" t="n">
        <x:f>'CF Short-Term'!R14+'MK Short-Term'!R14</x:f>
        <x:v>10758619.574967904</x:v>
      </x:c>
      <x:c r="S14" s="35" t="n">
        <x:f>'CF Short-Term'!S14+'MK Short-Term'!S14</x:f>
        <x:v>10758619.574967904</x:v>
      </x:c>
      <x:c r="T14" s="35" t="n">
        <x:f>'CF Short-Term'!T14+'MK Short-Term'!T14</x:f>
        <x:v>10758619.574967904</x:v>
      </x:c>
      <x:c r="U14" s="35" t="n">
        <x:f>'CF Short-Term'!U14+'MK Short-Term'!U14</x:f>
        <x:v>10758619.574967904</x:v>
      </x:c>
      <x:c r="V14" s="35" t="n">
        <x:f>'CF Short-Term'!V14+'MK Short-Term'!V14</x:f>
        <x:v>10758619.574967904</x:v>
      </x:c>
      <x:c r="W14" s="35" t="n">
        <x:f>'CF Short-Term'!W14+'MK Short-Term'!W14</x:f>
        <x:v>10758619.574967904</x:v>
      </x:c>
      <x:c r="X14" s="35" t="n">
        <x:f>'CF Short-Term'!X14+'MK Short-Term'!X14</x:f>
        <x:v>10758619.574967904</x:v>
      </x:c>
      <x:c r="Y14" s="35" t="n">
        <x:f>'CF Short-Term'!Y14+'MK Short-Term'!Y14</x:f>
        <x:v>10758619.574967904</x:v>
      </x:c>
      <x:c r="Z14" s="35" t="n">
        <x:f>'CF Short-Term'!Z14+'MK Short-Term'!Z14</x:f>
        <x:v>10758619.574967904</x:v>
      </x:c>
      <x:c r="AA14" s="35" t="n">
        <x:f>'CF Short-Term'!AA14+'MK Short-Term'!AA14</x:f>
        <x:v>10758619.574967904</x:v>
      </x:c>
      <x:c r="AB14" s="35" t="n">
        <x:f>'CF Short-Term'!AB14+'MK Short-Term'!AB14</x:f>
        <x:v>10758619.574967904</x:v>
      </x:c>
      <x:c r="AC14" s="35" t="n">
        <x:f>'CF Short-Term'!AC14+'MK Short-Term'!AC14</x:f>
        <x:v>10758619.574967904</x:v>
      </x:c>
      <x:c r="AD14" s="35" t="n">
        <x:f>'CF Short-Term'!AD14+'MK Short-Term'!AD14</x:f>
        <x:v>10758619.574967904</x:v>
      </x:c>
      <x:c r="AE14" s="35" t="n">
        <x:f>'CF Short-Term'!AE14+'MK Short-Term'!AE14</x:f>
        <x:v>10758619.574967904</x:v>
      </x:c>
      <x:c r="AF14" s="35" t="n">
        <x:f>'CF Short-Term'!AF14+'MK Short-Term'!AF14</x:f>
        <x:v>10758619.574967904</x:v>
      </x:c>
      <x:c r="AG14" s="35" t="n">
        <x:f>'CF Short-Term'!AG14+'MK Short-Term'!AG14</x:f>
        <x:v>10758619.574967904</x:v>
      </x:c>
      <x:c r="AH14" s="35" t="n">
        <x:f>'CF Short-Term'!AH14+'MK Short-Term'!AH14</x:f>
        <x:v>10758619.574967904</x:v>
      </x:c>
      <x:c r="AI14" s="35" t="n">
        <x:f>'CF Short-Term'!AI14+'MK Short-Term'!AI14</x:f>
        <x:v>10758619.574967904</x:v>
      </x:c>
      <x:c r="AJ14" s="35" t="n">
        <x:f>'CF Short-Term'!AJ14+'MK Short-Term'!AJ14</x:f>
        <x:v>10758619.574967904</x:v>
      </x:c>
      <x:c r="AK14" s="35" t="n">
        <x:f>'CF Short-Term'!AK14+'MK Short-Term'!AK14</x:f>
        <x:v>10758619.574967904</x:v>
      </x:c>
      <x:c r="AL14" s="35" t="n">
        <x:f>'CF Short-Term'!AL14+'MK Short-Term'!AL14</x:f>
        <x:v>10758619.574967904</x:v>
      </x:c>
      <x:c r="AM14" s="35" t="n">
        <x:f>'CF Short-Term'!AM14+'MK Short-Term'!AM14</x:f>
        <x:v>10758619.574967904</x:v>
      </x:c>
      <x:c r="AN14" s="35" t="n">
        <x:f>'CF Short-Term'!AN14+'MK Short-Term'!AN14</x:f>
        <x:v>10758619.574967904</x:v>
      </x:c>
      <x:c r="AO14" s="35" t="n">
        <x:f>'CF Short-Term'!AO14+'MK Short-Term'!AO14</x:f>
        <x:v>10758619.574967904</x:v>
      </x:c>
      <x:c r="AP14" s="35" t="n">
        <x:f>'CF Short-Term'!AP14+'MK Short-Term'!AP14</x:f>
        <x:v>10758619.574967904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115743419.00668493</x:v>
      </x:c>
      <x:c r="F15" s="2"/>
      <x:c r="G15" s="35" t="n">
        <x:f>'CF Short-Term'!G15+'MK Short-Term'!G15</x:f>
        <x:v>29832197.8886107</x:v>
      </x:c>
      <x:c r="H15" s="35" t="n">
        <x:f>'CF Short-Term'!H15+'MK Short-Term'!H15</x:f>
        <x:v>14599197.238379218</x:v>
      </x:c>
      <x:c r="I15" s="35" t="n">
        <x:f>'CF Short-Term'!I15+'MK Short-Term'!I15</x:f>
        <x:v>8475585.08065647</x:v>
      </x:c>
      <x:c r="J15" s="35" t="n">
        <x:f>'CF Short-Term'!J15+'MK Short-Term'!J15</x:f>
        <x:v>5562561.891524954</x:v>
      </x:c>
      <x:c r="K15" s="35" t="n">
        <x:f>'CF Short-Term'!K15+'MK Short-Term'!K15</x:f>
        <x:v>4105223.838543048</x:v>
      </x:c>
      <x:c r="L15" s="35" t="n">
        <x:f>'CF Short-Term'!L15+'MK Short-Term'!L15</x:f>
        <x:v>3364163.0781801967</x:v>
      </x:c>
      <x:c r="M15" s="35" t="n">
        <x:f>'CF Short-Term'!M15+'MK Short-Term'!M15</x:f>
        <x:v>3039033.2112125168</x:v>
      </x:c>
      <x:c r="N15" s="35" t="n">
        <x:f>'CF Short-Term'!N15+'MK Short-Term'!N15</x:f>
        <x:v>2866894.799253404</x:v>
      </x:c>
      <x:c r="O15" s="35" t="n">
        <x:f>'CF Short-Term'!O15+'MK Short-Term'!O15</x:f>
        <x:v>2777855.6048430093</x:v>
      </x:c>
      <x:c r="P15" s="35" t="n">
        <x:f>'CF Short-Term'!P15+'MK Short-Term'!P15</x:f>
        <x:v>2741380.425032094</x:v>
      </x:c>
      <x:c r="Q15" s="35" t="n">
        <x:f>'CF Short-Term'!Q15+'MK Short-Term'!Q15</x:f>
        <x:v>2741380.425032094</x:v>
      </x:c>
      <x:c r="R15" s="35" t="n">
        <x:f>'CF Short-Term'!R15+'MK Short-Term'!R15</x:f>
        <x:v>2741380.425032094</x:v>
      </x:c>
      <x:c r="S15" s="35" t="n">
        <x:f>'CF Short-Term'!S15+'MK Short-Term'!S15</x:f>
        <x:v>2741380.425032094</x:v>
      </x:c>
      <x:c r="T15" s="35" t="n">
        <x:f>'CF Short-Term'!T15+'MK Short-Term'!T15</x:f>
        <x:v>2741380.425032094</x:v>
      </x:c>
      <x:c r="U15" s="35" t="n">
        <x:f>'CF Short-Term'!U15+'MK Short-Term'!U15</x:f>
        <x:v>2741380.425032094</x:v>
      </x:c>
      <x:c r="V15" s="35" t="n">
        <x:f>'CF Short-Term'!V15+'MK Short-Term'!V15</x:f>
        <x:v>2741380.425032094</x:v>
      </x:c>
      <x:c r="W15" s="35" t="n">
        <x:f>'CF Short-Term'!W15+'MK Short-Term'!W15</x:f>
        <x:v>2741380.425032094</x:v>
      </x:c>
      <x:c r="X15" s="35" t="n">
        <x:f>'CF Short-Term'!X15+'MK Short-Term'!X15</x:f>
        <x:v>2741380.425032094</x:v>
      </x:c>
      <x:c r="Y15" s="35" t="n">
        <x:f>'CF Short-Term'!Y15+'MK Short-Term'!Y15</x:f>
        <x:v>2741380.425032094</x:v>
      </x:c>
      <x:c r="Z15" s="35" t="n">
        <x:f>'CF Short-Term'!Z15+'MK Short-Term'!Z15</x:f>
        <x:v>2741380.425032094</x:v>
      </x:c>
      <x:c r="AA15" s="35" t="n">
        <x:f>'CF Short-Term'!AA15+'MK Short-Term'!AA15</x:f>
        <x:v>2741380.425032094</x:v>
      </x:c>
      <x:c r="AB15" s="35" t="n">
        <x:f>'CF Short-Term'!AB15+'MK Short-Term'!AB15</x:f>
        <x:v>2741380.425032094</x:v>
      </x:c>
      <x:c r="AC15" s="35" t="n">
        <x:f>'CF Short-Term'!AC15+'MK Short-Term'!AC15</x:f>
        <x:v>2741380.425032094</x:v>
      </x:c>
      <x:c r="AD15" s="35" t="n">
        <x:f>'CF Short-Term'!AD15+'MK Short-Term'!AD15</x:f>
        <x:v>2741380.425032094</x:v>
      </x:c>
      <x:c r="AE15" s="35" t="n">
        <x:f>'CF Short-Term'!AE15+'MK Short-Term'!AE15</x:f>
        <x:v>2741380.425032094</x:v>
      </x:c>
      <x:c r="AF15" s="35" t="n">
        <x:f>'CF Short-Term'!AF15+'MK Short-Term'!AF15</x:f>
        <x:v>2741380.425032094</x:v>
      </x:c>
      <x:c r="AG15" s="35" t="n">
        <x:f>'CF Short-Term'!AG15+'MK Short-Term'!AG15</x:f>
        <x:v>2741380.425032094</x:v>
      </x:c>
      <x:c r="AH15" s="35" t="n">
        <x:f>'CF Short-Term'!AH15+'MK Short-Term'!AH15</x:f>
        <x:v>2741380.425032094</x:v>
      </x:c>
      <x:c r="AI15" s="35" t="n">
        <x:f>'CF Short-Term'!AI15+'MK Short-Term'!AI15</x:f>
        <x:v>2741380.425032094</x:v>
      </x:c>
      <x:c r="AJ15" s="35" t="n">
        <x:f>'CF Short-Term'!AJ15+'MK Short-Term'!AJ15</x:f>
        <x:v>2741380.425032094</x:v>
      </x:c>
      <x:c r="AK15" s="35" t="n">
        <x:f>'CF Short-Term'!AK15+'MK Short-Term'!AK15</x:f>
        <x:v>2741380.425032094</x:v>
      </x:c>
      <x:c r="AL15" s="35" t="n">
        <x:f>'CF Short-Term'!AL15+'MK Short-Term'!AL15</x:f>
        <x:v>2741380.425032094</x:v>
      </x:c>
      <x:c r="AM15" s="35" t="n">
        <x:f>'CF Short-Term'!AM15+'MK Short-Term'!AM15</x:f>
        <x:v>2741380.425032094</x:v>
      </x:c>
      <x:c r="AN15" s="35" t="n">
        <x:f>'CF Short-Term'!AN15+'MK Short-Term'!AN15</x:f>
        <x:v>2741380.425032094</x:v>
      </x:c>
      <x:c r="AO15" s="35" t="n">
        <x:f>'CF Short-Term'!AO15+'MK Short-Term'!AO15</x:f>
        <x:v>2741380.425032094</x:v>
      </x:c>
      <x:c r="AP15" s="35" t="n">
        <x:f>'CF Short-Term'!AP15+'MK Short-Term'!AP15</x:f>
        <x:v>2741380.425032094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2" t="str">
        <x:v>Ending gross CLAB</x:v>
      </x:c>
      <x:c r="D16" s="2"/>
      <x:c r="E16" s="35" t="n">
        <x:f>INDEX(G16:AP16,1,'Assumptions'!$E$7)</x:f>
        <x:v>37592687.77230655</x:v>
      </x:c>
      <x:c r="F16" s="2"/>
      <x:c r="G16" s="35" t="n">
        <x:f>'CF Short-Term'!G16+'MK Short-Term'!G16</x:f>
        <x:v>141007250.98815894</x:v>
      </x:c>
      <x:c r="H16" s="35" t="n">
        <x:f>'CF Short-Term'!H16+'MK Short-Term'!H16</x:f>
        <x:v>88728879.02727212</x:v>
      </x:c>
      <x:c r="I16" s="35" t="n">
        <x:f>'CF Short-Term'!I16+'MK Short-Term'!I16</x:f>
        <x:v>62614167.26487485</x:v>
      </x:c>
      <x:c r="J16" s="35" t="n">
        <x:f>'CF Short-Term'!J16+'MK Short-Term'!J16</x:f>
        <x:v>49410299.85853885</x:v>
      </x:c>
      <x:c r="K16" s="35" t="n">
        <x:f>'CF Short-Term'!K16+'MK Short-Term'!K16</x:f>
        <x:v>42859244.33456865</x:v>
      </x:c>
      <x:c r="L16" s="35" t="n">
        <x:f>'CF Short-Term'!L16+'MK Short-Term'!L16</x:f>
        <x:v>39755696.752219185</x:v>
      </x:c>
      <x:c r="M16" s="35" t="n">
        <x:f>'CF Short-Term'!M16+'MK Short-Term'!M16</x:f>
        <x:v>38323176.665276095</x:v>
      </x:c>
      <x:c r="N16" s="35" t="n">
        <x:f>'CF Short-Term'!N16+'MK Short-Term'!N16</x:f>
        <x:v>37752490.901321635</x:v>
      </x:c>
      <x:c r="O16" s="35" t="n">
        <x:f>'CF Short-Term'!O16+'MK Short-Term'!O16</x:f>
        <x:v>37592687.77230655</x:v>
      </x:c>
      <x:c r="P16" s="35" t="n">
        <x:f>'CF Short-Term'!P16+'MK Short-Term'!P16</x:f>
        <x:v>37592687.77230655</x:v>
      </x:c>
      <x:c r="Q16" s="35" t="n">
        <x:f>'CF Short-Term'!Q16+'MK Short-Term'!Q16</x:f>
        <x:v>37592687.77230655</x:v>
      </x:c>
      <x:c r="R16" s="35" t="n">
        <x:f>'CF Short-Term'!R16+'MK Short-Term'!R16</x:f>
        <x:v>37592687.77230655</x:v>
      </x:c>
      <x:c r="S16" s="35" t="n">
        <x:f>'CF Short-Term'!S16+'MK Short-Term'!S16</x:f>
        <x:v>37592687.77230655</x:v>
      </x:c>
      <x:c r="T16" s="35" t="n">
        <x:f>'CF Short-Term'!T16+'MK Short-Term'!T16</x:f>
        <x:v>37592687.77230655</x:v>
      </x:c>
      <x:c r="U16" s="35" t="n">
        <x:f>'CF Short-Term'!U16+'MK Short-Term'!U16</x:f>
        <x:v>37592687.77230655</x:v>
      </x:c>
      <x:c r="V16" s="35" t="n">
        <x:f>'CF Short-Term'!V16+'MK Short-Term'!V16</x:f>
        <x:v>37592687.77230655</x:v>
      </x:c>
      <x:c r="W16" s="35" t="n">
        <x:f>'CF Short-Term'!W16+'MK Short-Term'!W16</x:f>
        <x:v>37592687.77230655</x:v>
      </x:c>
      <x:c r="X16" s="35" t="n">
        <x:f>'CF Short-Term'!X16+'MK Short-Term'!X16</x:f>
        <x:v>37592687.77230655</x:v>
      </x:c>
      <x:c r="Y16" s="35" t="n">
        <x:f>'CF Short-Term'!Y16+'MK Short-Term'!Y16</x:f>
        <x:v>37592687.77230655</x:v>
      </x:c>
      <x:c r="Z16" s="35" t="n">
        <x:f>'CF Short-Term'!Z16+'MK Short-Term'!Z16</x:f>
        <x:v>37592687.77230655</x:v>
      </x:c>
      <x:c r="AA16" s="35" t="n">
        <x:f>'CF Short-Term'!AA16+'MK Short-Term'!AA16</x:f>
        <x:v>37592687.77230655</x:v>
      </x:c>
      <x:c r="AB16" s="35" t="n">
        <x:f>'CF Short-Term'!AB16+'MK Short-Term'!AB16</x:f>
        <x:v>37592687.77230655</x:v>
      </x:c>
      <x:c r="AC16" s="35" t="n">
        <x:f>'CF Short-Term'!AC16+'MK Short-Term'!AC16</x:f>
        <x:v>37592687.77230655</x:v>
      </x:c>
      <x:c r="AD16" s="35" t="n">
        <x:f>'CF Short-Term'!AD16+'MK Short-Term'!AD16</x:f>
        <x:v>37592687.77230655</x:v>
      </x:c>
      <x:c r="AE16" s="35" t="n">
        <x:f>'CF Short-Term'!AE16+'MK Short-Term'!AE16</x:f>
        <x:v>37592687.77230655</x:v>
      </x:c>
      <x:c r="AF16" s="35" t="n">
        <x:f>'CF Short-Term'!AF16+'MK Short-Term'!AF16</x:f>
        <x:v>37592687.77230655</x:v>
      </x:c>
      <x:c r="AG16" s="35" t="n">
        <x:f>'CF Short-Term'!AG16+'MK Short-Term'!AG16</x:f>
        <x:v>37592687.77230655</x:v>
      </x:c>
      <x:c r="AH16" s="35" t="n">
        <x:f>'CF Short-Term'!AH16+'MK Short-Term'!AH16</x:f>
        <x:v>37592687.77230655</x:v>
      </x:c>
      <x:c r="AI16" s="35" t="n">
        <x:f>'CF Short-Term'!AI16+'MK Short-Term'!AI16</x:f>
        <x:v>37592687.77230655</x:v>
      </x:c>
      <x:c r="AJ16" s="35" t="n">
        <x:f>'CF Short-Term'!AJ16+'MK Short-Term'!AJ16</x:f>
        <x:v>37592687.77230655</x:v>
      </x:c>
      <x:c r="AK16" s="35" t="n">
        <x:f>'CF Short-Term'!AK16+'MK Short-Term'!AK16</x:f>
        <x:v>37592687.77230655</x:v>
      </x:c>
      <x:c r="AL16" s="35" t="n">
        <x:f>'CF Short-Term'!AL16+'MK Short-Term'!AL16</x:f>
        <x:v>37592687.77230655</x:v>
      </x:c>
      <x:c r="AM16" s="35" t="n">
        <x:f>'CF Short-Term'!AM16+'MK Short-Term'!AM16</x:f>
        <x:v>37592687.77230655</x:v>
      </x:c>
      <x:c r="AN16" s="35" t="n">
        <x:f>'CF Short-Term'!AN16+'MK Short-Term'!AN16</x:f>
        <x:v>37592687.77230655</x:v>
      </x:c>
      <x:c r="AO16" s="35" t="n">
        <x:f>'CF Short-Term'!AO16+'MK Short-Term'!AO16</x:f>
        <x:v>37592687.77230655</x:v>
      </x:c>
      <x:c r="AP16" s="35" t="n">
        <x:f>'CF Short-Term'!AP16+'MK Short-Term'!AP16</x:f>
        <x:v>37592687.77230655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57524621.9352545</x:v>
      </x:c>
      <x:c r="F18" s="2"/>
      <x:c r="G18" s="35" t="n">
        <x:f>'CF Short-Term'!G18+'MK Short-Term'!G18</x:f>
        <x:v>57524621.9352545</x:v>
      </x:c>
      <x:c r="H18" s="35" t="n">
        <x:f>'CF Short-Term'!H18+'MK Short-Term'!H18</x:f>
        <x:v>30433804.47167589</x:v>
      </x:c>
      <x:c r="I18" s="35" t="n">
        <x:f>'CF Short-Term'!I18+'MK Short-Term'!I18</x:f>
        <x:v>18575987.658328768</x:v>
      </x:c>
      <x:c r="J18" s="35" t="n">
        <x:f>'CF Short-Term'!J18+'MK Short-Term'!J18</x:f>
        <x:v>12841783.002704393</x:v>
      </x:c>
      <x:c r="K18" s="35" t="n">
        <x:f>'CF Short-Term'!K18+'MK Short-Term'!K18</x:f>
        <x:v>10020601.536211533</x:v>
      </x:c>
      <x:c r="L18" s="35" t="n">
        <x:f>'CF Short-Term'!L18+'MK Short-Term'!L18</x:f>
        <x:v>8656758.12270058</x:v>
      </x:c>
      <x:c r="M18" s="35" t="n">
        <x:f>'CF Short-Term'!M18+'MK Short-Term'!M18</x:f>
        <x:v>8033975.469552478</x:v>
      </x:c>
      <x:c r="N18" s="35" t="n">
        <x:f>'CF Short-Term'!N18+'MK Short-Term'!N18</x:f>
        <x:v>7736322.683372054</x:v>
      </x:c>
      <x:c r="O18" s="35" t="n">
        <x:f>'CF Short-Term'!O18+'MK Short-Term'!O18</x:f>
        <x:v>7610808.309150743</x:v>
      </x:c>
      <x:c r="P18" s="35" t="n">
        <x:f>'CF Short-Term'!P18+'MK Short-Term'!P18</x:f>
        <x:v>7574333.129339828</x:v>
      </x:c>
      <x:c r="Q18" s="35" t="n">
        <x:f>'CF Short-Term'!Q18+'MK Short-Term'!Q18</x:f>
        <x:v>7574333.129339828</x:v>
      </x:c>
      <x:c r="R18" s="35" t="n">
        <x:f>'CF Short-Term'!R18+'MK Short-Term'!R18</x:f>
        <x:v>7574333.129339828</x:v>
      </x:c>
      <x:c r="S18" s="35" t="n">
        <x:f>'CF Short-Term'!S18+'MK Short-Term'!S18</x:f>
        <x:v>7574333.129339828</x:v>
      </x:c>
      <x:c r="T18" s="35" t="n">
        <x:f>'CF Short-Term'!T18+'MK Short-Term'!T18</x:f>
        <x:v>7574333.129339828</x:v>
      </x:c>
      <x:c r="U18" s="35" t="n">
        <x:f>'CF Short-Term'!U18+'MK Short-Term'!U18</x:f>
        <x:v>7574333.129339828</x:v>
      </x:c>
      <x:c r="V18" s="35" t="n">
        <x:f>'CF Short-Term'!V18+'MK Short-Term'!V18</x:f>
        <x:v>7574333.129339828</x:v>
      </x:c>
      <x:c r="W18" s="35" t="n">
        <x:f>'CF Short-Term'!W18+'MK Short-Term'!W18</x:f>
        <x:v>7574333.129339828</x:v>
      </x:c>
      <x:c r="X18" s="35" t="n">
        <x:f>'CF Short-Term'!X18+'MK Short-Term'!X18</x:f>
        <x:v>7574333.129339828</x:v>
      </x:c>
      <x:c r="Y18" s="35" t="n">
        <x:f>'CF Short-Term'!Y18+'MK Short-Term'!Y18</x:f>
        <x:v>7574333.129339828</x:v>
      </x:c>
      <x:c r="Z18" s="35" t="n">
        <x:f>'CF Short-Term'!Z18+'MK Short-Term'!Z18</x:f>
        <x:v>7574333.129339828</x:v>
      </x:c>
      <x:c r="AA18" s="35" t="n">
        <x:f>'CF Short-Term'!AA18+'MK Short-Term'!AA18</x:f>
        <x:v>7574333.129339828</x:v>
      </x:c>
      <x:c r="AB18" s="35" t="n">
        <x:f>'CF Short-Term'!AB18+'MK Short-Term'!AB18</x:f>
        <x:v>7574333.129339828</x:v>
      </x:c>
      <x:c r="AC18" s="35" t="n">
        <x:f>'CF Short-Term'!AC18+'MK Short-Term'!AC18</x:f>
        <x:v>7574333.129339828</x:v>
      </x:c>
      <x:c r="AD18" s="35" t="n">
        <x:f>'CF Short-Term'!AD18+'MK Short-Term'!AD18</x:f>
        <x:v>7574333.129339828</x:v>
      </x:c>
      <x:c r="AE18" s="35" t="n">
        <x:f>'CF Short-Term'!AE18+'MK Short-Term'!AE18</x:f>
        <x:v>7574333.129339828</x:v>
      </x:c>
      <x:c r="AF18" s="35" t="n">
        <x:f>'CF Short-Term'!AF18+'MK Short-Term'!AF18</x:f>
        <x:v>7574333.129339828</x:v>
      </x:c>
      <x:c r="AG18" s="35" t="n">
        <x:f>'CF Short-Term'!AG18+'MK Short-Term'!AG18</x:f>
        <x:v>7574333.129339828</x:v>
      </x:c>
      <x:c r="AH18" s="35" t="n">
        <x:f>'CF Short-Term'!AH18+'MK Short-Term'!AH18</x:f>
        <x:v>7574333.129339828</x:v>
      </x:c>
      <x:c r="AI18" s="35" t="n">
        <x:f>'CF Short-Term'!AI18+'MK Short-Term'!AI18</x:f>
        <x:v>7574333.129339828</x:v>
      </x:c>
      <x:c r="AJ18" s="35" t="n">
        <x:f>'CF Short-Term'!AJ18+'MK Short-Term'!AJ18</x:f>
        <x:v>7574333.129339828</x:v>
      </x:c>
      <x:c r="AK18" s="35" t="n">
        <x:f>'CF Short-Term'!AK18+'MK Short-Term'!AK18</x:f>
        <x:v>7574333.129339828</x:v>
      </x:c>
      <x:c r="AL18" s="35" t="n">
        <x:f>'CF Short-Term'!AL18+'MK Short-Term'!AL18</x:f>
        <x:v>7574333.129339828</x:v>
      </x:c>
      <x:c r="AM18" s="35" t="n">
        <x:f>'CF Short-Term'!AM18+'MK Short-Term'!AM18</x:f>
        <x:v>7574333.129339828</x:v>
      </x:c>
      <x:c r="AN18" s="35" t="n">
        <x:f>'CF Short-Term'!AN18+'MK Short-Term'!AN18</x:f>
        <x:v>7574333.129339828</x:v>
      </x:c>
      <x:c r="AO18" s="35" t="n">
        <x:f>'CF Short-Term'!AO18+'MK Short-Term'!AO18</x:f>
        <x:v>7574333.129339828</x:v>
      </x:c>
      <x:c r="AP18" s="35" t="n">
        <x:f>'CF Short-Term'!AP18+'MK Short-Term'!AP18</x:f>
        <x:v>7574333.129339828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65793130.20077025</x:v>
      </x:c>
      <x:c r="F19" s="2"/>
      <x:c r="G19" s="35" t="n">
        <x:f>'CF Short-Term'!G19+'MK Short-Term'!G19</x:f>
        <x:v>2741380.4250320937</x:v>
      </x:c>
      <x:c r="H19" s="35" t="n">
        <x:f>'CF Short-Term'!H19+'MK Short-Term'!H19</x:f>
        <x:v>2741380.4250320937</x:v>
      </x:c>
      <x:c r="I19" s="35" t="n">
        <x:f>'CF Short-Term'!I19+'MK Short-Term'!I19</x:f>
        <x:v>2741380.4250320937</x:v>
      </x:c>
      <x:c r="J19" s="35" t="n">
        <x:f>'CF Short-Term'!J19+'MK Short-Term'!J19</x:f>
        <x:v>2741380.4250320937</x:v>
      </x:c>
      <x:c r="K19" s="35" t="n">
        <x:f>'CF Short-Term'!K19+'MK Short-Term'!K19</x:f>
        <x:v>2741380.4250320937</x:v>
      </x:c>
      <x:c r="L19" s="35" t="n">
        <x:f>'CF Short-Term'!L19+'MK Short-Term'!L19</x:f>
        <x:v>2741380.4250320937</x:v>
      </x:c>
      <x:c r="M19" s="35" t="n">
        <x:f>'CF Short-Term'!M19+'MK Short-Term'!M19</x:f>
        <x:v>2741380.4250320937</x:v>
      </x:c>
      <x:c r="N19" s="35" t="n">
        <x:f>'CF Short-Term'!N19+'MK Short-Term'!N19</x:f>
        <x:v>2741380.4250320937</x:v>
      </x:c>
      <x:c r="O19" s="35" t="n">
        <x:f>'CF Short-Term'!O19+'MK Short-Term'!O19</x:f>
        <x:v>2741380.4250320937</x:v>
      </x:c>
      <x:c r="P19" s="35" t="n">
        <x:f>'CF Short-Term'!P19+'MK Short-Term'!P19</x:f>
        <x:v>2741380.4250320937</x:v>
      </x:c>
      <x:c r="Q19" s="35" t="n">
        <x:f>'CF Short-Term'!Q19+'MK Short-Term'!Q19</x:f>
        <x:v>2741380.4250320937</x:v>
      </x:c>
      <x:c r="R19" s="35" t="n">
        <x:f>'CF Short-Term'!R19+'MK Short-Term'!R19</x:f>
        <x:v>2741380.4250320937</x:v>
      </x:c>
      <x:c r="S19" s="35" t="n">
        <x:f>'CF Short-Term'!S19+'MK Short-Term'!S19</x:f>
        <x:v>2741380.4250320937</x:v>
      </x:c>
      <x:c r="T19" s="35" t="n">
        <x:f>'CF Short-Term'!T19+'MK Short-Term'!T19</x:f>
        <x:v>2741380.4250320937</x:v>
      </x:c>
      <x:c r="U19" s="35" t="n">
        <x:f>'CF Short-Term'!U19+'MK Short-Term'!U19</x:f>
        <x:v>2741380.4250320937</x:v>
      </x:c>
      <x:c r="V19" s="35" t="n">
        <x:f>'CF Short-Term'!V19+'MK Short-Term'!V19</x:f>
        <x:v>2741380.4250320937</x:v>
      </x:c>
      <x:c r="W19" s="35" t="n">
        <x:f>'CF Short-Term'!W19+'MK Short-Term'!W19</x:f>
        <x:v>2741380.4250320937</x:v>
      </x:c>
      <x:c r="X19" s="35" t="n">
        <x:f>'CF Short-Term'!X19+'MK Short-Term'!X19</x:f>
        <x:v>2741380.4250320937</x:v>
      </x:c>
      <x:c r="Y19" s="35" t="n">
        <x:f>'CF Short-Term'!Y19+'MK Short-Term'!Y19</x:f>
        <x:v>2741380.4250320937</x:v>
      </x:c>
      <x:c r="Z19" s="35" t="n">
        <x:f>'CF Short-Term'!Z19+'MK Short-Term'!Z19</x:f>
        <x:v>2741380.4250320937</x:v>
      </x:c>
      <x:c r="AA19" s="35" t="n">
        <x:f>'CF Short-Term'!AA19+'MK Short-Term'!AA19</x:f>
        <x:v>2741380.4250320937</x:v>
      </x:c>
      <x:c r="AB19" s="35" t="n">
        <x:f>'CF Short-Term'!AB19+'MK Short-Term'!AB19</x:f>
        <x:v>2741380.4250320937</x:v>
      </x:c>
      <x:c r="AC19" s="35" t="n">
        <x:f>'CF Short-Term'!AC19+'MK Short-Term'!AC19</x:f>
        <x:v>2741380.4250320937</x:v>
      </x:c>
      <x:c r="AD19" s="35" t="n">
        <x:f>'CF Short-Term'!AD19+'MK Short-Term'!AD19</x:f>
        <x:v>2741380.4250320937</x:v>
      </x:c>
      <x:c r="AE19" s="35" t="n">
        <x:f>'CF Short-Term'!AE19+'MK Short-Term'!AE19</x:f>
        <x:v>2741380.4250320937</x:v>
      </x:c>
      <x:c r="AF19" s="35" t="n">
        <x:f>'CF Short-Term'!AF19+'MK Short-Term'!AF19</x:f>
        <x:v>2741380.4250320937</x:v>
      </x:c>
      <x:c r="AG19" s="35" t="n">
        <x:f>'CF Short-Term'!AG19+'MK Short-Term'!AG19</x:f>
        <x:v>2741380.4250320937</x:v>
      </x:c>
      <x:c r="AH19" s="35" t="n">
        <x:f>'CF Short-Term'!AH19+'MK Short-Term'!AH19</x:f>
        <x:v>2741380.4250320937</x:v>
      </x:c>
      <x:c r="AI19" s="35" t="n">
        <x:f>'CF Short-Term'!AI19+'MK Short-Term'!AI19</x:f>
        <x:v>2741380.4250320937</x:v>
      </x:c>
      <x:c r="AJ19" s="35" t="n">
        <x:f>'CF Short-Term'!AJ19+'MK Short-Term'!AJ19</x:f>
        <x:v>2741380.4250320937</x:v>
      </x:c>
      <x:c r="AK19" s="35" t="n">
        <x:f>'CF Short-Term'!AK19+'MK Short-Term'!AK19</x:f>
        <x:v>2741380.4250320937</x:v>
      </x:c>
      <x:c r="AL19" s="35" t="n">
        <x:f>'CF Short-Term'!AL19+'MK Short-Term'!AL19</x:f>
        <x:v>2741380.4250320937</x:v>
      </x:c>
      <x:c r="AM19" s="35" t="n">
        <x:f>'CF Short-Term'!AM19+'MK Short-Term'!AM19</x:f>
        <x:v>2741380.4250320937</x:v>
      </x:c>
      <x:c r="AN19" s="35" t="n">
        <x:f>'CF Short-Term'!AN19+'MK Short-Term'!AN19</x:f>
        <x:v>2741380.4250320937</x:v>
      </x:c>
      <x:c r="AO19" s="35" t="n">
        <x:f>'CF Short-Term'!AO19+'MK Short-Term'!AO19</x:f>
        <x:v>2741380.4250320937</x:v>
      </x:c>
      <x:c r="AP19" s="35" t="n">
        <x:f>'CF Short-Term'!AP19+'MK Short-Term'!AP19</x:f>
        <x:v>2741380.4250320937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2" t="str">
        <x:v>Ending reserve</x:v>
      </x:c>
      <x:c r="D20" s="2"/>
      <x:c r="E20" s="35" t="n">
        <x:f>INDEX(G20:AP20,1,'Assumptions'!$E$7)</x:f>
        <x:v>7574333.129339828</x:v>
      </x:c>
      <x:c r="F20" s="2"/>
      <x:c r="G20" s="35" t="n">
        <x:f>'CF Short-Term'!G20+'MK Short-Term'!G20</x:f>
        <x:v>30433804.47167589</x:v>
      </x:c>
      <x:c r="H20" s="35" t="n">
        <x:f>'CF Short-Term'!H20+'MK Short-Term'!H20</x:f>
        <x:v>18575987.658328768</x:v>
      </x:c>
      <x:c r="I20" s="35" t="n">
        <x:f>'CF Short-Term'!I20+'MK Short-Term'!I20</x:f>
        <x:v>12841783.002704393</x:v>
      </x:c>
      <x:c r="J20" s="35" t="n">
        <x:f>'CF Short-Term'!J20+'MK Short-Term'!J20</x:f>
        <x:v>10020601.536211533</x:v>
      </x:c>
      <x:c r="K20" s="35" t="n">
        <x:f>'CF Short-Term'!K20+'MK Short-Term'!K20</x:f>
        <x:v>8656758.12270058</x:v>
      </x:c>
      <x:c r="L20" s="35" t="n">
        <x:f>'CF Short-Term'!L20+'MK Short-Term'!L20</x:f>
        <x:v>8033975.469552478</x:v>
      </x:c>
      <x:c r="M20" s="35" t="n">
        <x:f>'CF Short-Term'!M20+'MK Short-Term'!M20</x:f>
        <x:v>7736322.683372054</x:v>
      </x:c>
      <x:c r="N20" s="35" t="n">
        <x:f>'CF Short-Term'!N20+'MK Short-Term'!N20</x:f>
        <x:v>7610808.309150743</x:v>
      </x:c>
      <x:c r="O20" s="35" t="n">
        <x:f>'CF Short-Term'!O20+'MK Short-Term'!O20</x:f>
        <x:v>7574333.129339828</x:v>
      </x:c>
      <x:c r="P20" s="35" t="n">
        <x:f>'CF Short-Term'!P20+'MK Short-Term'!P20</x:f>
        <x:v>7574333.129339828</x:v>
      </x:c>
      <x:c r="Q20" s="35" t="n">
        <x:f>'CF Short-Term'!Q20+'MK Short-Term'!Q20</x:f>
        <x:v>7574333.129339828</x:v>
      </x:c>
      <x:c r="R20" s="35" t="n">
        <x:f>'CF Short-Term'!R20+'MK Short-Term'!R20</x:f>
        <x:v>7574333.129339828</x:v>
      </x:c>
      <x:c r="S20" s="35" t="n">
        <x:f>'CF Short-Term'!S20+'MK Short-Term'!S20</x:f>
        <x:v>7574333.129339828</x:v>
      </x:c>
      <x:c r="T20" s="35" t="n">
        <x:f>'CF Short-Term'!T20+'MK Short-Term'!T20</x:f>
        <x:v>7574333.129339828</x:v>
      </x:c>
      <x:c r="U20" s="35" t="n">
        <x:f>'CF Short-Term'!U20+'MK Short-Term'!U20</x:f>
        <x:v>7574333.129339828</x:v>
      </x:c>
      <x:c r="V20" s="35" t="n">
        <x:f>'CF Short-Term'!V20+'MK Short-Term'!V20</x:f>
        <x:v>7574333.129339828</x:v>
      </x:c>
      <x:c r="W20" s="35" t="n">
        <x:f>'CF Short-Term'!W20+'MK Short-Term'!W20</x:f>
        <x:v>7574333.129339828</x:v>
      </x:c>
      <x:c r="X20" s="35" t="n">
        <x:f>'CF Short-Term'!X20+'MK Short-Term'!X20</x:f>
        <x:v>7574333.129339828</x:v>
      </x:c>
      <x:c r="Y20" s="35" t="n">
        <x:f>'CF Short-Term'!Y20+'MK Short-Term'!Y20</x:f>
        <x:v>7574333.129339828</x:v>
      </x:c>
      <x:c r="Z20" s="35" t="n">
        <x:f>'CF Short-Term'!Z20+'MK Short-Term'!Z20</x:f>
        <x:v>7574333.129339828</x:v>
      </x:c>
      <x:c r="AA20" s="35" t="n">
        <x:f>'CF Short-Term'!AA20+'MK Short-Term'!AA20</x:f>
        <x:v>7574333.129339828</x:v>
      </x:c>
      <x:c r="AB20" s="35" t="n">
        <x:f>'CF Short-Term'!AB20+'MK Short-Term'!AB20</x:f>
        <x:v>7574333.129339828</x:v>
      </x:c>
      <x:c r="AC20" s="35" t="n">
        <x:f>'CF Short-Term'!AC20+'MK Short-Term'!AC20</x:f>
        <x:v>7574333.129339828</x:v>
      </x:c>
      <x:c r="AD20" s="35" t="n">
        <x:f>'CF Short-Term'!AD20+'MK Short-Term'!AD20</x:f>
        <x:v>7574333.129339828</x:v>
      </x:c>
      <x:c r="AE20" s="35" t="n">
        <x:f>'CF Short-Term'!AE20+'MK Short-Term'!AE20</x:f>
        <x:v>7574333.129339828</x:v>
      </x:c>
      <x:c r="AF20" s="35" t="n">
        <x:f>'CF Short-Term'!AF20+'MK Short-Term'!AF20</x:f>
        <x:v>7574333.129339828</x:v>
      </x:c>
      <x:c r="AG20" s="35" t="n">
        <x:f>'CF Short-Term'!AG20+'MK Short-Term'!AG20</x:f>
        <x:v>7574333.129339828</x:v>
      </x:c>
      <x:c r="AH20" s="35" t="n">
        <x:f>'CF Short-Term'!AH20+'MK Short-Term'!AH20</x:f>
        <x:v>7574333.129339828</x:v>
      </x:c>
      <x:c r="AI20" s="35" t="n">
        <x:f>'CF Short-Term'!AI20+'MK Short-Term'!AI20</x:f>
        <x:v>7574333.129339828</x:v>
      </x:c>
      <x:c r="AJ20" s="35" t="n">
        <x:f>'CF Short-Term'!AJ20+'MK Short-Term'!AJ20</x:f>
        <x:v>7574333.129339828</x:v>
      </x:c>
      <x:c r="AK20" s="35" t="n">
        <x:f>'CF Short-Term'!AK20+'MK Short-Term'!AK20</x:f>
        <x:v>7574333.129339828</x:v>
      </x:c>
      <x:c r="AL20" s="35" t="n">
        <x:f>'CF Short-Term'!AL20+'MK Short-Term'!AL20</x:f>
        <x:v>7574333.129339828</x:v>
      </x:c>
      <x:c r="AM20" s="35" t="n">
        <x:f>'CF Short-Term'!AM20+'MK Short-Term'!AM20</x:f>
        <x:v>7574333.129339828</x:v>
      </x:c>
      <x:c r="AN20" s="35" t="n">
        <x:f>'CF Short-Term'!AN20+'MK Short-Term'!AN20</x:f>
        <x:v>7574333.129339828</x:v>
      </x:c>
      <x:c r="AO20" s="35" t="n">
        <x:f>'CF Short-Term'!AO20+'MK Short-Term'!AO20</x:f>
        <x:v>7574333.129339828</x:v>
      </x:c>
      <x:c r="AP20" s="35" t="n">
        <x:f>'CF Short-Term'!AP20+'MK Short-Term'!AP20</x:f>
        <x:v>7574333.129339828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2" t="str">
        <x:v>Net CLAB</x:v>
      </x:c>
      <x:c r="D21" s="2"/>
      <x:c r="E21" s="35" t="n">
        <x:f>INDEX(G21:AP21,1,'Assumptions'!$E$7)</x:f>
        <x:v>30018354.642966717</x:v>
      </x:c>
      <x:c r="F21" s="2"/>
      <x:c r="G21" s="35" t="n">
        <x:f>'CF Short-Term'!G21+'MK Short-Term'!G21</x:f>
        <x:v>110573446.51648304</x:v>
      </x:c>
      <x:c r="H21" s="35" t="n">
        <x:f>'CF Short-Term'!H21+'MK Short-Term'!H21</x:f>
        <x:v>70152891.36894335</x:v>
      </x:c>
      <x:c r="I21" s="35" t="n">
        <x:f>'CF Short-Term'!I21+'MK Short-Term'!I21</x:f>
        <x:v>49772384.26217046</x:v>
      </x:c>
      <x:c r="J21" s="35" t="n">
        <x:f>'CF Short-Term'!J21+'MK Short-Term'!J21</x:f>
        <x:v>39389698.322327316</x:v>
      </x:c>
      <x:c r="K21" s="35" t="n">
        <x:f>'CF Short-Term'!K21+'MK Short-Term'!K21</x:f>
        <x:v>34202486.21186807</x:v>
      </x:c>
      <x:c r="L21" s="35" t="n">
        <x:f>'CF Short-Term'!L21+'MK Short-Term'!L21</x:f>
        <x:v>31721721.282666706</x:v>
      </x:c>
      <x:c r="M21" s="35" t="n">
        <x:f>'CF Short-Term'!M21+'MK Short-Term'!M21</x:f>
        <x:v>30586853.981904045</x:v>
      </x:c>
      <x:c r="N21" s="35" t="n">
        <x:f>'CF Short-Term'!N21+'MK Short-Term'!N21</x:f>
        <x:v>30141682.592170894</x:v>
      </x:c>
      <x:c r="O21" s="35" t="n">
        <x:f>'CF Short-Term'!O21+'MK Short-Term'!O21</x:f>
        <x:v>30018354.642966717</x:v>
      </x:c>
      <x:c r="P21" s="35" t="n">
        <x:f>'CF Short-Term'!P21+'MK Short-Term'!P21</x:f>
        <x:v>30018354.642966717</x:v>
      </x:c>
      <x:c r="Q21" s="35" t="n">
        <x:f>'CF Short-Term'!Q21+'MK Short-Term'!Q21</x:f>
        <x:v>30018354.642966717</x:v>
      </x:c>
      <x:c r="R21" s="35" t="n">
        <x:f>'CF Short-Term'!R21+'MK Short-Term'!R21</x:f>
        <x:v>30018354.642966717</x:v>
      </x:c>
      <x:c r="S21" s="35" t="n">
        <x:f>'CF Short-Term'!S21+'MK Short-Term'!S21</x:f>
        <x:v>30018354.642966717</x:v>
      </x:c>
      <x:c r="T21" s="35" t="n">
        <x:f>'CF Short-Term'!T21+'MK Short-Term'!T21</x:f>
        <x:v>30018354.642966717</x:v>
      </x:c>
      <x:c r="U21" s="35" t="n">
        <x:f>'CF Short-Term'!U21+'MK Short-Term'!U21</x:f>
        <x:v>30018354.642966717</x:v>
      </x:c>
      <x:c r="V21" s="35" t="n">
        <x:f>'CF Short-Term'!V21+'MK Short-Term'!V21</x:f>
        <x:v>30018354.642966717</x:v>
      </x:c>
      <x:c r="W21" s="35" t="n">
        <x:f>'CF Short-Term'!W21+'MK Short-Term'!W21</x:f>
        <x:v>30018354.642966717</x:v>
      </x:c>
      <x:c r="X21" s="35" t="n">
        <x:f>'CF Short-Term'!X21+'MK Short-Term'!X21</x:f>
        <x:v>30018354.642966717</x:v>
      </x:c>
      <x:c r="Y21" s="35" t="n">
        <x:f>'CF Short-Term'!Y21+'MK Short-Term'!Y21</x:f>
        <x:v>30018354.642966717</x:v>
      </x:c>
      <x:c r="Z21" s="35" t="n">
        <x:f>'CF Short-Term'!Z21+'MK Short-Term'!Z21</x:f>
        <x:v>30018354.642966717</x:v>
      </x:c>
      <x:c r="AA21" s="35" t="n">
        <x:f>'CF Short-Term'!AA21+'MK Short-Term'!AA21</x:f>
        <x:v>30018354.642966717</x:v>
      </x:c>
      <x:c r="AB21" s="35" t="n">
        <x:f>'CF Short-Term'!AB21+'MK Short-Term'!AB21</x:f>
        <x:v>30018354.642966717</x:v>
      </x:c>
      <x:c r="AC21" s="35" t="n">
        <x:f>'CF Short-Term'!AC21+'MK Short-Term'!AC21</x:f>
        <x:v>30018354.642966717</x:v>
      </x:c>
      <x:c r="AD21" s="35" t="n">
        <x:f>'CF Short-Term'!AD21+'MK Short-Term'!AD21</x:f>
        <x:v>30018354.642966717</x:v>
      </x:c>
      <x:c r="AE21" s="35" t="n">
        <x:f>'CF Short-Term'!AE21+'MK Short-Term'!AE21</x:f>
        <x:v>30018354.642966717</x:v>
      </x:c>
      <x:c r="AF21" s="35" t="n">
        <x:f>'CF Short-Term'!AF21+'MK Short-Term'!AF21</x:f>
        <x:v>30018354.642966717</x:v>
      </x:c>
      <x:c r="AG21" s="35" t="n">
        <x:f>'CF Short-Term'!AG21+'MK Short-Term'!AG21</x:f>
        <x:v>30018354.642966717</x:v>
      </x:c>
      <x:c r="AH21" s="35" t="n">
        <x:f>'CF Short-Term'!AH21+'MK Short-Term'!AH21</x:f>
        <x:v>30018354.642966717</x:v>
      </x:c>
      <x:c r="AI21" s="35" t="n">
        <x:f>'CF Short-Term'!AI21+'MK Short-Term'!AI21</x:f>
        <x:v>30018354.642966717</x:v>
      </x:c>
      <x:c r="AJ21" s="35" t="n">
        <x:f>'CF Short-Term'!AJ21+'MK Short-Term'!AJ21</x:f>
        <x:v>30018354.642966717</x:v>
      </x:c>
      <x:c r="AK21" s="35" t="n">
        <x:f>'CF Short-Term'!AK21+'MK Short-Term'!AK21</x:f>
        <x:v>30018354.642966717</x:v>
      </x:c>
      <x:c r="AL21" s="35" t="n">
        <x:f>'CF Short-Term'!AL21+'MK Short-Term'!AL21</x:f>
        <x:v>30018354.642966717</x:v>
      </x:c>
      <x:c r="AM21" s="35" t="n">
        <x:f>'CF Short-Term'!AM21+'MK Short-Term'!AM21</x:f>
        <x:v>30018354.642966717</x:v>
      </x:c>
      <x:c r="AN21" s="35" t="n">
        <x:f>'CF Short-Term'!AN21+'MK Short-Term'!AN21</x:f>
        <x:v>30018354.642966717</x:v>
      </x:c>
      <x:c r="AO21" s="35" t="n">
        <x:f>'CF Short-Term'!AO21+'MK Short-Term'!AO21</x:f>
        <x:v>30018354.642966717</x:v>
      </x:c>
      <x:c r="AP21" s="35" t="n">
        <x:f>'CF Short-Term'!AP21+'MK Short-Term'!AP21</x:f>
        <x:v>30018354.642966717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12" t="n">
        <x:f>'CF Short-Term'!G23</x:f>
        <x:v>1</x:v>
      </x:c>
      <x:c r="H23" s="12" t="n">
        <x:f>'CF Short-Term'!H23</x:f>
        <x:v>1</x:v>
      </x:c>
      <x:c r="I23" s="12" t="n">
        <x:f>'CF Short-Term'!I23</x:f>
        <x:v>1</x:v>
      </x:c>
      <x:c r="J23" s="12" t="n">
        <x:f>'CF Short-Term'!J23</x:f>
        <x:v>1</x:v>
      </x:c>
      <x:c r="K23" s="12" t="n">
        <x:f>'CF Short-Term'!K23</x:f>
        <x:v>1</x:v>
      </x:c>
      <x:c r="L23" s="12" t="n">
        <x:f>'CF Short-Term'!L23</x:f>
        <x:v>1</x:v>
      </x:c>
      <x:c r="M23" s="12" t="n">
        <x:f>'CF Short-Term'!M23</x:f>
        <x:v>1</x:v>
      </x:c>
      <x:c r="N23" s="12" t="n">
        <x:f>'CF Short-Term'!N23</x:f>
        <x:v>1</x:v>
      </x:c>
      <x:c r="O23" s="12" t="n">
        <x:f>'CF Short-Term'!O23</x:f>
        <x:v>1</x:v>
      </x:c>
      <x:c r="P23" s="12" t="n">
        <x:f>'CF Short-Term'!P23</x:f>
        <x:v>1</x:v>
      </x:c>
      <x:c r="Q23" s="12" t="n">
        <x:f>'CF Short-Term'!Q23</x:f>
        <x:v>1</x:v>
      </x:c>
      <x:c r="R23" s="12" t="n">
        <x:f>'CF Short-Term'!R23</x:f>
        <x:v>1</x:v>
      </x:c>
      <x:c r="S23" s="12" t="n">
        <x:f>'CF Short-Term'!S23</x:f>
        <x:v>1</x:v>
      </x:c>
      <x:c r="T23" s="12" t="n">
        <x:f>'CF Short-Term'!T23</x:f>
        <x:v>1</x:v>
      </x:c>
      <x:c r="U23" s="12" t="n">
        <x:f>'CF Short-Term'!U23</x:f>
        <x:v>1</x:v>
      </x:c>
      <x:c r="V23" s="12" t="n">
        <x:f>'CF Short-Term'!V23</x:f>
        <x:v>1</x:v>
      </x:c>
      <x:c r="W23" s="12" t="n">
        <x:f>'CF Short-Term'!W23</x:f>
        <x:v>1</x:v>
      </x:c>
      <x:c r="X23" s="12" t="n">
        <x:f>'CF Short-Term'!X23</x:f>
        <x:v>1</x:v>
      </x:c>
      <x:c r="Y23" s="12" t="n">
        <x:f>'CF Short-Term'!Y23</x:f>
        <x:v>1</x:v>
      </x:c>
      <x:c r="Z23" s="12" t="n">
        <x:f>'CF Short-Term'!Z23</x:f>
        <x:v>1</x:v>
      </x:c>
      <x:c r="AA23" s="12" t="n">
        <x:f>'CF Short-Term'!AA23</x:f>
        <x:v>1</x:v>
      </x:c>
      <x:c r="AB23" s="12" t="n">
        <x:f>'CF Short-Term'!AB23</x:f>
        <x:v>1</x:v>
      </x:c>
      <x:c r="AC23" s="12" t="n">
        <x:f>'CF Short-Term'!AC23</x:f>
        <x:v>1</x:v>
      </x:c>
      <x:c r="AD23" s="12" t="n">
        <x:f>'CF Short-Term'!AD23</x:f>
        <x:v>1</x:v>
      </x:c>
      <x:c r="AE23" s="12" t="n">
        <x:f>'CF Short-Term'!AE23</x:f>
        <x:v>1</x:v>
      </x:c>
      <x:c r="AF23" s="12" t="n">
        <x:f>'CF Short-Term'!AF23</x:f>
        <x:v>1</x:v>
      </x:c>
      <x:c r="AG23" s="12" t="n">
        <x:f>'CF Short-Term'!AG23</x:f>
        <x:v>1</x:v>
      </x:c>
      <x:c r="AH23" s="12" t="n">
        <x:f>'CF Short-Term'!AH23</x:f>
        <x:v>1</x:v>
      </x:c>
      <x:c r="AI23" s="12" t="n">
        <x:f>'CF Short-Term'!AI23</x:f>
        <x:v>1</x:v>
      </x:c>
      <x:c r="AJ23" s="12" t="n">
        <x:f>'CF Short-Term'!AJ23</x:f>
        <x:v>1</x:v>
      </x:c>
      <x:c r="AK23" s="12" t="n">
        <x:f>'CF Short-Term'!AK23</x:f>
        <x:v>1</x:v>
      </x:c>
      <x:c r="AL23" s="12" t="n">
        <x:f>'CF Short-Term'!AL23</x:f>
        <x:v>1</x:v>
      </x:c>
      <x:c r="AM23" s="12" t="n">
        <x:f>'CF Short-Term'!AM23</x:f>
        <x:v>1</x:v>
      </x:c>
      <x:c r="AN23" s="12" t="n">
        <x:f>'CF Short-Term'!AN23</x:f>
        <x:v>1</x:v>
      </x:c>
      <x:c r="AO23" s="12" t="n">
        <x:f>'CF Short-Term'!AO23</x:f>
        <x:v>1</x:v>
      </x:c>
      <x:c r="AP23" s="12" t="n">
        <x:f>'CF Short-Term'!AP23</x:f>
        <x:v>1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2" t="str">
        <x:v>Revenue</x:v>
      </x:c>
      <x:c r="D24" s="2"/>
      <x:c r="E24" s="35" t="n">
        <x:f>SUMIFS(G24:AP24,$G$6:$AP$6,"&lt;="&amp;'Assumptions'!$E$7)</x:f>
        <x:v>100349841.94751199</x:v>
      </x:c>
      <x:c r="F24" s="2"/>
      <x:c r="G24" s="35" t="n">
        <x:f>'CF Short-Term'!G24+'MK Short-Term'!G24</x:f>
        <x:v>18813983.50928244</x:v>
      </x:c>
      <x:c r="H24" s="35" t="n">
        <x:f>'CF Short-Term'!H24+'MK Short-Term'!H24</x:f>
        <x:v>10534004.47914831</x:v>
      </x:c>
      <x:c r="I24" s="35" t="n">
        <x:f>'CF Short-Term'!I24+'MK Short-Term'!I24</x:f>
        <x:v>6687774.495551304</x:v>
      </x:c>
      <x:c r="J24" s="35" t="n">
        <x:f>'CF Short-Term'!J24+'MK Short-Term'!J24</x:f>
        <x:v>4754300.447779158</x:v>
      </x:c>
      <x:c r="K24" s="35" t="n">
        <x:f>'CF Short-Term'!K24+'MK Short-Term'!K24</x:f>
        <x:v>3775423.001666317</x:v>
      </x:c>
      <x:c r="L24" s="35" t="n">
        <x:f>'CF Short-Term'!L24+'MK Short-Term'!L24</x:f>
        <x:v>3291256.771365704</x:v>
      </x:c>
      <x:c r="M24" s="35" t="n">
        <x:f>'CF Short-Term'!M24+'MK Short-Term'!M24</x:f>
        <x:v>3059721.961750556</x:v>
      </x:c>
      <x:c r="N24" s="35" t="n">
        <x:f>'CF Short-Term'!N24+'MK Short-Term'!N24</x:f>
        <x:v>2954690.155501891</x:v>
      </x:c>
      <x:c r="O24" s="35" t="n">
        <x:f>'CF Short-Term'!O24+'MK Short-Term'!O24</x:f>
        <x:v>2914552.941373219</x:v>
      </x:c>
      <x:c r="P24" s="35" t="n">
        <x:f>'CF Short-Term'!P24+'MK Short-Term'!P24</x:f>
        <x:v>2904275.6122728707</x:v>
      </x:c>
      <x:c r="Q24" s="35" t="n">
        <x:f>'CF Short-Term'!Q24+'MK Short-Term'!Q24</x:f>
        <x:v>2904275.612272871</x:v>
      </x:c>
      <x:c r="R24" s="35" t="n">
        <x:f>'CF Short-Term'!R24+'MK Short-Term'!R24</x:f>
        <x:v>2904275.612272871</x:v>
      </x:c>
      <x:c r="S24" s="35" t="n">
        <x:f>'CF Short-Term'!S24+'MK Short-Term'!S24</x:f>
        <x:v>2904275.612272871</x:v>
      </x:c>
      <x:c r="T24" s="35" t="n">
        <x:f>'CF Short-Term'!T24+'MK Short-Term'!T24</x:f>
        <x:v>2904275.612272871</x:v>
      </x:c>
      <x:c r="U24" s="35" t="n">
        <x:f>'CF Short-Term'!U24+'MK Short-Term'!U24</x:f>
        <x:v>2904275.612272871</x:v>
      </x:c>
      <x:c r="V24" s="35" t="n">
        <x:f>'CF Short-Term'!V24+'MK Short-Term'!V24</x:f>
        <x:v>2904275.612272871</x:v>
      </x:c>
      <x:c r="W24" s="35" t="n">
        <x:f>'CF Short-Term'!W24+'MK Short-Term'!W24</x:f>
        <x:v>2904275.612272871</x:v>
      </x:c>
      <x:c r="X24" s="35" t="n">
        <x:f>'CF Short-Term'!X24+'MK Short-Term'!X24</x:f>
        <x:v>2904275.612272871</x:v>
      </x:c>
      <x:c r="Y24" s="35" t="n">
        <x:f>'CF Short-Term'!Y24+'MK Short-Term'!Y24</x:f>
        <x:v>2904275.612272871</x:v>
      </x:c>
      <x:c r="Z24" s="35" t="n">
        <x:f>'CF Short-Term'!Z24+'MK Short-Term'!Z24</x:f>
        <x:v>2904275.612272871</x:v>
      </x:c>
      <x:c r="AA24" s="35" t="n">
        <x:f>'CF Short-Term'!AA24+'MK Short-Term'!AA24</x:f>
        <x:v>2904275.612272871</x:v>
      </x:c>
      <x:c r="AB24" s="35" t="n">
        <x:f>'CF Short-Term'!AB24+'MK Short-Term'!AB24</x:f>
        <x:v>2904275.612272871</x:v>
      </x:c>
      <x:c r="AC24" s="35" t="n">
        <x:f>'CF Short-Term'!AC24+'MK Short-Term'!AC24</x:f>
        <x:v>2904275.612272871</x:v>
      </x:c>
      <x:c r="AD24" s="35" t="n">
        <x:f>'CF Short-Term'!AD24+'MK Short-Term'!AD24</x:f>
        <x:v>2904275.612272871</x:v>
      </x:c>
      <x:c r="AE24" s="35" t="n">
        <x:f>'CF Short-Term'!AE24+'MK Short-Term'!AE24</x:f>
        <x:v>2904275.612272871</x:v>
      </x:c>
      <x:c r="AF24" s="35" t="n">
        <x:f>'CF Short-Term'!AF24+'MK Short-Term'!AF24</x:f>
        <x:v>2904275.612272871</x:v>
      </x:c>
      <x:c r="AG24" s="35" t="n">
        <x:f>'CF Short-Term'!AG24+'MK Short-Term'!AG24</x:f>
        <x:v>2904275.612272871</x:v>
      </x:c>
      <x:c r="AH24" s="35" t="n">
        <x:f>'CF Short-Term'!AH24+'MK Short-Term'!AH24</x:f>
        <x:v>2904275.612272871</x:v>
      </x:c>
      <x:c r="AI24" s="35" t="n">
        <x:f>'CF Short-Term'!AI24+'MK Short-Term'!AI24</x:f>
        <x:v>2904275.612272871</x:v>
      </x:c>
      <x:c r="AJ24" s="35" t="n">
        <x:f>'CF Short-Term'!AJ24+'MK Short-Term'!AJ24</x:f>
        <x:v>2904275.612272871</x:v>
      </x:c>
      <x:c r="AK24" s="35" t="n">
        <x:f>'CF Short-Term'!AK24+'MK Short-Term'!AK24</x:f>
        <x:v>2904275.612272871</x:v>
      </x:c>
      <x:c r="AL24" s="35" t="n">
        <x:f>'CF Short-Term'!AL24+'MK Short-Term'!AL24</x:f>
        <x:v>2904275.612272871</x:v>
      </x:c>
      <x:c r="AM24" s="35" t="n">
        <x:f>'CF Short-Term'!AM24+'MK Short-Term'!AM24</x:f>
        <x:v>2904275.612272871</x:v>
      </x:c>
      <x:c r="AN24" s="35" t="n">
        <x:f>'CF Short-Term'!AN24+'MK Short-Term'!AN24</x:f>
        <x:v>2904275.612272871</x:v>
      </x:c>
      <x:c r="AO24" s="35" t="n">
        <x:f>'CF Short-Term'!AO24+'MK Short-Term'!AO24</x:f>
        <x:v>2904275.612272871</x:v>
      </x:c>
      <x:c r="AP24" s="35" t="n">
        <x:f>'CF Short-Term'!AP24+'MK Short-Term'!AP24</x:f>
        <x:v>2904275.612272871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2" t="str">
        <x:v>Net revenue</x:v>
      </x:c>
      <x:c r="D25" s="2"/>
      <x:c r="E25" s="35" t="n">
        <x:f>SUMIFS(G25:AP25,$G$6:$AP$6,"&lt;="&amp;'Assumptions'!$E$7)</x:f>
        <x:v>34556711.74674172</x:v>
      </x:c>
      <x:c r="F25" s="2"/>
      <x:c r="G25" s="35" t="n">
        <x:f>'CF Short-Term'!G25+'MK Short-Term'!G25</x:f>
        <x:v>16072603.084250348</x:v>
      </x:c>
      <x:c r="H25" s="35" t="n">
        <x:f>'CF Short-Term'!H25+'MK Short-Term'!H25</x:f>
        <x:v>7792624.0541162165</x:v>
      </x:c>
      <x:c r="I25" s="35" t="n">
        <x:f>'CF Short-Term'!I25+'MK Short-Term'!I25</x:f>
        <x:v>3946394.07051921</x:v>
      </x:c>
      <x:c r="J25" s="35" t="n">
        <x:f>'CF Short-Term'!J25+'MK Short-Term'!J25</x:f>
        <x:v>2012920.0227470647</x:v>
      </x:c>
      <x:c r="K25" s="35" t="n">
        <x:f>'CF Short-Term'!K25+'MK Short-Term'!K25</x:f>
        <x:v>1034042.5766342233</x:v>
      </x:c>
      <x:c r="L25" s="35" t="n">
        <x:f>'CF Short-Term'!L25+'MK Short-Term'!L25</x:f>
        <x:v>549876.3463336102</x:v>
      </x:c>
      <x:c r="M25" s="35" t="n">
        <x:f>'CF Short-Term'!M25+'MK Short-Term'!M25</x:f>
        <x:v>318341.536718462</x:v>
      </x:c>
      <x:c r="N25" s="35" t="n">
        <x:f>'CF Short-Term'!N25+'MK Short-Term'!N25</x:f>
        <x:v>213309.73046979716</x:v>
      </x:c>
      <x:c r="O25" s="35" t="n">
        <x:f>'CF Short-Term'!O25+'MK Short-Term'!O25</x:f>
        <x:v>173172.516341125</x:v>
      </x:c>
      <x:c r="P25" s="35" t="n">
        <x:f>'CF Short-Term'!P25+'MK Short-Term'!P25</x:f>
        <x:v>162895.18724077696</x:v>
      </x:c>
      <x:c r="Q25" s="35" t="n">
        <x:f>'CF Short-Term'!Q25+'MK Short-Term'!Q25</x:f>
        <x:v>162895.18724077742</x:v>
      </x:c>
      <x:c r="R25" s="35" t="n">
        <x:f>'CF Short-Term'!R25+'MK Short-Term'!R25</x:f>
        <x:v>162895.18724077742</x:v>
      </x:c>
      <x:c r="S25" s="35" t="n">
        <x:f>'CF Short-Term'!S25+'MK Short-Term'!S25</x:f>
        <x:v>162895.18724077742</x:v>
      </x:c>
      <x:c r="T25" s="35" t="n">
        <x:f>'CF Short-Term'!T25+'MK Short-Term'!T25</x:f>
        <x:v>162895.18724077742</x:v>
      </x:c>
      <x:c r="U25" s="35" t="n">
        <x:f>'CF Short-Term'!U25+'MK Short-Term'!U25</x:f>
        <x:v>162895.18724077742</x:v>
      </x:c>
      <x:c r="V25" s="35" t="n">
        <x:f>'CF Short-Term'!V25+'MK Short-Term'!V25</x:f>
        <x:v>162895.18724077742</x:v>
      </x:c>
      <x:c r="W25" s="35" t="n">
        <x:f>'CF Short-Term'!W25+'MK Short-Term'!W25</x:f>
        <x:v>162895.18724077742</x:v>
      </x:c>
      <x:c r="X25" s="35" t="n">
        <x:f>'CF Short-Term'!X25+'MK Short-Term'!X25</x:f>
        <x:v>162895.18724077742</x:v>
      </x:c>
      <x:c r="Y25" s="35" t="n">
        <x:f>'CF Short-Term'!Y25+'MK Short-Term'!Y25</x:f>
        <x:v>162895.18724077742</x:v>
      </x:c>
      <x:c r="Z25" s="35" t="n">
        <x:f>'CF Short-Term'!Z25+'MK Short-Term'!Z25</x:f>
        <x:v>162895.18724077742</x:v>
      </x:c>
      <x:c r="AA25" s="35" t="n">
        <x:f>'CF Short-Term'!AA25+'MK Short-Term'!AA25</x:f>
        <x:v>162895.18724077742</x:v>
      </x:c>
      <x:c r="AB25" s="35" t="n">
        <x:f>'CF Short-Term'!AB25+'MK Short-Term'!AB25</x:f>
        <x:v>162895.18724077742</x:v>
      </x:c>
      <x:c r="AC25" s="35" t="n">
        <x:f>'CF Short-Term'!AC25+'MK Short-Term'!AC25</x:f>
        <x:v>162895.18724077742</x:v>
      </x:c>
      <x:c r="AD25" s="35" t="n">
        <x:f>'CF Short-Term'!AD25+'MK Short-Term'!AD25</x:f>
        <x:v>162895.18724077742</x:v>
      </x:c>
      <x:c r="AE25" s="35" t="n">
        <x:f>'CF Short-Term'!AE25+'MK Short-Term'!AE25</x:f>
        <x:v>162895.18724077742</x:v>
      </x:c>
      <x:c r="AF25" s="35" t="n">
        <x:f>'CF Short-Term'!AF25+'MK Short-Term'!AF25</x:f>
        <x:v>162895.18724077742</x:v>
      </x:c>
      <x:c r="AG25" s="35" t="n">
        <x:f>'CF Short-Term'!AG25+'MK Short-Term'!AG25</x:f>
        <x:v>162895.18724077742</x:v>
      </x:c>
      <x:c r="AH25" s="35" t="n">
        <x:f>'CF Short-Term'!AH25+'MK Short-Term'!AH25</x:f>
        <x:v>162895.18724077742</x:v>
      </x:c>
      <x:c r="AI25" s="35" t="n">
        <x:f>'CF Short-Term'!AI25+'MK Short-Term'!AI25</x:f>
        <x:v>162895.18724077742</x:v>
      </x:c>
      <x:c r="AJ25" s="35" t="n">
        <x:f>'CF Short-Term'!AJ25+'MK Short-Term'!AJ25</x:f>
        <x:v>162895.18724077742</x:v>
      </x:c>
      <x:c r="AK25" s="35" t="n">
        <x:f>'CF Short-Term'!AK25+'MK Short-Term'!AK25</x:f>
        <x:v>162895.18724077742</x:v>
      </x:c>
      <x:c r="AL25" s="35" t="n">
        <x:f>'CF Short-Term'!AL25+'MK Short-Term'!AL25</x:f>
        <x:v>162895.18724077742</x:v>
      </x:c>
      <x:c r="AM25" s="35" t="n">
        <x:f>'CF Short-Term'!AM25+'MK Short-Term'!AM25</x:f>
        <x:v>162895.18724077742</x:v>
      </x:c>
      <x:c r="AN25" s="35" t="n">
        <x:f>'CF Short-Term'!AN25+'MK Short-Term'!AN25</x:f>
        <x:v>162895.18724077742</x:v>
      </x:c>
      <x:c r="AO25" s="35" t="n">
        <x:f>'CF Short-Term'!AO25+'MK Short-Term'!AO25</x:f>
        <x:v>162895.18724077742</x:v>
      </x:c>
      <x:c r="AP25" s="35" t="n">
        <x:f>'CF Short-Term'!AP25+'MK Short-Term'!AP25</x:f>
        <x:v>162895.18724077742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57524621.93525449</x:v>
      </x:c>
      <x:c r="F27" s="2"/>
      <x:c r="G27" s="35" t="n">
        <x:f>'CF Short-Term'!G27+'MK Short-Term'!G27</x:f>
        <x:v>29832197.8886107</x:v>
      </x:c>
      <x:c r="H27" s="35" t="n">
        <x:f>'CF Short-Term'!H27+'MK Short-Term'!H27</x:f>
        <x:v>13691694.552384693</x:v>
      </x:c>
      <x:c r="I27" s="35" t="n">
        <x:f>'CF Short-Term'!I27+'MK Short-Term'!I27</x:f>
        <x:v>6935684.815229347</x:v>
      </x:c>
      <x:c r="J27" s="35" t="n">
        <x:f>'CF Short-Term'!J27+'MK Short-Term'!J27</x:f>
        <x:v>3596677.535101082</x:v>
      </x:c>
      <x:c r="K27" s="35" t="n">
        <x:f>'CF Short-Term'!K27+'MK Short-Term'!K27</x:f>
        <x:v>1841187.2821580106</x:v>
      </x:c>
      <x:c r="L27" s="35" t="n">
        <x:f>'CF Short-Term'!L27+'MK Short-Term'!L27</x:f>
        <x:v>888411.2387213482</x:v>
      </x:c>
      <x:c r="M27" s="35" t="n">
        <x:f>'CF Short-Term'!M27+'MK Short-Term'!M27</x:f>
        <x:v>456644.0925386682</x:v>
      </x:c>
      <x:c r="N27" s="35" t="n">
        <x:f>'CF Short-Term'!N27+'MK Short-Term'!N27</x:f>
        <x:v>212601.36899185297</x:v>
      </x:c>
      <x:c r="O27" s="35" t="n">
        <x:f>'CF Short-Term'!O27+'MK Short-Term'!O27</x:f>
        <x:v>69523.16151879089</x:v>
      </x:c>
      <x:c r="P27" s="35" t="n">
        <x:f>'CF Short-Term'!P27+'MK Short-Term'!P27</x:f>
        <x:v>0</x:v>
      </x:c>
      <x:c r="Q27" s="35" t="n">
        <x:f>'CF Short-Term'!Q27+'MK Short-Term'!Q27</x:f>
        <x:v>0</x:v>
      </x:c>
      <x:c r="R27" s="35" t="n">
        <x:f>'CF Short-Term'!R27+'MK Short-Term'!R27</x:f>
        <x:v>0</x:v>
      </x:c>
      <x:c r="S27" s="35" t="n">
        <x:f>'CF Short-Term'!S27+'MK Short-Term'!S27</x:f>
        <x:v>0</x:v>
      </x:c>
      <x:c r="T27" s="35" t="n">
        <x:f>'CF Short-Term'!T27+'MK Short-Term'!T27</x:f>
        <x:v>0</x:v>
      </x:c>
      <x:c r="U27" s="35" t="n">
        <x:f>'CF Short-Term'!U27+'MK Short-Term'!U27</x:f>
        <x:v>0</x:v>
      </x:c>
      <x:c r="V27" s="35" t="n">
        <x:f>'CF Short-Term'!V27+'MK Short-Term'!V27</x:f>
        <x:v>0</x:v>
      </x:c>
      <x:c r="W27" s="35" t="n">
        <x:f>'CF Short-Term'!W27+'MK Short-Term'!W27</x:f>
        <x:v>0</x:v>
      </x:c>
      <x:c r="X27" s="35" t="n">
        <x:f>'CF Short-Term'!X27+'MK Short-Term'!X27</x:f>
        <x:v>0</x:v>
      </x:c>
      <x:c r="Y27" s="35" t="n">
        <x:f>'CF Short-Term'!Y27+'MK Short-Term'!Y27</x:f>
        <x:v>0</x:v>
      </x:c>
      <x:c r="Z27" s="35" t="n">
        <x:f>'CF Short-Term'!Z27+'MK Short-Term'!Z27</x:f>
        <x:v>0</x:v>
      </x:c>
      <x:c r="AA27" s="35" t="n">
        <x:f>'CF Short-Term'!AA27+'MK Short-Term'!AA27</x:f>
        <x:v>0</x:v>
      </x:c>
      <x:c r="AB27" s="35" t="n">
        <x:f>'CF Short-Term'!AB27+'MK Short-Term'!AB27</x:f>
        <x:v>0</x:v>
      </x:c>
      <x:c r="AC27" s="35" t="n">
        <x:f>'CF Short-Term'!AC27+'MK Short-Term'!AC27</x:f>
        <x:v>0</x:v>
      </x:c>
      <x:c r="AD27" s="35" t="n">
        <x:f>'CF Short-Term'!AD27+'MK Short-Term'!AD27</x:f>
        <x:v>0</x:v>
      </x:c>
      <x:c r="AE27" s="35" t="n">
        <x:f>'CF Short-Term'!AE27+'MK Short-Term'!AE27</x:f>
        <x:v>0</x:v>
      </x:c>
      <x:c r="AF27" s="35" t="n">
        <x:f>'CF Short-Term'!AF27+'MK Short-Term'!AF27</x:f>
        <x:v>0</x:v>
      </x:c>
      <x:c r="AG27" s="35" t="n">
        <x:f>'CF Short-Term'!AG27+'MK Short-Term'!AG27</x:f>
        <x:v>0</x:v>
      </x:c>
      <x:c r="AH27" s="35" t="n">
        <x:f>'CF Short-Term'!AH27+'MK Short-Term'!AH27</x:f>
        <x:v>0</x:v>
      </x:c>
      <x:c r="AI27" s="35" t="n">
        <x:f>'CF Short-Term'!AI27+'MK Short-Term'!AI27</x:f>
        <x:v>0</x:v>
      </x:c>
      <x:c r="AJ27" s="35" t="n">
        <x:f>'CF Short-Term'!AJ27+'MK Short-Term'!AJ27</x:f>
        <x:v>0</x:v>
      </x:c>
      <x:c r="AK27" s="35" t="n">
        <x:f>'CF Short-Term'!AK27+'MK Short-Term'!AK27</x:f>
        <x:v>0</x:v>
      </x:c>
      <x:c r="AL27" s="35" t="n">
        <x:f>'CF Short-Term'!AL27+'MK Short-Term'!AL27</x:f>
        <x:v>0</x:v>
      </x:c>
      <x:c r="AM27" s="35" t="n">
        <x:f>'CF Short-Term'!AM27+'MK Short-Term'!AM27</x:f>
        <x:v>0</x:v>
      </x:c>
      <x:c r="AN27" s="35" t="n">
        <x:f>'CF Short-Term'!AN27+'MK Short-Term'!AN27</x:f>
        <x:v>0</x:v>
      </x:c>
      <x:c r="AO27" s="35" t="n">
        <x:f>'CF Short-Term'!AO27+'MK Short-Term'!AO27</x:f>
        <x:v>0</x:v>
      </x:c>
      <x:c r="AP27" s="35" t="n">
        <x:f>'CF Short-Term'!AP27+'MK Short-Term'!AP27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58218797.07143043</x:v>
      </x:c>
      <x:c r="F28" s="2"/>
      <x:c r="G28" s="35" t="n">
        <x:f>'CF Short-Term'!G28+'MK Short-Term'!G28</x:f>
        <x:v>0</x:v>
      </x:c>
      <x:c r="H28" s="35" t="n">
        <x:f>'CF Short-Term'!H28+'MK Short-Term'!H28</x:f>
        <x:v>907502.685994524</x:v>
      </x:c>
      <x:c r="I28" s="35" t="n">
        <x:f>'CF Short-Term'!I28+'MK Short-Term'!I28</x:f>
        <x:v>1539900.2654271233</x:v>
      </x:c>
      <x:c r="J28" s="35" t="n">
        <x:f>'CF Short-Term'!J28+'MK Short-Term'!J28</x:f>
        <x:v>1965884.3564238716</x:v>
      </x:c>
      <x:c r="K28" s="35" t="n">
        <x:f>'CF Short-Term'!K28+'MK Short-Term'!K28</x:f>
        <x:v>2264036.5563850375</x:v>
      </x:c>
      <x:c r="L28" s="35" t="n">
        <x:f>'CF Short-Term'!L28+'MK Short-Term'!L28</x:f>
        <x:v>2475751.8394588483</x:v>
      </x:c>
      <x:c r="M28" s="35" t="n">
        <x:f>'CF Short-Term'!M28+'MK Short-Term'!M28</x:f>
        <x:v>2582389.1186738485</x:v>
      </x:c>
      <x:c r="N28" s="35" t="n">
        <x:f>'CF Short-Term'!N28+'MK Short-Term'!N28</x:f>
        <x:v>2654293.4302615514</x:v>
      </x:c>
      <x:c r="O28" s="35" t="n">
        <x:f>'CF Short-Term'!O28+'MK Short-Term'!O28</x:f>
        <x:v>2708332.443324218</x:v>
      </x:c>
      <x:c r="P28" s="35" t="n">
        <x:f>'CF Short-Term'!P28+'MK Short-Term'!P28</x:f>
        <x:v>2741380.425032094</x:v>
      </x:c>
      <x:c r="Q28" s="35" t="n">
        <x:f>'CF Short-Term'!Q28+'MK Short-Term'!Q28</x:f>
        <x:v>2741380.425032094</x:v>
      </x:c>
      <x:c r="R28" s="35" t="n">
        <x:f>'CF Short-Term'!R28+'MK Short-Term'!R28</x:f>
        <x:v>2741380.425032094</x:v>
      </x:c>
      <x:c r="S28" s="35" t="n">
        <x:f>'CF Short-Term'!S28+'MK Short-Term'!S28</x:f>
        <x:v>2741380.425032094</x:v>
      </x:c>
      <x:c r="T28" s="35" t="n">
        <x:f>'CF Short-Term'!T28+'MK Short-Term'!T28</x:f>
        <x:v>2741380.425032094</x:v>
      </x:c>
      <x:c r="U28" s="35" t="n">
        <x:f>'CF Short-Term'!U28+'MK Short-Term'!U28</x:f>
        <x:v>2741380.425032094</x:v>
      </x:c>
      <x:c r="V28" s="35" t="n">
        <x:f>'CF Short-Term'!V28+'MK Short-Term'!V28</x:f>
        <x:v>2741380.425032094</x:v>
      </x:c>
      <x:c r="W28" s="35" t="n">
        <x:f>'CF Short-Term'!W28+'MK Short-Term'!W28</x:f>
        <x:v>2741380.425032094</x:v>
      </x:c>
      <x:c r="X28" s="35" t="n">
        <x:f>'CF Short-Term'!X28+'MK Short-Term'!X28</x:f>
        <x:v>2741380.425032094</x:v>
      </x:c>
      <x:c r="Y28" s="35" t="n">
        <x:f>'CF Short-Term'!Y28+'MK Short-Term'!Y28</x:f>
        <x:v>2741380.425032094</x:v>
      </x:c>
      <x:c r="Z28" s="35" t="n">
        <x:f>'CF Short-Term'!Z28+'MK Short-Term'!Z28</x:f>
        <x:v>2741380.425032094</x:v>
      </x:c>
      <x:c r="AA28" s="35" t="n">
        <x:f>'CF Short-Term'!AA28+'MK Short-Term'!AA28</x:f>
        <x:v>2741380.425032094</x:v>
      </x:c>
      <x:c r="AB28" s="35" t="n">
        <x:f>'CF Short-Term'!AB28+'MK Short-Term'!AB28</x:f>
        <x:v>2741380.425032094</x:v>
      </x:c>
      <x:c r="AC28" s="35" t="n">
        <x:f>'CF Short-Term'!AC28+'MK Short-Term'!AC28</x:f>
        <x:v>2741380.425032094</x:v>
      </x:c>
      <x:c r="AD28" s="35" t="n">
        <x:f>'CF Short-Term'!AD28+'MK Short-Term'!AD28</x:f>
        <x:v>2741380.425032094</x:v>
      </x:c>
      <x:c r="AE28" s="35" t="n">
        <x:f>'CF Short-Term'!AE28+'MK Short-Term'!AE28</x:f>
        <x:v>2741380.425032094</x:v>
      </x:c>
      <x:c r="AF28" s="35" t="n">
        <x:f>'CF Short-Term'!AF28+'MK Short-Term'!AF28</x:f>
        <x:v>2741380.425032094</x:v>
      </x:c>
      <x:c r="AG28" s="35" t="n">
        <x:f>'CF Short-Term'!AG28+'MK Short-Term'!AG28</x:f>
        <x:v>2741380.425032094</x:v>
      </x:c>
      <x:c r="AH28" s="35" t="n">
        <x:f>'CF Short-Term'!AH28+'MK Short-Term'!AH28</x:f>
        <x:v>2741380.425032094</x:v>
      </x:c>
      <x:c r="AI28" s="35" t="n">
        <x:f>'CF Short-Term'!AI28+'MK Short-Term'!AI28</x:f>
        <x:v>2741380.425032094</x:v>
      </x:c>
      <x:c r="AJ28" s="35" t="n">
        <x:f>'CF Short-Term'!AJ28+'MK Short-Term'!AJ28</x:f>
        <x:v>2741380.425032094</x:v>
      </x:c>
      <x:c r="AK28" s="35" t="n">
        <x:f>'CF Short-Term'!AK28+'MK Short-Term'!AK28</x:f>
        <x:v>2741380.425032094</x:v>
      </x:c>
      <x:c r="AL28" s="35" t="n">
        <x:f>'CF Short-Term'!AL28+'MK Short-Term'!AL28</x:f>
        <x:v>2741380.425032094</x:v>
      </x:c>
      <x:c r="AM28" s="35" t="n">
        <x:f>'CF Short-Term'!AM28+'MK Short-Term'!AM28</x:f>
        <x:v>2741380.425032094</x:v>
      </x:c>
      <x:c r="AN28" s="35" t="n">
        <x:f>'CF Short-Term'!AN28+'MK Short-Term'!AN28</x:f>
        <x:v>2741380.425032094</x:v>
      </x:c>
      <x:c r="AO28" s="35" t="n">
        <x:f>'CF Short-Term'!AO28+'MK Short-Term'!AO28</x:f>
        <x:v>2741380.425032094</x:v>
      </x:c>
      <x:c r="AP28" s="35" t="n">
        <x:f>'CF Short-Term'!AP28+'MK Short-Term'!AP28</x:f>
        <x:v>2741380.425032094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198075378.06474558</x:v>
      </x:c>
      <x:c r="F29" s="2"/>
      <x:c r="G29" s="35" t="n">
        <x:f>'CF Short-Term'!G29+'MK Short-Term'!G29</x:f>
        <x:v>98260551.12323037</x:v>
      </x:c>
      <x:c r="H29" s="35" t="n">
        <x:f>'CF Short-Term'!H29+'MK Short-Term'!H29</x:f>
        <x:v>47665718.50653136</x:v>
      </x:c>
      <x:c r="I29" s="35" t="n">
        <x:f>'CF Short-Term'!I29+'MK Short-Term'!I29</x:f>
        <x:v>25183056.319056</x:v>
      </x:c>
      <x:c r="J29" s="35" t="n">
        <x:f>'CF Short-Term'!J29+'MK Short-Term'!J29</x:f>
        <x:v>13477341.85657571</x:v>
      </x:c>
      <x:c r="K29" s="35" t="n">
        <x:f>'CF Short-Term'!K29+'MK Short-Term'!K29</x:f>
        <x:v>7107486.009169851</x:v>
      </x:c>
      <x:c r="L29" s="35" t="n">
        <x:f>'CF Short-Term'!L29+'MK Short-Term'!L29</x:f>
        <x:v>3614045.591682584</x:v>
      </x:c>
      <x:c r="M29" s="35" t="n">
        <x:f>'CF Short-Term'!M29+'MK Short-Term'!M29</x:f>
        <x:v>1773649.7774076082</x:v>
      </x:c>
      <x:c r="N29" s="35" t="n">
        <x:f>'CF Short-Term'!N29+'MK Short-Term'!N29</x:f>
        <x:v>758460.843682783</x:v>
      </x:c>
      <x:c r="O29" s="35" t="n">
        <x:f>'CF Short-Term'!O29+'MK Short-Term'!O29</x:f>
        <x:v>235068.03740931215</x:v>
      </x:c>
      <x:c r="P29" s="35" t="n">
        <x:f>'CF Short-Term'!P29+'MK Short-Term'!P29</x:f>
        <x:v>0</x:v>
      </x:c>
      <x:c r="Q29" s="35" t="n">
        <x:f>'CF Short-Term'!Q29+'MK Short-Term'!Q29</x:f>
        <x:v>0</x:v>
      </x:c>
      <x:c r="R29" s="35" t="n">
        <x:f>'CF Short-Term'!R29+'MK Short-Term'!R29</x:f>
        <x:v>0</x:v>
      </x:c>
      <x:c r="S29" s="35" t="n">
        <x:f>'CF Short-Term'!S29+'MK Short-Term'!S29</x:f>
        <x:v>0</x:v>
      </x:c>
      <x:c r="T29" s="35" t="n">
        <x:f>'CF Short-Term'!T29+'MK Short-Term'!T29</x:f>
        <x:v>0</x:v>
      </x:c>
      <x:c r="U29" s="35" t="n">
        <x:f>'CF Short-Term'!U29+'MK Short-Term'!U29</x:f>
        <x:v>0</x:v>
      </x:c>
      <x:c r="V29" s="35" t="n">
        <x:f>'CF Short-Term'!V29+'MK Short-Term'!V29</x:f>
        <x:v>0</x:v>
      </x:c>
      <x:c r="W29" s="35" t="n">
        <x:f>'CF Short-Term'!W29+'MK Short-Term'!W29</x:f>
        <x:v>0</x:v>
      </x:c>
      <x:c r="X29" s="35" t="n">
        <x:f>'CF Short-Term'!X29+'MK Short-Term'!X29</x:f>
        <x:v>0</x:v>
      </x:c>
      <x:c r="Y29" s="35" t="n">
        <x:f>'CF Short-Term'!Y29+'MK Short-Term'!Y29</x:f>
        <x:v>0</x:v>
      </x:c>
      <x:c r="Z29" s="35" t="n">
        <x:f>'CF Short-Term'!Z29+'MK Short-Term'!Z29</x:f>
        <x:v>0</x:v>
      </x:c>
      <x:c r="AA29" s="35" t="n">
        <x:f>'CF Short-Term'!AA29+'MK Short-Term'!AA29</x:f>
        <x:v>0</x:v>
      </x:c>
      <x:c r="AB29" s="35" t="n">
        <x:f>'CF Short-Term'!AB29+'MK Short-Term'!AB29</x:f>
        <x:v>0</x:v>
      </x:c>
      <x:c r="AC29" s="35" t="n">
        <x:f>'CF Short-Term'!AC29+'MK Short-Term'!AC29</x:f>
        <x:v>0</x:v>
      </x:c>
      <x:c r="AD29" s="35" t="n">
        <x:f>'CF Short-Term'!AD29+'MK Short-Term'!AD29</x:f>
        <x:v>0</x:v>
      </x:c>
      <x:c r="AE29" s="35" t="n">
        <x:f>'CF Short-Term'!AE29+'MK Short-Term'!AE29</x:f>
        <x:v>0</x:v>
      </x:c>
      <x:c r="AF29" s="35" t="n">
        <x:f>'CF Short-Term'!AF29+'MK Short-Term'!AF29</x:f>
        <x:v>0</x:v>
      </x:c>
      <x:c r="AG29" s="35" t="n">
        <x:f>'CF Short-Term'!AG29+'MK Short-Term'!AG29</x:f>
        <x:v>0</x:v>
      </x:c>
      <x:c r="AH29" s="35" t="n">
        <x:f>'CF Short-Term'!AH29+'MK Short-Term'!AH29</x:f>
        <x:v>0</x:v>
      </x:c>
      <x:c r="AI29" s="35" t="n">
        <x:f>'CF Short-Term'!AI29+'MK Short-Term'!AI29</x:f>
        <x:v>0</x:v>
      </x:c>
      <x:c r="AJ29" s="35" t="n">
        <x:f>'CF Short-Term'!AJ29+'MK Short-Term'!AJ29</x:f>
        <x:v>0</x:v>
      </x:c>
      <x:c r="AK29" s="35" t="n">
        <x:f>'CF Short-Term'!AK29+'MK Short-Term'!AK29</x:f>
        <x:v>0</x:v>
      </x:c>
      <x:c r="AL29" s="35" t="n">
        <x:f>'CF Short-Term'!AL29+'MK Short-Term'!AL29</x:f>
        <x:v>0</x:v>
      </x:c>
      <x:c r="AM29" s="35" t="n">
        <x:f>'CF Short-Term'!AM29+'MK Short-Term'!AM29</x:f>
        <x:v>0</x:v>
      </x:c>
      <x:c r="AN29" s="35" t="n">
        <x:f>'CF Short-Term'!AN29+'MK Short-Term'!AN29</x:f>
        <x:v>0</x:v>
      </x:c>
      <x:c r="AO29" s="35" t="n">
        <x:f>'CF Short-Term'!AO29+'MK Short-Term'!AO29</x:f>
        <x:v>0</x:v>
      </x:c>
      <x:c r="AP29" s="35" t="n">
        <x:f>'CF Short-Term'!AP29+'MK Short-Term'!AP29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228188515.15626284</x:v>
      </x:c>
      <x:c r="F30" s="2"/>
      <x:c r="G30" s="35" t="n">
        <x:f>'CF Short-Term'!G30+'MK Short-Term'!G30</x:f>
        <x:v>0</x:v>
      </x:c>
      <x:c r="H30" s="35" t="n">
        <x:f>'CF Short-Term'!H30+'MK Short-Term'!H30</x:f>
        <x:v>3513456.215976233</x:v>
      </x:c>
      <x:c r="I30" s="35" t="n">
        <x:f>'CF Short-Term'!I30+'MK Short-Term'!I30</x:f>
        <x:v>5956070.362684801</x:v>
      </x:c>
      <x:c r="J30" s="35" t="n">
        <x:f>'CF Short-Term'!J30+'MK Short-Term'!J30</x:f>
        <x:v>7663963.65823534</x:v>
      </x:c>
      <x:c r="K30" s="35" t="n">
        <x:f>'CF Short-Term'!K30+'MK Short-Term'!K30</x:f>
        <x:v>8838345.676257303</x:v>
      </x:c>
      <x:c r="L30" s="35" t="n">
        <x:f>'CF Short-Term'!L30+'MK Short-Term'!L30</x:f>
        <x:v>9625338.912486685</x:v>
      </x:c>
      <x:c r="M30" s="35" t="n">
        <x:f>'CF Short-Term'!M30+'MK Short-Term'!M30</x:f>
        <x:v>10119837.098322961</x:v>
      </x:c>
      <x:c r="N30" s="35" t="n">
        <x:f>'CF Short-Term'!N30+'MK Short-Term'!N30</x:f>
        <x:v>10445330.121018274</x:v>
      </x:c>
      <x:c r="O30" s="35" t="n">
        <x:f>'CF Short-Term'!O30+'MK Short-Term'!O30</x:f>
        <x:v>10646879.486762775</x:v>
      </x:c>
      <x:c r="P30" s="35" t="n">
        <x:f>'CF Short-Term'!P30+'MK Short-Term'!P30</x:f>
        <x:v>10758619.574967904</x:v>
      </x:c>
      <x:c r="Q30" s="35" t="n">
        <x:f>'CF Short-Term'!Q30+'MK Short-Term'!Q30</x:f>
        <x:v>10758619.574967904</x:v>
      </x:c>
      <x:c r="R30" s="35" t="n">
        <x:f>'CF Short-Term'!R30+'MK Short-Term'!R30</x:f>
        <x:v>10758619.574967904</x:v>
      </x:c>
      <x:c r="S30" s="35" t="n">
        <x:f>'CF Short-Term'!S30+'MK Short-Term'!S30</x:f>
        <x:v>10758619.574967904</x:v>
      </x:c>
      <x:c r="T30" s="35" t="n">
        <x:f>'CF Short-Term'!T30+'MK Short-Term'!T30</x:f>
        <x:v>10758619.574967904</x:v>
      </x:c>
      <x:c r="U30" s="35" t="n">
        <x:f>'CF Short-Term'!U30+'MK Short-Term'!U30</x:f>
        <x:v>10758619.574967904</x:v>
      </x:c>
      <x:c r="V30" s="35" t="n">
        <x:f>'CF Short-Term'!V30+'MK Short-Term'!V30</x:f>
        <x:v>10758619.574967904</x:v>
      </x:c>
      <x:c r="W30" s="35" t="n">
        <x:f>'CF Short-Term'!W30+'MK Short-Term'!W30</x:f>
        <x:v>10758619.574967904</x:v>
      </x:c>
      <x:c r="X30" s="35" t="n">
        <x:f>'CF Short-Term'!X30+'MK Short-Term'!X30</x:f>
        <x:v>10758619.574967904</x:v>
      </x:c>
      <x:c r="Y30" s="35" t="n">
        <x:f>'CF Short-Term'!Y30+'MK Short-Term'!Y30</x:f>
        <x:v>10758619.574967904</x:v>
      </x:c>
      <x:c r="Z30" s="35" t="n">
        <x:f>'CF Short-Term'!Z30+'MK Short-Term'!Z30</x:f>
        <x:v>10758619.574967904</x:v>
      </x:c>
      <x:c r="AA30" s="35" t="n">
        <x:f>'CF Short-Term'!AA30+'MK Short-Term'!AA30</x:f>
        <x:v>10758619.574967904</x:v>
      </x:c>
      <x:c r="AB30" s="35" t="n">
        <x:f>'CF Short-Term'!AB30+'MK Short-Term'!AB30</x:f>
        <x:v>10758619.574967904</x:v>
      </x:c>
      <x:c r="AC30" s="35" t="n">
        <x:f>'CF Short-Term'!AC30+'MK Short-Term'!AC30</x:f>
        <x:v>10758619.574967904</x:v>
      </x:c>
      <x:c r="AD30" s="35" t="n">
        <x:f>'CF Short-Term'!AD30+'MK Short-Term'!AD30</x:f>
        <x:v>10758619.574967904</x:v>
      </x:c>
      <x:c r="AE30" s="35" t="n">
        <x:f>'CF Short-Term'!AE30+'MK Short-Term'!AE30</x:f>
        <x:v>10758619.574967904</x:v>
      </x:c>
      <x:c r="AF30" s="35" t="n">
        <x:f>'CF Short-Term'!AF30+'MK Short-Term'!AF30</x:f>
        <x:v>10758619.574967904</x:v>
      </x:c>
      <x:c r="AG30" s="35" t="n">
        <x:f>'CF Short-Term'!AG30+'MK Short-Term'!AG30</x:f>
        <x:v>10758619.574967904</x:v>
      </x:c>
      <x:c r="AH30" s="35" t="n">
        <x:f>'CF Short-Term'!AH30+'MK Short-Term'!AH30</x:f>
        <x:v>10758619.574967904</x:v>
      </x:c>
      <x:c r="AI30" s="35" t="n">
        <x:f>'CF Short-Term'!AI30+'MK Short-Term'!AI30</x:f>
        <x:v>10758619.574967904</x:v>
      </x:c>
      <x:c r="AJ30" s="35" t="n">
        <x:f>'CF Short-Term'!AJ30+'MK Short-Term'!AJ30</x:f>
        <x:v>10758619.574967904</x:v>
      </x:c>
      <x:c r="AK30" s="35" t="n">
        <x:f>'CF Short-Term'!AK30+'MK Short-Term'!AK30</x:f>
        <x:v>10758619.574967904</x:v>
      </x:c>
      <x:c r="AL30" s="35" t="n">
        <x:f>'CF Short-Term'!AL30+'MK Short-Term'!AL30</x:f>
        <x:v>10758619.574967904</x:v>
      </x:c>
      <x:c r="AM30" s="35" t="n">
        <x:f>'CF Short-Term'!AM30+'MK Short-Term'!AM30</x:f>
        <x:v>10758619.574967904</x:v>
      </x:c>
      <x:c r="AN30" s="35" t="n">
        <x:f>'CF Short-Term'!AN30+'MK Short-Term'!AN30</x:f>
        <x:v>10758619.574967904</x:v>
      </x:c>
      <x:c r="AO30" s="35" t="n">
        <x:f>'CF Short-Term'!AO30+'MK Short-Term'!AO30</x:f>
        <x:v>10758619.574967904</x:v>
      </x:c>
      <x:c r="AP30" s="35" t="n">
        <x:f>'CF Short-Term'!AP30+'MK Short-Term'!AP30</x:f>
        <x:v>10758619.574967904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37984603.098701395</x:v>
      </x:c>
      <x:c r="F32" s="2"/>
      <x:c r="G32" s="35" t="n">
        <x:f>'CF Short-Term'!G32+'MK Short-Term'!G32</x:f>
        <x:v>18813983.50928244</x:v>
      </x:c>
      <x:c r="H32" s="35" t="n">
        <x:f>'CF Short-Term'!H32+'MK Short-Term'!H32</x:f>
        <x:v>9484629.702981185</x:v>
      </x:c>
      <x:c r="I32" s="35" t="n">
        <x:f>'CF Short-Term'!I32+'MK Short-Term'!I32</x:f>
        <x:v>4934512.7595011275</x:v>
      </x:c>
      <x:c r="J32" s="35" t="n">
        <x:f>'CF Short-Term'!J32+'MK Short-Term'!J32</x:f>
        <x:v>2536201.604988037</x:v>
      </x:c>
      <x:c r="K32" s="35" t="n">
        <x:f>'CF Short-Term'!K32+'MK Short-Term'!K32</x:f>
        <x:v>1259657.5100935604</x:v>
      </x:c>
      <x:c r="L32" s="35" t="n">
        <x:f>'CF Short-Term'!L32+'MK Short-Term'!L32</x:f>
        <x:v>593332.7394359604</x:v>
      </x:c>
      <x:c r="M32" s="35" t="n">
        <x:f>'CF Short-Term'!M32+'MK Short-Term'!M32</x:f>
        <x:v>254108.5990841894</x:v>
      </x:c>
      <x:c r="N32" s="35" t="n">
        <x:f>'CF Short-Term'!N32+'MK Short-Term'!N32</x:f>
        <x:v>88587.67021756762</x:v>
      </x:c>
      <x:c r="O32" s="35" t="n">
        <x:f>'CF Short-Term'!O32+'MK Short-Term'!O32</x:f>
        <x:v>19589.003117436463</x:v>
      </x:c>
      <x:c r="P32" s="35" t="n">
        <x:f>'CF Short-Term'!P32+'MK Short-Term'!P32</x:f>
        <x:v>-6.213667802512646e-9</x:v>
      </x:c>
      <x:c r="Q32" s="35" t="n">
        <x:f>'CF Short-Term'!Q32+'MK Short-Term'!Q32</x:f>
        <x:v>-6.213667802512646e-9</x:v>
      </x:c>
      <x:c r="R32" s="35" t="n">
        <x:f>'CF Short-Term'!R32+'MK Short-Term'!R32</x:f>
        <x:v>-6.213667802512646e-9</x:v>
      </x:c>
      <x:c r="S32" s="35" t="n">
        <x:f>'CF Short-Term'!S32+'MK Short-Term'!S32</x:f>
        <x:v>-6.213667802512646e-9</x:v>
      </x:c>
      <x:c r="T32" s="35" t="n">
        <x:f>'CF Short-Term'!T32+'MK Short-Term'!T32</x:f>
        <x:v>-6.213667802512646e-9</x:v>
      </x:c>
      <x:c r="U32" s="35" t="n">
        <x:f>'CF Short-Term'!U32+'MK Short-Term'!U32</x:f>
        <x:v>-6.213667802512646e-9</x:v>
      </x:c>
      <x:c r="V32" s="35" t="n">
        <x:f>'CF Short-Term'!V32+'MK Short-Term'!V32</x:f>
        <x:v>-6.213667802512646e-9</x:v>
      </x:c>
      <x:c r="W32" s="35" t="n">
        <x:f>'CF Short-Term'!W32+'MK Short-Term'!W32</x:f>
        <x:v>-6.213667802512646e-9</x:v>
      </x:c>
      <x:c r="X32" s="35" t="n">
        <x:f>'CF Short-Term'!X32+'MK Short-Term'!X32</x:f>
        <x:v>-6.213667802512646e-9</x:v>
      </x:c>
      <x:c r="Y32" s="35" t="n">
        <x:f>'CF Short-Term'!Y32+'MK Short-Term'!Y32</x:f>
        <x:v>-6.213667802512646e-9</x:v>
      </x:c>
      <x:c r="Z32" s="35" t="n">
        <x:f>'CF Short-Term'!Z32+'MK Short-Term'!Z32</x:f>
        <x:v>-6.213667802512646e-9</x:v>
      </x:c>
      <x:c r="AA32" s="35" t="n">
        <x:f>'CF Short-Term'!AA32+'MK Short-Term'!AA32</x:f>
        <x:v>-6.213667802512646e-9</x:v>
      </x:c>
      <x:c r="AB32" s="35" t="n">
        <x:f>'CF Short-Term'!AB32+'MK Short-Term'!AB32</x:f>
        <x:v>-6.213667802512646e-9</x:v>
      </x:c>
      <x:c r="AC32" s="35" t="n">
        <x:f>'CF Short-Term'!AC32+'MK Short-Term'!AC32</x:f>
        <x:v>-6.213667802512646e-9</x:v>
      </x:c>
      <x:c r="AD32" s="35" t="n">
        <x:f>'CF Short-Term'!AD32+'MK Short-Term'!AD32</x:f>
        <x:v>-6.213667802512646e-9</x:v>
      </x:c>
      <x:c r="AE32" s="35" t="n">
        <x:f>'CF Short-Term'!AE32+'MK Short-Term'!AE32</x:f>
        <x:v>-6.213667802512646e-9</x:v>
      </x:c>
      <x:c r="AF32" s="35" t="n">
        <x:f>'CF Short-Term'!AF32+'MK Short-Term'!AF32</x:f>
        <x:v>-6.213667802512646e-9</x:v>
      </x:c>
      <x:c r="AG32" s="35" t="n">
        <x:f>'CF Short-Term'!AG32+'MK Short-Term'!AG32</x:f>
        <x:v>-6.213667802512646e-9</x:v>
      </x:c>
      <x:c r="AH32" s="35" t="n">
        <x:f>'CF Short-Term'!AH32+'MK Short-Term'!AH32</x:f>
        <x:v>-6.213667802512646e-9</x:v>
      </x:c>
      <x:c r="AI32" s="35" t="n">
        <x:f>'CF Short-Term'!AI32+'MK Short-Term'!AI32</x:f>
        <x:v>-6.213667802512646e-9</x:v>
      </x:c>
      <x:c r="AJ32" s="35" t="n">
        <x:f>'CF Short-Term'!AJ32+'MK Short-Term'!AJ32</x:f>
        <x:v>-6.213667802512646e-9</x:v>
      </x:c>
      <x:c r="AK32" s="35" t="n">
        <x:f>'CF Short-Term'!AK32+'MK Short-Term'!AK32</x:f>
        <x:v>-6.213667802512646e-9</x:v>
      </x:c>
      <x:c r="AL32" s="35" t="n">
        <x:f>'CF Short-Term'!AL32+'MK Short-Term'!AL32</x:f>
        <x:v>-6.213667802512646e-9</x:v>
      </x:c>
      <x:c r="AM32" s="35" t="n">
        <x:f>'CF Short-Term'!AM32+'MK Short-Term'!AM32</x:f>
        <x:v>-6.213667802512646e-9</x:v>
      </x:c>
      <x:c r="AN32" s="35" t="n">
        <x:f>'CF Short-Term'!AN32+'MK Short-Term'!AN32</x:f>
        <x:v>-6.213667802512646e-9</x:v>
      </x:c>
      <x:c r="AO32" s="35" t="n">
        <x:f>'CF Short-Term'!AO32+'MK Short-Term'!AO32</x:f>
        <x:v>-6.213667802512646e-9</x:v>
      </x:c>
      <x:c r="AP32" s="35" t="n">
        <x:f>'CF Short-Term'!AP32+'MK Short-Term'!AP32</x:f>
        <x:v>-6.213667802512646e-9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62365238.848810524</x:v>
      </x:c>
      <x:c r="F33" s="2"/>
      <x:c r="G33" s="35" t="n">
        <x:f>'CF Short-Term'!G33+'MK Short-Term'!G33</x:f>
        <x:v>0</x:v>
      </x:c>
      <x:c r="H33" s="35" t="n">
        <x:f>'CF Short-Term'!H33+'MK Short-Term'!H33</x:f>
        <x:v>1049374.7761671245</x:v>
      </x:c>
      <x:c r="I33" s="35" t="n">
        <x:f>'CF Short-Term'!I33+'MK Short-Term'!I33</x:f>
        <x:v>1753261.7360501762</x:v>
      </x:c>
      <x:c r="J33" s="35" t="n">
        <x:f>'CF Short-Term'!J33+'MK Short-Term'!J33</x:f>
        <x:v>2218098.8427911215</x:v>
      </x:c>
      <x:c r="K33" s="35" t="n">
        <x:f>'CF Short-Term'!K33+'MK Short-Term'!K33</x:f>
        <x:v>2515765.4915727563</x:v>
      </x:c>
      <x:c r="L33" s="35" t="n">
        <x:f>'CF Short-Term'!L33+'MK Short-Term'!L33</x:f>
        <x:v>2697924.0319297435</x:v>
      </x:c>
      <x:c r="M33" s="35" t="n">
        <x:f>'CF Short-Term'!M33+'MK Short-Term'!M33</x:f>
        <x:v>2805613.362666366</x:v>
      </x:c>
      <x:c r="N33" s="35" t="n">
        <x:f>'CF Short-Term'!N33+'MK Short-Term'!N33</x:f>
        <x:v>2866102.4852843233</x:v>
      </x:c>
      <x:c r="O33" s="35" t="n">
        <x:f>'CF Short-Term'!O33+'MK Short-Term'!O33</x:f>
        <x:v>2894963.9382557822</x:v>
      </x:c>
      <x:c r="P33" s="35" t="n">
        <x:f>'CF Short-Term'!P33+'MK Short-Term'!P33</x:f>
        <x:v>2904275.612272877</x:v>
      </x:c>
      <x:c r="Q33" s="35" t="n">
        <x:f>'CF Short-Term'!Q33+'MK Short-Term'!Q33</x:f>
        <x:v>2904275.6122728772</x:v>
      </x:c>
      <x:c r="R33" s="35" t="n">
        <x:f>'CF Short-Term'!R33+'MK Short-Term'!R33</x:f>
        <x:v>2904275.6122728772</x:v>
      </x:c>
      <x:c r="S33" s="35" t="n">
        <x:f>'CF Short-Term'!S33+'MK Short-Term'!S33</x:f>
        <x:v>2904275.6122728772</x:v>
      </x:c>
      <x:c r="T33" s="35" t="n">
        <x:f>'CF Short-Term'!T33+'MK Short-Term'!T33</x:f>
        <x:v>2904275.6122728772</x:v>
      </x:c>
      <x:c r="U33" s="35" t="n">
        <x:f>'CF Short-Term'!U33+'MK Short-Term'!U33</x:f>
        <x:v>2904275.6122728772</x:v>
      </x:c>
      <x:c r="V33" s="35" t="n">
        <x:f>'CF Short-Term'!V33+'MK Short-Term'!V33</x:f>
        <x:v>2904275.6122728772</x:v>
      </x:c>
      <x:c r="W33" s="35" t="n">
        <x:f>'CF Short-Term'!W33+'MK Short-Term'!W33</x:f>
        <x:v>2904275.6122728772</x:v>
      </x:c>
      <x:c r="X33" s="35" t="n">
        <x:f>'CF Short-Term'!X33+'MK Short-Term'!X33</x:f>
        <x:v>2904275.6122728772</x:v>
      </x:c>
      <x:c r="Y33" s="35" t="n">
        <x:f>'CF Short-Term'!Y33+'MK Short-Term'!Y33</x:f>
        <x:v>2904275.6122728772</x:v>
      </x:c>
      <x:c r="Z33" s="35" t="n">
        <x:f>'CF Short-Term'!Z33+'MK Short-Term'!Z33</x:f>
        <x:v>2904275.6122728772</x:v>
      </x:c>
      <x:c r="AA33" s="35" t="n">
        <x:f>'CF Short-Term'!AA33+'MK Short-Term'!AA33</x:f>
        <x:v>2904275.6122728772</x:v>
      </x:c>
      <x:c r="AB33" s="35" t="n">
        <x:f>'CF Short-Term'!AB33+'MK Short-Term'!AB33</x:f>
        <x:v>2904275.6122728772</x:v>
      </x:c>
      <x:c r="AC33" s="35" t="n">
        <x:f>'CF Short-Term'!AC33+'MK Short-Term'!AC33</x:f>
        <x:v>2904275.6122728772</x:v>
      </x:c>
      <x:c r="AD33" s="35" t="n">
        <x:f>'CF Short-Term'!AD33+'MK Short-Term'!AD33</x:f>
        <x:v>2904275.6122728772</x:v>
      </x:c>
      <x:c r="AE33" s="35" t="n">
        <x:f>'CF Short-Term'!AE33+'MK Short-Term'!AE33</x:f>
        <x:v>2904275.6122728772</x:v>
      </x:c>
      <x:c r="AF33" s="35" t="n">
        <x:f>'CF Short-Term'!AF33+'MK Short-Term'!AF33</x:f>
        <x:v>2904275.6122728772</x:v>
      </x:c>
      <x:c r="AG33" s="35" t="n">
        <x:f>'CF Short-Term'!AG33+'MK Short-Term'!AG33</x:f>
        <x:v>2904275.6122728772</x:v>
      </x:c>
      <x:c r="AH33" s="35" t="n">
        <x:f>'CF Short-Term'!AH33+'MK Short-Term'!AH33</x:f>
        <x:v>2904275.6122728772</x:v>
      </x:c>
      <x:c r="AI33" s="35" t="n">
        <x:f>'CF Short-Term'!AI33+'MK Short-Term'!AI33</x:f>
        <x:v>2904275.6122728772</x:v>
      </x:c>
      <x:c r="AJ33" s="35" t="n">
        <x:f>'CF Short-Term'!AJ33+'MK Short-Term'!AJ33</x:f>
        <x:v>2904275.6122728772</x:v>
      </x:c>
      <x:c r="AK33" s="35" t="n">
        <x:f>'CF Short-Term'!AK33+'MK Short-Term'!AK33</x:f>
        <x:v>2904275.6122728772</x:v>
      </x:c>
      <x:c r="AL33" s="35" t="n">
        <x:f>'CF Short-Term'!AL33+'MK Short-Term'!AL33</x:f>
        <x:v>2904275.6122728772</x:v>
      </x:c>
      <x:c r="AM33" s="35" t="n">
        <x:f>'CF Short-Term'!AM33+'MK Short-Term'!AM33</x:f>
        <x:v>2904275.6122728772</x:v>
      </x:c>
      <x:c r="AN33" s="35" t="n">
        <x:f>'CF Short-Term'!AN33+'MK Short-Term'!AN33</x:f>
        <x:v>2904275.6122728772</x:v>
      </x:c>
      <x:c r="AO33" s="35" t="n">
        <x:f>'CF Short-Term'!AO33+'MK Short-Term'!AO33</x:f>
        <x:v>2904275.6122728772</x:v>
      </x:c>
      <x:c r="AP33" s="35" t="n">
        <x:f>'CF Short-Term'!AP33+'MK Short-Term'!AP33</x:f>
        <x:v>2904275.6122728772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-7.456401363015175e-8</x:v>
      </x:c>
      <x:c r="F34" s="2"/>
      <x:c r="G34" s="35" t="n">
        <x:f>'CF Short-Term'!G34+'MK Short-Term'!G34</x:f>
        <x:v>127507250.98815893</x:v>
      </x:c>
      <x:c r="H34" s="35" t="n">
        <x:f>'CF Short-Term'!H34+'MK Short-Term'!H34</x:f>
        <x:v>66149837.92924288</x:v>
      </x:c>
      <x:c r="I34" s="35" t="n">
        <x:f>'CF Short-Term'!I34+'MK Short-Term'!I34</x:f>
        <x:v>34031096.79495753</x:v>
      </x:c>
      <x:c r="J34" s="35" t="n">
        <x:f>'CF Short-Term'!J34+'MK Short-Term'!J34</x:f>
        <x:v>16957077.403280735</x:v>
      </x:c>
      <x:c r="K34" s="35" t="n">
        <x:f>'CF Short-Term'!K34+'MK Short-Term'!K34</x:f>
        <x:v>8008404.111952873</x:v>
      </x:c>
      <x:c r="L34" s="35" t="n">
        <x:f>'CF Short-Term'!L34+'MK Short-Term'!L34</x:f>
        <x:v>3505947.281548941</x:v>
      </x:c>
      <x:c r="M34" s="35" t="n">
        <x:f>'CF Short-Term'!M34+'MK Short-Term'!M34</x:f>
        <x:v>1275653.4116026643</x:v>
      </x:c>
      <x:c r="N34" s="35" t="n">
        <x:f>'CF Short-Term'!N34+'MK Short-Term'!N34</x:f>
        <x:v>304591.19892802846</x:v>
      </x:c>
      <x:c r="O34" s="35" t="n">
        <x:f>'CF Short-Term'!O34+'MK Short-Term'!O34</x:f>
        <x:v>-7.456401363015175e-8</x:v>
      </x:c>
      <x:c r="P34" s="35" t="n">
        <x:f>'CF Short-Term'!P34+'MK Short-Term'!P34</x:f>
        <x:v>-7.456401363015175e-8</x:v>
      </x:c>
      <x:c r="Q34" s="35" t="n">
        <x:f>'CF Short-Term'!Q34+'MK Short-Term'!Q34</x:f>
        <x:v>-7.456401363015175e-8</x:v>
      </x:c>
      <x:c r="R34" s="35" t="n">
        <x:f>'CF Short-Term'!R34+'MK Short-Term'!R34</x:f>
        <x:v>-7.456401363015175e-8</x:v>
      </x:c>
      <x:c r="S34" s="35" t="n">
        <x:f>'CF Short-Term'!S34+'MK Short-Term'!S34</x:f>
        <x:v>-7.456401363015175e-8</x:v>
      </x:c>
      <x:c r="T34" s="35" t="n">
        <x:f>'CF Short-Term'!T34+'MK Short-Term'!T34</x:f>
        <x:v>-7.456401363015175e-8</x:v>
      </x:c>
      <x:c r="U34" s="35" t="n">
        <x:f>'CF Short-Term'!U34+'MK Short-Term'!U34</x:f>
        <x:v>-7.456401363015175e-8</x:v>
      </x:c>
      <x:c r="V34" s="35" t="n">
        <x:f>'CF Short-Term'!V34+'MK Short-Term'!V34</x:f>
        <x:v>-7.456401363015175e-8</x:v>
      </x:c>
      <x:c r="W34" s="35" t="n">
        <x:f>'CF Short-Term'!W34+'MK Short-Term'!W34</x:f>
        <x:v>-7.456401363015175e-8</x:v>
      </x:c>
      <x:c r="X34" s="35" t="n">
        <x:f>'CF Short-Term'!X34+'MK Short-Term'!X34</x:f>
        <x:v>-7.456401363015175e-8</x:v>
      </x:c>
      <x:c r="Y34" s="35" t="n">
        <x:f>'CF Short-Term'!Y34+'MK Short-Term'!Y34</x:f>
        <x:v>-7.456401363015175e-8</x:v>
      </x:c>
      <x:c r="Z34" s="35" t="n">
        <x:f>'CF Short-Term'!Z34+'MK Short-Term'!Z34</x:f>
        <x:v>-7.456401363015175e-8</x:v>
      </x:c>
      <x:c r="AA34" s="35" t="n">
        <x:f>'CF Short-Term'!AA34+'MK Short-Term'!AA34</x:f>
        <x:v>-7.456401363015175e-8</x:v>
      </x:c>
      <x:c r="AB34" s="35" t="n">
        <x:f>'CF Short-Term'!AB34+'MK Short-Term'!AB34</x:f>
        <x:v>-7.456401363015175e-8</x:v>
      </x:c>
      <x:c r="AC34" s="35" t="n">
        <x:f>'CF Short-Term'!AC34+'MK Short-Term'!AC34</x:f>
        <x:v>-7.456401363015175e-8</x:v>
      </x:c>
      <x:c r="AD34" s="35" t="n">
        <x:f>'CF Short-Term'!AD34+'MK Short-Term'!AD34</x:f>
        <x:v>-7.456401363015175e-8</x:v>
      </x:c>
      <x:c r="AE34" s="35" t="n">
        <x:f>'CF Short-Term'!AE34+'MK Short-Term'!AE34</x:f>
        <x:v>-7.456401363015175e-8</x:v>
      </x:c>
      <x:c r="AF34" s="35" t="n">
        <x:f>'CF Short-Term'!AF34+'MK Short-Term'!AF34</x:f>
        <x:v>-7.456401363015175e-8</x:v>
      </x:c>
      <x:c r="AG34" s="35" t="n">
        <x:f>'CF Short-Term'!AG34+'MK Short-Term'!AG34</x:f>
        <x:v>-7.456401363015175e-8</x:v>
      </x:c>
      <x:c r="AH34" s="35" t="n">
        <x:f>'CF Short-Term'!AH34+'MK Short-Term'!AH34</x:f>
        <x:v>-7.456401363015175e-8</x:v>
      </x:c>
      <x:c r="AI34" s="35" t="n">
        <x:f>'CF Short-Term'!AI34+'MK Short-Term'!AI34</x:f>
        <x:v>-7.456401363015175e-8</x:v>
      </x:c>
      <x:c r="AJ34" s="35" t="n">
        <x:f>'CF Short-Term'!AJ34+'MK Short-Term'!AJ34</x:f>
        <x:v>-7.456401363015175e-8</x:v>
      </x:c>
      <x:c r="AK34" s="35" t="n">
        <x:f>'CF Short-Term'!AK34+'MK Short-Term'!AK34</x:f>
        <x:v>-7.456401363015175e-8</x:v>
      </x:c>
      <x:c r="AL34" s="35" t="n">
        <x:f>'CF Short-Term'!AL34+'MK Short-Term'!AL34</x:f>
        <x:v>-7.456401363015175e-8</x:v>
      </x:c>
      <x:c r="AM34" s="35" t="n">
        <x:f>'CF Short-Term'!AM34+'MK Short-Term'!AM34</x:f>
        <x:v>-7.456401363015175e-8</x:v>
      </x:c>
      <x:c r="AN34" s="35" t="n">
        <x:f>'CF Short-Term'!AN34+'MK Short-Term'!AN34</x:f>
        <x:v>-7.456401363015175e-8</x:v>
      </x:c>
      <x:c r="AO34" s="35" t="n">
        <x:f>'CF Short-Term'!AO34+'MK Short-Term'!AO34</x:f>
        <x:v>-7.456401363015175e-8</x:v>
      </x:c>
      <x:c r="AP34" s="35" t="n">
        <x:f>'CF Short-Term'!AP34+'MK Short-Term'!AP34</x:f>
        <x:v>-7.456401363015175e-8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'CF Short-Term'!G35+'MK Short-Term'!G35</x:f>
        <x:v>0</x:v>
      </x:c>
      <x:c r="H35" s="36" t="n">
        <x:f>'CF Short-Term'!H35+'MK Short-Term'!H35</x:f>
        <x:v>0</x:v>
      </x:c>
      <x:c r="I35" s="36" t="n">
        <x:f>'CF Short-Term'!I35+'MK Short-Term'!I35</x:f>
        <x:v>0</x:v>
      </x:c>
      <x:c r="J35" s="36" t="n">
        <x:f>'CF Short-Term'!J35+'MK Short-Term'!J35</x:f>
        <x:v>0</x:v>
      </x:c>
      <x:c r="K35" s="36" t="n">
        <x:f>'CF Short-Term'!K35+'MK Short-Term'!K35</x:f>
        <x:v>0</x:v>
      </x:c>
      <x:c r="L35" s="36" t="n">
        <x:f>'CF Short-Term'!L35+'MK Short-Term'!L35</x:f>
        <x:v>0</x:v>
      </x:c>
      <x:c r="M35" s="36" t="n">
        <x:f>'CF Short-Term'!M35+'MK Short-Term'!M35</x:f>
        <x:v>0</x:v>
      </x:c>
      <x:c r="N35" s="36" t="n">
        <x:f>'CF Short-Term'!N35+'MK Short-Term'!N35</x:f>
        <x:v>0</x:v>
      </x:c>
      <x:c r="O35" s="36" t="n">
        <x:f>'CF Short-Term'!O35+'MK Short-Term'!O35</x:f>
        <x:v>0</x:v>
      </x:c>
      <x:c r="P35" s="36" t="n">
        <x:f>'CF Short-Term'!P35+'MK Short-Term'!P35</x:f>
        <x:v>0</x:v>
      </x:c>
      <x:c r="Q35" s="36" t="n">
        <x:f>'CF Short-Term'!Q35+'MK Short-Term'!Q35</x:f>
        <x:v>0</x:v>
      </x:c>
      <x:c r="R35" s="36" t="n">
        <x:f>'CF Short-Term'!R35+'MK Short-Term'!R35</x:f>
        <x:v>0</x:v>
      </x:c>
      <x:c r="S35" s="36" t="n">
        <x:f>'CF Short-Term'!S35+'MK Short-Term'!S35</x:f>
        <x:v>0</x:v>
      </x:c>
      <x:c r="T35" s="36" t="n">
        <x:f>'CF Short-Term'!T35+'MK Short-Term'!T35</x:f>
        <x:v>0</x:v>
      </x:c>
      <x:c r="U35" s="36" t="n">
        <x:f>'CF Short-Term'!U35+'MK Short-Term'!U35</x:f>
        <x:v>0</x:v>
      </x:c>
      <x:c r="V35" s="36" t="n">
        <x:f>'CF Short-Term'!V35+'MK Short-Term'!V35</x:f>
        <x:v>0</x:v>
      </x:c>
      <x:c r="W35" s="36" t="n">
        <x:f>'CF Short-Term'!W35+'MK Short-Term'!W35</x:f>
        <x:v>0</x:v>
      </x:c>
      <x:c r="X35" s="36" t="n">
        <x:f>'CF Short-Term'!X35+'MK Short-Term'!X35</x:f>
        <x:v>0</x:v>
      </x:c>
      <x:c r="Y35" s="36" t="n">
        <x:f>'CF Short-Term'!Y35+'MK Short-Term'!Y35</x:f>
        <x:v>0</x:v>
      </x:c>
      <x:c r="Z35" s="36" t="n">
        <x:f>'CF Short-Term'!Z35+'MK Short-Term'!Z35</x:f>
        <x:v>0</x:v>
      </x:c>
      <x:c r="AA35" s="36" t="n">
        <x:f>'CF Short-Term'!AA35+'MK Short-Term'!AA35</x:f>
        <x:v>0</x:v>
      </x:c>
      <x:c r="AB35" s="36" t="n">
        <x:f>'CF Short-Term'!AB35+'MK Short-Term'!AB35</x:f>
        <x:v>0</x:v>
      </x:c>
      <x:c r="AC35" s="36" t="n">
        <x:f>'CF Short-Term'!AC35+'MK Short-Term'!AC35</x:f>
        <x:v>0</x:v>
      </x:c>
      <x:c r="AD35" s="36" t="n">
        <x:f>'CF Short-Term'!AD35+'MK Short-Term'!AD35</x:f>
        <x:v>0</x:v>
      </x:c>
      <x:c r="AE35" s="36" t="n">
        <x:f>'CF Short-Term'!AE35+'MK Short-Term'!AE35</x:f>
        <x:v>0</x:v>
      </x:c>
      <x:c r="AF35" s="36" t="n">
        <x:f>'CF Short-Term'!AF35+'MK Short-Term'!AF35</x:f>
        <x:v>0</x:v>
      </x:c>
      <x:c r="AG35" s="36" t="n">
        <x:f>'CF Short-Term'!AG35+'MK Short-Term'!AG35</x:f>
        <x:v>0</x:v>
      </x:c>
      <x:c r="AH35" s="36" t="n">
        <x:f>'CF Short-Term'!AH35+'MK Short-Term'!AH35</x:f>
        <x:v>0</x:v>
      </x:c>
      <x:c r="AI35" s="36" t="n">
        <x:f>'CF Short-Term'!AI35+'MK Short-Term'!AI35</x:f>
        <x:v>0</x:v>
      </x:c>
      <x:c r="AJ35" s="36" t="n">
        <x:f>'CF Short-Term'!AJ35+'MK Short-Term'!AJ35</x:f>
        <x:v>0</x:v>
      </x:c>
      <x:c r="AK35" s="36" t="n">
        <x:f>'CF Short-Term'!AK35+'MK Short-Term'!AK35</x:f>
        <x:v>0</x:v>
      </x:c>
      <x:c r="AL35" s="36" t="n">
        <x:f>'CF Short-Term'!AL35+'MK Short-Term'!AL35</x:f>
        <x:v>0</x:v>
      </x:c>
      <x:c r="AM35" s="36" t="n">
        <x:f>'CF Short-Term'!AM35+'MK Short-Term'!AM35</x:f>
        <x:v>0</x:v>
      </x:c>
      <x:c r="AN35" s="36" t="n">
        <x:f>'CF Short-Term'!AN35+'MK Short-Term'!AN35</x:f>
        <x:v>0</x:v>
      </x:c>
      <x:c r="AO35" s="36" t="n">
        <x:f>'CF Short-Term'!AO35+'MK Short-Term'!AO35</x:f>
        <x:v>0</x:v>
      </x:c>
      <x:c r="AP35" s="36" t="n">
        <x:f>'CF Short-Term'!AP35+'MK Short-Term'!AP35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'CF Short-Term'!G36+'MK Short-Term'!G36</x:f>
        <x:v>0</x:v>
      </x:c>
      <x:c r="H36" s="36" t="n">
        <x:f>'CF Short-Term'!H36+'MK Short-Term'!H36</x:f>
        <x:v>0</x:v>
      </x:c>
      <x:c r="I36" s="36" t="n">
        <x:f>'CF Short-Term'!I36+'MK Short-Term'!I36</x:f>
        <x:v>0</x:v>
      </x:c>
      <x:c r="J36" s="36" t="n">
        <x:f>'CF Short-Term'!J36+'MK Short-Term'!J36</x:f>
        <x:v>0</x:v>
      </x:c>
      <x:c r="K36" s="36" t="n">
        <x:f>'CF Short-Term'!K36+'MK Short-Term'!K36</x:f>
        <x:v>0</x:v>
      </x:c>
      <x:c r="L36" s="36" t="n">
        <x:f>'CF Short-Term'!L36+'MK Short-Term'!L36</x:f>
        <x:v>0</x:v>
      </x:c>
      <x:c r="M36" s="36" t="n">
        <x:f>'CF Short-Term'!M36+'MK Short-Term'!M36</x:f>
        <x:v>0</x:v>
      </x:c>
      <x:c r="N36" s="36" t="n">
        <x:f>'CF Short-Term'!N36+'MK Short-Term'!N36</x:f>
        <x:v>0</x:v>
      </x:c>
      <x:c r="O36" s="36" t="n">
        <x:f>'CF Short-Term'!O36+'MK Short-Term'!O36</x:f>
        <x:v>0</x:v>
      </x:c>
      <x:c r="P36" s="36" t="n">
        <x:f>'CF Short-Term'!P36+'MK Short-Term'!P36</x:f>
        <x:v>0</x:v>
      </x:c>
      <x:c r="Q36" s="36" t="n">
        <x:f>'CF Short-Term'!Q36+'MK Short-Term'!Q36</x:f>
        <x:v>0</x:v>
      </x:c>
      <x:c r="R36" s="36" t="n">
        <x:f>'CF Short-Term'!R36+'MK Short-Term'!R36</x:f>
        <x:v>0</x:v>
      </x:c>
      <x:c r="S36" s="36" t="n">
        <x:f>'CF Short-Term'!S36+'MK Short-Term'!S36</x:f>
        <x:v>0</x:v>
      </x:c>
      <x:c r="T36" s="36" t="n">
        <x:f>'CF Short-Term'!T36+'MK Short-Term'!T36</x:f>
        <x:v>0</x:v>
      </x:c>
      <x:c r="U36" s="36" t="n">
        <x:f>'CF Short-Term'!U36+'MK Short-Term'!U36</x:f>
        <x:v>0</x:v>
      </x:c>
      <x:c r="V36" s="36" t="n">
        <x:f>'CF Short-Term'!V36+'MK Short-Term'!V36</x:f>
        <x:v>0</x:v>
      </x:c>
      <x:c r="W36" s="36" t="n">
        <x:f>'CF Short-Term'!W36+'MK Short-Term'!W36</x:f>
        <x:v>0</x:v>
      </x:c>
      <x:c r="X36" s="36" t="n">
        <x:f>'CF Short-Term'!X36+'MK Short-Term'!X36</x:f>
        <x:v>0</x:v>
      </x:c>
      <x:c r="Y36" s="36" t="n">
        <x:f>'CF Short-Term'!Y36+'MK Short-Term'!Y36</x:f>
        <x:v>0</x:v>
      </x:c>
      <x:c r="Z36" s="36" t="n">
        <x:f>'CF Short-Term'!Z36+'MK Short-Term'!Z36</x:f>
        <x:v>0</x:v>
      </x:c>
      <x:c r="AA36" s="36" t="n">
        <x:f>'CF Short-Term'!AA36+'MK Short-Term'!AA36</x:f>
        <x:v>0</x:v>
      </x:c>
      <x:c r="AB36" s="36" t="n">
        <x:f>'CF Short-Term'!AB36+'MK Short-Term'!AB36</x:f>
        <x:v>0</x:v>
      </x:c>
      <x:c r="AC36" s="36" t="n">
        <x:f>'CF Short-Term'!AC36+'MK Short-Term'!AC36</x:f>
        <x:v>0</x:v>
      </x:c>
      <x:c r="AD36" s="36" t="n">
        <x:f>'CF Short-Term'!AD36+'MK Short-Term'!AD36</x:f>
        <x:v>0</x:v>
      </x:c>
      <x:c r="AE36" s="36" t="n">
        <x:f>'CF Short-Term'!AE36+'MK Short-Term'!AE36</x:f>
        <x:v>0</x:v>
      </x:c>
      <x:c r="AF36" s="36" t="n">
        <x:f>'CF Short-Term'!AF36+'MK Short-Term'!AF36</x:f>
        <x:v>0</x:v>
      </x:c>
      <x:c r="AG36" s="36" t="n">
        <x:f>'CF Short-Term'!AG36+'MK Short-Term'!AG36</x:f>
        <x:v>0</x:v>
      </x:c>
      <x:c r="AH36" s="36" t="n">
        <x:f>'CF Short-Term'!AH36+'MK Short-Term'!AH36</x:f>
        <x:v>0</x:v>
      </x:c>
      <x:c r="AI36" s="36" t="n">
        <x:f>'CF Short-Term'!AI36+'MK Short-Term'!AI36</x:f>
        <x:v>0</x:v>
      </x:c>
      <x:c r="AJ36" s="36" t="n">
        <x:f>'CF Short-Term'!AJ36+'MK Short-Term'!AJ36</x:f>
        <x:v>0</x:v>
      </x:c>
      <x:c r="AK36" s="36" t="n">
        <x:f>'CF Short-Term'!AK36+'MK Short-Term'!AK36</x:f>
        <x:v>0</x:v>
      </x:c>
      <x:c r="AL36" s="36" t="n">
        <x:f>'CF Short-Term'!AL36+'MK Short-Term'!AL36</x:f>
        <x:v>0</x:v>
      </x:c>
      <x:c r="AM36" s="36" t="n">
        <x:f>'CF Short-Term'!AM36+'MK Short-Term'!AM36</x:f>
        <x:v>0</x:v>
      </x:c>
      <x:c r="AN36" s="36" t="n">
        <x:f>'CF Short-Term'!AN36+'MK Short-Term'!AN36</x:f>
        <x:v>0</x:v>
      </x:c>
      <x:c r="AO36" s="36" t="n">
        <x:f>'CF Short-Term'!AO36+'MK Short-Term'!AO36</x:f>
        <x:v>0</x:v>
      </x:c>
      <x:c r="AP36" s="36" t="n">
        <x:f>'CF Short-Term'!AP36+'MK Short-Term'!AP36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'CF Short-Term'!G37+'MK Short-Term'!G37</x:f>
        <x:v>0</x:v>
      </x:c>
      <x:c r="H37" s="36" t="n">
        <x:f>'CF Short-Term'!H37+'MK Short-Term'!H37</x:f>
        <x:v>0</x:v>
      </x:c>
      <x:c r="I37" s="36" t="n">
        <x:f>'CF Short-Term'!I37+'MK Short-Term'!I37</x:f>
        <x:v>0</x:v>
      </x:c>
      <x:c r="J37" s="36" t="n">
        <x:f>'CF Short-Term'!J37+'MK Short-Term'!J37</x:f>
        <x:v>0</x:v>
      </x:c>
      <x:c r="K37" s="36" t="n">
        <x:f>'CF Short-Term'!K37+'MK Short-Term'!K37</x:f>
        <x:v>0</x:v>
      </x:c>
      <x:c r="L37" s="36" t="n">
        <x:f>'CF Short-Term'!L37+'MK Short-Term'!L37</x:f>
        <x:v>0</x:v>
      </x:c>
      <x:c r="M37" s="36" t="n">
        <x:f>'CF Short-Term'!M37+'MK Short-Term'!M37</x:f>
        <x:v>0</x:v>
      </x:c>
      <x:c r="N37" s="36" t="n">
        <x:f>'CF Short-Term'!N37+'MK Short-Term'!N37</x:f>
        <x:v>0</x:v>
      </x:c>
      <x:c r="O37" s="36" t="n">
        <x:f>'CF Short-Term'!O37+'MK Short-Term'!O37</x:f>
        <x:v>0</x:v>
      </x:c>
      <x:c r="P37" s="36" t="n">
        <x:f>'CF Short-Term'!P37+'MK Short-Term'!P37</x:f>
        <x:v>0</x:v>
      </x:c>
      <x:c r="Q37" s="36" t="n">
        <x:f>'CF Short-Term'!Q37+'MK Short-Term'!Q37</x:f>
        <x:v>0</x:v>
      </x:c>
      <x:c r="R37" s="36" t="n">
        <x:f>'CF Short-Term'!R37+'MK Short-Term'!R37</x:f>
        <x:v>0</x:v>
      </x:c>
      <x:c r="S37" s="36" t="n">
        <x:f>'CF Short-Term'!S37+'MK Short-Term'!S37</x:f>
        <x:v>0</x:v>
      </x:c>
      <x:c r="T37" s="36" t="n">
        <x:f>'CF Short-Term'!T37+'MK Short-Term'!T37</x:f>
        <x:v>0</x:v>
      </x:c>
      <x:c r="U37" s="36" t="n">
        <x:f>'CF Short-Term'!U37+'MK Short-Term'!U37</x:f>
        <x:v>0</x:v>
      </x:c>
      <x:c r="V37" s="36" t="n">
        <x:f>'CF Short-Term'!V37+'MK Short-Term'!V37</x:f>
        <x:v>0</x:v>
      </x:c>
      <x:c r="W37" s="36" t="n">
        <x:f>'CF Short-Term'!W37+'MK Short-Term'!W37</x:f>
        <x:v>0</x:v>
      </x:c>
      <x:c r="X37" s="36" t="n">
        <x:f>'CF Short-Term'!X37+'MK Short-Term'!X37</x:f>
        <x:v>0</x:v>
      </x:c>
      <x:c r="Y37" s="36" t="n">
        <x:f>'CF Short-Term'!Y37+'MK Short-Term'!Y37</x:f>
        <x:v>0</x:v>
      </x:c>
      <x:c r="Z37" s="36" t="n">
        <x:f>'CF Short-Term'!Z37+'MK Short-Term'!Z37</x:f>
        <x:v>0</x:v>
      </x:c>
      <x:c r="AA37" s="36" t="n">
        <x:f>'CF Short-Term'!AA37+'MK Short-Term'!AA37</x:f>
        <x:v>0</x:v>
      </x:c>
      <x:c r="AB37" s="36" t="n">
        <x:f>'CF Short-Term'!AB37+'MK Short-Term'!AB37</x:f>
        <x:v>0</x:v>
      </x:c>
      <x:c r="AC37" s="36" t="n">
        <x:f>'CF Short-Term'!AC37+'MK Short-Term'!AC37</x:f>
        <x:v>0</x:v>
      </x:c>
      <x:c r="AD37" s="36" t="n">
        <x:f>'CF Short-Term'!AD37+'MK Short-Term'!AD37</x:f>
        <x:v>0</x:v>
      </x:c>
      <x:c r="AE37" s="36" t="n">
        <x:f>'CF Short-Term'!AE37+'MK Short-Term'!AE37</x:f>
        <x:v>0</x:v>
      </x:c>
      <x:c r="AF37" s="36" t="n">
        <x:f>'CF Short-Term'!AF37+'MK Short-Term'!AF37</x:f>
        <x:v>0</x:v>
      </x:c>
      <x:c r="AG37" s="36" t="n">
        <x:f>'CF Short-Term'!AG37+'MK Short-Term'!AG37</x:f>
        <x:v>0</x:v>
      </x:c>
      <x:c r="AH37" s="36" t="n">
        <x:f>'CF Short-Term'!AH37+'MK Short-Term'!AH37</x:f>
        <x:v>0</x:v>
      </x:c>
      <x:c r="AI37" s="36" t="n">
        <x:f>'CF Short-Term'!AI37+'MK Short-Term'!AI37</x:f>
        <x:v>0</x:v>
      </x:c>
      <x:c r="AJ37" s="36" t="n">
        <x:f>'CF Short-Term'!AJ37+'MK Short-Term'!AJ37</x:f>
        <x:v>0</x:v>
      </x:c>
      <x:c r="AK37" s="36" t="n">
        <x:f>'CF Short-Term'!AK37+'MK Short-Term'!AK37</x:f>
        <x:v>0</x:v>
      </x:c>
      <x:c r="AL37" s="36" t="n">
        <x:f>'CF Short-Term'!AL37+'MK Short-Term'!AL37</x:f>
        <x:v>0</x:v>
      </x:c>
      <x:c r="AM37" s="36" t="n">
        <x:f>'CF Short-Term'!AM37+'MK Short-Term'!AM37</x:f>
        <x:v>0</x:v>
      </x:c>
      <x:c r="AN37" s="36" t="n">
        <x:f>'CF Short-Term'!AN37+'MK Short-Term'!AN37</x:f>
        <x:v>0</x:v>
      </x:c>
      <x:c r="AO37" s="36" t="n">
        <x:f>'CF Short-Term'!AO37+'MK Short-Term'!AO37</x:f>
        <x:v>0</x:v>
      </x:c>
      <x:c r="AP37" s="36" t="n">
        <x:f>'CF Short-Term'!AP37+'MK Short-Term'!AP37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3" hidden="0" customWidth="1"/>
    <x:col min="5" max="5" width="17" hidden="0" customWidth="1"/>
    <x:col min="6" max="6" width="3" hidden="0" customWidth="1"/>
    <x:col min="7" max="7" width="14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Installment build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Loan-type totals from the two product segment builds.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2"/>
      <x:c r="D6" s="2"/>
      <x:c r="E6" s="2"/>
      <x:c r="F6" s="2"/>
      <x:c r="G6" s="19" t="n">
        <x:v>1</x:v>
      </x:c>
      <x:c r="H6" s="19" t="n">
        <x:v>2</x:v>
      </x:c>
      <x:c r="I6" s="19" t="n">
        <x:v>3</x:v>
      </x:c>
      <x:c r="J6" s="19" t="n">
        <x:v>4</x:v>
      </x:c>
      <x:c r="K6" s="19" t="n">
        <x:v>5</x:v>
      </x:c>
      <x:c r="L6" s="19" t="n">
        <x:v>6</x:v>
      </x:c>
      <x:c r="M6" s="19" t="n">
        <x:v>7</x:v>
      </x:c>
      <x:c r="N6" s="19" t="n">
        <x:v>8</x:v>
      </x:c>
      <x:c r="O6" s="19" t="n">
        <x:v>9</x:v>
      </x:c>
      <x:c r="P6" s="19" t="n">
        <x:v>10</x:v>
      </x:c>
      <x:c r="Q6" s="19" t="n">
        <x:v>11</x:v>
      </x:c>
      <x:c r="R6" s="19" t="n">
        <x:v>12</x:v>
      </x:c>
      <x:c r="S6" s="19" t="n">
        <x:v>13</x:v>
      </x:c>
      <x:c r="T6" s="19" t="n">
        <x:v>14</x:v>
      </x:c>
      <x:c r="U6" s="19" t="n">
        <x:v>15</x:v>
      </x:c>
      <x:c r="V6" s="19" t="n">
        <x:v>16</x:v>
      </x:c>
      <x:c r="W6" s="19" t="n">
        <x:v>17</x:v>
      </x:c>
      <x:c r="X6" s="19" t="n">
        <x:v>18</x:v>
      </x:c>
      <x:c r="Y6" s="19" t="n">
        <x:v>19</x:v>
      </x:c>
      <x:c r="Z6" s="19" t="n">
        <x:v>20</x:v>
      </x:c>
      <x:c r="AA6" s="19" t="n">
        <x:v>21</x:v>
      </x:c>
      <x:c r="AB6" s="19" t="n">
        <x:v>22</x:v>
      </x:c>
      <x:c r="AC6" s="19" t="n">
        <x:v>23</x:v>
      </x:c>
      <x:c r="AD6" s="19" t="n">
        <x:v>24</x:v>
      </x:c>
      <x:c r="AE6" s="19" t="n">
        <x:v>25</x:v>
      </x:c>
      <x:c r="AF6" s="19" t="n">
        <x:v>26</x:v>
      </x:c>
      <x:c r="AG6" s="19" t="n">
        <x:v>27</x:v>
      </x:c>
      <x:c r="AH6" s="19" t="n">
        <x:v>28</x:v>
      </x:c>
      <x:c r="AI6" s="19" t="n">
        <x:v>29</x:v>
      </x:c>
      <x:c r="AJ6" s="19" t="n">
        <x:v>30</x:v>
      </x:c>
      <x:c r="AK6" s="19" t="n">
        <x:v>31</x:v>
      </x:c>
      <x:c r="AL6" s="19" t="n">
        <x:v>32</x:v>
      </x:c>
      <x:c r="AM6" s="19" t="n">
        <x:v>33</x:v>
      </x:c>
      <x:c r="AN6" s="19" t="n">
        <x:v>34</x:v>
      </x:c>
      <x:c r="AO6" s="19" t="n">
        <x:v>35</x:v>
      </x:c>
      <x:c r="AP6" s="19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288000</x:v>
      </x:c>
      <x:c r="F8" s="2"/>
      <x:c r="G8" s="37" t="n">
        <x:f>'CF Installment'!G8+'MK Installment'!G8</x:f>
        <x:v>12000</x:v>
      </x:c>
      <x:c r="H8" s="37" t="n">
        <x:f>'CF Installment'!H8+'MK Installment'!H8</x:f>
        <x:v>12000</x:v>
      </x:c>
      <x:c r="I8" s="37" t="n">
        <x:f>'CF Installment'!I8+'MK Installment'!I8</x:f>
        <x:v>12000</x:v>
      </x:c>
      <x:c r="J8" s="37" t="n">
        <x:f>'CF Installment'!J8+'MK Installment'!J8</x:f>
        <x:v>12000</x:v>
      </x:c>
      <x:c r="K8" s="37" t="n">
        <x:f>'CF Installment'!K8+'MK Installment'!K8</x:f>
        <x:v>12000</x:v>
      </x:c>
      <x:c r="L8" s="37" t="n">
        <x:f>'CF Installment'!L8+'MK Installment'!L8</x:f>
        <x:v>12000</x:v>
      </x:c>
      <x:c r="M8" s="37" t="n">
        <x:f>'CF Installment'!M8+'MK Installment'!M8</x:f>
        <x:v>12000</x:v>
      </x:c>
      <x:c r="N8" s="37" t="n">
        <x:f>'CF Installment'!N8+'MK Installment'!N8</x:f>
        <x:v>12000</x:v>
      </x:c>
      <x:c r="O8" s="37" t="n">
        <x:f>'CF Installment'!O8+'MK Installment'!O8</x:f>
        <x:v>12000</x:v>
      </x:c>
      <x:c r="P8" s="37" t="n">
        <x:f>'CF Installment'!P8+'MK Installment'!P8</x:f>
        <x:v>12000</x:v>
      </x:c>
      <x:c r="Q8" s="37" t="n">
        <x:f>'CF Installment'!Q8+'MK Installment'!Q8</x:f>
        <x:v>12000</x:v>
      </x:c>
      <x:c r="R8" s="37" t="n">
        <x:f>'CF Installment'!R8+'MK Installment'!R8</x:f>
        <x:v>12000</x:v>
      </x:c>
      <x:c r="S8" s="37" t="n">
        <x:f>'CF Installment'!S8+'MK Installment'!S8</x:f>
        <x:v>12000</x:v>
      </x:c>
      <x:c r="T8" s="37" t="n">
        <x:f>'CF Installment'!T8+'MK Installment'!T8</x:f>
        <x:v>12000</x:v>
      </x:c>
      <x:c r="U8" s="37" t="n">
        <x:f>'CF Installment'!U8+'MK Installment'!U8</x:f>
        <x:v>12000</x:v>
      </x:c>
      <x:c r="V8" s="37" t="n">
        <x:f>'CF Installment'!V8+'MK Installment'!V8</x:f>
        <x:v>12000</x:v>
      </x:c>
      <x:c r="W8" s="37" t="n">
        <x:f>'CF Installment'!W8+'MK Installment'!W8</x:f>
        <x:v>12000</x:v>
      </x:c>
      <x:c r="X8" s="37" t="n">
        <x:f>'CF Installment'!X8+'MK Installment'!X8</x:f>
        <x:v>12000</x:v>
      </x:c>
      <x:c r="Y8" s="37" t="n">
        <x:f>'CF Installment'!Y8+'MK Installment'!Y8</x:f>
        <x:v>12000</x:v>
      </x:c>
      <x:c r="Z8" s="37" t="n">
        <x:f>'CF Installment'!Z8+'MK Installment'!Z8</x:f>
        <x:v>12000</x:v>
      </x:c>
      <x:c r="AA8" s="37" t="n">
        <x:f>'CF Installment'!AA8+'MK Installment'!AA8</x:f>
        <x:v>12000</x:v>
      </x:c>
      <x:c r="AB8" s="37" t="n">
        <x:f>'CF Installment'!AB8+'MK Installment'!AB8</x:f>
        <x:v>12000</x:v>
      </x:c>
      <x:c r="AC8" s="37" t="n">
        <x:f>'CF Installment'!AC8+'MK Installment'!AC8</x:f>
        <x:v>12000</x:v>
      </x:c>
      <x:c r="AD8" s="37" t="n">
        <x:f>'CF Installment'!AD8+'MK Installment'!AD8</x:f>
        <x:v>12000</x:v>
      </x:c>
      <x:c r="AE8" s="37" t="n">
        <x:f>'CF Installment'!AE8+'MK Installment'!AE8</x:f>
        <x:v>12000</x:v>
      </x:c>
      <x:c r="AF8" s="37" t="n">
        <x:f>'CF Installment'!AF8+'MK Installment'!AF8</x:f>
        <x:v>12000</x:v>
      </x:c>
      <x:c r="AG8" s="37" t="n">
        <x:f>'CF Installment'!AG8+'MK Installment'!AG8</x:f>
        <x:v>12000</x:v>
      </x:c>
      <x:c r="AH8" s="37" t="n">
        <x:f>'CF Installment'!AH8+'MK Installment'!AH8</x:f>
        <x:v>12000</x:v>
      </x:c>
      <x:c r="AI8" s="37" t="n">
        <x:f>'CF Installment'!AI8+'MK Installment'!AI8</x:f>
        <x:v>12000</x:v>
      </x:c>
      <x:c r="AJ8" s="37" t="n">
        <x:f>'CF Installment'!AJ8+'MK Installment'!AJ8</x:f>
        <x:v>12000</x:v>
      </x:c>
      <x:c r="AK8" s="37" t="n">
        <x:f>'CF Installment'!AK8+'MK Installment'!AK8</x:f>
        <x:v>12000</x:v>
      </x:c>
      <x:c r="AL8" s="37" t="n">
        <x:f>'CF Installment'!AL8+'MK Installment'!AL8</x:f>
        <x:v>12000</x:v>
      </x:c>
      <x:c r="AM8" s="37" t="n">
        <x:f>'CF Installment'!AM8+'MK Installment'!AM8</x:f>
        <x:v>12000</x:v>
      </x:c>
      <x:c r="AN8" s="37" t="n">
        <x:f>'CF Installment'!AN8+'MK Installment'!AN8</x:f>
        <x:v>12000</x:v>
      </x:c>
      <x:c r="AO8" s="37" t="n">
        <x:f>'CF Installment'!AO8+'MK Installment'!AO8</x:f>
        <x:v>12000</x:v>
      </x:c>
      <x:c r="AP8" s="37" t="n">
        <x:f>'CF Installment'!AP8+'MK Installment'!AP8</x:f>
        <x:v>12000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12" t="n">
        <x:f>'CF Installment'!G9</x:f>
        <x:v>0.45</x:v>
      </x:c>
      <x:c r="H9" s="12" t="n">
        <x:f>'CF Installment'!H9</x:f>
        <x:v>0.45</x:v>
      </x:c>
      <x:c r="I9" s="12" t="n">
        <x:f>'CF Installment'!I9</x:f>
        <x:v>0.45</x:v>
      </x:c>
      <x:c r="J9" s="12" t="n">
        <x:f>'CF Installment'!J9</x:f>
        <x:v>0.45</x:v>
      </x:c>
      <x:c r="K9" s="12" t="n">
        <x:f>'CF Installment'!K9</x:f>
        <x:v>0.45</x:v>
      </x:c>
      <x:c r="L9" s="12" t="n">
        <x:f>'CF Installment'!L9</x:f>
        <x:v>0.45</x:v>
      </x:c>
      <x:c r="M9" s="12" t="n">
        <x:f>'CF Installment'!M9</x:f>
        <x:v>0.45</x:v>
      </x:c>
      <x:c r="N9" s="12" t="n">
        <x:f>'CF Installment'!N9</x:f>
        <x:v>0.45</x:v>
      </x:c>
      <x:c r="O9" s="12" t="n">
        <x:f>'CF Installment'!O9</x:f>
        <x:v>0.45</x:v>
      </x:c>
      <x:c r="P9" s="12" t="n">
        <x:f>'CF Installment'!P9</x:f>
        <x:v>0.45</x:v>
      </x:c>
      <x:c r="Q9" s="12" t="n">
        <x:f>'CF Installment'!Q9</x:f>
        <x:v>0.45</x:v>
      </x:c>
      <x:c r="R9" s="12" t="n">
        <x:f>'CF Installment'!R9</x:f>
        <x:v>0.45</x:v>
      </x:c>
      <x:c r="S9" s="12" t="n">
        <x:f>'CF Installment'!S9</x:f>
        <x:v>0.45</x:v>
      </x:c>
      <x:c r="T9" s="12" t="n">
        <x:f>'CF Installment'!T9</x:f>
        <x:v>0.45</x:v>
      </x:c>
      <x:c r="U9" s="12" t="n">
        <x:f>'CF Installment'!U9</x:f>
        <x:v>0.45</x:v>
      </x:c>
      <x:c r="V9" s="12" t="n">
        <x:f>'CF Installment'!V9</x:f>
        <x:v>0.45</x:v>
      </x:c>
      <x:c r="W9" s="12" t="n">
        <x:f>'CF Installment'!W9</x:f>
        <x:v>0.45</x:v>
      </x:c>
      <x:c r="X9" s="12" t="n">
        <x:f>'CF Installment'!X9</x:f>
        <x:v>0.45</x:v>
      </x:c>
      <x:c r="Y9" s="12" t="n">
        <x:f>'CF Installment'!Y9</x:f>
        <x:v>0.45</x:v>
      </x:c>
      <x:c r="Z9" s="12" t="n">
        <x:f>'CF Installment'!Z9</x:f>
        <x:v>0.45</x:v>
      </x:c>
      <x:c r="AA9" s="12" t="n">
        <x:f>'CF Installment'!AA9</x:f>
        <x:v>0.45</x:v>
      </x:c>
      <x:c r="AB9" s="12" t="n">
        <x:f>'CF Installment'!AB9</x:f>
        <x:v>0.45</x:v>
      </x:c>
      <x:c r="AC9" s="12" t="n">
        <x:f>'CF Installment'!AC9</x:f>
        <x:v>0.45</x:v>
      </x:c>
      <x:c r="AD9" s="12" t="n">
        <x:f>'CF Installment'!AD9</x:f>
        <x:v>0.45</x:v>
      </x:c>
      <x:c r="AE9" s="12" t="n">
        <x:f>'CF Installment'!AE9</x:f>
        <x:v>0.45</x:v>
      </x:c>
      <x:c r="AF9" s="12" t="n">
        <x:f>'CF Installment'!AF9</x:f>
        <x:v>0.45</x:v>
      </x:c>
      <x:c r="AG9" s="12" t="n">
        <x:f>'CF Installment'!AG9</x:f>
        <x:v>0.45</x:v>
      </x:c>
      <x:c r="AH9" s="12" t="n">
        <x:f>'CF Installment'!AH9</x:f>
        <x:v>0.45</x:v>
      </x:c>
      <x:c r="AI9" s="12" t="n">
        <x:f>'CF Installment'!AI9</x:f>
        <x:v>0.45</x:v>
      </x:c>
      <x:c r="AJ9" s="12" t="n">
        <x:f>'CF Installment'!AJ9</x:f>
        <x:v>0.45</x:v>
      </x:c>
      <x:c r="AK9" s="12" t="n">
        <x:f>'CF Installment'!AK9</x:f>
        <x:v>0.45</x:v>
      </x:c>
      <x:c r="AL9" s="12" t="n">
        <x:f>'CF Installment'!AL9</x:f>
        <x:v>0.45</x:v>
      </x:c>
      <x:c r="AM9" s="12" t="n">
        <x:f>'CF Installment'!AM9</x:f>
        <x:v>0.45</x:v>
      </x:c>
      <x:c r="AN9" s="12" t="n">
        <x:f>'CF Installment'!AN9</x:f>
        <x:v>0.45</x:v>
      </x:c>
      <x:c r="AO9" s="12" t="n">
        <x:f>'CF Installment'!AO9</x:f>
        <x:v>0.45</x:v>
      </x:c>
      <x:c r="AP9" s="12" t="n">
        <x:f>'CF Installment'!AP9</x:f>
        <x:v>0.45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48" t="n">
        <x:f>'CF Installment'!G10</x:f>
        <x:v>4000</x:v>
      </x:c>
      <x:c r="H10" s="48" t="n">
        <x:f>'CF Installment'!H10</x:f>
        <x:v>4000</x:v>
      </x:c>
      <x:c r="I10" s="48" t="n">
        <x:f>'CF Installment'!I10</x:f>
        <x:v>4000</x:v>
      </x:c>
      <x:c r="J10" s="48" t="n">
        <x:f>'CF Installment'!J10</x:f>
        <x:v>4000</x:v>
      </x:c>
      <x:c r="K10" s="48" t="n">
        <x:f>'CF Installment'!K10</x:f>
        <x:v>4000</x:v>
      </x:c>
      <x:c r="L10" s="48" t="n">
        <x:f>'CF Installment'!L10</x:f>
        <x:v>4000</x:v>
      </x:c>
      <x:c r="M10" s="48" t="n">
        <x:f>'CF Installment'!M10</x:f>
        <x:v>4000</x:v>
      </x:c>
      <x:c r="N10" s="48" t="n">
        <x:f>'CF Installment'!N10</x:f>
        <x:v>4000</x:v>
      </x:c>
      <x:c r="O10" s="48" t="n">
        <x:f>'CF Installment'!O10</x:f>
        <x:v>4000</x:v>
      </x:c>
      <x:c r="P10" s="48" t="n">
        <x:f>'CF Installment'!P10</x:f>
        <x:v>4000</x:v>
      </x:c>
      <x:c r="Q10" s="48" t="n">
        <x:f>'CF Installment'!Q10</x:f>
        <x:v>4000</x:v>
      </x:c>
      <x:c r="R10" s="48" t="n">
        <x:f>'CF Installment'!R10</x:f>
        <x:v>4000</x:v>
      </x:c>
      <x:c r="S10" s="48" t="n">
        <x:f>'CF Installment'!S10</x:f>
        <x:v>4000</x:v>
      </x:c>
      <x:c r="T10" s="48" t="n">
        <x:f>'CF Installment'!T10</x:f>
        <x:v>4000</x:v>
      </x:c>
      <x:c r="U10" s="48" t="n">
        <x:f>'CF Installment'!U10</x:f>
        <x:v>4000</x:v>
      </x:c>
      <x:c r="V10" s="48" t="n">
        <x:f>'CF Installment'!V10</x:f>
        <x:v>4000</x:v>
      </x:c>
      <x:c r="W10" s="48" t="n">
        <x:f>'CF Installment'!W10</x:f>
        <x:v>4000</x:v>
      </x:c>
      <x:c r="X10" s="48" t="n">
        <x:f>'CF Installment'!X10</x:f>
        <x:v>4000</x:v>
      </x:c>
      <x:c r="Y10" s="48" t="n">
        <x:f>'CF Installment'!Y10</x:f>
        <x:v>4000</x:v>
      </x:c>
      <x:c r="Z10" s="48" t="n">
        <x:f>'CF Installment'!Z10</x:f>
        <x:v>4000</x:v>
      </x:c>
      <x:c r="AA10" s="48" t="n">
        <x:f>'CF Installment'!AA10</x:f>
        <x:v>4000</x:v>
      </x:c>
      <x:c r="AB10" s="48" t="n">
        <x:f>'CF Installment'!AB10</x:f>
        <x:v>4000</x:v>
      </x:c>
      <x:c r="AC10" s="48" t="n">
        <x:f>'CF Installment'!AC10</x:f>
        <x:v>4000</x:v>
      </x:c>
      <x:c r="AD10" s="48" t="n">
        <x:f>'CF Installment'!AD10</x:f>
        <x:v>4000</x:v>
      </x:c>
      <x:c r="AE10" s="48" t="n">
        <x:f>'CF Installment'!AE10</x:f>
        <x:v>4000</x:v>
      </x:c>
      <x:c r="AF10" s="48" t="n">
        <x:f>'CF Installment'!AF10</x:f>
        <x:v>4000</x:v>
      </x:c>
      <x:c r="AG10" s="48" t="n">
        <x:f>'CF Installment'!AG10</x:f>
        <x:v>4000</x:v>
      </x:c>
      <x:c r="AH10" s="48" t="n">
        <x:f>'CF Installment'!AH10</x:f>
        <x:v>4000</x:v>
      </x:c>
      <x:c r="AI10" s="48" t="n">
        <x:f>'CF Installment'!AI10</x:f>
        <x:v>4000</x:v>
      </x:c>
      <x:c r="AJ10" s="48" t="n">
        <x:f>'CF Installment'!AJ10</x:f>
        <x:v>4000</x:v>
      </x:c>
      <x:c r="AK10" s="48" t="n">
        <x:f>'CF Installment'!AK10</x:f>
        <x:v>4000</x:v>
      </x:c>
      <x:c r="AL10" s="48" t="n">
        <x:f>'CF Installment'!AL10</x:f>
        <x:v>4000</x:v>
      </x:c>
      <x:c r="AM10" s="48" t="n">
        <x:f>'CF Installment'!AM10</x:f>
        <x:v>4000</x:v>
      </x:c>
      <x:c r="AN10" s="48" t="n">
        <x:f>'CF Installment'!AN10</x:f>
        <x:v>4000</x:v>
      </x:c>
      <x:c r="AO10" s="48" t="n">
        <x:f>'CF Installment'!AO10</x:f>
        <x:v>4000</x:v>
      </x:c>
      <x:c r="AP10" s="48" t="n">
        <x:f>'CF Installment'!AP10</x:f>
        <x:v>4000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2" t="str">
        <x:v>Originations</x:v>
      </x:c>
      <x:c r="D11" s="2"/>
      <x:c r="E11" s="35" t="n">
        <x:f>SUMIFS(G11:AP11,$G$6:$AP$6,"&lt;="&amp;'Assumptions'!$E$7)</x:f>
        <x:v>518400000</x:v>
      </x:c>
      <x:c r="F11" s="2"/>
      <x:c r="G11" s="35" t="n">
        <x:f>'CF Installment'!G11+'MK Installment'!G11</x:f>
        <x:v>21600000</x:v>
      </x:c>
      <x:c r="H11" s="35" t="n">
        <x:f>'CF Installment'!H11+'MK Installment'!H11</x:f>
        <x:v>21600000</x:v>
      </x:c>
      <x:c r="I11" s="35" t="n">
        <x:f>'CF Installment'!I11+'MK Installment'!I11</x:f>
        <x:v>21600000</x:v>
      </x:c>
      <x:c r="J11" s="35" t="n">
        <x:f>'CF Installment'!J11+'MK Installment'!J11</x:f>
        <x:v>21600000</x:v>
      </x:c>
      <x:c r="K11" s="35" t="n">
        <x:f>'CF Installment'!K11+'MK Installment'!K11</x:f>
        <x:v>21600000</x:v>
      </x:c>
      <x:c r="L11" s="35" t="n">
        <x:f>'CF Installment'!L11+'MK Installment'!L11</x:f>
        <x:v>21600000</x:v>
      </x:c>
      <x:c r="M11" s="35" t="n">
        <x:f>'CF Installment'!M11+'MK Installment'!M11</x:f>
        <x:v>21600000</x:v>
      </x:c>
      <x:c r="N11" s="35" t="n">
        <x:f>'CF Installment'!N11+'MK Installment'!N11</x:f>
        <x:v>21600000</x:v>
      </x:c>
      <x:c r="O11" s="35" t="n">
        <x:f>'CF Installment'!O11+'MK Installment'!O11</x:f>
        <x:v>21600000</x:v>
      </x:c>
      <x:c r="P11" s="35" t="n">
        <x:f>'CF Installment'!P11+'MK Installment'!P11</x:f>
        <x:v>21600000</x:v>
      </x:c>
      <x:c r="Q11" s="35" t="n">
        <x:f>'CF Installment'!Q11+'MK Installment'!Q11</x:f>
        <x:v>21600000</x:v>
      </x:c>
      <x:c r="R11" s="35" t="n">
        <x:f>'CF Installment'!R11+'MK Installment'!R11</x:f>
        <x:v>21600000</x:v>
      </x:c>
      <x:c r="S11" s="35" t="n">
        <x:f>'CF Installment'!S11+'MK Installment'!S11</x:f>
        <x:v>21600000</x:v>
      </x:c>
      <x:c r="T11" s="35" t="n">
        <x:f>'CF Installment'!T11+'MK Installment'!T11</x:f>
        <x:v>21600000</x:v>
      </x:c>
      <x:c r="U11" s="35" t="n">
        <x:f>'CF Installment'!U11+'MK Installment'!U11</x:f>
        <x:v>21600000</x:v>
      </x:c>
      <x:c r="V11" s="35" t="n">
        <x:f>'CF Installment'!V11+'MK Installment'!V11</x:f>
        <x:v>21600000</x:v>
      </x:c>
      <x:c r="W11" s="35" t="n">
        <x:f>'CF Installment'!W11+'MK Installment'!W11</x:f>
        <x:v>21600000</x:v>
      </x:c>
      <x:c r="X11" s="35" t="n">
        <x:f>'CF Installment'!X11+'MK Installment'!X11</x:f>
        <x:v>21600000</x:v>
      </x:c>
      <x:c r="Y11" s="35" t="n">
        <x:f>'CF Installment'!Y11+'MK Installment'!Y11</x:f>
        <x:v>21600000</x:v>
      </x:c>
      <x:c r="Z11" s="35" t="n">
        <x:f>'CF Installment'!Z11+'MK Installment'!Z11</x:f>
        <x:v>21600000</x:v>
      </x:c>
      <x:c r="AA11" s="35" t="n">
        <x:f>'CF Installment'!AA11+'MK Installment'!AA11</x:f>
        <x:v>21600000</x:v>
      </x:c>
      <x:c r="AB11" s="35" t="n">
        <x:f>'CF Installment'!AB11+'MK Installment'!AB11</x:f>
        <x:v>21600000</x:v>
      </x:c>
      <x:c r="AC11" s="35" t="n">
        <x:f>'CF Installment'!AC11+'MK Installment'!AC11</x:f>
        <x:v>21600000</x:v>
      </x:c>
      <x:c r="AD11" s="35" t="n">
        <x:f>'CF Installment'!AD11+'MK Installment'!AD11</x:f>
        <x:v>21600000</x:v>
      </x:c>
      <x:c r="AE11" s="35" t="n">
        <x:f>'CF Installment'!AE11+'MK Installment'!AE11</x:f>
        <x:v>21600000</x:v>
      </x:c>
      <x:c r="AF11" s="35" t="n">
        <x:f>'CF Installment'!AF11+'MK Installment'!AF11</x:f>
        <x:v>21600000</x:v>
      </x:c>
      <x:c r="AG11" s="35" t="n">
        <x:f>'CF Installment'!AG11+'MK Installment'!AG11</x:f>
        <x:v>21600000</x:v>
      </x:c>
      <x:c r="AH11" s="35" t="n">
        <x:f>'CF Installment'!AH11+'MK Installment'!AH11</x:f>
        <x:v>21600000</x:v>
      </x:c>
      <x:c r="AI11" s="35" t="n">
        <x:f>'CF Installment'!AI11+'MK Installment'!AI11</x:f>
        <x:v>21600000</x:v>
      </x:c>
      <x:c r="AJ11" s="35" t="n">
        <x:f>'CF Installment'!AJ11+'MK Installment'!AJ11</x:f>
        <x:v>21600000</x:v>
      </x:c>
      <x:c r="AK11" s="35" t="n">
        <x:f>'CF Installment'!AK11+'MK Installment'!AK11</x:f>
        <x:v>21600000</x:v>
      </x:c>
      <x:c r="AL11" s="35" t="n">
        <x:f>'CF Installment'!AL11+'MK Installment'!AL11</x:f>
        <x:v>21600000</x:v>
      </x:c>
      <x:c r="AM11" s="35" t="n">
        <x:f>'CF Installment'!AM11+'MK Installment'!AM11</x:f>
        <x:v>21600000</x:v>
      </x:c>
      <x:c r="AN11" s="35" t="n">
        <x:f>'CF Installment'!AN11+'MK Installment'!AN11</x:f>
        <x:v>21600000</x:v>
      </x:c>
      <x:c r="AO11" s="35" t="n">
        <x:f>'CF Installment'!AO11+'MK Installment'!AO11</x:f>
        <x:v>21600000</x:v>
      </x:c>
      <x:c r="AP11" s="35" t="n">
        <x:f>'CF Installment'!AP11+'MK Installment'!AP11</x:f>
        <x:v>21600000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2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383400000</x:v>
      </x:c>
      <x:c r="F13" s="2"/>
      <x:c r="G13" s="35" t="n">
        <x:f>'CF Installment'!G13+'MK Installment'!G13</x:f>
        <x:v>383400000</x:v>
      </x:c>
      <x:c r="H13" s="35" t="n">
        <x:f>'CF Installment'!H13+'MK Installment'!H13</x:f>
        <x:v>224688808.6413032</x:v>
      </x:c>
      <x:c r="I13" s="35" t="n">
        <x:f>'CF Installment'!I13+'MK Installment'!I13</x:f>
        <x:v>147904773.0115946</x:v>
      </x:c>
      <x:c r="J13" s="35" t="n">
        <x:f>'CF Installment'!J13+'MK Installment'!J13</x:f>
        <x:v>107393126.28093366</x:v>
      </x:c>
      <x:c r="K13" s="35" t="n">
        <x:f>'CF Installment'!K13+'MK Installment'!K13</x:f>
        <x:v>85751729.46393454</x:v>
      </x:c>
      <x:c r="L13" s="35" t="n">
        <x:f>'CF Installment'!L13+'MK Installment'!L13</x:f>
        <x:v>74364321.33892399</x:v>
      </x:c>
      <x:c r="M13" s="35" t="n">
        <x:f>'CF Installment'!M13+'MK Installment'!M13</x:f>
        <x:v>68606103.5615182</x:v>
      </x:c>
      <x:c r="N13" s="35" t="n">
        <x:f>'CF Installment'!N13+'MK Installment'!N13</x:f>
        <x:v>65742855.884121224</x:v>
      </x:c>
      <x:c r="O13" s="35" t="n">
        <x:f>'CF Installment'!O13+'MK Installment'!O13</x:f>
        <x:v>64494018.04285487</x:v>
      </x:c>
      <x:c r="P13" s="35" t="n">
        <x:f>'CF Installment'!P13+'MK Installment'!P13</x:f>
        <x:v>64099838.555728525</x:v>
      </x:c>
      <x:c r="Q13" s="35" t="n">
        <x:f>'CF Installment'!Q13+'MK Installment'!Q13</x:f>
        <x:v>64099838.55572853</x:v>
      </x:c>
      <x:c r="R13" s="35" t="n">
        <x:f>'CF Installment'!R13+'MK Installment'!R13</x:f>
        <x:v>64099838.55572853</x:v>
      </x:c>
      <x:c r="S13" s="35" t="n">
        <x:f>'CF Installment'!S13+'MK Installment'!S13</x:f>
        <x:v>64099838.55572853</x:v>
      </x:c>
      <x:c r="T13" s="35" t="n">
        <x:f>'CF Installment'!T13+'MK Installment'!T13</x:f>
        <x:v>64099838.55572853</x:v>
      </x:c>
      <x:c r="U13" s="35" t="n">
        <x:f>'CF Installment'!U13+'MK Installment'!U13</x:f>
        <x:v>64099838.55572853</x:v>
      </x:c>
      <x:c r="V13" s="35" t="n">
        <x:f>'CF Installment'!V13+'MK Installment'!V13</x:f>
        <x:v>64099838.55572853</x:v>
      </x:c>
      <x:c r="W13" s="35" t="n">
        <x:f>'CF Installment'!W13+'MK Installment'!W13</x:f>
        <x:v>64099838.55572853</x:v>
      </x:c>
      <x:c r="X13" s="35" t="n">
        <x:f>'CF Installment'!X13+'MK Installment'!X13</x:f>
        <x:v>64099838.55572853</x:v>
      </x:c>
      <x:c r="Y13" s="35" t="n">
        <x:f>'CF Installment'!Y13+'MK Installment'!Y13</x:f>
        <x:v>64099838.55572853</x:v>
      </x:c>
      <x:c r="Z13" s="35" t="n">
        <x:f>'CF Installment'!Z13+'MK Installment'!Z13</x:f>
        <x:v>64099838.55572853</x:v>
      </x:c>
      <x:c r="AA13" s="35" t="n">
        <x:f>'CF Installment'!AA13+'MK Installment'!AA13</x:f>
        <x:v>64099838.55572853</x:v>
      </x:c>
      <x:c r="AB13" s="35" t="n">
        <x:f>'CF Installment'!AB13+'MK Installment'!AB13</x:f>
        <x:v>64099838.55572853</x:v>
      </x:c>
      <x:c r="AC13" s="35" t="n">
        <x:f>'CF Installment'!AC13+'MK Installment'!AC13</x:f>
        <x:v>64099838.55572853</x:v>
      </x:c>
      <x:c r="AD13" s="35" t="n">
        <x:f>'CF Installment'!AD13+'MK Installment'!AD13</x:f>
        <x:v>64099838.55572853</x:v>
      </x:c>
      <x:c r="AE13" s="35" t="n">
        <x:f>'CF Installment'!AE13+'MK Installment'!AE13</x:f>
        <x:v>64099838.55572853</x:v>
      </x:c>
      <x:c r="AF13" s="35" t="n">
        <x:f>'CF Installment'!AF13+'MK Installment'!AF13</x:f>
        <x:v>64099838.55572853</x:v>
      </x:c>
      <x:c r="AG13" s="35" t="n">
        <x:f>'CF Installment'!AG13+'MK Installment'!AG13</x:f>
        <x:v>64099838.55572853</x:v>
      </x:c>
      <x:c r="AH13" s="35" t="n">
        <x:f>'CF Installment'!AH13+'MK Installment'!AH13</x:f>
        <x:v>64099838.55572853</x:v>
      </x:c>
      <x:c r="AI13" s="35" t="n">
        <x:f>'CF Installment'!AI13+'MK Installment'!AI13</x:f>
        <x:v>64099838.55572853</x:v>
      </x:c>
      <x:c r="AJ13" s="35" t="n">
        <x:f>'CF Installment'!AJ13+'MK Installment'!AJ13</x:f>
        <x:v>64099838.55572853</x:v>
      </x:c>
      <x:c r="AK13" s="35" t="n">
        <x:f>'CF Installment'!AK13+'MK Installment'!AK13</x:f>
        <x:v>64099838.55572853</x:v>
      </x:c>
      <x:c r="AL13" s="35" t="n">
        <x:f>'CF Installment'!AL13+'MK Installment'!AL13</x:f>
        <x:v>64099838.55572853</x:v>
      </x:c>
      <x:c r="AM13" s="35" t="n">
        <x:f>'CF Installment'!AM13+'MK Installment'!AM13</x:f>
        <x:v>64099838.55572853</x:v>
      </x:c>
      <x:c r="AN13" s="35" t="n">
        <x:f>'CF Installment'!AN13+'MK Installment'!AN13</x:f>
        <x:v>64099838.55572853</x:v>
      </x:c>
      <x:c r="AO13" s="35" t="n">
        <x:f>'CF Installment'!AO13+'MK Installment'!AO13</x:f>
        <x:v>64099838.55572853</x:v>
      </x:c>
      <x:c r="AP13" s="35" t="n">
        <x:f>'CF Installment'!AP13+'MK Installment'!AP13</x:f>
        <x:v>64099838.55572853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645713667.6824007</x:v>
      </x:c>
      <x:c r="F14" s="2"/>
      <x:c r="G14" s="35" t="n">
        <x:f>'CF Installment'!G14+'MK Installment'!G14</x:f>
        <x:v>135562894.52578074</x:v>
      </x:c>
      <x:c r="H14" s="35" t="n">
        <x:f>'CF Installment'!H14+'MK Installment'!H14</x:f>
        <x:v>74929975.77164923</x:v>
      </x:c>
      <x:c r="I14" s="35" t="n">
        <x:f>'CF Installment'!I14+'MK Installment'!I14</x:f>
        <x:v>47768036.06561525</x:v>
      </x:c>
      <x:c r="J14" s="35" t="n">
        <x:f>'CF Installment'!J14+'MK Installment'!J14</x:f>
        <x:v>33491121.425742067</x:v>
      </x:c>
      <x:c r="K14" s="35" t="n">
        <x:f>'CF Installment'!K14+'MK Installment'!K14</x:f>
        <x:v>25670851.14548562</x:v>
      </x:c>
      <x:c r="L14" s="35" t="n">
        <x:f>'CF Installment'!L14+'MK Installment'!L14</x:f>
        <x:v>21356689.503522955</x:v>
      </x:c>
      <x:c r="M14" s="35" t="n">
        <x:f>'CF Installment'!M14+'MK Installment'!M14</x:f>
        <x:v>19082015.98839011</x:v>
      </x:c>
      <x:c r="N14" s="35" t="n">
        <x:f>'CF Installment'!N14+'MK Installment'!N14</x:f>
        <x:v>17819812.31228277</x:v>
      </x:c>
      <x:c r="O14" s="35" t="n">
        <x:f>'CF Installment'!O14+'MK Installment'!O14</x:f>
        <x:v>17162211.684631627</x:v>
      </x:c>
      <x:c r="P14" s="35" t="n">
        <x:f>'CF Installment'!P14+'MK Installment'!P14</x:f>
        <x:v>16858003.950620018</x:v>
      </x:c>
      <x:c r="Q14" s="35" t="n">
        <x:f>'CF Installment'!Q14+'MK Installment'!Q14</x:f>
        <x:v>16858003.950620018</x:v>
      </x:c>
      <x:c r="R14" s="35" t="n">
        <x:f>'CF Installment'!R14+'MK Installment'!R14</x:f>
        <x:v>16858003.950620018</x:v>
      </x:c>
      <x:c r="S14" s="35" t="n">
        <x:f>'CF Installment'!S14+'MK Installment'!S14</x:f>
        <x:v>16858003.950620018</x:v>
      </x:c>
      <x:c r="T14" s="35" t="n">
        <x:f>'CF Installment'!T14+'MK Installment'!T14</x:f>
        <x:v>16858003.950620018</x:v>
      </x:c>
      <x:c r="U14" s="35" t="n">
        <x:f>'CF Installment'!U14+'MK Installment'!U14</x:f>
        <x:v>16858003.950620018</x:v>
      </x:c>
      <x:c r="V14" s="35" t="n">
        <x:f>'CF Installment'!V14+'MK Installment'!V14</x:f>
        <x:v>16858003.950620018</x:v>
      </x:c>
      <x:c r="W14" s="35" t="n">
        <x:f>'CF Installment'!W14+'MK Installment'!W14</x:f>
        <x:v>16858003.950620018</x:v>
      </x:c>
      <x:c r="X14" s="35" t="n">
        <x:f>'CF Installment'!X14+'MK Installment'!X14</x:f>
        <x:v>16858003.950620018</x:v>
      </x:c>
      <x:c r="Y14" s="35" t="n">
        <x:f>'CF Installment'!Y14+'MK Installment'!Y14</x:f>
        <x:v>16858003.950620018</x:v>
      </x:c>
      <x:c r="Z14" s="35" t="n">
        <x:f>'CF Installment'!Z14+'MK Installment'!Z14</x:f>
        <x:v>16858003.950620018</x:v>
      </x:c>
      <x:c r="AA14" s="35" t="n">
        <x:f>'CF Installment'!AA14+'MK Installment'!AA14</x:f>
        <x:v>16858003.950620018</x:v>
      </x:c>
      <x:c r="AB14" s="35" t="n">
        <x:f>'CF Installment'!AB14+'MK Installment'!AB14</x:f>
        <x:v>16858003.950620018</x:v>
      </x:c>
      <x:c r="AC14" s="35" t="n">
        <x:f>'CF Installment'!AC14+'MK Installment'!AC14</x:f>
        <x:v>16858003.950620018</x:v>
      </x:c>
      <x:c r="AD14" s="35" t="n">
        <x:f>'CF Installment'!AD14+'MK Installment'!AD14</x:f>
        <x:v>16858003.950620018</x:v>
      </x:c>
      <x:c r="AE14" s="35" t="n">
        <x:f>'CF Installment'!AE14+'MK Installment'!AE14</x:f>
        <x:v>16858003.950620018</x:v>
      </x:c>
      <x:c r="AF14" s="35" t="n">
        <x:f>'CF Installment'!AF14+'MK Installment'!AF14</x:f>
        <x:v>16858003.950620018</x:v>
      </x:c>
      <x:c r="AG14" s="35" t="n">
        <x:f>'CF Installment'!AG14+'MK Installment'!AG14</x:f>
        <x:v>16858003.950620018</x:v>
      </x:c>
      <x:c r="AH14" s="35" t="n">
        <x:f>'CF Installment'!AH14+'MK Installment'!AH14</x:f>
        <x:v>16858003.950620018</x:v>
      </x:c>
      <x:c r="AI14" s="35" t="n">
        <x:f>'CF Installment'!AI14+'MK Installment'!AI14</x:f>
        <x:v>16858003.950620018</x:v>
      </x:c>
      <x:c r="AJ14" s="35" t="n">
        <x:f>'CF Installment'!AJ14+'MK Installment'!AJ14</x:f>
        <x:v>16858003.950620018</x:v>
      </x:c>
      <x:c r="AK14" s="35" t="n">
        <x:f>'CF Installment'!AK14+'MK Installment'!AK14</x:f>
        <x:v>16858003.950620018</x:v>
      </x:c>
      <x:c r="AL14" s="35" t="n">
        <x:f>'CF Installment'!AL14+'MK Installment'!AL14</x:f>
        <x:v>16858003.950620018</x:v>
      </x:c>
      <x:c r="AM14" s="35" t="n">
        <x:f>'CF Installment'!AM14+'MK Installment'!AM14</x:f>
        <x:v>16858003.950620018</x:v>
      </x:c>
      <x:c r="AN14" s="35" t="n">
        <x:f>'CF Installment'!AN14+'MK Installment'!AN14</x:f>
        <x:v>16858003.950620018</x:v>
      </x:c>
      <x:c r="AO14" s="35" t="n">
        <x:f>'CF Installment'!AO14+'MK Installment'!AO14</x:f>
        <x:v>16858003.950620018</x:v>
      </x:c>
      <x:c r="AP14" s="35" t="n">
        <x:f>'CF Installment'!AP14+'MK Installment'!AP14</x:f>
        <x:v>16858003.950620018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191986493.76187074</x:v>
      </x:c>
      <x:c r="F15" s="2"/>
      <x:c r="G15" s="35" t="n">
        <x:f>'CF Installment'!G15+'MK Installment'!G15</x:f>
        <x:v>44748296.83291605</x:v>
      </x:c>
      <x:c r="H15" s="35" t="n">
        <x:f>'CF Installment'!H15+'MK Installment'!H15</x:f>
        <x:v>23454059.858059432</x:v>
      </x:c>
      <x:c r="I15" s="35" t="n">
        <x:f>'CF Installment'!I15+'MK Installment'!I15</x:f>
        <x:v>14343610.665045656</x:v>
      </x:c>
      <x:c r="J15" s="35" t="n">
        <x:f>'CF Installment'!J15+'MK Installment'!J15</x:f>
        <x:v>9750275.391257044</x:v>
      </x:c>
      <x:c r="K15" s="35" t="n">
        <x:f>'CF Installment'!K15+'MK Installment'!K15</x:f>
        <x:v>7316556.979524919</x:v>
      </x:c>
      <x:c r="L15" s="35" t="n">
        <x:f>'CF Installment'!L15+'MK Installment'!L15</x:f>
        <x:v>6001528.273882828</x:v>
      </x:c>
      <x:c r="M15" s="35" t="n">
        <x:f>'CF Installment'!M15+'MK Installment'!M15</x:f>
        <x:v>5381231.689006859</x:v>
      </x:c>
      <x:c r="N15" s="35" t="n">
        <x:f>'CF Installment'!N15+'MK Installment'!N15</x:f>
        <x:v>5029025.528983581</x:v>
      </x:c>
      <x:c r="O15" s="35" t="n">
        <x:f>'CF Installment'!O15+'MK Installment'!O15</x:f>
        <x:v>4831967.802494714</x:v>
      </x:c>
      <x:c r="P15" s="35" t="n">
        <x:f>'CF Installment'!P15+'MK Installment'!P15</x:f>
        <x:v>4741996.049379985</x:v>
      </x:c>
      <x:c r="Q15" s="35" t="n">
        <x:f>'CF Installment'!Q15+'MK Installment'!Q15</x:f>
        <x:v>4741996.049379985</x:v>
      </x:c>
      <x:c r="R15" s="35" t="n">
        <x:f>'CF Installment'!R15+'MK Installment'!R15</x:f>
        <x:v>4741996.049379985</x:v>
      </x:c>
      <x:c r="S15" s="35" t="n">
        <x:f>'CF Installment'!S15+'MK Installment'!S15</x:f>
        <x:v>4741996.049379985</x:v>
      </x:c>
      <x:c r="T15" s="35" t="n">
        <x:f>'CF Installment'!T15+'MK Installment'!T15</x:f>
        <x:v>4741996.049379985</x:v>
      </x:c>
      <x:c r="U15" s="35" t="n">
        <x:f>'CF Installment'!U15+'MK Installment'!U15</x:f>
        <x:v>4741996.049379985</x:v>
      </x:c>
      <x:c r="V15" s="35" t="n">
        <x:f>'CF Installment'!V15+'MK Installment'!V15</x:f>
        <x:v>4741996.049379985</x:v>
      </x:c>
      <x:c r="W15" s="35" t="n">
        <x:f>'CF Installment'!W15+'MK Installment'!W15</x:f>
        <x:v>4741996.049379985</x:v>
      </x:c>
      <x:c r="X15" s="35" t="n">
        <x:f>'CF Installment'!X15+'MK Installment'!X15</x:f>
        <x:v>4741996.049379985</x:v>
      </x:c>
      <x:c r="Y15" s="35" t="n">
        <x:f>'CF Installment'!Y15+'MK Installment'!Y15</x:f>
        <x:v>4741996.049379985</x:v>
      </x:c>
      <x:c r="Z15" s="35" t="n">
        <x:f>'CF Installment'!Z15+'MK Installment'!Z15</x:f>
        <x:v>4741996.049379985</x:v>
      </x:c>
      <x:c r="AA15" s="35" t="n">
        <x:f>'CF Installment'!AA15+'MK Installment'!AA15</x:f>
        <x:v>4741996.049379985</x:v>
      </x:c>
      <x:c r="AB15" s="35" t="n">
        <x:f>'CF Installment'!AB15+'MK Installment'!AB15</x:f>
        <x:v>4741996.049379985</x:v>
      </x:c>
      <x:c r="AC15" s="35" t="n">
        <x:f>'CF Installment'!AC15+'MK Installment'!AC15</x:f>
        <x:v>4741996.049379985</x:v>
      </x:c>
      <x:c r="AD15" s="35" t="n">
        <x:f>'CF Installment'!AD15+'MK Installment'!AD15</x:f>
        <x:v>4741996.049379985</x:v>
      </x:c>
      <x:c r="AE15" s="35" t="n">
        <x:f>'CF Installment'!AE15+'MK Installment'!AE15</x:f>
        <x:v>4741996.049379985</x:v>
      </x:c>
      <x:c r="AF15" s="35" t="n">
        <x:f>'CF Installment'!AF15+'MK Installment'!AF15</x:f>
        <x:v>4741996.049379985</x:v>
      </x:c>
      <x:c r="AG15" s="35" t="n">
        <x:f>'CF Installment'!AG15+'MK Installment'!AG15</x:f>
        <x:v>4741996.049379985</x:v>
      </x:c>
      <x:c r="AH15" s="35" t="n">
        <x:f>'CF Installment'!AH15+'MK Installment'!AH15</x:f>
        <x:v>4741996.049379985</x:v>
      </x:c>
      <x:c r="AI15" s="35" t="n">
        <x:f>'CF Installment'!AI15+'MK Installment'!AI15</x:f>
        <x:v>4741996.049379985</x:v>
      </x:c>
      <x:c r="AJ15" s="35" t="n">
        <x:f>'CF Installment'!AJ15+'MK Installment'!AJ15</x:f>
        <x:v>4741996.049379985</x:v>
      </x:c>
      <x:c r="AK15" s="35" t="n">
        <x:f>'CF Installment'!AK15+'MK Installment'!AK15</x:f>
        <x:v>4741996.049379985</x:v>
      </x:c>
      <x:c r="AL15" s="35" t="n">
        <x:f>'CF Installment'!AL15+'MK Installment'!AL15</x:f>
        <x:v>4741996.049379985</x:v>
      </x:c>
      <x:c r="AM15" s="35" t="n">
        <x:f>'CF Installment'!AM15+'MK Installment'!AM15</x:f>
        <x:v>4741996.049379985</x:v>
      </x:c>
      <x:c r="AN15" s="35" t="n">
        <x:f>'CF Installment'!AN15+'MK Installment'!AN15</x:f>
        <x:v>4741996.049379985</x:v>
      </x:c>
      <x:c r="AO15" s="35" t="n">
        <x:f>'CF Installment'!AO15+'MK Installment'!AO15</x:f>
        <x:v>4741996.049379985</x:v>
      </x:c>
      <x:c r="AP15" s="35" t="n">
        <x:f>'CF Installment'!AP15+'MK Installment'!AP15</x:f>
        <x:v>4741996.049379985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2" t="str">
        <x:v>Ending gross CLAB</x:v>
      </x:c>
      <x:c r="D16" s="2"/>
      <x:c r="E16" s="35" t="n">
        <x:f>INDEX(G16:AP16,1,'Assumptions'!$E$7)</x:f>
        <x:v>64099838.55572853</x:v>
      </x:c>
      <x:c r="F16" s="2"/>
      <x:c r="G16" s="35" t="n">
        <x:f>'CF Installment'!G16+'MK Installment'!G16</x:f>
        <x:v>224688808.6413032</x:v>
      </x:c>
      <x:c r="H16" s="35" t="n">
        <x:f>'CF Installment'!H16+'MK Installment'!H16</x:f>
        <x:v>147904773.0115946</x:v>
      </x:c>
      <x:c r="I16" s="35" t="n">
        <x:f>'CF Installment'!I16+'MK Installment'!I16</x:f>
        <x:v>107393126.28093366</x:v>
      </x:c>
      <x:c r="J16" s="35" t="n">
        <x:f>'CF Installment'!J16+'MK Installment'!J16</x:f>
        <x:v>85751729.46393454</x:v>
      </x:c>
      <x:c r="K16" s="35" t="n">
        <x:f>'CF Installment'!K16+'MK Installment'!K16</x:f>
        <x:v>74364321.33892399</x:v>
      </x:c>
      <x:c r="L16" s="35" t="n">
        <x:f>'CF Installment'!L16+'MK Installment'!L16</x:f>
        <x:v>68606103.5615182</x:v>
      </x:c>
      <x:c r="M16" s="35" t="n">
        <x:f>'CF Installment'!M16+'MK Installment'!M16</x:f>
        <x:v>65742855.884121224</x:v>
      </x:c>
      <x:c r="N16" s="35" t="n">
        <x:f>'CF Installment'!N16+'MK Installment'!N16</x:f>
        <x:v>64494018.04285487</x:v>
      </x:c>
      <x:c r="O16" s="35" t="n">
        <x:f>'CF Installment'!O16+'MK Installment'!O16</x:f>
        <x:v>64099838.555728525</x:v>
      </x:c>
      <x:c r="P16" s="35" t="n">
        <x:f>'CF Installment'!P16+'MK Installment'!P16</x:f>
        <x:v>64099838.55572853</x:v>
      </x:c>
      <x:c r="Q16" s="35" t="n">
        <x:f>'CF Installment'!Q16+'MK Installment'!Q16</x:f>
        <x:v>64099838.55572853</x:v>
      </x:c>
      <x:c r="R16" s="35" t="n">
        <x:f>'CF Installment'!R16+'MK Installment'!R16</x:f>
        <x:v>64099838.55572853</x:v>
      </x:c>
      <x:c r="S16" s="35" t="n">
        <x:f>'CF Installment'!S16+'MK Installment'!S16</x:f>
        <x:v>64099838.55572853</x:v>
      </x:c>
      <x:c r="T16" s="35" t="n">
        <x:f>'CF Installment'!T16+'MK Installment'!T16</x:f>
        <x:v>64099838.55572853</x:v>
      </x:c>
      <x:c r="U16" s="35" t="n">
        <x:f>'CF Installment'!U16+'MK Installment'!U16</x:f>
        <x:v>64099838.55572853</x:v>
      </x:c>
      <x:c r="V16" s="35" t="n">
        <x:f>'CF Installment'!V16+'MK Installment'!V16</x:f>
        <x:v>64099838.55572853</x:v>
      </x:c>
      <x:c r="W16" s="35" t="n">
        <x:f>'CF Installment'!W16+'MK Installment'!W16</x:f>
        <x:v>64099838.55572853</x:v>
      </x:c>
      <x:c r="X16" s="35" t="n">
        <x:f>'CF Installment'!X16+'MK Installment'!X16</x:f>
        <x:v>64099838.55572853</x:v>
      </x:c>
      <x:c r="Y16" s="35" t="n">
        <x:f>'CF Installment'!Y16+'MK Installment'!Y16</x:f>
        <x:v>64099838.55572853</x:v>
      </x:c>
      <x:c r="Z16" s="35" t="n">
        <x:f>'CF Installment'!Z16+'MK Installment'!Z16</x:f>
        <x:v>64099838.55572853</x:v>
      </x:c>
      <x:c r="AA16" s="35" t="n">
        <x:f>'CF Installment'!AA16+'MK Installment'!AA16</x:f>
        <x:v>64099838.55572853</x:v>
      </x:c>
      <x:c r="AB16" s="35" t="n">
        <x:f>'CF Installment'!AB16+'MK Installment'!AB16</x:f>
        <x:v>64099838.55572853</x:v>
      </x:c>
      <x:c r="AC16" s="35" t="n">
        <x:f>'CF Installment'!AC16+'MK Installment'!AC16</x:f>
        <x:v>64099838.55572853</x:v>
      </x:c>
      <x:c r="AD16" s="35" t="n">
        <x:f>'CF Installment'!AD16+'MK Installment'!AD16</x:f>
        <x:v>64099838.55572853</x:v>
      </x:c>
      <x:c r="AE16" s="35" t="n">
        <x:f>'CF Installment'!AE16+'MK Installment'!AE16</x:f>
        <x:v>64099838.55572853</x:v>
      </x:c>
      <x:c r="AF16" s="35" t="n">
        <x:f>'CF Installment'!AF16+'MK Installment'!AF16</x:f>
        <x:v>64099838.55572853</x:v>
      </x:c>
      <x:c r="AG16" s="35" t="n">
        <x:f>'CF Installment'!AG16+'MK Installment'!AG16</x:f>
        <x:v>64099838.55572853</x:v>
      </x:c>
      <x:c r="AH16" s="35" t="n">
        <x:f>'CF Installment'!AH16+'MK Installment'!AH16</x:f>
        <x:v>64099838.55572853</x:v>
      </x:c>
      <x:c r="AI16" s="35" t="n">
        <x:f>'CF Installment'!AI16+'MK Installment'!AI16</x:f>
        <x:v>64099838.55572853</x:v>
      </x:c>
      <x:c r="AJ16" s="35" t="n">
        <x:f>'CF Installment'!AJ16+'MK Installment'!AJ16</x:f>
        <x:v>64099838.55572853</x:v>
      </x:c>
      <x:c r="AK16" s="35" t="n">
        <x:f>'CF Installment'!AK16+'MK Installment'!AK16</x:f>
        <x:v>64099838.55572853</x:v>
      </x:c>
      <x:c r="AL16" s="35" t="n">
        <x:f>'CF Installment'!AL16+'MK Installment'!AL16</x:f>
        <x:v>64099838.55572853</x:v>
      </x:c>
      <x:c r="AM16" s="35" t="n">
        <x:f>'CF Installment'!AM16+'MK Installment'!AM16</x:f>
        <x:v>64099838.55572853</x:v>
      </x:c>
      <x:c r="AN16" s="35" t="n">
        <x:f>'CF Installment'!AN16+'MK Installment'!AN16</x:f>
        <x:v>64099838.55572853</x:v>
      </x:c>
      <x:c r="AO16" s="35" t="n">
        <x:f>'CF Installment'!AO16+'MK Installment'!AO16</x:f>
        <x:v>64099838.55572853</x:v>
      </x:c>
      <x:c r="AP16" s="35" t="n">
        <x:f>'CF Installment'!AP16+'MK Installment'!AP16</x:f>
        <x:v>64099838.55572853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2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92260993.10010692</x:v>
      </x:c>
      <x:c r="F18" s="2"/>
      <x:c r="G18" s="35" t="n">
        <x:f>'CF Installment'!G18+'MK Installment'!G18</x:f>
        <x:v>92260993.10010692</x:v>
      </x:c>
      <x:c r="H18" s="35" t="n">
        <x:f>'CF Installment'!H18+'MK Installment'!H18</x:f>
        <x:v>52254692.31657085</x:v>
      </x:c>
      <x:c r="I18" s="35" t="n">
        <x:f>'CF Installment'!I18+'MK Installment'!I18</x:f>
        <x:v>33542628.5078914</x:v>
      </x:c>
      <x:c r="J18" s="35" t="n">
        <x:f>'CF Installment'!J18+'MK Installment'!J18</x:f>
        <x:v>23941013.892225727</x:v>
      </x:c>
      <x:c r="K18" s="35" t="n">
        <x:f>'CF Installment'!K18+'MK Installment'!K18</x:f>
        <x:v>18932734.55034867</x:v>
      </x:c>
      <x:c r="L18" s="35" t="n">
        <x:f>'CF Installment'!L18+'MK Installment'!L18</x:f>
        <x:v>16358173.620203733</x:v>
      </x:c>
      <x:c r="M18" s="35" t="n">
        <x:f>'CF Installment'!M18+'MK Installment'!M18</x:f>
        <x:v>15098641.39570089</x:v>
      </x:c>
      <x:c r="N18" s="35" t="n">
        <x:f>'CF Installment'!N18+'MK Installment'!N18</x:f>
        <x:v>14459405.756074017</x:v>
      </x:c>
      <x:c r="O18" s="35" t="n">
        <x:f>'CF Installment'!O18+'MK Installment'!O18</x:f>
        <x:v>14172376.27647042</x:v>
      </x:c>
      <x:c r="P18" s="35" t="n">
        <x:f>'CF Installment'!P18+'MK Installment'!P18</x:f>
        <x:v>14082404.52335569</x:v>
      </x:c>
      <x:c r="Q18" s="35" t="n">
        <x:f>'CF Installment'!Q18+'MK Installment'!Q18</x:f>
        <x:v>14082404.52335569</x:v>
      </x:c>
      <x:c r="R18" s="35" t="n">
        <x:f>'CF Installment'!R18+'MK Installment'!R18</x:f>
        <x:v>14082404.52335569</x:v>
      </x:c>
      <x:c r="S18" s="35" t="n">
        <x:f>'CF Installment'!S18+'MK Installment'!S18</x:f>
        <x:v>14082404.52335569</x:v>
      </x:c>
      <x:c r="T18" s="35" t="n">
        <x:f>'CF Installment'!T18+'MK Installment'!T18</x:f>
        <x:v>14082404.52335569</x:v>
      </x:c>
      <x:c r="U18" s="35" t="n">
        <x:f>'CF Installment'!U18+'MK Installment'!U18</x:f>
        <x:v>14082404.52335569</x:v>
      </x:c>
      <x:c r="V18" s="35" t="n">
        <x:f>'CF Installment'!V18+'MK Installment'!V18</x:f>
        <x:v>14082404.52335569</x:v>
      </x:c>
      <x:c r="W18" s="35" t="n">
        <x:f>'CF Installment'!W18+'MK Installment'!W18</x:f>
        <x:v>14082404.52335569</x:v>
      </x:c>
      <x:c r="X18" s="35" t="n">
        <x:f>'CF Installment'!X18+'MK Installment'!X18</x:f>
        <x:v>14082404.52335569</x:v>
      </x:c>
      <x:c r="Y18" s="35" t="n">
        <x:f>'CF Installment'!Y18+'MK Installment'!Y18</x:f>
        <x:v>14082404.52335569</x:v>
      </x:c>
      <x:c r="Z18" s="35" t="n">
        <x:f>'CF Installment'!Z18+'MK Installment'!Z18</x:f>
        <x:v>14082404.52335569</x:v>
      </x:c>
      <x:c r="AA18" s="35" t="n">
        <x:f>'CF Installment'!AA18+'MK Installment'!AA18</x:f>
        <x:v>14082404.52335569</x:v>
      </x:c>
      <x:c r="AB18" s="35" t="n">
        <x:f>'CF Installment'!AB18+'MK Installment'!AB18</x:f>
        <x:v>14082404.52335569</x:v>
      </x:c>
      <x:c r="AC18" s="35" t="n">
        <x:f>'CF Installment'!AC18+'MK Installment'!AC18</x:f>
        <x:v>14082404.52335569</x:v>
      </x:c>
      <x:c r="AD18" s="35" t="n">
        <x:f>'CF Installment'!AD18+'MK Installment'!AD18</x:f>
        <x:v>14082404.52335569</x:v>
      </x:c>
      <x:c r="AE18" s="35" t="n">
        <x:f>'CF Installment'!AE18+'MK Installment'!AE18</x:f>
        <x:v>14082404.52335569</x:v>
      </x:c>
      <x:c r="AF18" s="35" t="n">
        <x:f>'CF Installment'!AF18+'MK Installment'!AF18</x:f>
        <x:v>14082404.52335569</x:v>
      </x:c>
      <x:c r="AG18" s="35" t="n">
        <x:f>'CF Installment'!AG18+'MK Installment'!AG18</x:f>
        <x:v>14082404.52335569</x:v>
      </x:c>
      <x:c r="AH18" s="35" t="n">
        <x:f>'CF Installment'!AH18+'MK Installment'!AH18</x:f>
        <x:v>14082404.52335569</x:v>
      </x:c>
      <x:c r="AI18" s="35" t="n">
        <x:f>'CF Installment'!AI18+'MK Installment'!AI18</x:f>
        <x:v>14082404.52335569</x:v>
      </x:c>
      <x:c r="AJ18" s="35" t="n">
        <x:f>'CF Installment'!AJ18+'MK Installment'!AJ18</x:f>
        <x:v>14082404.52335569</x:v>
      </x:c>
      <x:c r="AK18" s="35" t="n">
        <x:f>'CF Installment'!AK18+'MK Installment'!AK18</x:f>
        <x:v>14082404.52335569</x:v>
      </x:c>
      <x:c r="AL18" s="35" t="n">
        <x:f>'CF Installment'!AL18+'MK Installment'!AL18</x:f>
        <x:v>14082404.52335569</x:v>
      </x:c>
      <x:c r="AM18" s="35" t="n">
        <x:f>'CF Installment'!AM18+'MK Installment'!AM18</x:f>
        <x:v>14082404.52335569</x:v>
      </x:c>
      <x:c r="AN18" s="35" t="n">
        <x:f>'CF Installment'!AN18+'MK Installment'!AN18</x:f>
        <x:v>14082404.52335569</x:v>
      </x:c>
      <x:c r="AO18" s="35" t="n">
        <x:f>'CF Installment'!AO18+'MK Installment'!AO18</x:f>
        <x:v>14082404.52335569</x:v>
      </x:c>
      <x:c r="AP18" s="35" t="n">
        <x:f>'CF Installment'!AP18+'MK Installment'!AP18</x:f>
        <x:v>14082404.52335569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113807905.18511964</x:v>
      </x:c>
      <x:c r="F19" s="2"/>
      <x:c r="G19" s="35" t="n">
        <x:f>'CF Installment'!G19+'MK Installment'!G19</x:f>
        <x:v>4741996.049379984</x:v>
      </x:c>
      <x:c r="H19" s="35" t="n">
        <x:f>'CF Installment'!H19+'MK Installment'!H19</x:f>
        <x:v>4741996.049379984</x:v>
      </x:c>
      <x:c r="I19" s="35" t="n">
        <x:f>'CF Installment'!I19+'MK Installment'!I19</x:f>
        <x:v>4741996.049379984</x:v>
      </x:c>
      <x:c r="J19" s="35" t="n">
        <x:f>'CF Installment'!J19+'MK Installment'!J19</x:f>
        <x:v>4741996.049379984</x:v>
      </x:c>
      <x:c r="K19" s="35" t="n">
        <x:f>'CF Installment'!K19+'MK Installment'!K19</x:f>
        <x:v>4741996.049379984</x:v>
      </x:c>
      <x:c r="L19" s="35" t="n">
        <x:f>'CF Installment'!L19+'MK Installment'!L19</x:f>
        <x:v>4741996.049379984</x:v>
      </x:c>
      <x:c r="M19" s="35" t="n">
        <x:f>'CF Installment'!M19+'MK Installment'!M19</x:f>
        <x:v>4741996.049379984</x:v>
      </x:c>
      <x:c r="N19" s="35" t="n">
        <x:f>'CF Installment'!N19+'MK Installment'!N19</x:f>
        <x:v>4741996.049379984</x:v>
      </x:c>
      <x:c r="O19" s="35" t="n">
        <x:f>'CF Installment'!O19+'MK Installment'!O19</x:f>
        <x:v>4741996.049379984</x:v>
      </x:c>
      <x:c r="P19" s="35" t="n">
        <x:f>'CF Installment'!P19+'MK Installment'!P19</x:f>
        <x:v>4741996.049379984</x:v>
      </x:c>
      <x:c r="Q19" s="35" t="n">
        <x:f>'CF Installment'!Q19+'MK Installment'!Q19</x:f>
        <x:v>4741996.049379984</x:v>
      </x:c>
      <x:c r="R19" s="35" t="n">
        <x:f>'CF Installment'!R19+'MK Installment'!R19</x:f>
        <x:v>4741996.049379984</x:v>
      </x:c>
      <x:c r="S19" s="35" t="n">
        <x:f>'CF Installment'!S19+'MK Installment'!S19</x:f>
        <x:v>4741996.049379984</x:v>
      </x:c>
      <x:c r="T19" s="35" t="n">
        <x:f>'CF Installment'!T19+'MK Installment'!T19</x:f>
        <x:v>4741996.049379984</x:v>
      </x:c>
      <x:c r="U19" s="35" t="n">
        <x:f>'CF Installment'!U19+'MK Installment'!U19</x:f>
        <x:v>4741996.049379984</x:v>
      </x:c>
      <x:c r="V19" s="35" t="n">
        <x:f>'CF Installment'!V19+'MK Installment'!V19</x:f>
        <x:v>4741996.049379984</x:v>
      </x:c>
      <x:c r="W19" s="35" t="n">
        <x:f>'CF Installment'!W19+'MK Installment'!W19</x:f>
        <x:v>4741996.049379984</x:v>
      </x:c>
      <x:c r="X19" s="35" t="n">
        <x:f>'CF Installment'!X19+'MK Installment'!X19</x:f>
        <x:v>4741996.049379984</x:v>
      </x:c>
      <x:c r="Y19" s="35" t="n">
        <x:f>'CF Installment'!Y19+'MK Installment'!Y19</x:f>
        <x:v>4741996.049379984</x:v>
      </x:c>
      <x:c r="Z19" s="35" t="n">
        <x:f>'CF Installment'!Z19+'MK Installment'!Z19</x:f>
        <x:v>4741996.049379984</x:v>
      </x:c>
      <x:c r="AA19" s="35" t="n">
        <x:f>'CF Installment'!AA19+'MK Installment'!AA19</x:f>
        <x:v>4741996.049379984</x:v>
      </x:c>
      <x:c r="AB19" s="35" t="n">
        <x:f>'CF Installment'!AB19+'MK Installment'!AB19</x:f>
        <x:v>4741996.049379984</x:v>
      </x:c>
      <x:c r="AC19" s="35" t="n">
        <x:f>'CF Installment'!AC19+'MK Installment'!AC19</x:f>
        <x:v>4741996.049379984</x:v>
      </x:c>
      <x:c r="AD19" s="35" t="n">
        <x:f>'CF Installment'!AD19+'MK Installment'!AD19</x:f>
        <x:v>4741996.049379984</x:v>
      </x:c>
      <x:c r="AE19" s="35" t="n">
        <x:f>'CF Installment'!AE19+'MK Installment'!AE19</x:f>
        <x:v>4741996.049379984</x:v>
      </x:c>
      <x:c r="AF19" s="35" t="n">
        <x:f>'CF Installment'!AF19+'MK Installment'!AF19</x:f>
        <x:v>4741996.049379984</x:v>
      </x:c>
      <x:c r="AG19" s="35" t="n">
        <x:f>'CF Installment'!AG19+'MK Installment'!AG19</x:f>
        <x:v>4741996.049379984</x:v>
      </x:c>
      <x:c r="AH19" s="35" t="n">
        <x:f>'CF Installment'!AH19+'MK Installment'!AH19</x:f>
        <x:v>4741996.049379984</x:v>
      </x:c>
      <x:c r="AI19" s="35" t="n">
        <x:f>'CF Installment'!AI19+'MK Installment'!AI19</x:f>
        <x:v>4741996.049379984</x:v>
      </x:c>
      <x:c r="AJ19" s="35" t="n">
        <x:f>'CF Installment'!AJ19+'MK Installment'!AJ19</x:f>
        <x:v>4741996.049379984</x:v>
      </x:c>
      <x:c r="AK19" s="35" t="n">
        <x:f>'CF Installment'!AK19+'MK Installment'!AK19</x:f>
        <x:v>4741996.049379984</x:v>
      </x:c>
      <x:c r="AL19" s="35" t="n">
        <x:f>'CF Installment'!AL19+'MK Installment'!AL19</x:f>
        <x:v>4741996.049379984</x:v>
      </x:c>
      <x:c r="AM19" s="35" t="n">
        <x:f>'CF Installment'!AM19+'MK Installment'!AM19</x:f>
        <x:v>4741996.049379984</x:v>
      </x:c>
      <x:c r="AN19" s="35" t="n">
        <x:f>'CF Installment'!AN19+'MK Installment'!AN19</x:f>
        <x:v>4741996.049379984</x:v>
      </x:c>
      <x:c r="AO19" s="35" t="n">
        <x:f>'CF Installment'!AO19+'MK Installment'!AO19</x:f>
        <x:v>4741996.049379984</x:v>
      </x:c>
      <x:c r="AP19" s="35" t="n">
        <x:f>'CF Installment'!AP19+'MK Installment'!AP19</x:f>
        <x:v>4741996.049379984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2" t="str">
        <x:v>Ending reserve</x:v>
      </x:c>
      <x:c r="D20" s="2"/>
      <x:c r="E20" s="35" t="n">
        <x:f>INDEX(G20:AP20,1,'Assumptions'!$E$7)</x:f>
        <x:v>14082404.52335569</x:v>
      </x:c>
      <x:c r="F20" s="2"/>
      <x:c r="G20" s="35" t="n">
        <x:f>'CF Installment'!G20+'MK Installment'!G20</x:f>
        <x:v>52254692.31657085</x:v>
      </x:c>
      <x:c r="H20" s="35" t="n">
        <x:f>'CF Installment'!H20+'MK Installment'!H20</x:f>
        <x:v>33542628.5078914</x:v>
      </x:c>
      <x:c r="I20" s="35" t="n">
        <x:f>'CF Installment'!I20+'MK Installment'!I20</x:f>
        <x:v>23941013.892225727</x:v>
      </x:c>
      <x:c r="J20" s="35" t="n">
        <x:f>'CF Installment'!J20+'MK Installment'!J20</x:f>
        <x:v>18932734.55034867</x:v>
      </x:c>
      <x:c r="K20" s="35" t="n">
        <x:f>'CF Installment'!K20+'MK Installment'!K20</x:f>
        <x:v>16358173.620203733</x:v>
      </x:c>
      <x:c r="L20" s="35" t="n">
        <x:f>'CF Installment'!L20+'MK Installment'!L20</x:f>
        <x:v>15098641.39570089</x:v>
      </x:c>
      <x:c r="M20" s="35" t="n">
        <x:f>'CF Installment'!M20+'MK Installment'!M20</x:f>
        <x:v>14459405.756074017</x:v>
      </x:c>
      <x:c r="N20" s="35" t="n">
        <x:f>'CF Installment'!N20+'MK Installment'!N20</x:f>
        <x:v>14172376.27647042</x:v>
      </x:c>
      <x:c r="O20" s="35" t="n">
        <x:f>'CF Installment'!O20+'MK Installment'!O20</x:f>
        <x:v>14082404.52335569</x:v>
      </x:c>
      <x:c r="P20" s="35" t="n">
        <x:f>'CF Installment'!P20+'MK Installment'!P20</x:f>
        <x:v>14082404.52335569</x:v>
      </x:c>
      <x:c r="Q20" s="35" t="n">
        <x:f>'CF Installment'!Q20+'MK Installment'!Q20</x:f>
        <x:v>14082404.52335569</x:v>
      </x:c>
      <x:c r="R20" s="35" t="n">
        <x:f>'CF Installment'!R20+'MK Installment'!R20</x:f>
        <x:v>14082404.52335569</x:v>
      </x:c>
      <x:c r="S20" s="35" t="n">
        <x:f>'CF Installment'!S20+'MK Installment'!S20</x:f>
        <x:v>14082404.52335569</x:v>
      </x:c>
      <x:c r="T20" s="35" t="n">
        <x:f>'CF Installment'!T20+'MK Installment'!T20</x:f>
        <x:v>14082404.52335569</x:v>
      </x:c>
      <x:c r="U20" s="35" t="n">
        <x:f>'CF Installment'!U20+'MK Installment'!U20</x:f>
        <x:v>14082404.52335569</x:v>
      </x:c>
      <x:c r="V20" s="35" t="n">
        <x:f>'CF Installment'!V20+'MK Installment'!V20</x:f>
        <x:v>14082404.52335569</x:v>
      </x:c>
      <x:c r="W20" s="35" t="n">
        <x:f>'CF Installment'!W20+'MK Installment'!W20</x:f>
        <x:v>14082404.52335569</x:v>
      </x:c>
      <x:c r="X20" s="35" t="n">
        <x:f>'CF Installment'!X20+'MK Installment'!X20</x:f>
        <x:v>14082404.52335569</x:v>
      </x:c>
      <x:c r="Y20" s="35" t="n">
        <x:f>'CF Installment'!Y20+'MK Installment'!Y20</x:f>
        <x:v>14082404.52335569</x:v>
      </x:c>
      <x:c r="Z20" s="35" t="n">
        <x:f>'CF Installment'!Z20+'MK Installment'!Z20</x:f>
        <x:v>14082404.52335569</x:v>
      </x:c>
      <x:c r="AA20" s="35" t="n">
        <x:f>'CF Installment'!AA20+'MK Installment'!AA20</x:f>
        <x:v>14082404.52335569</x:v>
      </x:c>
      <x:c r="AB20" s="35" t="n">
        <x:f>'CF Installment'!AB20+'MK Installment'!AB20</x:f>
        <x:v>14082404.52335569</x:v>
      </x:c>
      <x:c r="AC20" s="35" t="n">
        <x:f>'CF Installment'!AC20+'MK Installment'!AC20</x:f>
        <x:v>14082404.52335569</x:v>
      </x:c>
      <x:c r="AD20" s="35" t="n">
        <x:f>'CF Installment'!AD20+'MK Installment'!AD20</x:f>
        <x:v>14082404.52335569</x:v>
      </x:c>
      <x:c r="AE20" s="35" t="n">
        <x:f>'CF Installment'!AE20+'MK Installment'!AE20</x:f>
        <x:v>14082404.52335569</x:v>
      </x:c>
      <x:c r="AF20" s="35" t="n">
        <x:f>'CF Installment'!AF20+'MK Installment'!AF20</x:f>
        <x:v>14082404.52335569</x:v>
      </x:c>
      <x:c r="AG20" s="35" t="n">
        <x:f>'CF Installment'!AG20+'MK Installment'!AG20</x:f>
        <x:v>14082404.52335569</x:v>
      </x:c>
      <x:c r="AH20" s="35" t="n">
        <x:f>'CF Installment'!AH20+'MK Installment'!AH20</x:f>
        <x:v>14082404.52335569</x:v>
      </x:c>
      <x:c r="AI20" s="35" t="n">
        <x:f>'CF Installment'!AI20+'MK Installment'!AI20</x:f>
        <x:v>14082404.52335569</x:v>
      </x:c>
      <x:c r="AJ20" s="35" t="n">
        <x:f>'CF Installment'!AJ20+'MK Installment'!AJ20</x:f>
        <x:v>14082404.52335569</x:v>
      </x:c>
      <x:c r="AK20" s="35" t="n">
        <x:f>'CF Installment'!AK20+'MK Installment'!AK20</x:f>
        <x:v>14082404.52335569</x:v>
      </x:c>
      <x:c r="AL20" s="35" t="n">
        <x:f>'CF Installment'!AL20+'MK Installment'!AL20</x:f>
        <x:v>14082404.52335569</x:v>
      </x:c>
      <x:c r="AM20" s="35" t="n">
        <x:f>'CF Installment'!AM20+'MK Installment'!AM20</x:f>
        <x:v>14082404.52335569</x:v>
      </x:c>
      <x:c r="AN20" s="35" t="n">
        <x:f>'CF Installment'!AN20+'MK Installment'!AN20</x:f>
        <x:v>14082404.52335569</x:v>
      </x:c>
      <x:c r="AO20" s="35" t="n">
        <x:f>'CF Installment'!AO20+'MK Installment'!AO20</x:f>
        <x:v>14082404.52335569</x:v>
      </x:c>
      <x:c r="AP20" s="35" t="n">
        <x:f>'CF Installment'!AP20+'MK Installment'!AP20</x:f>
        <x:v>14082404.52335569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2" t="str">
        <x:v>Net CLAB</x:v>
      </x:c>
      <x:c r="D21" s="2"/>
      <x:c r="E21" s="35" t="n">
        <x:f>INDEX(G21:AP21,1,'Assumptions'!$E$7)</x:f>
        <x:v>50017434.03237285</x:v>
      </x:c>
      <x:c r="F21" s="2"/>
      <x:c r="G21" s="35" t="n">
        <x:f>'CF Installment'!G21+'MK Installment'!G21</x:f>
        <x:v>172434116.3247324</x:v>
      </x:c>
      <x:c r="H21" s="35" t="n">
        <x:f>'CF Installment'!H21+'MK Installment'!H21</x:f>
        <x:v>114362144.50370318</x:v>
      </x:c>
      <x:c r="I21" s="35" t="n">
        <x:f>'CF Installment'!I21+'MK Installment'!I21</x:f>
        <x:v>83452112.38870794</x:v>
      </x:c>
      <x:c r="J21" s="35" t="n">
        <x:f>'CF Installment'!J21+'MK Installment'!J21</x:f>
        <x:v>66818994.91358588</x:v>
      </x:c>
      <x:c r="K21" s="35" t="n">
        <x:f>'CF Installment'!K21+'MK Installment'!K21</x:f>
        <x:v>58006147.718720265</x:v>
      </x:c>
      <x:c r="L21" s="35" t="n">
        <x:f>'CF Installment'!L21+'MK Installment'!L21</x:f>
        <x:v>53507462.16581732</x:v>
      </x:c>
      <x:c r="M21" s="35" t="n">
        <x:f>'CF Installment'!M21+'MK Installment'!M21</x:f>
        <x:v>51283450.12804721</x:v>
      </x:c>
      <x:c r="N21" s="35" t="n">
        <x:f>'CF Installment'!N21+'MK Installment'!N21</x:f>
        <x:v>50321641.76638445</x:v>
      </x:c>
      <x:c r="O21" s="35" t="n">
        <x:f>'CF Installment'!O21+'MK Installment'!O21</x:f>
        <x:v>50017434.03237283</x:v>
      </x:c>
      <x:c r="P21" s="35" t="n">
        <x:f>'CF Installment'!P21+'MK Installment'!P21</x:f>
        <x:v>50017434.03237285</x:v>
      </x:c>
      <x:c r="Q21" s="35" t="n">
        <x:f>'CF Installment'!Q21+'MK Installment'!Q21</x:f>
        <x:v>50017434.03237285</x:v>
      </x:c>
      <x:c r="R21" s="35" t="n">
        <x:f>'CF Installment'!R21+'MK Installment'!R21</x:f>
        <x:v>50017434.03237285</x:v>
      </x:c>
      <x:c r="S21" s="35" t="n">
        <x:f>'CF Installment'!S21+'MK Installment'!S21</x:f>
        <x:v>50017434.03237285</x:v>
      </x:c>
      <x:c r="T21" s="35" t="n">
        <x:f>'CF Installment'!T21+'MK Installment'!T21</x:f>
        <x:v>50017434.03237285</x:v>
      </x:c>
      <x:c r="U21" s="35" t="n">
        <x:f>'CF Installment'!U21+'MK Installment'!U21</x:f>
        <x:v>50017434.03237285</x:v>
      </x:c>
      <x:c r="V21" s="35" t="n">
        <x:f>'CF Installment'!V21+'MK Installment'!V21</x:f>
        <x:v>50017434.03237285</x:v>
      </x:c>
      <x:c r="W21" s="35" t="n">
        <x:f>'CF Installment'!W21+'MK Installment'!W21</x:f>
        <x:v>50017434.03237285</x:v>
      </x:c>
      <x:c r="X21" s="35" t="n">
        <x:f>'CF Installment'!X21+'MK Installment'!X21</x:f>
        <x:v>50017434.03237285</x:v>
      </x:c>
      <x:c r="Y21" s="35" t="n">
        <x:f>'CF Installment'!Y21+'MK Installment'!Y21</x:f>
        <x:v>50017434.03237285</x:v>
      </x:c>
      <x:c r="Z21" s="35" t="n">
        <x:f>'CF Installment'!Z21+'MK Installment'!Z21</x:f>
        <x:v>50017434.03237285</x:v>
      </x:c>
      <x:c r="AA21" s="35" t="n">
        <x:f>'CF Installment'!AA21+'MK Installment'!AA21</x:f>
        <x:v>50017434.03237285</x:v>
      </x:c>
      <x:c r="AB21" s="35" t="n">
        <x:f>'CF Installment'!AB21+'MK Installment'!AB21</x:f>
        <x:v>50017434.03237285</x:v>
      </x:c>
      <x:c r="AC21" s="35" t="n">
        <x:f>'CF Installment'!AC21+'MK Installment'!AC21</x:f>
        <x:v>50017434.03237285</x:v>
      </x:c>
      <x:c r="AD21" s="35" t="n">
        <x:f>'CF Installment'!AD21+'MK Installment'!AD21</x:f>
        <x:v>50017434.03237285</x:v>
      </x:c>
      <x:c r="AE21" s="35" t="n">
        <x:f>'CF Installment'!AE21+'MK Installment'!AE21</x:f>
        <x:v>50017434.03237285</x:v>
      </x:c>
      <x:c r="AF21" s="35" t="n">
        <x:f>'CF Installment'!AF21+'MK Installment'!AF21</x:f>
        <x:v>50017434.03237285</x:v>
      </x:c>
      <x:c r="AG21" s="35" t="n">
        <x:f>'CF Installment'!AG21+'MK Installment'!AG21</x:f>
        <x:v>50017434.03237285</x:v>
      </x:c>
      <x:c r="AH21" s="35" t="n">
        <x:f>'CF Installment'!AH21+'MK Installment'!AH21</x:f>
        <x:v>50017434.03237285</x:v>
      </x:c>
      <x:c r="AI21" s="35" t="n">
        <x:f>'CF Installment'!AI21+'MK Installment'!AI21</x:f>
        <x:v>50017434.03237285</x:v>
      </x:c>
      <x:c r="AJ21" s="35" t="n">
        <x:f>'CF Installment'!AJ21+'MK Installment'!AJ21</x:f>
        <x:v>50017434.03237285</x:v>
      </x:c>
      <x:c r="AK21" s="35" t="n">
        <x:f>'CF Installment'!AK21+'MK Installment'!AK21</x:f>
        <x:v>50017434.03237285</x:v>
      </x:c>
      <x:c r="AL21" s="35" t="n">
        <x:f>'CF Installment'!AL21+'MK Installment'!AL21</x:f>
        <x:v>50017434.03237285</x:v>
      </x:c>
      <x:c r="AM21" s="35" t="n">
        <x:f>'CF Installment'!AM21+'MK Installment'!AM21</x:f>
        <x:v>50017434.03237285</x:v>
      </x:c>
      <x:c r="AN21" s="35" t="n">
        <x:f>'CF Installment'!AN21+'MK Installment'!AN21</x:f>
        <x:v>50017434.03237285</x:v>
      </x:c>
      <x:c r="AO21" s="35" t="n">
        <x:f>'CF Installment'!AO21+'MK Installment'!AO21</x:f>
        <x:v>50017434.03237285</x:v>
      </x:c>
      <x:c r="AP21" s="35" t="n">
        <x:f>'CF Installment'!AP21+'MK Installment'!AP21</x:f>
        <x:v>50017434.03237285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12" t="n">
        <x:f>'CF Installment'!G23</x:f>
        <x:v>0.55</x:v>
      </x:c>
      <x:c r="H23" s="12" t="n">
        <x:f>'CF Installment'!H23</x:f>
        <x:v>0.55</x:v>
      </x:c>
      <x:c r="I23" s="12" t="n">
        <x:f>'CF Installment'!I23</x:f>
        <x:v>0.55</x:v>
      </x:c>
      <x:c r="J23" s="12" t="n">
        <x:f>'CF Installment'!J23</x:f>
        <x:v>0.55</x:v>
      </x:c>
      <x:c r="K23" s="12" t="n">
        <x:f>'CF Installment'!K23</x:f>
        <x:v>0.55</x:v>
      </x:c>
      <x:c r="L23" s="12" t="n">
        <x:f>'CF Installment'!L23</x:f>
        <x:v>0.55</x:v>
      </x:c>
      <x:c r="M23" s="12" t="n">
        <x:f>'CF Installment'!M23</x:f>
        <x:v>0.55</x:v>
      </x:c>
      <x:c r="N23" s="12" t="n">
        <x:f>'CF Installment'!N23</x:f>
        <x:v>0.55</x:v>
      </x:c>
      <x:c r="O23" s="12" t="n">
        <x:f>'CF Installment'!O23</x:f>
        <x:v>0.55</x:v>
      </x:c>
      <x:c r="P23" s="12" t="n">
        <x:f>'CF Installment'!P23</x:f>
        <x:v>0.55</x:v>
      </x:c>
      <x:c r="Q23" s="12" t="n">
        <x:f>'CF Installment'!Q23</x:f>
        <x:v>0.55</x:v>
      </x:c>
      <x:c r="R23" s="12" t="n">
        <x:f>'CF Installment'!R23</x:f>
        <x:v>0.55</x:v>
      </x:c>
      <x:c r="S23" s="12" t="n">
        <x:f>'CF Installment'!S23</x:f>
        <x:v>0.55</x:v>
      </x:c>
      <x:c r="T23" s="12" t="n">
        <x:f>'CF Installment'!T23</x:f>
        <x:v>0.55</x:v>
      </x:c>
      <x:c r="U23" s="12" t="n">
        <x:f>'CF Installment'!U23</x:f>
        <x:v>0.55</x:v>
      </x:c>
      <x:c r="V23" s="12" t="n">
        <x:f>'CF Installment'!V23</x:f>
        <x:v>0.55</x:v>
      </x:c>
      <x:c r="W23" s="12" t="n">
        <x:f>'CF Installment'!W23</x:f>
        <x:v>0.55</x:v>
      </x:c>
      <x:c r="X23" s="12" t="n">
        <x:f>'CF Installment'!X23</x:f>
        <x:v>0.55</x:v>
      </x:c>
      <x:c r="Y23" s="12" t="n">
        <x:f>'CF Installment'!Y23</x:f>
        <x:v>0.55</x:v>
      </x:c>
      <x:c r="Z23" s="12" t="n">
        <x:f>'CF Installment'!Z23</x:f>
        <x:v>0.55</x:v>
      </x:c>
      <x:c r="AA23" s="12" t="n">
        <x:f>'CF Installment'!AA23</x:f>
        <x:v>0.55</x:v>
      </x:c>
      <x:c r="AB23" s="12" t="n">
        <x:f>'CF Installment'!AB23</x:f>
        <x:v>0.55</x:v>
      </x:c>
      <x:c r="AC23" s="12" t="n">
        <x:f>'CF Installment'!AC23</x:f>
        <x:v>0.55</x:v>
      </x:c>
      <x:c r="AD23" s="12" t="n">
        <x:f>'CF Installment'!AD23</x:f>
        <x:v>0.55</x:v>
      </x:c>
      <x:c r="AE23" s="12" t="n">
        <x:f>'CF Installment'!AE23</x:f>
        <x:v>0.55</x:v>
      </x:c>
      <x:c r="AF23" s="12" t="n">
        <x:f>'CF Installment'!AF23</x:f>
        <x:v>0.55</x:v>
      </x:c>
      <x:c r="AG23" s="12" t="n">
        <x:f>'CF Installment'!AG23</x:f>
        <x:v>0.55</x:v>
      </x:c>
      <x:c r="AH23" s="12" t="n">
        <x:f>'CF Installment'!AH23</x:f>
        <x:v>0.55</x:v>
      </x:c>
      <x:c r="AI23" s="12" t="n">
        <x:f>'CF Installment'!AI23</x:f>
        <x:v>0.55</x:v>
      </x:c>
      <x:c r="AJ23" s="12" t="n">
        <x:f>'CF Installment'!AJ23</x:f>
        <x:v>0.55</x:v>
      </x:c>
      <x:c r="AK23" s="12" t="n">
        <x:f>'CF Installment'!AK23</x:f>
        <x:v>0.55</x:v>
      </x:c>
      <x:c r="AL23" s="12" t="n">
        <x:f>'CF Installment'!AL23</x:f>
        <x:v>0.55</x:v>
      </x:c>
      <x:c r="AM23" s="12" t="n">
        <x:f>'CF Installment'!AM23</x:f>
        <x:v>0.55</x:v>
      </x:c>
      <x:c r="AN23" s="12" t="n">
        <x:f>'CF Installment'!AN23</x:f>
        <x:v>0.55</x:v>
      </x:c>
      <x:c r="AO23" s="12" t="n">
        <x:f>'CF Installment'!AO23</x:f>
        <x:v>0.55</x:v>
      </x:c>
      <x:c r="AP23" s="12" t="n">
        <x:f>'CF Installment'!AP23</x:f>
        <x:v>0.55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2" t="str">
        <x:v>Revenue</x:v>
      </x:c>
      <x:c r="D24" s="2"/>
      <x:c r="E24" s="35" t="n">
        <x:f>SUMIFS(G24:AP24,$G$6:$AP$6,"&lt;="&amp;'Assumptions'!$E$7)</x:f>
        <x:v>91293437.61996524</x:v>
      </x:c>
      <x:c r="F24" s="2"/>
      <x:c r="G24" s="35" t="n">
        <x:f>'CF Installment'!G24+'MK Installment'!G24</x:f>
        <x:v>15521536.395158017</x:v>
      </x:c>
      <x:c r="H24" s="35" t="n">
        <x:f>'CF Installment'!H24+'MK Installment'!H24</x:f>
        <x:v>9223259.319232007</x:v>
      </x:c>
      <x:c r="I24" s="35" t="n">
        <x:f>'CF Installment'!I24+'MK Installment'!I24</x:f>
        <x:v>6121553.274216826</x:v>
      </x:c>
      <x:c r="J24" s="35" t="n">
        <x:f>'CF Installment'!J24+'MK Installment'!J24</x:f>
        <x:v>4475297.332443512</x:v>
      </x:c>
      <x:c r="K24" s="35" t="n">
        <x:f>'CF Installment'!K24+'MK Installment'!K24</x:f>
        <x:v>3594945.405535442</x:v>
      </x:c>
      <x:c r="L24" s="35" t="n">
        <x:f>'CF Installment'!L24+'MK Installment'!L24</x:f>
        <x:v>3133294.682147721</x:v>
      </x:c>
      <x:c r="M24" s="35" t="n">
        <x:f>'CF Installment'!M24+'MK Installment'!M24</x:f>
        <x:v>2897806.6274901037</x:v>
      </x:c>
      <x:c r="N24" s="35" t="n">
        <x:f>'CF Installment'!N24+'MK Installment'!N24</x:f>
        <x:v>2782717.224610476</x:v>
      </x:c>
      <x:c r="O24" s="35" t="n">
        <x:f>'CF Installment'!O24+'MK Installment'!O24</x:f>
        <x:v>2734510.6360165076</x:v>
      </x:c>
      <x:c r="P24" s="35" t="n">
        <x:f>'CF Installment'!P24+'MK Installment'!P24</x:f>
        <x:v>2720567.781540975</x:v>
      </x:c>
      <x:c r="Q24" s="35" t="n">
        <x:f>'CF Installment'!Q24+'MK Installment'!Q24</x:f>
        <x:v>2720567.7815409754</x:v>
      </x:c>
      <x:c r="R24" s="35" t="n">
        <x:f>'CF Installment'!R24+'MK Installment'!R24</x:f>
        <x:v>2720567.7815409754</x:v>
      </x:c>
      <x:c r="S24" s="35" t="n">
        <x:f>'CF Installment'!S24+'MK Installment'!S24</x:f>
        <x:v>2720567.7815409754</x:v>
      </x:c>
      <x:c r="T24" s="35" t="n">
        <x:f>'CF Installment'!T24+'MK Installment'!T24</x:f>
        <x:v>2720567.7815409754</x:v>
      </x:c>
      <x:c r="U24" s="35" t="n">
        <x:f>'CF Installment'!U24+'MK Installment'!U24</x:f>
        <x:v>2720567.7815409754</x:v>
      </x:c>
      <x:c r="V24" s="35" t="n">
        <x:f>'CF Installment'!V24+'MK Installment'!V24</x:f>
        <x:v>2720567.7815409754</x:v>
      </x:c>
      <x:c r="W24" s="35" t="n">
        <x:f>'CF Installment'!W24+'MK Installment'!W24</x:f>
        <x:v>2720567.7815409754</x:v>
      </x:c>
      <x:c r="X24" s="35" t="n">
        <x:f>'CF Installment'!X24+'MK Installment'!X24</x:f>
        <x:v>2720567.7815409754</x:v>
      </x:c>
      <x:c r="Y24" s="35" t="n">
        <x:f>'CF Installment'!Y24+'MK Installment'!Y24</x:f>
        <x:v>2720567.7815409754</x:v>
      </x:c>
      <x:c r="Z24" s="35" t="n">
        <x:f>'CF Installment'!Z24+'MK Installment'!Z24</x:f>
        <x:v>2720567.7815409754</x:v>
      </x:c>
      <x:c r="AA24" s="35" t="n">
        <x:f>'CF Installment'!AA24+'MK Installment'!AA24</x:f>
        <x:v>2720567.7815409754</x:v>
      </x:c>
      <x:c r="AB24" s="35" t="n">
        <x:f>'CF Installment'!AB24+'MK Installment'!AB24</x:f>
        <x:v>2720567.7815409754</x:v>
      </x:c>
      <x:c r="AC24" s="35" t="n">
        <x:f>'CF Installment'!AC24+'MK Installment'!AC24</x:f>
        <x:v>2720567.7815409754</x:v>
      </x:c>
      <x:c r="AD24" s="35" t="n">
        <x:f>'CF Installment'!AD24+'MK Installment'!AD24</x:f>
        <x:v>2720567.7815409754</x:v>
      </x:c>
      <x:c r="AE24" s="35" t="n">
        <x:f>'CF Installment'!AE24+'MK Installment'!AE24</x:f>
        <x:v>2720567.7815409754</x:v>
      </x:c>
      <x:c r="AF24" s="35" t="n">
        <x:f>'CF Installment'!AF24+'MK Installment'!AF24</x:f>
        <x:v>2720567.7815409754</x:v>
      </x:c>
      <x:c r="AG24" s="35" t="n">
        <x:f>'CF Installment'!AG24+'MK Installment'!AG24</x:f>
        <x:v>2720567.7815409754</x:v>
      </x:c>
      <x:c r="AH24" s="35" t="n">
        <x:f>'CF Installment'!AH24+'MK Installment'!AH24</x:f>
        <x:v>2720567.7815409754</x:v>
      </x:c>
      <x:c r="AI24" s="35" t="n">
        <x:f>'CF Installment'!AI24+'MK Installment'!AI24</x:f>
        <x:v>2720567.7815409754</x:v>
      </x:c>
      <x:c r="AJ24" s="35" t="n">
        <x:f>'CF Installment'!AJ24+'MK Installment'!AJ24</x:f>
        <x:v>2720567.7815409754</x:v>
      </x:c>
      <x:c r="AK24" s="35" t="n">
        <x:f>'CF Installment'!AK24+'MK Installment'!AK24</x:f>
        <x:v>2720567.7815409754</x:v>
      </x:c>
      <x:c r="AL24" s="35" t="n">
        <x:f>'CF Installment'!AL24+'MK Installment'!AL24</x:f>
        <x:v>2720567.7815409754</x:v>
      </x:c>
      <x:c r="AM24" s="35" t="n">
        <x:f>'CF Installment'!AM24+'MK Installment'!AM24</x:f>
        <x:v>2720567.7815409754</x:v>
      </x:c>
      <x:c r="AN24" s="35" t="n">
        <x:f>'CF Installment'!AN24+'MK Installment'!AN24</x:f>
        <x:v>2720567.7815409754</x:v>
      </x:c>
      <x:c r="AO24" s="35" t="n">
        <x:f>'CF Installment'!AO24+'MK Installment'!AO24</x:f>
        <x:v>2720567.7815409754</x:v>
      </x:c>
      <x:c r="AP24" s="35" t="n">
        <x:f>'CF Installment'!AP24+'MK Installment'!AP24</x:f>
        <x:v>2720567.7815409754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2" t="str">
        <x:v>Net revenue</x:v>
      </x:c>
      <x:c r="D25" s="2"/>
      <x:c r="E25" s="35" t="n">
        <x:f>SUMIFS(G25:AP25,$G$6:$AP$6,"&lt;="&amp;'Assumptions'!$E$7)</x:f>
        <x:v>-22514467.565154374</x:v>
      </x:c>
      <x:c r="F25" s="2"/>
      <x:c r="G25" s="35" t="n">
        <x:f>'CF Installment'!G25+'MK Installment'!G25</x:f>
        <x:v>10779540.345778031</x:v>
      </x:c>
      <x:c r="H25" s="35" t="n">
        <x:f>'CF Installment'!H25+'MK Installment'!H25</x:f>
        <x:v>4481263.2698520245</x:v>
      </x:c>
      <x:c r="I25" s="35" t="n">
        <x:f>'CF Installment'!I25+'MK Installment'!I25</x:f>
        <x:v>1379557.2248368417</x:v>
      </x:c>
      <x:c r="J25" s="35" t="n">
        <x:f>'CF Installment'!J25+'MK Installment'!J25</x:f>
        <x:v>-266698.71693647234</x:v>
      </x:c>
      <x:c r="K25" s="35" t="n">
        <x:f>'CF Installment'!K25+'MK Installment'!K25</x:f>
        <x:v>-1147050.6438445423</x:v>
      </x:c>
      <x:c r="L25" s="35" t="n">
        <x:f>'CF Installment'!L25+'MK Installment'!L25</x:f>
        <x:v>-1608701.3672322633</x:v>
      </x:c>
      <x:c r="M25" s="35" t="n">
        <x:f>'CF Installment'!M25+'MK Installment'!M25</x:f>
        <x:v>-1844189.4218898804</x:v>
      </x:c>
      <x:c r="N25" s="35" t="n">
        <x:f>'CF Installment'!N25+'MK Installment'!N25</x:f>
        <x:v>-1959278.8247695083</x:v>
      </x:c>
      <x:c r="O25" s="35" t="n">
        <x:f>'CF Installment'!O25+'MK Installment'!O25</x:f>
        <x:v>-2007485.4133634765</x:v>
      </x:c>
      <x:c r="P25" s="35" t="n">
        <x:f>'CF Installment'!P25+'MK Installment'!P25</x:f>
        <x:v>-2021428.2678390092</x:v>
      </x:c>
      <x:c r="Q25" s="35" t="n">
        <x:f>'CF Installment'!Q25+'MK Installment'!Q25</x:f>
        <x:v>-2021428.2678390087</x:v>
      </x:c>
      <x:c r="R25" s="35" t="n">
        <x:f>'CF Installment'!R25+'MK Installment'!R25</x:f>
        <x:v>-2021428.2678390087</x:v>
      </x:c>
      <x:c r="S25" s="35" t="n">
        <x:f>'CF Installment'!S25+'MK Installment'!S25</x:f>
        <x:v>-2021428.2678390087</x:v>
      </x:c>
      <x:c r="T25" s="35" t="n">
        <x:f>'CF Installment'!T25+'MK Installment'!T25</x:f>
        <x:v>-2021428.2678390087</x:v>
      </x:c>
      <x:c r="U25" s="35" t="n">
        <x:f>'CF Installment'!U25+'MK Installment'!U25</x:f>
        <x:v>-2021428.2678390087</x:v>
      </x:c>
      <x:c r="V25" s="35" t="n">
        <x:f>'CF Installment'!V25+'MK Installment'!V25</x:f>
        <x:v>-2021428.2678390087</x:v>
      </x:c>
      <x:c r="W25" s="35" t="n">
        <x:f>'CF Installment'!W25+'MK Installment'!W25</x:f>
        <x:v>-2021428.2678390087</x:v>
      </x:c>
      <x:c r="X25" s="35" t="n">
        <x:f>'CF Installment'!X25+'MK Installment'!X25</x:f>
        <x:v>-2021428.2678390087</x:v>
      </x:c>
      <x:c r="Y25" s="35" t="n">
        <x:f>'CF Installment'!Y25+'MK Installment'!Y25</x:f>
        <x:v>-2021428.2678390087</x:v>
      </x:c>
      <x:c r="Z25" s="35" t="n">
        <x:f>'CF Installment'!Z25+'MK Installment'!Z25</x:f>
        <x:v>-2021428.2678390087</x:v>
      </x:c>
      <x:c r="AA25" s="35" t="n">
        <x:f>'CF Installment'!AA25+'MK Installment'!AA25</x:f>
        <x:v>-2021428.2678390087</x:v>
      </x:c>
      <x:c r="AB25" s="35" t="n">
        <x:f>'CF Installment'!AB25+'MK Installment'!AB25</x:f>
        <x:v>-2021428.2678390087</x:v>
      </x:c>
      <x:c r="AC25" s="35" t="n">
        <x:f>'CF Installment'!AC25+'MK Installment'!AC25</x:f>
        <x:v>-2021428.2678390087</x:v>
      </x:c>
      <x:c r="AD25" s="35" t="n">
        <x:f>'CF Installment'!AD25+'MK Installment'!AD25</x:f>
        <x:v>-2021428.2678390087</x:v>
      </x:c>
      <x:c r="AE25" s="35" t="n">
        <x:f>'CF Installment'!AE25+'MK Installment'!AE25</x:f>
        <x:v>-2021428.2678390087</x:v>
      </x:c>
      <x:c r="AF25" s="35" t="n">
        <x:f>'CF Installment'!AF25+'MK Installment'!AF25</x:f>
        <x:v>-2021428.2678390087</x:v>
      </x:c>
      <x:c r="AG25" s="35" t="n">
        <x:f>'CF Installment'!AG25+'MK Installment'!AG25</x:f>
        <x:v>-2021428.2678390087</x:v>
      </x:c>
      <x:c r="AH25" s="35" t="n">
        <x:f>'CF Installment'!AH25+'MK Installment'!AH25</x:f>
        <x:v>-2021428.2678390087</x:v>
      </x:c>
      <x:c r="AI25" s="35" t="n">
        <x:f>'CF Installment'!AI25+'MK Installment'!AI25</x:f>
        <x:v>-2021428.2678390087</x:v>
      </x:c>
      <x:c r="AJ25" s="35" t="n">
        <x:f>'CF Installment'!AJ25+'MK Installment'!AJ25</x:f>
        <x:v>-2021428.2678390087</x:v>
      </x:c>
      <x:c r="AK25" s="35" t="n">
        <x:f>'CF Installment'!AK25+'MK Installment'!AK25</x:f>
        <x:v>-2021428.2678390087</x:v>
      </x:c>
      <x:c r="AL25" s="35" t="n">
        <x:f>'CF Installment'!AL25+'MK Installment'!AL25</x:f>
        <x:v>-2021428.2678390087</x:v>
      </x:c>
      <x:c r="AM25" s="35" t="n">
        <x:f>'CF Installment'!AM25+'MK Installment'!AM25</x:f>
        <x:v>-2021428.2678390087</x:v>
      </x:c>
      <x:c r="AN25" s="35" t="n">
        <x:f>'CF Installment'!AN25+'MK Installment'!AN25</x:f>
        <x:v>-2021428.2678390087</x:v>
      </x:c>
      <x:c r="AO25" s="35" t="n">
        <x:f>'CF Installment'!AO25+'MK Installment'!AO25</x:f>
        <x:v>-2021428.2678390087</x:v>
      </x:c>
      <x:c r="AP25" s="35" t="n">
        <x:f>'CF Installment'!AP25+'MK Installment'!AP25</x:f>
        <x:v>-2021428.2678390087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92260993.10010692</x:v>
      </x:c>
      <x:c r="F27" s="2"/>
      <x:c r="G27" s="35" t="n">
        <x:f>'CF Installment'!G27+'MK Installment'!G27</x:f>
        <x:v>44748296.83291605</x:v>
      </x:c>
      <x:c r="H27" s="35" t="n">
        <x:f>'CF Installment'!H27+'MK Installment'!H27</x:f>
        <x:v>22002055.560468193</x:v>
      </x:c>
      <x:c r="I27" s="35" t="n">
        <x:f>'CF Installment'!I27+'MK Installment'!I27</x:f>
        <x:v>11849966.017790437</x:v>
      </x:c>
      <x:c r="J27" s="35" t="n">
        <x:f>'CF Installment'!J27+'MK Installment'!J27</x:f>
        <x:v>6529928.001860656</x:v>
      </x:c>
      <x:c r="K27" s="35" t="n">
        <x:f>'CF Installment'!K27+'MK Installment'!K27</x:f>
        <x:v>3565388.097962402</x:v>
      </x:c>
      <x:c r="L27" s="35" t="n">
        <x:f>'CF Installment'!L27+'MK Installment'!L27</x:f>
        <x:v>1853110.6988498294</x:v>
      </x:c>
      <x:c r="M27" s="35" t="n">
        <x:f>'CF Installment'!M27+'MK Installment'!M27</x:f>
        <x:v>1019207.7877078822</x:v>
      </x:c>
      <x:c r="N27" s="35" t="n">
        <x:f>'CF Installment'!N27+'MK Installment'!N27</x:f>
        <x:v>510525.97480444727</x:v>
      </x:c>
      <x:c r="O27" s="35" t="n">
        <x:f>'CF Installment'!O27+'MK Installment'!O27</x:f>
        <x:v>182514.12774702298</x:v>
      </x:c>
      <x:c r="P27" s="35" t="n">
        <x:f>'CF Installment'!P27+'MK Installment'!P27</x:f>
        <x:v>0</x:v>
      </x:c>
      <x:c r="Q27" s="35" t="n">
        <x:f>'CF Installment'!Q27+'MK Installment'!Q27</x:f>
        <x:v>0</x:v>
      </x:c>
      <x:c r="R27" s="35" t="n">
        <x:f>'CF Installment'!R27+'MK Installment'!R27</x:f>
        <x:v>0</x:v>
      </x:c>
      <x:c r="S27" s="35" t="n">
        <x:f>'CF Installment'!S27+'MK Installment'!S27</x:f>
        <x:v>0</x:v>
      </x:c>
      <x:c r="T27" s="35" t="n">
        <x:f>'CF Installment'!T27+'MK Installment'!T27</x:f>
        <x:v>0</x:v>
      </x:c>
      <x:c r="U27" s="35" t="n">
        <x:f>'CF Installment'!U27+'MK Installment'!U27</x:f>
        <x:v>0</x:v>
      </x:c>
      <x:c r="V27" s="35" t="n">
        <x:f>'CF Installment'!V27+'MK Installment'!V27</x:f>
        <x:v>0</x:v>
      </x:c>
      <x:c r="W27" s="35" t="n">
        <x:f>'CF Installment'!W27+'MK Installment'!W27</x:f>
        <x:v>0</x:v>
      </x:c>
      <x:c r="X27" s="35" t="n">
        <x:f>'CF Installment'!X27+'MK Installment'!X27</x:f>
        <x:v>0</x:v>
      </x:c>
      <x:c r="Y27" s="35" t="n">
        <x:f>'CF Installment'!Y27+'MK Installment'!Y27</x:f>
        <x:v>0</x:v>
      </x:c>
      <x:c r="Z27" s="35" t="n">
        <x:f>'CF Installment'!Z27+'MK Installment'!Z27</x:f>
        <x:v>0</x:v>
      </x:c>
      <x:c r="AA27" s="35" t="n">
        <x:f>'CF Installment'!AA27+'MK Installment'!AA27</x:f>
        <x:v>0</x:v>
      </x:c>
      <x:c r="AB27" s="35" t="n">
        <x:f>'CF Installment'!AB27+'MK Installment'!AB27</x:f>
        <x:v>0</x:v>
      </x:c>
      <x:c r="AC27" s="35" t="n">
        <x:f>'CF Installment'!AC27+'MK Installment'!AC27</x:f>
        <x:v>0</x:v>
      </x:c>
      <x:c r="AD27" s="35" t="n">
        <x:f>'CF Installment'!AD27+'MK Installment'!AD27</x:f>
        <x:v>0</x:v>
      </x:c>
      <x:c r="AE27" s="35" t="n">
        <x:f>'CF Installment'!AE27+'MK Installment'!AE27</x:f>
        <x:v>0</x:v>
      </x:c>
      <x:c r="AF27" s="35" t="n">
        <x:f>'CF Installment'!AF27+'MK Installment'!AF27</x:f>
        <x:v>0</x:v>
      </x:c>
      <x:c r="AG27" s="35" t="n">
        <x:f>'CF Installment'!AG27+'MK Installment'!AG27</x:f>
        <x:v>0</x:v>
      </x:c>
      <x:c r="AH27" s="35" t="n">
        <x:f>'CF Installment'!AH27+'MK Installment'!AH27</x:f>
        <x:v>0</x:v>
      </x:c>
      <x:c r="AI27" s="35" t="n">
        <x:f>'CF Installment'!AI27+'MK Installment'!AI27</x:f>
        <x:v>0</x:v>
      </x:c>
      <x:c r="AJ27" s="35" t="n">
        <x:f>'CF Installment'!AJ27+'MK Installment'!AJ27</x:f>
        <x:v>0</x:v>
      </x:c>
      <x:c r="AK27" s="35" t="n">
        <x:f>'CF Installment'!AK27+'MK Installment'!AK27</x:f>
        <x:v>0</x:v>
      </x:c>
      <x:c r="AL27" s="35" t="n">
        <x:f>'CF Installment'!AL27+'MK Installment'!AL27</x:f>
        <x:v>0</x:v>
      </x:c>
      <x:c r="AM27" s="35" t="n">
        <x:f>'CF Installment'!AM27+'MK Installment'!AM27</x:f>
        <x:v>0</x:v>
      </x:c>
      <x:c r="AN27" s="35" t="n">
        <x:f>'CF Installment'!AN27+'MK Installment'!AN27</x:f>
        <x:v>0</x:v>
      </x:c>
      <x:c r="AO27" s="35" t="n">
        <x:f>'CF Installment'!AO27+'MK Installment'!AO27</x:f>
        <x:v>0</x:v>
      </x:c>
      <x:c r="AP27" s="35" t="n">
        <x:f>'CF Installment'!AP27+'MK Installment'!AP27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99725500.66176395</x:v>
      </x:c>
      <x:c r="F28" s="2"/>
      <x:c r="G28" s="35" t="n">
        <x:f>'CF Installment'!G28+'MK Installment'!G28</x:f>
        <x:v>0</x:v>
      </x:c>
      <x:c r="H28" s="35" t="n">
        <x:f>'CF Installment'!H28+'MK Installment'!H28</x:f>
        <x:v>1452004.2975912385</x:v>
      </x:c>
      <x:c r="I28" s="35" t="n">
        <x:f>'CF Installment'!I28+'MK Installment'!I28</x:f>
        <x:v>2493644.647255221</x:v>
      </x:c>
      <x:c r="J28" s="35" t="n">
        <x:f>'CF Installment'!J28+'MK Installment'!J28</x:f>
        <x:v>3220347.3893963885</x:v>
      </x:c>
      <x:c r="K28" s="35" t="n">
        <x:f>'CF Installment'!K28+'MK Installment'!K28</x:f>
        <x:v>3751168.881562517</x:v>
      </x:c>
      <x:c r="L28" s="35" t="n">
        <x:f>'CF Installment'!L28+'MK Installment'!L28</x:f>
        <x:v>4148417.575032998</x:v>
      </x:c>
      <x:c r="M28" s="35" t="n">
        <x:f>'CF Installment'!M28+'MK Installment'!M28</x:f>
        <x:v>4362023.901298977</x:v>
      </x:c>
      <x:c r="N28" s="35" t="n">
        <x:f>'CF Installment'!N28+'MK Installment'!N28</x:f>
        <x:v>4518499.554179133</x:v>
      </x:c>
      <x:c r="O28" s="35" t="n">
        <x:f>'CF Installment'!O28+'MK Installment'!O28</x:f>
        <x:v>4649453.6747476915</x:v>
      </x:c>
      <x:c r="P28" s="35" t="n">
        <x:f>'CF Installment'!P28+'MK Installment'!P28</x:f>
        <x:v>4741996.049379985</x:v>
      </x:c>
      <x:c r="Q28" s="35" t="n">
        <x:f>'CF Installment'!Q28+'MK Installment'!Q28</x:f>
        <x:v>4741996.049379985</x:v>
      </x:c>
      <x:c r="R28" s="35" t="n">
        <x:f>'CF Installment'!R28+'MK Installment'!R28</x:f>
        <x:v>4741996.049379985</x:v>
      </x:c>
      <x:c r="S28" s="35" t="n">
        <x:f>'CF Installment'!S28+'MK Installment'!S28</x:f>
        <x:v>4741996.049379985</x:v>
      </x:c>
      <x:c r="T28" s="35" t="n">
        <x:f>'CF Installment'!T28+'MK Installment'!T28</x:f>
        <x:v>4741996.049379985</x:v>
      </x:c>
      <x:c r="U28" s="35" t="n">
        <x:f>'CF Installment'!U28+'MK Installment'!U28</x:f>
        <x:v>4741996.049379985</x:v>
      </x:c>
      <x:c r="V28" s="35" t="n">
        <x:f>'CF Installment'!V28+'MK Installment'!V28</x:f>
        <x:v>4741996.049379985</x:v>
      </x:c>
      <x:c r="W28" s="35" t="n">
        <x:f>'CF Installment'!W28+'MK Installment'!W28</x:f>
        <x:v>4741996.049379985</x:v>
      </x:c>
      <x:c r="X28" s="35" t="n">
        <x:f>'CF Installment'!X28+'MK Installment'!X28</x:f>
        <x:v>4741996.049379985</x:v>
      </x:c>
      <x:c r="Y28" s="35" t="n">
        <x:f>'CF Installment'!Y28+'MK Installment'!Y28</x:f>
        <x:v>4741996.049379985</x:v>
      </x:c>
      <x:c r="Z28" s="35" t="n">
        <x:f>'CF Installment'!Z28+'MK Installment'!Z28</x:f>
        <x:v>4741996.049379985</x:v>
      </x:c>
      <x:c r="AA28" s="35" t="n">
        <x:f>'CF Installment'!AA28+'MK Installment'!AA28</x:f>
        <x:v>4741996.049379985</x:v>
      </x:c>
      <x:c r="AB28" s="35" t="n">
        <x:f>'CF Installment'!AB28+'MK Installment'!AB28</x:f>
        <x:v>4741996.049379985</x:v>
      </x:c>
      <x:c r="AC28" s="35" t="n">
        <x:f>'CF Installment'!AC28+'MK Installment'!AC28</x:f>
        <x:v>4741996.049379985</x:v>
      </x:c>
      <x:c r="AD28" s="35" t="n">
        <x:f>'CF Installment'!AD28+'MK Installment'!AD28</x:f>
        <x:v>4741996.049379985</x:v>
      </x:c>
      <x:c r="AE28" s="35" t="n">
        <x:f>'CF Installment'!AE28+'MK Installment'!AE28</x:f>
        <x:v>4741996.049379985</x:v>
      </x:c>
      <x:c r="AF28" s="35" t="n">
        <x:f>'CF Installment'!AF28+'MK Installment'!AF28</x:f>
        <x:v>4741996.049379985</x:v>
      </x:c>
      <x:c r="AG28" s="35" t="n">
        <x:f>'CF Installment'!AG28+'MK Installment'!AG28</x:f>
        <x:v>4741996.049379985</x:v>
      </x:c>
      <x:c r="AH28" s="35" t="n">
        <x:f>'CF Installment'!AH28+'MK Installment'!AH28</x:f>
        <x:v>4741996.049379985</x:v>
      </x:c>
      <x:c r="AI28" s="35" t="n">
        <x:f>'CF Installment'!AI28+'MK Installment'!AI28</x:f>
        <x:v>4741996.049379985</x:v>
      </x:c>
      <x:c r="AJ28" s="35" t="n">
        <x:f>'CF Installment'!AJ28+'MK Installment'!AJ28</x:f>
        <x:v>4741996.049379985</x:v>
      </x:c>
      <x:c r="AK28" s="35" t="n">
        <x:f>'CF Installment'!AK28+'MK Installment'!AK28</x:f>
        <x:v>4741996.049379985</x:v>
      </x:c>
      <x:c r="AL28" s="35" t="n">
        <x:f>'CF Installment'!AL28+'MK Installment'!AL28</x:f>
        <x:v>4741996.049379985</x:v>
      </x:c>
      <x:c r="AM28" s="35" t="n">
        <x:f>'CF Installment'!AM28+'MK Installment'!AM28</x:f>
        <x:v>4741996.049379985</x:v>
      </x:c>
      <x:c r="AN28" s="35" t="n">
        <x:f>'CF Installment'!AN28+'MK Installment'!AN28</x:f>
        <x:v>4741996.049379985</x:v>
      </x:c>
      <x:c r="AO28" s="35" t="n">
        <x:f>'CF Installment'!AO28+'MK Installment'!AO28</x:f>
        <x:v>4741996.049379985</x:v>
      </x:c>
      <x:c r="AP28" s="35" t="n">
        <x:f>'CF Installment'!AP28+'MK Installment'!AP28</x:f>
        <x:v>4741996.049379985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291139006.8998932</x:v>
      </x:c>
      <x:c r="F29" s="2"/>
      <x:c r="G29" s="35" t="n">
        <x:f>'CF Installment'!G29+'MK Installment'!G29</x:f>
        <x:v>135562894.52578074</x:v>
      </x:c>
      <x:c r="H29" s="35" t="n">
        <x:f>'CF Installment'!H29+'MK Installment'!H29</x:f>
        <x:v>69736331.33739358</x:v>
      </x:c>
      <x:c r="I29" s="35" t="n">
        <x:f>'CF Installment'!I29+'MK Installment'!I29</x:f>
        <x:v>38904186.71406403</x:v>
      </x:c>
      <x:c r="J29" s="35" t="n">
        <x:f>'CF Installment'!J29+'MK Installment'!J29</x:f>
        <x:v>22001774.679176625</x:v>
      </x:c>
      <x:c r="K29" s="35" t="n">
        <x:f>'CF Installment'!K29+'MK Installment'!K29</x:f>
        <x:v>12320753.003223436</x:v>
      </x:c>
      <x:c r="L29" s="35" t="n">
        <x:f>'CF Installment'!L29+'MK Installment'!L29</x:f>
        <x:v>6707277.834000221</x:v>
      </x:c>
      <x:c r="M29" s="35" t="n">
        <x:f>'CF Installment'!M29+'MK Installment'!M29</x:f>
        <x:v>3580127.3480028566</x:v>
      </x:c>
      <x:c r="N29" s="35" t="n">
        <x:f>'CF Installment'!N29+'MK Installment'!N29</x:f>
        <x:v>1708554.3406853122</x:v>
      </x:c>
      <x:c r="O29" s="35" t="n">
        <x:f>'CF Installment'!O29+'MK Installment'!O29</x:f>
        <x:v>617107.1175664124</x:v>
      </x:c>
      <x:c r="P29" s="35" t="n">
        <x:f>'CF Installment'!P29+'MK Installment'!P29</x:f>
        <x:v>0</x:v>
      </x:c>
      <x:c r="Q29" s="35" t="n">
        <x:f>'CF Installment'!Q29+'MK Installment'!Q29</x:f>
        <x:v>0</x:v>
      </x:c>
      <x:c r="R29" s="35" t="n">
        <x:f>'CF Installment'!R29+'MK Installment'!R29</x:f>
        <x:v>0</x:v>
      </x:c>
      <x:c r="S29" s="35" t="n">
        <x:f>'CF Installment'!S29+'MK Installment'!S29</x:f>
        <x:v>0</x:v>
      </x:c>
      <x:c r="T29" s="35" t="n">
        <x:f>'CF Installment'!T29+'MK Installment'!T29</x:f>
        <x:v>0</x:v>
      </x:c>
      <x:c r="U29" s="35" t="n">
        <x:f>'CF Installment'!U29+'MK Installment'!U29</x:f>
        <x:v>0</x:v>
      </x:c>
      <x:c r="V29" s="35" t="n">
        <x:f>'CF Installment'!V29+'MK Installment'!V29</x:f>
        <x:v>0</x:v>
      </x:c>
      <x:c r="W29" s="35" t="n">
        <x:f>'CF Installment'!W29+'MK Installment'!W29</x:f>
        <x:v>0</x:v>
      </x:c>
      <x:c r="X29" s="35" t="n">
        <x:f>'CF Installment'!X29+'MK Installment'!X29</x:f>
        <x:v>0</x:v>
      </x:c>
      <x:c r="Y29" s="35" t="n">
        <x:f>'CF Installment'!Y29+'MK Installment'!Y29</x:f>
        <x:v>0</x:v>
      </x:c>
      <x:c r="Z29" s="35" t="n">
        <x:f>'CF Installment'!Z29+'MK Installment'!Z29</x:f>
        <x:v>0</x:v>
      </x:c>
      <x:c r="AA29" s="35" t="n">
        <x:f>'CF Installment'!AA29+'MK Installment'!AA29</x:f>
        <x:v>0</x:v>
      </x:c>
      <x:c r="AB29" s="35" t="n">
        <x:f>'CF Installment'!AB29+'MK Installment'!AB29</x:f>
        <x:v>0</x:v>
      </x:c>
      <x:c r="AC29" s="35" t="n">
        <x:f>'CF Installment'!AC29+'MK Installment'!AC29</x:f>
        <x:v>0</x:v>
      </x:c>
      <x:c r="AD29" s="35" t="n">
        <x:f>'CF Installment'!AD29+'MK Installment'!AD29</x:f>
        <x:v>0</x:v>
      </x:c>
      <x:c r="AE29" s="35" t="n">
        <x:f>'CF Installment'!AE29+'MK Installment'!AE29</x:f>
        <x:v>0</x:v>
      </x:c>
      <x:c r="AF29" s="35" t="n">
        <x:f>'CF Installment'!AF29+'MK Installment'!AF29</x:f>
        <x:v>0</x:v>
      </x:c>
      <x:c r="AG29" s="35" t="n">
        <x:f>'CF Installment'!AG29+'MK Installment'!AG29</x:f>
        <x:v>0</x:v>
      </x:c>
      <x:c r="AH29" s="35" t="n">
        <x:f>'CF Installment'!AH29+'MK Installment'!AH29</x:f>
        <x:v>0</x:v>
      </x:c>
      <x:c r="AI29" s="35" t="n">
        <x:f>'CF Installment'!AI29+'MK Installment'!AI29</x:f>
        <x:v>0</x:v>
      </x:c>
      <x:c r="AJ29" s="35" t="n">
        <x:f>'CF Installment'!AJ29+'MK Installment'!AJ29</x:f>
        <x:v>0</x:v>
      </x:c>
      <x:c r="AK29" s="35" t="n">
        <x:f>'CF Installment'!AK29+'MK Installment'!AK29</x:f>
        <x:v>0</x:v>
      </x:c>
      <x:c r="AL29" s="35" t="n">
        <x:f>'CF Installment'!AL29+'MK Installment'!AL29</x:f>
        <x:v>0</x:v>
      </x:c>
      <x:c r="AM29" s="35" t="n">
        <x:f>'CF Installment'!AM29+'MK Installment'!AM29</x:f>
        <x:v>0</x:v>
      </x:c>
      <x:c r="AN29" s="35" t="n">
        <x:f>'CF Installment'!AN29+'MK Installment'!AN29</x:f>
        <x:v>0</x:v>
      </x:c>
      <x:c r="AO29" s="35" t="n">
        <x:f>'CF Installment'!AO29+'MK Installment'!AO29</x:f>
        <x:v>0</x:v>
      </x:c>
      <x:c r="AP29" s="35" t="n">
        <x:f>'CF Installment'!AP29+'MK Installment'!AP29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354574660.78250736</x:v>
      </x:c>
      <x:c r="F30" s="2"/>
      <x:c r="G30" s="35" t="n">
        <x:f>'CF Installment'!G30+'MK Installment'!G30</x:f>
        <x:v>0</x:v>
      </x:c>
      <x:c r="H30" s="35" t="n">
        <x:f>'CF Installment'!H30+'MK Installment'!H30</x:f>
        <x:v>5193644.434255646</x:v>
      </x:c>
      <x:c r="I30" s="35" t="n">
        <x:f>'CF Installment'!I30+'MK Installment'!I30</x:f>
        <x:v>8863849.351551227</x:v>
      </x:c>
      <x:c r="J30" s="35" t="n">
        <x:f>'CF Installment'!J30+'MK Installment'!J30</x:f>
        <x:v>11489346.746565444</x:v>
      </x:c>
      <x:c r="K30" s="35" t="n">
        <x:f>'CF Installment'!K30+'MK Installment'!K30</x:f>
        <x:v>13350098.142262183</x:v>
      </x:c>
      <x:c r="L30" s="35" t="n">
        <x:f>'CF Installment'!L30+'MK Installment'!L30</x:f>
        <x:v>14649411.669522734</x:v>
      </x:c>
      <x:c r="M30" s="35" t="n">
        <x:f>'CF Installment'!M30+'MK Installment'!M30</x:f>
        <x:v>15501888.640387256</x:v>
      </x:c>
      <x:c r="N30" s="35" t="n">
        <x:f>'CF Installment'!N30+'MK Installment'!N30</x:f>
        <x:v>16111257.97159746</x:v>
      </x:c>
      <x:c r="O30" s="35" t="n">
        <x:f>'CF Installment'!O30+'MK Installment'!O30</x:f>
        <x:v>16545104.567065215</x:v>
      </x:c>
      <x:c r="P30" s="35" t="n">
        <x:f>'CF Installment'!P30+'MK Installment'!P30</x:f>
        <x:v>16858003.950620018</x:v>
      </x:c>
      <x:c r="Q30" s="35" t="n">
        <x:f>'CF Installment'!Q30+'MK Installment'!Q30</x:f>
        <x:v>16858003.950620018</x:v>
      </x:c>
      <x:c r="R30" s="35" t="n">
        <x:f>'CF Installment'!R30+'MK Installment'!R30</x:f>
        <x:v>16858003.950620018</x:v>
      </x:c>
      <x:c r="S30" s="35" t="n">
        <x:f>'CF Installment'!S30+'MK Installment'!S30</x:f>
        <x:v>16858003.950620018</x:v>
      </x:c>
      <x:c r="T30" s="35" t="n">
        <x:f>'CF Installment'!T30+'MK Installment'!T30</x:f>
        <x:v>16858003.950620018</x:v>
      </x:c>
      <x:c r="U30" s="35" t="n">
        <x:f>'CF Installment'!U30+'MK Installment'!U30</x:f>
        <x:v>16858003.950620018</x:v>
      </x:c>
      <x:c r="V30" s="35" t="n">
        <x:f>'CF Installment'!V30+'MK Installment'!V30</x:f>
        <x:v>16858003.950620018</x:v>
      </x:c>
      <x:c r="W30" s="35" t="n">
        <x:f>'CF Installment'!W30+'MK Installment'!W30</x:f>
        <x:v>16858003.950620018</x:v>
      </x:c>
      <x:c r="X30" s="35" t="n">
        <x:f>'CF Installment'!X30+'MK Installment'!X30</x:f>
        <x:v>16858003.950620018</x:v>
      </x:c>
      <x:c r="Y30" s="35" t="n">
        <x:f>'CF Installment'!Y30+'MK Installment'!Y30</x:f>
        <x:v>16858003.950620018</x:v>
      </x:c>
      <x:c r="Z30" s="35" t="n">
        <x:f>'CF Installment'!Z30+'MK Installment'!Z30</x:f>
        <x:v>16858003.950620018</x:v>
      </x:c>
      <x:c r="AA30" s="35" t="n">
        <x:f>'CF Installment'!AA30+'MK Installment'!AA30</x:f>
        <x:v>16858003.950620018</x:v>
      </x:c>
      <x:c r="AB30" s="35" t="n">
        <x:f>'CF Installment'!AB30+'MK Installment'!AB30</x:f>
        <x:v>16858003.950620018</x:v>
      </x:c>
      <x:c r="AC30" s="35" t="n">
        <x:f>'CF Installment'!AC30+'MK Installment'!AC30</x:f>
        <x:v>16858003.950620018</x:v>
      </x:c>
      <x:c r="AD30" s="35" t="n">
        <x:f>'CF Installment'!AD30+'MK Installment'!AD30</x:f>
        <x:v>16858003.950620018</x:v>
      </x:c>
      <x:c r="AE30" s="35" t="n">
        <x:f>'CF Installment'!AE30+'MK Installment'!AE30</x:f>
        <x:v>16858003.950620018</x:v>
      </x:c>
      <x:c r="AF30" s="35" t="n">
        <x:f>'CF Installment'!AF30+'MK Installment'!AF30</x:f>
        <x:v>16858003.950620018</x:v>
      </x:c>
      <x:c r="AG30" s="35" t="n">
        <x:f>'CF Installment'!AG30+'MK Installment'!AG30</x:f>
        <x:v>16858003.950620018</x:v>
      </x:c>
      <x:c r="AH30" s="35" t="n">
        <x:f>'CF Installment'!AH30+'MK Installment'!AH30</x:f>
        <x:v>16858003.950620018</x:v>
      </x:c>
      <x:c r="AI30" s="35" t="n">
        <x:f>'CF Installment'!AI30+'MK Installment'!AI30</x:f>
        <x:v>16858003.950620018</x:v>
      </x:c>
      <x:c r="AJ30" s="35" t="n">
        <x:f>'CF Installment'!AJ30+'MK Installment'!AJ30</x:f>
        <x:v>16858003.950620018</x:v>
      </x:c>
      <x:c r="AK30" s="35" t="n">
        <x:f>'CF Installment'!AK30+'MK Installment'!AK30</x:f>
        <x:v>16858003.950620018</x:v>
      </x:c>
      <x:c r="AL30" s="35" t="n">
        <x:f>'CF Installment'!AL30+'MK Installment'!AL30</x:f>
        <x:v>16858003.950620018</x:v>
      </x:c>
      <x:c r="AM30" s="35" t="n">
        <x:f>'CF Installment'!AM30+'MK Installment'!AM30</x:f>
        <x:v>16858003.950620018</x:v>
      </x:c>
      <x:c r="AN30" s="35" t="n">
        <x:f>'CF Installment'!AN30+'MK Installment'!AN30</x:f>
        <x:v>16858003.950620018</x:v>
      </x:c>
      <x:c r="AO30" s="35" t="n">
        <x:f>'CF Installment'!AO30+'MK Installment'!AO30</x:f>
        <x:v>16858003.950620018</x:v>
      </x:c>
      <x:c r="AP30" s="35" t="n">
        <x:f>'CF Installment'!AP30+'MK Installment'!AP30</x:f>
        <x:v>16858003.950620018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2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33268301.79561017</x:v>
      </x:c>
      <x:c r="F32" s="2"/>
      <x:c r="G32" s="35" t="n">
        <x:f>'CF Installment'!G32+'MK Installment'!G32</x:f>
        <x:v>15521536.395158017</x:v>
      </x:c>
      <x:c r="H32" s="35" t="n">
        <x:f>'CF Installment'!H32+'MK Installment'!H32</x:f>
        <x:v>8299809.51620494</x:v>
      </x:c>
      <x:c r="I32" s="35" t="n">
        <x:f>'CF Installment'!I32+'MK Installment'!I32</x:f>
        <x:v>4560437.554092338</x:v>
      </x:c>
      <x:c r="J32" s="35" t="n">
        <x:f>'CF Installment'!J32+'MK Installment'!J32</x:f>
        <x:v>2478040.629612457</x:v>
      </x:c>
      <x:c r="K32" s="35" t="n">
        <x:f>'CF Installment'!K32+'MK Installment'!K32</x:f>
        <x:v>1306212.3356602516</x:v>
      </x:c>
      <x:c r="L32" s="35" t="n">
        <x:f>'CF Installment'!L32+'MK Installment'!L32</x:f>
        <x:v>656576.9159818934</x:v>
      </x:c>
      <x:c r="M32" s="35" t="n">
        <x:f>'CF Installment'!M32+'MK Installment'!M32</x:f>
        <x:v>302446.3249869386</x:v>
      </x:c>
      <x:c r="N32" s="35" t="n">
        <x:f>'CF Installment'!N32+'MK Installment'!N32</x:f>
        <x:v>114958.04769160389</x:v>
      </x:c>
      <x:c r="O32" s="35" t="n">
        <x:f>'CF Installment'!O32+'MK Installment'!O32</x:f>
        <x:v>28284.076221788513</x:v>
      </x:c>
      <x:c r="P32" s="35" t="n">
        <x:f>'CF Installment'!P32+'MK Installment'!P32</x:f>
        <x:v>-5.3890592729051905e-9</x:v>
      </x:c>
      <x:c r="Q32" s="35" t="n">
        <x:f>'CF Installment'!Q32+'MK Installment'!Q32</x:f>
        <x:v>-5.3890592729051905e-9</x:v>
      </x:c>
      <x:c r="R32" s="35" t="n">
        <x:f>'CF Installment'!R32+'MK Installment'!R32</x:f>
        <x:v>-5.3890592729051905e-9</x:v>
      </x:c>
      <x:c r="S32" s="35" t="n">
        <x:f>'CF Installment'!S32+'MK Installment'!S32</x:f>
        <x:v>-5.3890592729051905e-9</x:v>
      </x:c>
      <x:c r="T32" s="35" t="n">
        <x:f>'CF Installment'!T32+'MK Installment'!T32</x:f>
        <x:v>-5.3890592729051905e-9</x:v>
      </x:c>
      <x:c r="U32" s="35" t="n">
        <x:f>'CF Installment'!U32+'MK Installment'!U32</x:f>
        <x:v>-5.3890592729051905e-9</x:v>
      </x:c>
      <x:c r="V32" s="35" t="n">
        <x:f>'CF Installment'!V32+'MK Installment'!V32</x:f>
        <x:v>-5.3890592729051905e-9</x:v>
      </x:c>
      <x:c r="W32" s="35" t="n">
        <x:f>'CF Installment'!W32+'MK Installment'!W32</x:f>
        <x:v>-5.3890592729051905e-9</x:v>
      </x:c>
      <x:c r="X32" s="35" t="n">
        <x:f>'CF Installment'!X32+'MK Installment'!X32</x:f>
        <x:v>-5.3890592729051905e-9</x:v>
      </x:c>
      <x:c r="Y32" s="35" t="n">
        <x:f>'CF Installment'!Y32+'MK Installment'!Y32</x:f>
        <x:v>-5.3890592729051905e-9</x:v>
      </x:c>
      <x:c r="Z32" s="35" t="n">
        <x:f>'CF Installment'!Z32+'MK Installment'!Z32</x:f>
        <x:v>-5.3890592729051905e-9</x:v>
      </x:c>
      <x:c r="AA32" s="35" t="n">
        <x:f>'CF Installment'!AA32+'MK Installment'!AA32</x:f>
        <x:v>-5.3890592729051905e-9</x:v>
      </x:c>
      <x:c r="AB32" s="35" t="n">
        <x:f>'CF Installment'!AB32+'MK Installment'!AB32</x:f>
        <x:v>-5.3890592729051905e-9</x:v>
      </x:c>
      <x:c r="AC32" s="35" t="n">
        <x:f>'CF Installment'!AC32+'MK Installment'!AC32</x:f>
        <x:v>-5.3890592729051905e-9</x:v>
      </x:c>
      <x:c r="AD32" s="35" t="n">
        <x:f>'CF Installment'!AD32+'MK Installment'!AD32</x:f>
        <x:v>-5.3890592729051905e-9</x:v>
      </x:c>
      <x:c r="AE32" s="35" t="n">
        <x:f>'CF Installment'!AE32+'MK Installment'!AE32</x:f>
        <x:v>-5.3890592729051905e-9</x:v>
      </x:c>
      <x:c r="AF32" s="35" t="n">
        <x:f>'CF Installment'!AF32+'MK Installment'!AF32</x:f>
        <x:v>-5.3890592729051905e-9</x:v>
      </x:c>
      <x:c r="AG32" s="35" t="n">
        <x:f>'CF Installment'!AG32+'MK Installment'!AG32</x:f>
        <x:v>-5.3890592729051905e-9</x:v>
      </x:c>
      <x:c r="AH32" s="35" t="n">
        <x:f>'CF Installment'!AH32+'MK Installment'!AH32</x:f>
        <x:v>-5.3890592729051905e-9</x:v>
      </x:c>
      <x:c r="AI32" s="35" t="n">
        <x:f>'CF Installment'!AI32+'MK Installment'!AI32</x:f>
        <x:v>-5.3890592729051905e-9</x:v>
      </x:c>
      <x:c r="AJ32" s="35" t="n">
        <x:f>'CF Installment'!AJ32+'MK Installment'!AJ32</x:f>
        <x:v>-5.3890592729051905e-9</x:v>
      </x:c>
      <x:c r="AK32" s="35" t="n">
        <x:f>'CF Installment'!AK32+'MK Installment'!AK32</x:f>
        <x:v>-5.3890592729051905e-9</x:v>
      </x:c>
      <x:c r="AL32" s="35" t="n">
        <x:f>'CF Installment'!AL32+'MK Installment'!AL32</x:f>
        <x:v>-5.3890592729051905e-9</x:v>
      </x:c>
      <x:c r="AM32" s="35" t="n">
        <x:f>'CF Installment'!AM32+'MK Installment'!AM32</x:f>
        <x:v>-5.3890592729051905e-9</x:v>
      </x:c>
      <x:c r="AN32" s="35" t="n">
        <x:f>'CF Installment'!AN32+'MK Installment'!AN32</x:f>
        <x:v>-5.3890592729051905e-9</x:v>
      </x:c>
      <x:c r="AO32" s="35" t="n">
        <x:f>'CF Installment'!AO32+'MK Installment'!AO32</x:f>
        <x:v>-5.3890592729051905e-9</x:v>
      </x:c>
      <x:c r="AP32" s="35" t="n">
        <x:f>'CF Installment'!AP32+'MK Installment'!AP32</x:f>
        <x:v>-5.3890592729051905e-9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58025135.82435512</x:v>
      </x:c>
      <x:c r="F33" s="2"/>
      <x:c r="G33" s="35" t="n">
        <x:f>'CF Installment'!G33+'MK Installment'!G33</x:f>
        <x:v>0</x:v>
      </x:c>
      <x:c r="H33" s="35" t="n">
        <x:f>'CF Installment'!H33+'MK Installment'!H33</x:f>
        <x:v>923449.8030270683</x:v>
      </x:c>
      <x:c r="I33" s="35" t="n">
        <x:f>'CF Installment'!I33+'MK Installment'!I33</x:f>
        <x:v>1561115.7201244878</x:v>
      </x:c>
      <x:c r="J33" s="35" t="n">
        <x:f>'CF Installment'!J33+'MK Installment'!J33</x:f>
        <x:v>1997256.702831055</x:v>
      </x:c>
      <x:c r="K33" s="35" t="n">
        <x:f>'CF Installment'!K33+'MK Installment'!K33</x:f>
        <x:v>2288733.06987519</x:v>
      </x:c>
      <x:c r="L33" s="35" t="n">
        <x:f>'CF Installment'!L33+'MK Installment'!L33</x:f>
        <x:v>2476717.7661658274</x:v>
      </x:c>
      <x:c r="M33" s="35" t="n">
        <x:f>'CF Installment'!M33+'MK Installment'!M33</x:f>
        <x:v>2595360.302503165</x:v>
      </x:c>
      <x:c r="N33" s="35" t="n">
        <x:f>'CF Installment'!N33+'MK Installment'!N33</x:f>
        <x:v>2667759.1769188717</x:v>
      </x:c>
      <x:c r="O33" s="35" t="n">
        <x:f>'CF Installment'!O33+'MK Installment'!O33</x:f>
        <x:v>2706226.5597947193</x:v>
      </x:c>
      <x:c r="P33" s="35" t="n">
        <x:f>'CF Installment'!P33+'MK Installment'!P33</x:f>
        <x:v>2720567.7815409806</x:v>
      </x:c>
      <x:c r="Q33" s="35" t="n">
        <x:f>'CF Installment'!Q33+'MK Installment'!Q33</x:f>
        <x:v>2720567.7815409806</x:v>
      </x:c>
      <x:c r="R33" s="35" t="n">
        <x:f>'CF Installment'!R33+'MK Installment'!R33</x:f>
        <x:v>2720567.7815409806</x:v>
      </x:c>
      <x:c r="S33" s="35" t="n">
        <x:f>'CF Installment'!S33+'MK Installment'!S33</x:f>
        <x:v>2720567.7815409806</x:v>
      </x:c>
      <x:c r="T33" s="35" t="n">
        <x:f>'CF Installment'!T33+'MK Installment'!T33</x:f>
        <x:v>2720567.7815409806</x:v>
      </x:c>
      <x:c r="U33" s="35" t="n">
        <x:f>'CF Installment'!U33+'MK Installment'!U33</x:f>
        <x:v>2720567.7815409806</x:v>
      </x:c>
      <x:c r="V33" s="35" t="n">
        <x:f>'CF Installment'!V33+'MK Installment'!V33</x:f>
        <x:v>2720567.7815409806</x:v>
      </x:c>
      <x:c r="W33" s="35" t="n">
        <x:f>'CF Installment'!W33+'MK Installment'!W33</x:f>
        <x:v>2720567.7815409806</x:v>
      </x:c>
      <x:c r="X33" s="35" t="n">
        <x:f>'CF Installment'!X33+'MK Installment'!X33</x:f>
        <x:v>2720567.7815409806</x:v>
      </x:c>
      <x:c r="Y33" s="35" t="n">
        <x:f>'CF Installment'!Y33+'MK Installment'!Y33</x:f>
        <x:v>2720567.7815409806</x:v>
      </x:c>
      <x:c r="Z33" s="35" t="n">
        <x:f>'CF Installment'!Z33+'MK Installment'!Z33</x:f>
        <x:v>2720567.7815409806</x:v>
      </x:c>
      <x:c r="AA33" s="35" t="n">
        <x:f>'CF Installment'!AA33+'MK Installment'!AA33</x:f>
        <x:v>2720567.7815409806</x:v>
      </x:c>
      <x:c r="AB33" s="35" t="n">
        <x:f>'CF Installment'!AB33+'MK Installment'!AB33</x:f>
        <x:v>2720567.7815409806</x:v>
      </x:c>
      <x:c r="AC33" s="35" t="n">
        <x:f>'CF Installment'!AC33+'MK Installment'!AC33</x:f>
        <x:v>2720567.7815409806</x:v>
      </x:c>
      <x:c r="AD33" s="35" t="n">
        <x:f>'CF Installment'!AD33+'MK Installment'!AD33</x:f>
        <x:v>2720567.7815409806</x:v>
      </x:c>
      <x:c r="AE33" s="35" t="n">
        <x:f>'CF Installment'!AE33+'MK Installment'!AE33</x:f>
        <x:v>2720567.7815409806</x:v>
      </x:c>
      <x:c r="AF33" s="35" t="n">
        <x:f>'CF Installment'!AF33+'MK Installment'!AF33</x:f>
        <x:v>2720567.7815409806</x:v>
      </x:c>
      <x:c r="AG33" s="35" t="n">
        <x:f>'CF Installment'!AG33+'MK Installment'!AG33</x:f>
        <x:v>2720567.7815409806</x:v>
      </x:c>
      <x:c r="AH33" s="35" t="n">
        <x:f>'CF Installment'!AH33+'MK Installment'!AH33</x:f>
        <x:v>2720567.7815409806</x:v>
      </x:c>
      <x:c r="AI33" s="35" t="n">
        <x:f>'CF Installment'!AI33+'MK Installment'!AI33</x:f>
        <x:v>2720567.7815409806</x:v>
      </x:c>
      <x:c r="AJ33" s="35" t="n">
        <x:f>'CF Installment'!AJ33+'MK Installment'!AJ33</x:f>
        <x:v>2720567.7815409806</x:v>
      </x:c>
      <x:c r="AK33" s="35" t="n">
        <x:f>'CF Installment'!AK33+'MK Installment'!AK33</x:f>
        <x:v>2720567.7815409806</x:v>
      </x:c>
      <x:c r="AL33" s="35" t="n">
        <x:f>'CF Installment'!AL33+'MK Installment'!AL33</x:f>
        <x:v>2720567.7815409806</x:v>
      </x:c>
      <x:c r="AM33" s="35" t="n">
        <x:f>'CF Installment'!AM33+'MK Installment'!AM33</x:f>
        <x:v>2720567.7815409806</x:v>
      </x:c>
      <x:c r="AN33" s="35" t="n">
        <x:f>'CF Installment'!AN33+'MK Installment'!AN33</x:f>
        <x:v>2720567.7815409806</x:v>
      </x:c>
      <x:c r="AO33" s="35" t="n">
        <x:f>'CF Installment'!AO33+'MK Installment'!AO33</x:f>
        <x:v>2720567.7815409806</x:v>
      </x:c>
      <x:c r="AP33" s="35" t="n">
        <x:f>'CF Installment'!AP33+'MK Installment'!AP33</x:f>
        <x:v>2720567.7815409806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-1.1757947504520416e-7</x:v>
      </x:c>
      <x:c r="F34" s="2"/>
      <x:c r="G34" s="35" t="n">
        <x:f>'CF Installment'!G34+'MK Installment'!G34</x:f>
        <x:v>203088808.6413032</x:v>
      </x:c>
      <x:c r="H34" s="35" t="n">
        <x:f>'CF Installment'!H34+'MK Installment'!H34</x:f>
        <x:v>111350421.74344145</x:v>
      </x:c>
      <x:c r="I34" s="35" t="n">
        <x:f>'CF Installment'!I34+'MK Installment'!I34</x:f>
        <x:v>60596269.01158699</x:v>
      </x:c>
      <x:c r="J34" s="35" t="n">
        <x:f>'CF Installment'!J34+'MK Installment'!J34</x:f>
        <x:v>32064566.330549702</x:v>
      </x:c>
      <x:c r="K34" s="35" t="n">
        <x:f>'CF Installment'!K34+'MK Installment'!K34</x:f>
        <x:v>16178425.229363866</x:v>
      </x:c>
      <x:c r="L34" s="35" t="n">
        <x:f>'CF Installment'!L34+'MK Installment'!L34</x:f>
        <x:v>7618036.696513816</x:v>
      </x:c>
      <x:c r="M34" s="35" t="n">
        <x:f>'CF Installment'!M34+'MK Installment'!M34</x:f>
        <x:v>3018701.560803077</x:v>
      </x:c>
      <x:c r="N34" s="35" t="n">
        <x:f>'CF Installment'!N34+'MK Installment'!N34</x:f>
        <x:v>799621.2453133179</x:v>
      </x:c>
      <x:c r="O34" s="35" t="n">
        <x:f>'CF Installment'!O34+'MK Installment'!O34</x:f>
        <x:v>-1.1757947504520416e-7</x:v>
      </x:c>
      <x:c r="P34" s="35" t="n">
        <x:f>'CF Installment'!P34+'MK Installment'!P34</x:f>
        <x:v>-1.1757947504520416e-7</x:v>
      </x:c>
      <x:c r="Q34" s="35" t="n">
        <x:f>'CF Installment'!Q34+'MK Installment'!Q34</x:f>
        <x:v>-1.1757947504520416e-7</x:v>
      </x:c>
      <x:c r="R34" s="35" t="n">
        <x:f>'CF Installment'!R34+'MK Installment'!R34</x:f>
        <x:v>-1.1757947504520416e-7</x:v>
      </x:c>
      <x:c r="S34" s="35" t="n">
        <x:f>'CF Installment'!S34+'MK Installment'!S34</x:f>
        <x:v>-1.1757947504520416e-7</x:v>
      </x:c>
      <x:c r="T34" s="35" t="n">
        <x:f>'CF Installment'!T34+'MK Installment'!T34</x:f>
        <x:v>-1.1757947504520416e-7</x:v>
      </x:c>
      <x:c r="U34" s="35" t="n">
        <x:f>'CF Installment'!U34+'MK Installment'!U34</x:f>
        <x:v>-1.1757947504520416e-7</x:v>
      </x:c>
      <x:c r="V34" s="35" t="n">
        <x:f>'CF Installment'!V34+'MK Installment'!V34</x:f>
        <x:v>-1.1757947504520416e-7</x:v>
      </x:c>
      <x:c r="W34" s="35" t="n">
        <x:f>'CF Installment'!W34+'MK Installment'!W34</x:f>
        <x:v>-1.1757947504520416e-7</x:v>
      </x:c>
      <x:c r="X34" s="35" t="n">
        <x:f>'CF Installment'!X34+'MK Installment'!X34</x:f>
        <x:v>-1.1757947504520416e-7</x:v>
      </x:c>
      <x:c r="Y34" s="35" t="n">
        <x:f>'CF Installment'!Y34+'MK Installment'!Y34</x:f>
        <x:v>-1.1757947504520416e-7</x:v>
      </x:c>
      <x:c r="Z34" s="35" t="n">
        <x:f>'CF Installment'!Z34+'MK Installment'!Z34</x:f>
        <x:v>-1.1757947504520416e-7</x:v>
      </x:c>
      <x:c r="AA34" s="35" t="n">
        <x:f>'CF Installment'!AA34+'MK Installment'!AA34</x:f>
        <x:v>-1.1757947504520416e-7</x:v>
      </x:c>
      <x:c r="AB34" s="35" t="n">
        <x:f>'CF Installment'!AB34+'MK Installment'!AB34</x:f>
        <x:v>-1.1757947504520416e-7</x:v>
      </x:c>
      <x:c r="AC34" s="35" t="n">
        <x:f>'CF Installment'!AC34+'MK Installment'!AC34</x:f>
        <x:v>-1.1757947504520416e-7</x:v>
      </x:c>
      <x:c r="AD34" s="35" t="n">
        <x:f>'CF Installment'!AD34+'MK Installment'!AD34</x:f>
        <x:v>-1.1757947504520416e-7</x:v>
      </x:c>
      <x:c r="AE34" s="35" t="n">
        <x:f>'CF Installment'!AE34+'MK Installment'!AE34</x:f>
        <x:v>-1.1757947504520416e-7</x:v>
      </x:c>
      <x:c r="AF34" s="35" t="n">
        <x:f>'CF Installment'!AF34+'MK Installment'!AF34</x:f>
        <x:v>-1.1757947504520416e-7</x:v>
      </x:c>
      <x:c r="AG34" s="35" t="n">
        <x:f>'CF Installment'!AG34+'MK Installment'!AG34</x:f>
        <x:v>-1.1757947504520416e-7</x:v>
      </x:c>
      <x:c r="AH34" s="35" t="n">
        <x:f>'CF Installment'!AH34+'MK Installment'!AH34</x:f>
        <x:v>-1.1757947504520416e-7</x:v>
      </x:c>
      <x:c r="AI34" s="35" t="n">
        <x:f>'CF Installment'!AI34+'MK Installment'!AI34</x:f>
        <x:v>-1.1757947504520416e-7</x:v>
      </x:c>
      <x:c r="AJ34" s="35" t="n">
        <x:f>'CF Installment'!AJ34+'MK Installment'!AJ34</x:f>
        <x:v>-1.1757947504520416e-7</x:v>
      </x:c>
      <x:c r="AK34" s="35" t="n">
        <x:f>'CF Installment'!AK34+'MK Installment'!AK34</x:f>
        <x:v>-1.1757947504520416e-7</x:v>
      </x:c>
      <x:c r="AL34" s="35" t="n">
        <x:f>'CF Installment'!AL34+'MK Installment'!AL34</x:f>
        <x:v>-1.1757947504520416e-7</x:v>
      </x:c>
      <x:c r="AM34" s="35" t="n">
        <x:f>'CF Installment'!AM34+'MK Installment'!AM34</x:f>
        <x:v>-1.1757947504520416e-7</x:v>
      </x:c>
      <x:c r="AN34" s="35" t="n">
        <x:f>'CF Installment'!AN34+'MK Installment'!AN34</x:f>
        <x:v>-1.1757947504520416e-7</x:v>
      </x:c>
      <x:c r="AO34" s="35" t="n">
        <x:f>'CF Installment'!AO34+'MK Installment'!AO34</x:f>
        <x:v>-1.1757947504520416e-7</x:v>
      </x:c>
      <x:c r="AP34" s="35" t="n">
        <x:f>'CF Installment'!AP34+'MK Installment'!AP34</x:f>
        <x:v>-1.1757947504520416e-7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'CF Installment'!G35+'MK Installment'!G35</x:f>
        <x:v>0</x:v>
      </x:c>
      <x:c r="H35" s="36" t="n">
        <x:f>'CF Installment'!H35+'MK Installment'!H35</x:f>
        <x:v>0</x:v>
      </x:c>
      <x:c r="I35" s="36" t="n">
        <x:f>'CF Installment'!I35+'MK Installment'!I35</x:f>
        <x:v>0</x:v>
      </x:c>
      <x:c r="J35" s="36" t="n">
        <x:f>'CF Installment'!J35+'MK Installment'!J35</x:f>
        <x:v>0</x:v>
      </x:c>
      <x:c r="K35" s="36" t="n">
        <x:f>'CF Installment'!K35+'MK Installment'!K35</x:f>
        <x:v>0</x:v>
      </x:c>
      <x:c r="L35" s="36" t="n">
        <x:f>'CF Installment'!L35+'MK Installment'!L35</x:f>
        <x:v>0</x:v>
      </x:c>
      <x:c r="M35" s="36" t="n">
        <x:f>'CF Installment'!M35+'MK Installment'!M35</x:f>
        <x:v>0</x:v>
      </x:c>
      <x:c r="N35" s="36" t="n">
        <x:f>'CF Installment'!N35+'MK Installment'!N35</x:f>
        <x:v>0</x:v>
      </x:c>
      <x:c r="O35" s="36" t="n">
        <x:f>'CF Installment'!O35+'MK Installment'!O35</x:f>
        <x:v>0</x:v>
      </x:c>
      <x:c r="P35" s="36" t="n">
        <x:f>'CF Installment'!P35+'MK Installment'!P35</x:f>
        <x:v>0</x:v>
      </x:c>
      <x:c r="Q35" s="36" t="n">
        <x:f>'CF Installment'!Q35+'MK Installment'!Q35</x:f>
        <x:v>0</x:v>
      </x:c>
      <x:c r="R35" s="36" t="n">
        <x:f>'CF Installment'!R35+'MK Installment'!R35</x:f>
        <x:v>0</x:v>
      </x:c>
      <x:c r="S35" s="36" t="n">
        <x:f>'CF Installment'!S35+'MK Installment'!S35</x:f>
        <x:v>0</x:v>
      </x:c>
      <x:c r="T35" s="36" t="n">
        <x:f>'CF Installment'!T35+'MK Installment'!T35</x:f>
        <x:v>0</x:v>
      </x:c>
      <x:c r="U35" s="36" t="n">
        <x:f>'CF Installment'!U35+'MK Installment'!U35</x:f>
        <x:v>0</x:v>
      </x:c>
      <x:c r="V35" s="36" t="n">
        <x:f>'CF Installment'!V35+'MK Installment'!V35</x:f>
        <x:v>0</x:v>
      </x:c>
      <x:c r="W35" s="36" t="n">
        <x:f>'CF Installment'!W35+'MK Installment'!W35</x:f>
        <x:v>0</x:v>
      </x:c>
      <x:c r="X35" s="36" t="n">
        <x:f>'CF Installment'!X35+'MK Installment'!X35</x:f>
        <x:v>0</x:v>
      </x:c>
      <x:c r="Y35" s="36" t="n">
        <x:f>'CF Installment'!Y35+'MK Installment'!Y35</x:f>
        <x:v>0</x:v>
      </x:c>
      <x:c r="Z35" s="36" t="n">
        <x:f>'CF Installment'!Z35+'MK Installment'!Z35</x:f>
        <x:v>0</x:v>
      </x:c>
      <x:c r="AA35" s="36" t="n">
        <x:f>'CF Installment'!AA35+'MK Installment'!AA35</x:f>
        <x:v>0</x:v>
      </x:c>
      <x:c r="AB35" s="36" t="n">
        <x:f>'CF Installment'!AB35+'MK Installment'!AB35</x:f>
        <x:v>0</x:v>
      </x:c>
      <x:c r="AC35" s="36" t="n">
        <x:f>'CF Installment'!AC35+'MK Installment'!AC35</x:f>
        <x:v>0</x:v>
      </x:c>
      <x:c r="AD35" s="36" t="n">
        <x:f>'CF Installment'!AD35+'MK Installment'!AD35</x:f>
        <x:v>0</x:v>
      </x:c>
      <x:c r="AE35" s="36" t="n">
        <x:f>'CF Installment'!AE35+'MK Installment'!AE35</x:f>
        <x:v>0</x:v>
      </x:c>
      <x:c r="AF35" s="36" t="n">
        <x:f>'CF Installment'!AF35+'MK Installment'!AF35</x:f>
        <x:v>0</x:v>
      </x:c>
      <x:c r="AG35" s="36" t="n">
        <x:f>'CF Installment'!AG35+'MK Installment'!AG35</x:f>
        <x:v>0</x:v>
      </x:c>
      <x:c r="AH35" s="36" t="n">
        <x:f>'CF Installment'!AH35+'MK Installment'!AH35</x:f>
        <x:v>0</x:v>
      </x:c>
      <x:c r="AI35" s="36" t="n">
        <x:f>'CF Installment'!AI35+'MK Installment'!AI35</x:f>
        <x:v>0</x:v>
      </x:c>
      <x:c r="AJ35" s="36" t="n">
        <x:f>'CF Installment'!AJ35+'MK Installment'!AJ35</x:f>
        <x:v>0</x:v>
      </x:c>
      <x:c r="AK35" s="36" t="n">
        <x:f>'CF Installment'!AK35+'MK Installment'!AK35</x:f>
        <x:v>0</x:v>
      </x:c>
      <x:c r="AL35" s="36" t="n">
        <x:f>'CF Installment'!AL35+'MK Installment'!AL35</x:f>
        <x:v>0</x:v>
      </x:c>
      <x:c r="AM35" s="36" t="n">
        <x:f>'CF Installment'!AM35+'MK Installment'!AM35</x:f>
        <x:v>0</x:v>
      </x:c>
      <x:c r="AN35" s="36" t="n">
        <x:f>'CF Installment'!AN35+'MK Installment'!AN35</x:f>
        <x:v>0</x:v>
      </x:c>
      <x:c r="AO35" s="36" t="n">
        <x:f>'CF Installment'!AO35+'MK Installment'!AO35</x:f>
        <x:v>0</x:v>
      </x:c>
      <x:c r="AP35" s="36" t="n">
        <x:f>'CF Installment'!AP35+'MK Installment'!AP35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'CF Installment'!G36+'MK Installment'!G36</x:f>
        <x:v>0</x:v>
      </x:c>
      <x:c r="H36" s="36" t="n">
        <x:f>'CF Installment'!H36+'MK Installment'!H36</x:f>
        <x:v>0</x:v>
      </x:c>
      <x:c r="I36" s="36" t="n">
        <x:f>'CF Installment'!I36+'MK Installment'!I36</x:f>
        <x:v>0</x:v>
      </x:c>
      <x:c r="J36" s="36" t="n">
        <x:f>'CF Installment'!J36+'MK Installment'!J36</x:f>
        <x:v>0</x:v>
      </x:c>
      <x:c r="K36" s="36" t="n">
        <x:f>'CF Installment'!K36+'MK Installment'!K36</x:f>
        <x:v>0</x:v>
      </x:c>
      <x:c r="L36" s="36" t="n">
        <x:f>'CF Installment'!L36+'MK Installment'!L36</x:f>
        <x:v>0</x:v>
      </x:c>
      <x:c r="M36" s="36" t="n">
        <x:f>'CF Installment'!M36+'MK Installment'!M36</x:f>
        <x:v>0</x:v>
      </x:c>
      <x:c r="N36" s="36" t="n">
        <x:f>'CF Installment'!N36+'MK Installment'!N36</x:f>
        <x:v>0</x:v>
      </x:c>
      <x:c r="O36" s="36" t="n">
        <x:f>'CF Installment'!O36+'MK Installment'!O36</x:f>
        <x:v>0</x:v>
      </x:c>
      <x:c r="P36" s="36" t="n">
        <x:f>'CF Installment'!P36+'MK Installment'!P36</x:f>
        <x:v>0</x:v>
      </x:c>
      <x:c r="Q36" s="36" t="n">
        <x:f>'CF Installment'!Q36+'MK Installment'!Q36</x:f>
        <x:v>0</x:v>
      </x:c>
      <x:c r="R36" s="36" t="n">
        <x:f>'CF Installment'!R36+'MK Installment'!R36</x:f>
        <x:v>0</x:v>
      </x:c>
      <x:c r="S36" s="36" t="n">
        <x:f>'CF Installment'!S36+'MK Installment'!S36</x:f>
        <x:v>0</x:v>
      </x:c>
      <x:c r="T36" s="36" t="n">
        <x:f>'CF Installment'!T36+'MK Installment'!T36</x:f>
        <x:v>0</x:v>
      </x:c>
      <x:c r="U36" s="36" t="n">
        <x:f>'CF Installment'!U36+'MK Installment'!U36</x:f>
        <x:v>0</x:v>
      </x:c>
      <x:c r="V36" s="36" t="n">
        <x:f>'CF Installment'!V36+'MK Installment'!V36</x:f>
        <x:v>0</x:v>
      </x:c>
      <x:c r="W36" s="36" t="n">
        <x:f>'CF Installment'!W36+'MK Installment'!W36</x:f>
        <x:v>0</x:v>
      </x:c>
      <x:c r="X36" s="36" t="n">
        <x:f>'CF Installment'!X36+'MK Installment'!X36</x:f>
        <x:v>0</x:v>
      </x:c>
      <x:c r="Y36" s="36" t="n">
        <x:f>'CF Installment'!Y36+'MK Installment'!Y36</x:f>
        <x:v>0</x:v>
      </x:c>
      <x:c r="Z36" s="36" t="n">
        <x:f>'CF Installment'!Z36+'MK Installment'!Z36</x:f>
        <x:v>0</x:v>
      </x:c>
      <x:c r="AA36" s="36" t="n">
        <x:f>'CF Installment'!AA36+'MK Installment'!AA36</x:f>
        <x:v>0</x:v>
      </x:c>
      <x:c r="AB36" s="36" t="n">
        <x:f>'CF Installment'!AB36+'MK Installment'!AB36</x:f>
        <x:v>0</x:v>
      </x:c>
      <x:c r="AC36" s="36" t="n">
        <x:f>'CF Installment'!AC36+'MK Installment'!AC36</x:f>
        <x:v>0</x:v>
      </x:c>
      <x:c r="AD36" s="36" t="n">
        <x:f>'CF Installment'!AD36+'MK Installment'!AD36</x:f>
        <x:v>0</x:v>
      </x:c>
      <x:c r="AE36" s="36" t="n">
        <x:f>'CF Installment'!AE36+'MK Installment'!AE36</x:f>
        <x:v>0</x:v>
      </x:c>
      <x:c r="AF36" s="36" t="n">
        <x:f>'CF Installment'!AF36+'MK Installment'!AF36</x:f>
        <x:v>0</x:v>
      </x:c>
      <x:c r="AG36" s="36" t="n">
        <x:f>'CF Installment'!AG36+'MK Installment'!AG36</x:f>
        <x:v>0</x:v>
      </x:c>
      <x:c r="AH36" s="36" t="n">
        <x:f>'CF Installment'!AH36+'MK Installment'!AH36</x:f>
        <x:v>0</x:v>
      </x:c>
      <x:c r="AI36" s="36" t="n">
        <x:f>'CF Installment'!AI36+'MK Installment'!AI36</x:f>
        <x:v>0</x:v>
      </x:c>
      <x:c r="AJ36" s="36" t="n">
        <x:f>'CF Installment'!AJ36+'MK Installment'!AJ36</x:f>
        <x:v>0</x:v>
      </x:c>
      <x:c r="AK36" s="36" t="n">
        <x:f>'CF Installment'!AK36+'MK Installment'!AK36</x:f>
        <x:v>0</x:v>
      </x:c>
      <x:c r="AL36" s="36" t="n">
        <x:f>'CF Installment'!AL36+'MK Installment'!AL36</x:f>
        <x:v>0</x:v>
      </x:c>
      <x:c r="AM36" s="36" t="n">
        <x:f>'CF Installment'!AM36+'MK Installment'!AM36</x:f>
        <x:v>0</x:v>
      </x:c>
      <x:c r="AN36" s="36" t="n">
        <x:f>'CF Installment'!AN36+'MK Installment'!AN36</x:f>
        <x:v>0</x:v>
      </x:c>
      <x:c r="AO36" s="36" t="n">
        <x:f>'CF Installment'!AO36+'MK Installment'!AO36</x:f>
        <x:v>0</x:v>
      </x:c>
      <x:c r="AP36" s="36" t="n">
        <x:f>'CF Installment'!AP36+'MK Installment'!AP36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'CF Installment'!G37+'MK Installment'!G37</x:f>
        <x:v>0</x:v>
      </x:c>
      <x:c r="H37" s="36" t="n">
        <x:f>'CF Installment'!H37+'MK Installment'!H37</x:f>
        <x:v>0</x:v>
      </x:c>
      <x:c r="I37" s="36" t="n">
        <x:f>'CF Installment'!I37+'MK Installment'!I37</x:f>
        <x:v>0</x:v>
      </x:c>
      <x:c r="J37" s="36" t="n">
        <x:f>'CF Installment'!J37+'MK Installment'!J37</x:f>
        <x:v>0</x:v>
      </x:c>
      <x:c r="K37" s="36" t="n">
        <x:f>'CF Installment'!K37+'MK Installment'!K37</x:f>
        <x:v>0</x:v>
      </x:c>
      <x:c r="L37" s="36" t="n">
        <x:f>'CF Installment'!L37+'MK Installment'!L37</x:f>
        <x:v>0</x:v>
      </x:c>
      <x:c r="M37" s="36" t="n">
        <x:f>'CF Installment'!M37+'MK Installment'!M37</x:f>
        <x:v>0</x:v>
      </x:c>
      <x:c r="N37" s="36" t="n">
        <x:f>'CF Installment'!N37+'MK Installment'!N37</x:f>
        <x:v>0</x:v>
      </x:c>
      <x:c r="O37" s="36" t="n">
        <x:f>'CF Installment'!O37+'MK Installment'!O37</x:f>
        <x:v>0</x:v>
      </x:c>
      <x:c r="P37" s="36" t="n">
        <x:f>'CF Installment'!P37+'MK Installment'!P37</x:f>
        <x:v>0</x:v>
      </x:c>
      <x:c r="Q37" s="36" t="n">
        <x:f>'CF Installment'!Q37+'MK Installment'!Q37</x:f>
        <x:v>0</x:v>
      </x:c>
      <x:c r="R37" s="36" t="n">
        <x:f>'CF Installment'!R37+'MK Installment'!R37</x:f>
        <x:v>0</x:v>
      </x:c>
      <x:c r="S37" s="36" t="n">
        <x:f>'CF Installment'!S37+'MK Installment'!S37</x:f>
        <x:v>0</x:v>
      </x:c>
      <x:c r="T37" s="36" t="n">
        <x:f>'CF Installment'!T37+'MK Installment'!T37</x:f>
        <x:v>0</x:v>
      </x:c>
      <x:c r="U37" s="36" t="n">
        <x:f>'CF Installment'!U37+'MK Installment'!U37</x:f>
        <x:v>0</x:v>
      </x:c>
      <x:c r="V37" s="36" t="n">
        <x:f>'CF Installment'!V37+'MK Installment'!V37</x:f>
        <x:v>0</x:v>
      </x:c>
      <x:c r="W37" s="36" t="n">
        <x:f>'CF Installment'!W37+'MK Installment'!W37</x:f>
        <x:v>0</x:v>
      </x:c>
      <x:c r="X37" s="36" t="n">
        <x:f>'CF Installment'!X37+'MK Installment'!X37</x:f>
        <x:v>0</x:v>
      </x:c>
      <x:c r="Y37" s="36" t="n">
        <x:f>'CF Installment'!Y37+'MK Installment'!Y37</x:f>
        <x:v>0</x:v>
      </x:c>
      <x:c r="Z37" s="36" t="n">
        <x:f>'CF Installment'!Z37+'MK Installment'!Z37</x:f>
        <x:v>0</x:v>
      </x:c>
      <x:c r="AA37" s="36" t="n">
        <x:f>'CF Installment'!AA37+'MK Installment'!AA37</x:f>
        <x:v>0</x:v>
      </x:c>
      <x:c r="AB37" s="36" t="n">
        <x:f>'CF Installment'!AB37+'MK Installment'!AB37</x:f>
        <x:v>0</x:v>
      </x:c>
      <x:c r="AC37" s="36" t="n">
        <x:f>'CF Installment'!AC37+'MK Installment'!AC37</x:f>
        <x:v>0</x:v>
      </x:c>
      <x:c r="AD37" s="36" t="n">
        <x:f>'CF Installment'!AD37+'MK Installment'!AD37</x:f>
        <x:v>0</x:v>
      </x:c>
      <x:c r="AE37" s="36" t="n">
        <x:f>'CF Installment'!AE37+'MK Installment'!AE37</x:f>
        <x:v>0</x:v>
      </x:c>
      <x:c r="AF37" s="36" t="n">
        <x:f>'CF Installment'!AF37+'MK Installment'!AF37</x:f>
        <x:v>0</x:v>
      </x:c>
      <x:c r="AG37" s="36" t="n">
        <x:f>'CF Installment'!AG37+'MK Installment'!AG37</x:f>
        <x:v>0</x:v>
      </x:c>
      <x:c r="AH37" s="36" t="n">
        <x:f>'CF Installment'!AH37+'MK Installment'!AH37</x:f>
        <x:v>0</x:v>
      </x:c>
      <x:c r="AI37" s="36" t="n">
        <x:f>'CF Installment'!AI37+'MK Installment'!AI37</x:f>
        <x:v>0</x:v>
      </x:c>
      <x:c r="AJ37" s="36" t="n">
        <x:f>'CF Installment'!AJ37+'MK Installment'!AJ37</x:f>
        <x:v>0</x:v>
      </x:c>
      <x:c r="AK37" s="36" t="n">
        <x:f>'CF Installment'!AK37+'MK Installment'!AK37</x:f>
        <x:v>0</x:v>
      </x:c>
      <x:c r="AL37" s="36" t="n">
        <x:f>'CF Installment'!AL37+'MK Installment'!AL37</x:f>
        <x:v>0</x:v>
      </x:c>
      <x:c r="AM37" s="36" t="n">
        <x:f>'CF Installment'!AM37+'MK Installment'!AM37</x:f>
        <x:v>0</x:v>
      </x:c>
      <x:c r="AN37" s="36" t="n">
        <x:f>'CF Installment'!AN37+'MK Installment'!AN37</x:f>
        <x:v>0</x:v>
      </x:c>
      <x:c r="AO37" s="36" t="n">
        <x:f>'CF Installment'!AO37+'MK Installment'!AO37</x:f>
        <x:v>0</x:v>
      </x:c>
      <x:c r="AP37" s="36" t="n">
        <x:f>'CF Installment'!AP37+'MK Installment'!AP37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/>
      <x:c r="D40" s="2"/>
      <x:c r="E40" s="2"/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/>
      <x:c r="D41" s="2"/>
      <x:c r="E41" s="2"/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/>
      <x:c r="D42" s="2"/>
      <x:c r="E42" s="2"/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/>
      <x:c r="D43" s="2"/>
      <x:c r="E43" s="2"/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/>
      <x:c r="D44" s="2"/>
      <x:c r="E44" s="2"/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/>
      <x:c r="D45" s="2"/>
      <x:c r="E45" s="2"/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/>
      <x:c r="D46" s="2"/>
      <x:c r="E46" s="2"/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/>
      <x:c r="D47" s="2"/>
      <x:c r="E47" s="2"/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/>
      <x:c r="D48" s="2"/>
      <x:c r="E48" s="2"/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/>
      <x:c r="D49" s="2"/>
      <x:c r="E49" s="2"/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19" customHeight="1">
      <x:c r="A50" s="1"/>
      <x:c r="B50" s="1"/>
      <x:c r="C50" s="2"/>
      <x:c r="D50" s="2"/>
      <x:c r="E50" s="2"/>
      <x:c r="F50" s="2"/>
      <x:c r="G50" s="2"/>
      <x:c r="H50" s="2"/>
      <x:c r="I50" s="2"/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/>
      <x:c r="D51" s="2"/>
      <x:c r="E51" s="2"/>
      <x:c r="F51" s="2"/>
      <x:c r="G51" s="2"/>
      <x:c r="H51" s="2"/>
      <x:c r="I51" s="2"/>
      <x:c r="J51" s="2"/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/>
      <x:c r="D52" s="2"/>
      <x:c r="E52" s="2"/>
      <x:c r="F52" s="2"/>
      <x:c r="G52" s="2"/>
      <x:c r="H52" s="2"/>
      <x:c r="I52" s="2"/>
      <x:c r="J52" s="2"/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/>
      <x:c r="D53" s="2"/>
      <x:c r="E53" s="2"/>
      <x:c r="F53" s="2"/>
      <x:c r="G53" s="2"/>
      <x:c r="H53" s="2"/>
      <x:c r="I53" s="2"/>
      <x:c r="J53" s="2"/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/>
      <x:c r="D54" s="2"/>
      <x:c r="E54" s="2"/>
      <x:c r="F54" s="2"/>
      <x:c r="G54" s="2"/>
      <x:c r="H54" s="2"/>
      <x:c r="I54" s="2"/>
      <x:c r="J54" s="2"/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/>
      <x:c r="D55" s="2"/>
      <x:c r="E55" s="2"/>
      <x:c r="F55" s="2"/>
      <x:c r="G55" s="2"/>
      <x:c r="H55" s="2"/>
      <x:c r="I55" s="2"/>
      <x:c r="J55" s="2"/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/>
      <x:c r="D56" s="2"/>
      <x:c r="E56" s="2"/>
      <x:c r="F56" s="2"/>
      <x:c r="G56" s="2"/>
      <x:c r="H56" s="2"/>
      <x:c r="I56" s="2"/>
      <x:c r="J56" s="2"/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/>
      <x:c r="D57" s="2"/>
      <x:c r="E57" s="2"/>
      <x:c r="F57" s="2"/>
      <x:c r="G57" s="2"/>
      <x:c r="H57" s="2"/>
      <x:c r="I57" s="2"/>
      <x:c r="J57" s="2"/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/>
      <x:c r="D58" s="2"/>
      <x:c r="E58" s="2"/>
      <x:c r="F58" s="2"/>
      <x:c r="G58" s="2"/>
      <x:c r="H58" s="2"/>
      <x:c r="I58" s="2"/>
      <x:c r="J58" s="2"/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/>
      <x:c r="D59" s="2"/>
      <x:c r="E59" s="2"/>
      <x:c r="F59" s="2"/>
      <x:c r="G59" s="2"/>
      <x:c r="H59" s="2"/>
      <x:c r="I59" s="2"/>
      <x:c r="J59" s="2"/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/>
      <x:c r="D60" s="2"/>
      <x:c r="E60" s="2"/>
      <x:c r="F60" s="2"/>
      <x:c r="G60" s="2"/>
      <x:c r="H60" s="2"/>
      <x:c r="I60" s="2"/>
      <x:c r="J60" s="2"/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/>
      <x:c r="D61" s="2"/>
      <x:c r="E61" s="2"/>
      <x:c r="F61" s="2"/>
      <x:c r="G61" s="2"/>
      <x:c r="H61" s="2"/>
      <x:c r="I61" s="2"/>
      <x:c r="J61" s="2"/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/>
      <x:c r="D62" s="2"/>
      <x:c r="E62" s="2"/>
      <x:c r="F62" s="2"/>
      <x:c r="G62" s="2"/>
      <x:c r="H62" s="2"/>
      <x:c r="I62" s="2"/>
      <x:c r="J62" s="2"/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/>
      <x:c r="D63" s="2"/>
      <x:c r="E63" s="2"/>
      <x:c r="F63" s="2"/>
      <x:c r="G63" s="2"/>
      <x:c r="H63" s="2"/>
      <x:c r="I63" s="2"/>
      <x:c r="J63" s="2"/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/>
      <x:c r="D64" s="2"/>
      <x:c r="E64" s="2"/>
      <x:c r="F64" s="2"/>
      <x:c r="G64" s="2"/>
      <x:c r="H64" s="2"/>
      <x:c r="I64" s="2"/>
      <x:c r="J64" s="2"/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/>
      <x:c r="D65" s="2"/>
      <x:c r="E65" s="2"/>
      <x:c r="F65" s="2"/>
      <x:c r="G65" s="2"/>
      <x:c r="H65" s="2"/>
      <x:c r="I65" s="2"/>
      <x:c r="J65" s="2"/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/>
      <x:c r="D66" s="2"/>
      <x:c r="E66" s="2"/>
      <x:c r="F66" s="2"/>
      <x:c r="G66" s="2"/>
      <x:c r="H66" s="2"/>
      <x:c r="I66" s="2"/>
      <x:c r="J66" s="2"/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/>
      <x:c r="D67" s="2"/>
      <x:c r="E67" s="2"/>
      <x:c r="F67" s="2"/>
      <x:c r="G67" s="2"/>
      <x:c r="H67" s="2"/>
      <x:c r="I67" s="2"/>
      <x:c r="J67" s="2"/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/>
      <x:c r="D68" s="2"/>
      <x:c r="E68" s="2"/>
      <x:c r="F68" s="2"/>
      <x:c r="G68" s="2"/>
      <x:c r="H68" s="2"/>
      <x:c r="I68" s="2"/>
      <x:c r="J68" s="2"/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/>
      <x:c r="D69" s="2"/>
      <x:c r="E69" s="2"/>
      <x:c r="F69" s="2"/>
      <x:c r="G69" s="2"/>
      <x:c r="H69" s="2"/>
      <x:c r="I69" s="2"/>
      <x:c r="J69" s="2"/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/>
      <x:c r="D70" s="2"/>
      <x:c r="E70" s="2"/>
      <x:c r="F70" s="2"/>
      <x:c r="G70" s="2"/>
      <x:c r="H70" s="2"/>
      <x:c r="I70" s="2"/>
      <x:c r="J70" s="2"/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/>
      <x:c r="D71" s="2"/>
      <x:c r="E71" s="2"/>
      <x:c r="F71" s="2"/>
      <x:c r="G71" s="2"/>
      <x:c r="H71" s="2"/>
      <x:c r="I71" s="2"/>
      <x:c r="J71" s="2"/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/>
      <x:c r="D72" s="2"/>
      <x:c r="E72" s="2"/>
      <x:c r="F72" s="2"/>
      <x:c r="G72" s="2"/>
      <x:c r="H72" s="2"/>
      <x:c r="I72" s="2"/>
      <x:c r="J72" s="2"/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/>
      <x:c r="D73" s="2"/>
      <x:c r="E73" s="2"/>
      <x:c r="F73" s="2"/>
      <x:c r="G73" s="2"/>
      <x:c r="H73" s="2"/>
      <x:c r="I73" s="2"/>
      <x:c r="J73" s="2"/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/>
      <x:c r="D74" s="2"/>
      <x:c r="E74" s="2"/>
      <x:c r="F74" s="2"/>
      <x:c r="G74" s="2"/>
      <x:c r="H74" s="2"/>
      <x:c r="I74" s="2"/>
      <x:c r="J74" s="2"/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/>
      <x:c r="D75" s="2"/>
      <x:c r="E75" s="2"/>
      <x:c r="F75" s="2"/>
      <x:c r="G75" s="2"/>
      <x:c r="H75" s="2"/>
      <x:c r="I75" s="2"/>
      <x:c r="J75" s="2"/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/>
      <x:c r="D76" s="2"/>
      <x:c r="E76" s="2"/>
      <x:c r="F76" s="2"/>
      <x:c r="G76" s="2"/>
      <x:c r="H76" s="2"/>
      <x:c r="I76" s="2"/>
      <x:c r="J76" s="2"/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/>
      <x:c r="D77" s="2"/>
      <x:c r="E77" s="2"/>
      <x:c r="F77" s="2"/>
      <x:c r="G77" s="2"/>
      <x:c r="H77" s="2"/>
      <x:c r="I77" s="2"/>
      <x:c r="J77" s="2"/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/>
      <x:c r="D78" s="2"/>
      <x:c r="E78" s="2"/>
      <x:c r="F78" s="2"/>
      <x:c r="G78" s="2"/>
      <x:c r="H78" s="2"/>
      <x:c r="I78" s="2"/>
      <x:c r="J78" s="2"/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/>
      <x:c r="D79" s="2"/>
      <x:c r="E79" s="2"/>
      <x:c r="F79" s="2"/>
      <x:c r="G79" s="2"/>
      <x:c r="H79" s="2"/>
      <x:c r="I79" s="2"/>
      <x:c r="J79" s="2"/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/>
      <x:c r="D80" s="2"/>
      <x:c r="E80" s="2"/>
      <x:c r="F80" s="2"/>
      <x:c r="G80" s="2"/>
      <x:c r="H80" s="2"/>
      <x:c r="I80" s="2"/>
      <x:c r="J80" s="2"/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/>
      <x:c r="D81" s="2"/>
      <x:c r="E81" s="2"/>
      <x:c r="F81" s="2"/>
      <x:c r="G81" s="2"/>
      <x:c r="H81" s="2"/>
      <x:c r="I81" s="2"/>
      <x:c r="J81" s="2"/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/>
      <x:c r="D82" s="2"/>
      <x:c r="E82" s="2"/>
      <x:c r="F82" s="2"/>
      <x:c r="G82" s="2"/>
      <x:c r="H82" s="2"/>
      <x:c r="I82" s="2"/>
      <x:c r="J82" s="2"/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/>
      <x:c r="D83" s="2"/>
      <x:c r="E83" s="2"/>
      <x:c r="F83" s="2"/>
      <x:c r="G83" s="2"/>
      <x:c r="H83" s="2"/>
      <x:c r="I83" s="2"/>
      <x:c r="J83" s="2"/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/>
      <x:c r="D84" s="2"/>
      <x:c r="E84" s="2"/>
      <x:c r="F84" s="2"/>
      <x:c r="G84" s="2"/>
      <x:c r="H84" s="2"/>
      <x:c r="I84" s="2"/>
      <x:c r="J84" s="2"/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/>
      <x:c r="D85" s="2"/>
      <x:c r="E85" s="2"/>
      <x:c r="F85" s="2"/>
      <x:c r="G85" s="2"/>
      <x:c r="H85" s="2"/>
      <x:c r="I85" s="2"/>
      <x:c r="J85" s="2"/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/>
      <x:c r="D86" s="2"/>
      <x:c r="E86" s="2"/>
      <x:c r="F86" s="2"/>
      <x:c r="G86" s="2"/>
      <x:c r="H86" s="2"/>
      <x:c r="I86" s="2"/>
      <x:c r="J86" s="2"/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/>
      <x:c r="D87" s="2"/>
      <x:c r="E87" s="2"/>
      <x:c r="F87" s="2"/>
      <x:c r="G87" s="2"/>
      <x:c r="H87" s="2"/>
      <x:c r="I87" s="2"/>
      <x:c r="J87" s="2"/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/>
      <x:c r="D88" s="2"/>
      <x:c r="E88" s="2"/>
      <x:c r="F88" s="2"/>
      <x:c r="G88" s="2"/>
      <x:c r="H88" s="2"/>
      <x:c r="I88" s="2"/>
      <x:c r="J88" s="2"/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/>
      <x:c r="D89" s="2"/>
      <x:c r="E89" s="2"/>
      <x:c r="F89" s="2"/>
      <x:c r="G89" s="2"/>
      <x:c r="H89" s="2"/>
      <x:c r="I89" s="2"/>
      <x:c r="J89" s="2"/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/>
      <x:c r="D90" s="2"/>
      <x:c r="E90" s="2"/>
      <x:c r="F90" s="2"/>
      <x:c r="G90" s="2"/>
      <x:c r="H90" s="2"/>
      <x:c r="I90" s="2"/>
      <x:c r="J90" s="2"/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/>
      <x:c r="D91" s="2"/>
      <x:c r="E91" s="2"/>
      <x:c r="F91" s="2"/>
      <x:c r="G91" s="2"/>
      <x:c r="H91" s="2"/>
      <x:c r="I91" s="2"/>
      <x:c r="J91" s="2"/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/>
      <x:c r="D92" s="2"/>
      <x:c r="E92" s="2"/>
      <x:c r="F92" s="2"/>
      <x:c r="G92" s="2"/>
      <x:c r="H92" s="2"/>
      <x:c r="I92" s="2"/>
      <x:c r="J92" s="2"/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/>
      <x:c r="D93" s="2"/>
      <x:c r="E93" s="2"/>
      <x:c r="F93" s="2"/>
      <x:c r="G93" s="2"/>
      <x:c r="H93" s="2"/>
      <x:c r="I93" s="2"/>
      <x:c r="J93" s="2"/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/>
      <x:c r="D94" s="2"/>
      <x:c r="E94" s="2"/>
      <x:c r="F94" s="2"/>
      <x:c r="G94" s="2"/>
      <x:c r="H94" s="2"/>
      <x:c r="I94" s="2"/>
      <x:c r="J94" s="2"/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/>
      <x:c r="D95" s="2"/>
      <x:c r="E95" s="2"/>
      <x:c r="F95" s="2"/>
      <x:c r="G95" s="2"/>
      <x:c r="H95" s="2"/>
      <x:c r="I95" s="2"/>
      <x:c r="J95" s="2"/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/>
      <x:c r="D96" s="2"/>
      <x:c r="E96" s="2"/>
      <x:c r="F96" s="2"/>
      <x:c r="G96" s="2"/>
      <x:c r="H96" s="2"/>
      <x:c r="I96" s="2"/>
      <x:c r="J96" s="2"/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/>
      <x:c r="D97" s="2"/>
      <x:c r="E97" s="2"/>
      <x:c r="F97" s="2"/>
      <x:c r="G97" s="2"/>
      <x:c r="H97" s="2"/>
      <x:c r="I97" s="2"/>
      <x:c r="J97" s="2"/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/>
      <x:c r="D98" s="2"/>
      <x:c r="E98" s="2"/>
      <x:c r="F98" s="2"/>
      <x:c r="G98" s="2"/>
      <x:c r="H98" s="2"/>
      <x:c r="I98" s="2"/>
      <x:c r="J98" s="2"/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/>
      <x:c r="D99" s="2"/>
      <x:c r="E99" s="2"/>
      <x:c r="F99" s="2"/>
      <x:c r="G99" s="2"/>
      <x:c r="H99" s="2"/>
      <x:c r="I99" s="2"/>
      <x:c r="J99" s="2"/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/>
      <x:c r="D100" s="2"/>
      <x:c r="E100" s="2"/>
      <x:c r="F100" s="2"/>
      <x:c r="G100" s="2"/>
      <x:c r="H100" s="2"/>
      <x:c r="I100" s="2"/>
      <x:c r="J100" s="2"/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/>
      <x:c r="D101" s="2"/>
      <x:c r="E101" s="2"/>
      <x:c r="F101" s="2"/>
      <x:c r="G101" s="2"/>
      <x:c r="H101" s="2"/>
      <x:c r="I101" s="2"/>
      <x:c r="J101" s="2"/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/>
      <x:c r="D102" s="2"/>
      <x:c r="E102" s="2"/>
      <x:c r="F102" s="2"/>
      <x:c r="G102" s="2"/>
      <x:c r="H102" s="2"/>
      <x:c r="I102" s="2"/>
      <x:c r="J102" s="2"/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/>
      <x:c r="D103" s="2"/>
      <x:c r="E103" s="2"/>
      <x:c r="F103" s="2"/>
      <x:c r="G103" s="2"/>
      <x:c r="H103" s="2"/>
      <x:c r="I103" s="2"/>
      <x:c r="J103" s="2"/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/>
      <x:c r="D104" s="2"/>
      <x:c r="E104" s="2"/>
      <x:c r="F104" s="2"/>
      <x:c r="G104" s="2"/>
      <x:c r="H104" s="2"/>
      <x:c r="I104" s="2"/>
      <x:c r="J104" s="2"/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/>
      <x:c r="D105" s="2"/>
      <x:c r="E105" s="2"/>
      <x:c r="F105" s="2"/>
      <x:c r="G105" s="2"/>
      <x:c r="H105" s="2"/>
      <x:c r="I105" s="2"/>
      <x:c r="J105" s="2"/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/>
      <x:c r="D106" s="2"/>
      <x:c r="E106" s="2"/>
      <x:c r="F106" s="2"/>
      <x:c r="G106" s="2"/>
      <x:c r="H106" s="2"/>
      <x:c r="I106" s="2"/>
      <x:c r="J106" s="2"/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/>
      <x:c r="D107" s="2"/>
      <x:c r="E107" s="2"/>
      <x:c r="F107" s="2"/>
      <x:c r="G107" s="2"/>
      <x:c r="H107" s="2"/>
      <x:c r="I107" s="2"/>
      <x:c r="J107" s="2"/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/>
      <x:c r="D108" s="2"/>
      <x:c r="E108" s="2"/>
      <x:c r="F108" s="2"/>
      <x:c r="G108" s="2"/>
      <x:c r="H108" s="2"/>
      <x:c r="I108" s="2"/>
      <x:c r="J108" s="2"/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/>
      <x:c r="D109" s="2"/>
      <x:c r="E109" s="2"/>
      <x:c r="F109" s="2"/>
      <x:c r="G109" s="2"/>
      <x:c r="H109" s="2"/>
      <x:c r="I109" s="2"/>
      <x:c r="J109" s="2"/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/>
      <x:c r="D110" s="2"/>
      <x:c r="E110" s="2"/>
      <x:c r="F110" s="2"/>
      <x:c r="G110" s="2"/>
      <x:c r="H110" s="2"/>
      <x:c r="I110" s="2"/>
      <x:c r="J110" s="2"/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/>
      <x:c r="D111" s="2"/>
      <x:c r="E111" s="2"/>
      <x:c r="F111" s="2"/>
      <x:c r="G111" s="2"/>
      <x:c r="H111" s="2"/>
      <x:c r="I111" s="2"/>
      <x:c r="J111" s="2"/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/>
      <x:c r="D112" s="2"/>
      <x:c r="E112" s="2"/>
      <x:c r="F112" s="2"/>
      <x:c r="G112" s="2"/>
      <x:c r="H112" s="2"/>
      <x:c r="I112" s="2"/>
      <x:c r="J112" s="2"/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/>
      <x:c r="D113" s="2"/>
      <x:c r="E113" s="2"/>
      <x:c r="F113" s="2"/>
      <x:c r="G113" s="2"/>
      <x:c r="H113" s="2"/>
      <x:c r="I113" s="2"/>
      <x:c r="J113" s="2"/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/>
      <x:c r="D114" s="2"/>
      <x:c r="E114" s="2"/>
      <x:c r="F114" s="2"/>
      <x:c r="G114" s="2"/>
      <x:c r="H114" s="2"/>
      <x:c r="I114" s="2"/>
      <x:c r="J114" s="2"/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/>
      <x:c r="D115" s="2"/>
      <x:c r="E115" s="2"/>
      <x:c r="F115" s="2"/>
      <x:c r="G115" s="2"/>
      <x:c r="H115" s="2"/>
      <x:c r="I115" s="2"/>
      <x:c r="J115" s="2"/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/>
      <x:c r="D116" s="2"/>
      <x:c r="E116" s="2"/>
      <x:c r="F116" s="2"/>
      <x:c r="G116" s="2"/>
      <x:c r="H116" s="2"/>
      <x:c r="I116" s="2"/>
      <x:c r="J116" s="2"/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/>
      <x:c r="D117" s="2"/>
      <x:c r="E117" s="2"/>
      <x:c r="F117" s="2"/>
      <x:c r="G117" s="2"/>
      <x:c r="H117" s="2"/>
      <x:c r="I117" s="2"/>
      <x:c r="J117" s="2"/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/>
      <x:c r="D118" s="2"/>
      <x:c r="E118" s="2"/>
      <x:c r="F118" s="2"/>
      <x:c r="G118" s="2"/>
      <x:c r="H118" s="2"/>
      <x:c r="I118" s="2"/>
      <x:c r="J118" s="2"/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/>
      <x:c r="D119" s="2"/>
      <x:c r="E119" s="2"/>
      <x:c r="F119" s="2"/>
      <x:c r="G119" s="2"/>
      <x:c r="H119" s="2"/>
      <x:c r="I119" s="2"/>
      <x:c r="J119" s="2"/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/>
      <x:c r="D120" s="2"/>
      <x:c r="E120" s="2"/>
      <x:c r="F120" s="2"/>
      <x:c r="G120" s="2"/>
      <x:c r="H120" s="2"/>
      <x:c r="I120" s="2"/>
      <x:c r="J120" s="2"/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/>
      <x:c r="D121" s="2"/>
      <x:c r="E121" s="2"/>
      <x:c r="F121" s="2"/>
      <x:c r="G121" s="2"/>
      <x:c r="H121" s="2"/>
      <x:c r="I121" s="2"/>
      <x:c r="J121" s="2"/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/>
      <x:c r="D122" s="2"/>
      <x:c r="E122" s="2"/>
      <x:c r="F122" s="2"/>
      <x:c r="G122" s="2"/>
      <x:c r="H122" s="2"/>
      <x:c r="I122" s="2"/>
      <x:c r="J122" s="2"/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/>
      <x:c r="D123" s="2"/>
      <x:c r="E123" s="2"/>
      <x:c r="F123" s="2"/>
      <x:c r="G123" s="2"/>
      <x:c r="H123" s="2"/>
      <x:c r="I123" s="2"/>
      <x:c r="J123" s="2"/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/>
      <x:c r="D124" s="2"/>
      <x:c r="E124" s="2"/>
      <x:c r="F124" s="2"/>
      <x:c r="G124" s="2"/>
      <x:c r="H124" s="2"/>
      <x:c r="I124" s="2"/>
      <x:c r="J124" s="2"/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/>
      <x:c r="D125" s="2"/>
      <x:c r="E125" s="2"/>
      <x:c r="F125" s="2"/>
      <x:c r="G125" s="2"/>
      <x:c r="H125" s="2"/>
      <x:c r="I125" s="2"/>
      <x:c r="J125" s="2"/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/>
      <x:c r="D126" s="2"/>
      <x:c r="E126" s="2"/>
      <x:c r="F126" s="2"/>
      <x:c r="G126" s="2"/>
      <x:c r="H126" s="2"/>
      <x:c r="I126" s="2"/>
      <x:c r="J126" s="2"/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/>
      <x:c r="D127" s="2"/>
      <x:c r="E127" s="2"/>
      <x:c r="F127" s="2"/>
      <x:c r="G127" s="2"/>
      <x:c r="H127" s="2"/>
      <x:c r="I127" s="2"/>
      <x:c r="J127" s="2"/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/>
      <x:c r="D128" s="2"/>
      <x:c r="E128" s="2"/>
      <x:c r="F128" s="2"/>
      <x:c r="G128" s="2"/>
      <x:c r="H128" s="2"/>
      <x:c r="I128" s="2"/>
      <x:c r="J128" s="2"/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/>
      <x:c r="D129" s="2"/>
      <x:c r="E129" s="2"/>
      <x:c r="F129" s="2"/>
      <x:c r="G129" s="2"/>
      <x:c r="H129" s="2"/>
      <x:c r="I129" s="2"/>
      <x:c r="J129" s="2"/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/>
      <x:c r="D130" s="2"/>
      <x:c r="E130" s="2"/>
      <x:c r="F130" s="2"/>
      <x:c r="G130" s="2"/>
      <x:c r="H130" s="2"/>
      <x:c r="I130" s="2"/>
      <x:c r="J130" s="2"/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/>
      <x:c r="D131" s="2"/>
      <x:c r="E131" s="2"/>
      <x:c r="F131" s="2"/>
      <x:c r="G131" s="2"/>
      <x:c r="H131" s="2"/>
      <x:c r="I131" s="2"/>
      <x:c r="J131" s="2"/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/>
      <x:c r="D132" s="2"/>
      <x:c r="E132" s="2"/>
      <x:c r="F132" s="2"/>
      <x:c r="G132" s="2"/>
      <x:c r="H132" s="2"/>
      <x:c r="I132" s="2"/>
      <x:c r="J132" s="2"/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/>
      <x:c r="D133" s="2"/>
      <x:c r="E133" s="2"/>
      <x:c r="F133" s="2"/>
      <x:c r="G133" s="2"/>
      <x:c r="H133" s="2"/>
      <x:c r="I133" s="2"/>
      <x:c r="J133" s="2"/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/>
      <x:c r="D134" s="2"/>
      <x:c r="E134" s="2"/>
      <x:c r="F134" s="2"/>
      <x:c r="G134" s="2"/>
      <x:c r="H134" s="2"/>
      <x:c r="I134" s="2"/>
      <x:c r="J134" s="2"/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/>
      <x:c r="D135" s="2"/>
      <x:c r="E135" s="2"/>
      <x:c r="F135" s="2"/>
      <x:c r="G135" s="2"/>
      <x:c r="H135" s="2"/>
      <x:c r="I135" s="2"/>
      <x:c r="J135" s="2"/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/>
      <x:c r="D136" s="2"/>
      <x:c r="E136" s="2"/>
      <x:c r="F136" s="2"/>
      <x:c r="G136" s="2"/>
      <x:c r="H136" s="2"/>
      <x:c r="I136" s="2"/>
      <x:c r="J136" s="2"/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/>
      <x:c r="D137" s="2"/>
      <x:c r="E137" s="2"/>
      <x:c r="F137" s="2"/>
      <x:c r="G137" s="2"/>
      <x:c r="H137" s="2"/>
      <x:c r="I137" s="2"/>
      <x:c r="J137" s="2"/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/>
      <x:c r="D138" s="2"/>
      <x:c r="E138" s="2"/>
      <x:c r="F138" s="2"/>
      <x:c r="G138" s="2"/>
      <x:c r="H138" s="2"/>
      <x:c r="I138" s="2"/>
      <x:c r="J138" s="2"/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/>
      <x:c r="D139" s="2"/>
      <x:c r="E139" s="2"/>
      <x:c r="F139" s="2"/>
      <x:c r="G139" s="2"/>
      <x:c r="H139" s="2"/>
      <x:c r="I139" s="2"/>
      <x:c r="J139" s="2"/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/>
      <x:c r="D140" s="2"/>
      <x:c r="E140" s="2"/>
      <x:c r="F140" s="2"/>
      <x:c r="G140" s="2"/>
      <x:c r="H140" s="2"/>
      <x:c r="I140" s="2"/>
      <x:c r="J140" s="2"/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/>
      <x:c r="D141" s="2"/>
      <x:c r="E141" s="2"/>
      <x:c r="F141" s="2"/>
      <x:c r="G141" s="2"/>
      <x:c r="H141" s="2"/>
      <x:c r="I141" s="2"/>
      <x:c r="J141" s="2"/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/>
      <x:c r="D142" s="2"/>
      <x:c r="E142" s="2"/>
      <x:c r="F142" s="2"/>
      <x:c r="G142" s="2"/>
      <x:c r="H142" s="2"/>
      <x:c r="I142" s="2"/>
      <x:c r="J142" s="2"/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/>
      <x:c r="D143" s="2"/>
      <x:c r="E143" s="2"/>
      <x:c r="F143" s="2"/>
      <x:c r="G143" s="2"/>
      <x:c r="H143" s="2"/>
      <x:c r="I143" s="2"/>
      <x:c r="J143" s="2"/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/>
      <x:c r="D144" s="2"/>
      <x:c r="E144" s="2"/>
      <x:c r="F144" s="2"/>
      <x:c r="G144" s="2"/>
      <x:c r="H144" s="2"/>
      <x:c r="I144" s="2"/>
      <x:c r="J144" s="2"/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/>
      <x:c r="D145" s="2"/>
      <x:c r="E145" s="2"/>
      <x:c r="F145" s="2"/>
      <x:c r="G145" s="2"/>
      <x:c r="H145" s="2"/>
      <x:c r="I145" s="2"/>
      <x:c r="J145" s="2"/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/>
      <x:c r="D146" s="2"/>
      <x:c r="E146" s="2"/>
      <x:c r="F146" s="2"/>
      <x:c r="G146" s="2"/>
      <x:c r="H146" s="2"/>
      <x:c r="I146" s="2"/>
      <x:c r="J146" s="2"/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/>
      <x:c r="D147" s="2"/>
      <x:c r="E147" s="2"/>
      <x:c r="F147" s="2"/>
      <x:c r="G147" s="2"/>
      <x:c r="H147" s="2"/>
      <x:c r="I147" s="2"/>
      <x:c r="J147" s="2"/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/>
      <x:c r="D149" s="2"/>
      <x:c r="E149" s="2"/>
      <x:c r="F149" s="2"/>
      <x:c r="G149" s="2"/>
      <x:c r="H149" s="2"/>
      <x:c r="I149" s="2"/>
      <x:c r="J149" s="2"/>
      <x:c r="K149" s="2"/>
      <x:c r="L149" s="2"/>
      <x:c r="M149" s="2"/>
      <x:c r="N149" s="2"/>
      <x:c r="O149" s="2"/>
      <x:c r="P149" s="2"/>
      <x:c r="Q149" s="2"/>
      <x:c r="R149" s="2"/>
      <x:c r="S149" s="2"/>
      <x:c r="T149" s="2"/>
      <x:c r="U149" s="2"/>
      <x:c r="V149" s="2"/>
      <x:c r="W149" s="2"/>
      <x:c r="X149" s="2"/>
      <x:c r="Y149" s="2"/>
      <x:c r="Z149" s="2"/>
      <x:c r="AA149" s="2"/>
      <x:c r="AB149" s="2"/>
      <x:c r="AC149" s="2"/>
      <x:c r="AD149" s="2"/>
      <x:c r="AE149" s="2"/>
      <x:c r="AF149" s="2"/>
      <x:c r="AG149" s="2"/>
      <x:c r="AH149" s="2"/>
      <x:c r="AI149" s="2"/>
      <x:c r="AJ149" s="2"/>
      <x:c r="AK149" s="2"/>
      <x:c r="AL149" s="2"/>
      <x:c r="AM149" s="2"/>
      <x:c r="AN149" s="2"/>
      <x:c r="AO149" s="2"/>
      <x:c r="AP149" s="2"/>
      <x:c r="AQ149" s="2"/>
      <x:c r="AR149" s="2"/>
      <x:c r="AS149" s="2"/>
      <x:c r="AT149" s="2"/>
      <x:c r="AU149" s="2"/>
      <x:c r="AV149" s="2"/>
      <x:c r="AW149" s="2"/>
      <x:c r="AX149" s="2"/>
      <x:c r="AY149" s="2"/>
      <x:c r="AZ149" s="2"/>
      <x:c r="BA149" s="2"/>
      <x:c r="BB149" s="2"/>
      <x:c r="BC149" s="2"/>
      <x:c r="BD149" s="2"/>
      <x:c r="BE149" s="2"/>
      <x:c r="BF149" s="2"/>
      <x:c r="BG149" s="2"/>
      <x:c r="BH149" s="2"/>
      <x:c r="BI149" s="2"/>
      <x:c r="BJ149" s="2"/>
      <x:c r="BK149" s="2"/>
      <x:c r="BL149" s="2"/>
      <x:c r="BM149" s="2"/>
      <x:c r="BN149" s="2"/>
      <x:c r="BO149" s="2"/>
      <x:c r="BP149" s="2"/>
      <x:c r="BQ149" s="2"/>
      <x:c r="BR149" s="2"/>
      <x:c r="BS149" s="2"/>
      <x:c r="BT149" s="2"/>
      <x:c r="BU149" s="2"/>
      <x:c r="BV149" s="2"/>
      <x:c r="BW149" s="2"/>
      <x:c r="BX149" s="2"/>
      <x:c r="BY149" s="2"/>
      <x:c r="BZ149" s="2"/>
      <x:c r="CA149" s="2"/>
      <x:c r="CB149" s="2"/>
      <x:c r="CC149" s="2"/>
      <x:c r="CD149" s="2"/>
      <x:c r="CE149" s="2"/>
      <x:c r="CF149" s="2"/>
      <x:c r="CG149" s="2"/>
      <x:c r="CH149" s="2"/>
      <x:c r="CI149" s="2"/>
      <x:c r="CJ149" s="2"/>
      <x:c r="CK149" s="2"/>
      <x:c r="CL149" s="2"/>
      <x:c r="CM149" s="2"/>
      <x:c r="CN149" s="2"/>
      <x:c r="CO149" s="2"/>
      <x:c r="CP149" s="2"/>
      <x:c r="CQ149" s="2"/>
      <x:c r="CR149" s="2"/>
      <x:c r="CS149" s="2"/>
      <x:c r="CT149" s="2"/>
      <x:c r="CU149" s="2"/>
      <x:c r="CV149" s="2"/>
      <x:c r="CW149" s="2"/>
      <x:c r="CX149" s="2"/>
      <x:c r="CY149" s="2"/>
    </x:row>
    <x:row r="150" ht="19" customHeight="1">
      <x:c r="A150" s="1"/>
      <x:c r="B150" s="1"/>
      <x:c r="C150" s="2"/>
      <x:c r="D150" s="2"/>
      <x:c r="E150" s="2"/>
      <x:c r="F150" s="2"/>
      <x:c r="G150" s="2"/>
      <x:c r="H150" s="2"/>
      <x:c r="I150" s="2"/>
      <x:c r="J150" s="2"/>
      <x:c r="K150" s="2"/>
      <x:c r="L150" s="2"/>
      <x:c r="M150" s="2"/>
      <x:c r="N150" s="2"/>
      <x:c r="O150" s="2"/>
      <x:c r="P150" s="2"/>
      <x:c r="Q150" s="2"/>
      <x:c r="R150" s="2"/>
      <x:c r="S150" s="2"/>
      <x:c r="T150" s="2"/>
      <x:c r="U150" s="2"/>
      <x:c r="V150" s="2"/>
      <x:c r="W150" s="2"/>
      <x:c r="X150" s="2"/>
      <x:c r="Y150" s="2"/>
      <x:c r="Z150" s="2"/>
      <x:c r="AA150" s="2"/>
      <x:c r="AB150" s="2"/>
      <x:c r="AC150" s="2"/>
      <x:c r="AD150" s="2"/>
      <x:c r="AE150" s="2"/>
      <x:c r="AF150" s="2"/>
      <x:c r="AG150" s="2"/>
      <x:c r="AH150" s="2"/>
      <x:c r="AI150" s="2"/>
      <x:c r="AJ150" s="2"/>
      <x:c r="AK150" s="2"/>
      <x:c r="AL150" s="2"/>
      <x:c r="AM150" s="2"/>
      <x:c r="AN150" s="2"/>
      <x:c r="AO150" s="2"/>
      <x:c r="AP150" s="2"/>
      <x:c r="AQ150" s="2"/>
      <x:c r="AR150" s="2"/>
      <x:c r="AS150" s="2"/>
      <x:c r="AT150" s="2"/>
      <x:c r="AU150" s="2"/>
      <x:c r="AV150" s="2"/>
      <x:c r="AW150" s="2"/>
      <x:c r="AX150" s="2"/>
      <x:c r="AY150" s="2"/>
      <x:c r="AZ150" s="2"/>
      <x:c r="BA150" s="2"/>
      <x:c r="BB150" s="2"/>
      <x:c r="BC150" s="2"/>
      <x:c r="BD150" s="2"/>
      <x:c r="BE150" s="2"/>
      <x:c r="BF150" s="2"/>
      <x:c r="BG150" s="2"/>
      <x:c r="BH150" s="2"/>
      <x:c r="BI150" s="2"/>
      <x:c r="BJ150" s="2"/>
      <x:c r="BK150" s="2"/>
      <x:c r="BL150" s="2"/>
      <x:c r="BM150" s="2"/>
      <x:c r="BN150" s="2"/>
      <x:c r="BO150" s="2"/>
      <x:c r="BP150" s="2"/>
      <x:c r="BQ150" s="2"/>
      <x:c r="BR150" s="2"/>
      <x:c r="BS150" s="2"/>
      <x:c r="BT150" s="2"/>
      <x:c r="BU150" s="2"/>
      <x:c r="BV150" s="2"/>
      <x:c r="BW150" s="2"/>
      <x:c r="BX150" s="2"/>
      <x:c r="BY150" s="2"/>
      <x:c r="BZ150" s="2"/>
      <x:c r="CA150" s="2"/>
      <x:c r="CB150" s="2"/>
      <x:c r="CC150" s="2"/>
      <x:c r="CD150" s="2"/>
      <x:c r="CE150" s="2"/>
      <x:c r="CF150" s="2"/>
      <x:c r="CG150" s="2"/>
      <x:c r="CH150" s="2"/>
      <x:c r="CI150" s="2"/>
      <x:c r="CJ150" s="2"/>
      <x:c r="CK150" s="2"/>
      <x:c r="CL150" s="2"/>
      <x:c r="CM150" s="2"/>
      <x:c r="CN150" s="2"/>
      <x:c r="CO150" s="2"/>
      <x:c r="CP150" s="2"/>
      <x:c r="CQ150" s="2"/>
      <x:c r="CR150" s="2"/>
      <x:c r="CS150" s="2"/>
      <x:c r="CT150" s="2"/>
      <x:c r="CU150" s="2"/>
      <x:c r="CV150" s="2"/>
      <x:c r="CW150" s="2"/>
      <x:c r="CX150" s="2"/>
      <x:c r="CY150" s="2"/>
    </x:row>
    <x:row r="151" ht="19" customHeight="1">
      <x:c r="A151" s="1"/>
      <x:c r="B151" s="1"/>
      <x:c r="C151" s="2"/>
      <x:c r="D151" s="2"/>
      <x:c r="E151" s="2"/>
      <x:c r="F151" s="2"/>
      <x:c r="G151" s="2"/>
      <x:c r="H151" s="2"/>
      <x:c r="I151" s="2"/>
      <x:c r="J151" s="2"/>
      <x:c r="K151" s="2"/>
      <x:c r="L151" s="2"/>
      <x:c r="M151" s="2"/>
      <x:c r="N151" s="2"/>
      <x:c r="O151" s="2"/>
      <x:c r="P151" s="2"/>
      <x:c r="Q151" s="2"/>
      <x:c r="R151" s="2"/>
      <x:c r="S151" s="2"/>
      <x:c r="T151" s="2"/>
      <x:c r="U151" s="2"/>
      <x:c r="V151" s="2"/>
      <x:c r="W151" s="2"/>
      <x:c r="X151" s="2"/>
      <x:c r="Y151" s="2"/>
      <x:c r="Z151" s="2"/>
      <x:c r="AA151" s="2"/>
      <x:c r="AB151" s="2"/>
      <x:c r="AC151" s="2"/>
      <x:c r="AD151" s="2"/>
      <x:c r="AE151" s="2"/>
      <x:c r="AF151" s="2"/>
      <x:c r="AG151" s="2"/>
      <x:c r="AH151" s="2"/>
      <x:c r="AI151" s="2"/>
      <x:c r="AJ151" s="2"/>
      <x:c r="AK151" s="2"/>
      <x:c r="AL151" s="2"/>
      <x:c r="AM151" s="2"/>
      <x:c r="AN151" s="2"/>
      <x:c r="AO151" s="2"/>
      <x:c r="AP151" s="2"/>
      <x:c r="AQ151" s="2"/>
      <x:c r="AR151" s="2"/>
      <x:c r="AS151" s="2"/>
      <x:c r="AT151" s="2"/>
      <x:c r="AU151" s="2"/>
      <x:c r="AV151" s="2"/>
      <x:c r="AW151" s="2"/>
      <x:c r="AX151" s="2"/>
      <x:c r="AY151" s="2"/>
      <x:c r="AZ151" s="2"/>
      <x:c r="BA151" s="2"/>
      <x:c r="BB151" s="2"/>
      <x:c r="BC151" s="2"/>
      <x:c r="BD151" s="2"/>
      <x:c r="BE151" s="2"/>
      <x:c r="BF151" s="2"/>
      <x:c r="BG151" s="2"/>
      <x:c r="BH151" s="2"/>
      <x:c r="BI151" s="2"/>
      <x:c r="BJ151" s="2"/>
      <x:c r="BK151" s="2"/>
      <x:c r="BL151" s="2"/>
      <x:c r="BM151" s="2"/>
      <x:c r="BN151" s="2"/>
      <x:c r="BO151" s="2"/>
      <x:c r="BP151" s="2"/>
      <x:c r="BQ151" s="2"/>
      <x:c r="BR151" s="2"/>
      <x:c r="BS151" s="2"/>
      <x:c r="BT151" s="2"/>
      <x:c r="BU151" s="2"/>
      <x:c r="BV151" s="2"/>
      <x:c r="BW151" s="2"/>
      <x:c r="BX151" s="2"/>
      <x:c r="BY151" s="2"/>
      <x:c r="BZ151" s="2"/>
      <x:c r="CA151" s="2"/>
      <x:c r="CB151" s="2"/>
      <x:c r="CC151" s="2"/>
      <x:c r="CD151" s="2"/>
      <x:c r="CE151" s="2"/>
      <x:c r="CF151" s="2"/>
      <x:c r="CG151" s="2"/>
      <x:c r="CH151" s="2"/>
      <x:c r="CI151" s="2"/>
      <x:c r="CJ151" s="2"/>
      <x:c r="CK151" s="2"/>
      <x:c r="CL151" s="2"/>
      <x:c r="CM151" s="2"/>
      <x:c r="CN151" s="2"/>
      <x:c r="CO151" s="2"/>
      <x:c r="CP151" s="2"/>
      <x:c r="CQ151" s="2"/>
      <x:c r="CR151" s="2"/>
      <x:c r="CS151" s="2"/>
      <x:c r="CT151" s="2"/>
      <x:c r="CU151" s="2"/>
      <x:c r="CV151" s="2"/>
      <x:c r="CW151" s="2"/>
      <x:c r="CX151" s="2"/>
      <x:c r="CY151" s="2"/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/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19" customHeight="1">
      <x:c r="A159" s="1"/>
      <x:c r="B159" s="1"/>
      <x:c r="C159" s="2"/>
      <x:c r="D159" s="2"/>
      <x:c r="E159" s="2"/>
      <x:c r="F159" s="2"/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/>
      <x:c r="D160" s="2"/>
      <x:c r="E160" s="2"/>
      <x:c r="F160" s="2"/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/>
      <x:c r="D161" s="2"/>
      <x:c r="E161" s="2"/>
      <x:c r="F161" s="2"/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/>
      <x:c r="D162" s="2"/>
      <x:c r="E162" s="2"/>
      <x:c r="F162" s="2"/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/>
      <x:c r="D163" s="2"/>
      <x:c r="E163" s="2"/>
      <x:c r="F163" s="2"/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/>
      <x:c r="D164" s="2"/>
      <x:c r="E164" s="2"/>
      <x:c r="F164" s="2"/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/>
      <x:c r="D165" s="2"/>
      <x:c r="E165" s="2"/>
      <x:c r="F165" s="2"/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/>
      <x:c r="D166" s="2"/>
      <x:c r="E166" s="2"/>
      <x:c r="F166" s="2"/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/>
      <x:c r="D167" s="2"/>
      <x:c r="E167" s="2"/>
      <x:c r="F167" s="2"/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/>
      <x:c r="D168" s="2"/>
      <x:c r="E168" s="2"/>
      <x:c r="F168" s="2"/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/>
      <x:c r="D169" s="2"/>
      <x:c r="E169" s="2"/>
      <x:c r="F169" s="2"/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/>
      <x:c r="D170" s="2"/>
      <x:c r="E170" s="2"/>
      <x:c r="F170" s="2"/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/>
      <x:c r="D171" s="2"/>
      <x:c r="E171" s="2"/>
      <x:c r="F171" s="2"/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/>
      <x:c r="D172" s="2"/>
      <x:c r="E172" s="2"/>
      <x:c r="F172" s="2"/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/>
      <x:c r="D173" s="2"/>
      <x:c r="E173" s="2"/>
      <x:c r="F173" s="2"/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/>
      <x:c r="D174" s="2"/>
      <x:c r="E174" s="2"/>
      <x:c r="F174" s="2"/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/>
      <x:c r="D175" s="2"/>
      <x:c r="E175" s="2"/>
      <x:c r="F175" s="2"/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/>
      <x:c r="D176" s="2"/>
      <x:c r="E176" s="2"/>
      <x:c r="F176" s="2"/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/>
      <x:c r="D177" s="2"/>
      <x:c r="E177" s="2"/>
      <x:c r="F177" s="2"/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/>
      <x:c r="D178" s="2"/>
      <x:c r="E178" s="2"/>
      <x:c r="F178" s="2"/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/>
      <x:c r="D179" s="2"/>
      <x:c r="E179" s="2"/>
      <x:c r="F179" s="2"/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/>
      <x:c r="D180" s="2"/>
      <x:c r="E180" s="2"/>
      <x:c r="F180" s="2"/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/>
      <x:c r="D181" s="2"/>
      <x:c r="E181" s="2"/>
      <x:c r="F181" s="2"/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/>
      <x:c r="D182" s="2"/>
      <x:c r="E182" s="2"/>
      <x:c r="F182" s="2"/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/>
      <x:c r="D183" s="2"/>
      <x:c r="E183" s="2"/>
      <x:c r="F183" s="2"/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/>
      <x:c r="D184" s="2"/>
      <x:c r="E184" s="2"/>
      <x:c r="F184" s="2"/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/>
      <x:c r="D185" s="2"/>
      <x:c r="E185" s="2"/>
      <x:c r="F185" s="2"/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/>
      <x:c r="D186" s="2"/>
      <x:c r="E186" s="2"/>
      <x:c r="F186" s="2"/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/>
      <x:c r="D187" s="2"/>
      <x:c r="E187" s="2"/>
      <x:c r="F187" s="2"/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/>
      <x:c r="D188" s="2"/>
      <x:c r="E188" s="2"/>
      <x:c r="F188" s="2"/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/>
      <x:c r="D189" s="2"/>
      <x:c r="E189" s="2"/>
      <x:c r="F189" s="2"/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/>
      <x:c r="D190" s="2"/>
      <x:c r="E190" s="2"/>
      <x:c r="F190" s="2"/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/>
      <x:c r="D191" s="2"/>
      <x:c r="E191" s="2"/>
      <x:c r="F191" s="2"/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/>
      <x:c r="D192" s="2"/>
      <x:c r="E192" s="2"/>
      <x:c r="F192" s="2"/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/>
      <x:c r="D193" s="2"/>
      <x:c r="E193" s="2"/>
      <x:c r="F193" s="2"/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/>
      <x:c r="D194" s="2"/>
      <x:c r="E194" s="2"/>
      <x:c r="F194" s="2"/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/>
      <x:c r="D195" s="2"/>
      <x:c r="E195" s="2"/>
      <x:c r="F195" s="2"/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/>
      <x:c r="D196" s="2"/>
      <x:c r="E196" s="2"/>
      <x:c r="F196" s="2"/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/>
      <x:c r="D197" s="2"/>
      <x:c r="E197" s="2"/>
      <x:c r="F197" s="2"/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/>
      <x:c r="D198" s="2"/>
      <x:c r="E198" s="2"/>
      <x:c r="F198" s="2"/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/>
      <x:c r="D199" s="2"/>
      <x:c r="E199" s="2"/>
      <x:c r="F199" s="2"/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/>
      <x:c r="D200" s="2"/>
      <x:c r="E200" s="2"/>
      <x:c r="F200" s="2"/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/>
      <x:c r="D201" s="2"/>
      <x:c r="E201" s="2"/>
      <x:c r="F201" s="2"/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/>
      <x:c r="D202" s="2"/>
      <x:c r="E202" s="2"/>
      <x:c r="F202" s="2"/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/>
      <x:c r="D203" s="2"/>
      <x:c r="E203" s="2"/>
      <x:c r="F203" s="2"/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/>
      <x:c r="D204" s="2"/>
      <x:c r="E204" s="2"/>
      <x:c r="F204" s="2"/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/>
      <x:c r="D205" s="2"/>
      <x:c r="E205" s="2"/>
      <x:c r="F205" s="2"/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/>
      <x:c r="D206" s="2"/>
      <x:c r="E206" s="2"/>
      <x:c r="F206" s="2"/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/>
      <x:c r="D207" s="2"/>
      <x:c r="E207" s="2"/>
      <x:c r="F207" s="2"/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/>
      <x:c r="D208" s="2"/>
      <x:c r="E208" s="2"/>
      <x:c r="F208" s="2"/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/>
      <x:c r="D209" s="2"/>
      <x:c r="E209" s="2"/>
      <x:c r="F209" s="2"/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/>
      <x:c r="D210" s="2"/>
      <x:c r="E210" s="2"/>
      <x:c r="F210" s="2"/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/>
      <x:c r="D211" s="2"/>
      <x:c r="E211" s="2"/>
      <x:c r="F211" s="2"/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/>
      <x:c r="D212" s="2"/>
      <x:c r="E212" s="2"/>
      <x:c r="F212" s="2"/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/>
      <x:c r="D213" s="2"/>
      <x:c r="E213" s="2"/>
      <x:c r="F213" s="2"/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/>
      <x:c r="D214" s="2"/>
      <x:c r="E214" s="2"/>
      <x:c r="F214" s="2"/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/>
      <x:c r="D215" s="2"/>
      <x:c r="E215" s="2"/>
      <x:c r="F215" s="2"/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/>
      <x:c r="D216" s="2"/>
      <x:c r="E216" s="2"/>
      <x:c r="F216" s="2"/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/>
      <x:c r="D217" s="2"/>
      <x:c r="E217" s="2"/>
      <x:c r="F217" s="2"/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/>
      <x:c r="D218" s="2"/>
      <x:c r="E218" s="2"/>
      <x:c r="F218" s="2"/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/>
      <x:c r="D219" s="2"/>
      <x:c r="E219" s="2"/>
      <x:c r="F219" s="2"/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CF Short-Term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576000</x:v>
      </x:c>
      <x:c r="F8" s="2"/>
      <x:c r="G8" s="32" t="n">
        <x:f>'Assumptions'!$E$11*(1+'Assumptions'!$E$12)^(G$6-1)*INDEX('Assumptions'!$E$34:$E$45,MOD(G$6-1,12)+1)*'Assumptions'!$E$29</x:f>
        <x:v>24000</x:v>
      </x:c>
      <x:c r="H8" s="32" t="n">
        <x:f>'Assumptions'!$E$11*(1+'Assumptions'!$E$12)^(H$6-1)*INDEX('Assumptions'!$E$34:$E$45,MOD(H$6-1,12)+1)*'Assumptions'!$E$29</x:f>
        <x:v>24000</x:v>
      </x:c>
      <x:c r="I8" s="32" t="n">
        <x:f>'Assumptions'!$E$11*(1+'Assumptions'!$E$12)^(I$6-1)*INDEX('Assumptions'!$E$34:$E$45,MOD(I$6-1,12)+1)*'Assumptions'!$E$29</x:f>
        <x:v>24000</x:v>
      </x:c>
      <x:c r="J8" s="32" t="n">
        <x:f>'Assumptions'!$E$11*(1+'Assumptions'!$E$12)^(J$6-1)*INDEX('Assumptions'!$E$34:$E$45,MOD(J$6-1,12)+1)*'Assumptions'!$E$29</x:f>
        <x:v>24000</x:v>
      </x:c>
      <x:c r="K8" s="32" t="n">
        <x:f>'Assumptions'!$E$11*(1+'Assumptions'!$E$12)^(K$6-1)*INDEX('Assumptions'!$E$34:$E$45,MOD(K$6-1,12)+1)*'Assumptions'!$E$29</x:f>
        <x:v>24000</x:v>
      </x:c>
      <x:c r="L8" s="32" t="n">
        <x:f>'Assumptions'!$E$11*(1+'Assumptions'!$E$12)^(L$6-1)*INDEX('Assumptions'!$E$34:$E$45,MOD(L$6-1,12)+1)*'Assumptions'!$E$29</x:f>
        <x:v>24000</x:v>
      </x:c>
      <x:c r="M8" s="32" t="n">
        <x:f>'Assumptions'!$E$11*(1+'Assumptions'!$E$12)^(M$6-1)*INDEX('Assumptions'!$E$34:$E$45,MOD(M$6-1,12)+1)*'Assumptions'!$E$29</x:f>
        <x:v>24000</x:v>
      </x:c>
      <x:c r="N8" s="32" t="n">
        <x:f>'Assumptions'!$E$11*(1+'Assumptions'!$E$12)^(N$6-1)*INDEX('Assumptions'!$E$34:$E$45,MOD(N$6-1,12)+1)*'Assumptions'!$E$29</x:f>
        <x:v>24000</x:v>
      </x:c>
      <x:c r="O8" s="32" t="n">
        <x:f>'Assumptions'!$E$11*(1+'Assumptions'!$E$12)^(O$6-1)*INDEX('Assumptions'!$E$34:$E$45,MOD(O$6-1,12)+1)*'Assumptions'!$E$29</x:f>
        <x:v>24000</x:v>
      </x:c>
      <x:c r="P8" s="32" t="n">
        <x:f>'Assumptions'!$E$11*(1+'Assumptions'!$E$12)^(P$6-1)*INDEX('Assumptions'!$E$34:$E$45,MOD(P$6-1,12)+1)*'Assumptions'!$E$29</x:f>
        <x:v>24000</x:v>
      </x:c>
      <x:c r="Q8" s="32" t="n">
        <x:f>'Assumptions'!$E$11*(1+'Assumptions'!$E$12)^(Q$6-1)*INDEX('Assumptions'!$E$34:$E$45,MOD(Q$6-1,12)+1)*'Assumptions'!$E$29</x:f>
        <x:v>24000</x:v>
      </x:c>
      <x:c r="R8" s="32" t="n">
        <x:f>'Assumptions'!$E$11*(1+'Assumptions'!$E$12)^(R$6-1)*INDEX('Assumptions'!$E$34:$E$45,MOD(R$6-1,12)+1)*'Assumptions'!$E$29</x:f>
        <x:v>24000</x:v>
      </x:c>
      <x:c r="S8" s="32" t="n">
        <x:f>'Assumptions'!$E$11*(1+'Assumptions'!$E$12)^(S$6-1)*INDEX('Assumptions'!$E$34:$E$45,MOD(S$6-1,12)+1)*'Assumptions'!$E$29</x:f>
        <x:v>24000</x:v>
      </x:c>
      <x:c r="T8" s="32" t="n">
        <x:f>'Assumptions'!$E$11*(1+'Assumptions'!$E$12)^(T$6-1)*INDEX('Assumptions'!$E$34:$E$45,MOD(T$6-1,12)+1)*'Assumptions'!$E$29</x:f>
        <x:v>24000</x:v>
      </x:c>
      <x:c r="U8" s="32" t="n">
        <x:f>'Assumptions'!$E$11*(1+'Assumptions'!$E$12)^(U$6-1)*INDEX('Assumptions'!$E$34:$E$45,MOD(U$6-1,12)+1)*'Assumptions'!$E$29</x:f>
        <x:v>24000</x:v>
      </x:c>
      <x:c r="V8" s="32" t="n">
        <x:f>'Assumptions'!$E$11*(1+'Assumptions'!$E$12)^(V$6-1)*INDEX('Assumptions'!$E$34:$E$45,MOD(V$6-1,12)+1)*'Assumptions'!$E$29</x:f>
        <x:v>24000</x:v>
      </x:c>
      <x:c r="W8" s="32" t="n">
        <x:f>'Assumptions'!$E$11*(1+'Assumptions'!$E$12)^(W$6-1)*INDEX('Assumptions'!$E$34:$E$45,MOD(W$6-1,12)+1)*'Assumptions'!$E$29</x:f>
        <x:v>24000</x:v>
      </x:c>
      <x:c r="X8" s="32" t="n">
        <x:f>'Assumptions'!$E$11*(1+'Assumptions'!$E$12)^(X$6-1)*INDEX('Assumptions'!$E$34:$E$45,MOD(X$6-1,12)+1)*'Assumptions'!$E$29</x:f>
        <x:v>24000</x:v>
      </x:c>
      <x:c r="Y8" s="32" t="n">
        <x:f>'Assumptions'!$E$11*(1+'Assumptions'!$E$12)^(Y$6-1)*INDEX('Assumptions'!$E$34:$E$45,MOD(Y$6-1,12)+1)*'Assumptions'!$E$29</x:f>
        <x:v>24000</x:v>
      </x:c>
      <x:c r="Z8" s="32" t="n">
        <x:f>'Assumptions'!$E$11*(1+'Assumptions'!$E$12)^(Z$6-1)*INDEX('Assumptions'!$E$34:$E$45,MOD(Z$6-1,12)+1)*'Assumptions'!$E$29</x:f>
        <x:v>24000</x:v>
      </x:c>
      <x:c r="AA8" s="32" t="n">
        <x:f>'Assumptions'!$E$11*(1+'Assumptions'!$E$12)^(AA$6-1)*INDEX('Assumptions'!$E$34:$E$45,MOD(AA$6-1,12)+1)*'Assumptions'!$E$29</x:f>
        <x:v>24000</x:v>
      </x:c>
      <x:c r="AB8" s="32" t="n">
        <x:f>'Assumptions'!$E$11*(1+'Assumptions'!$E$12)^(AB$6-1)*INDEX('Assumptions'!$E$34:$E$45,MOD(AB$6-1,12)+1)*'Assumptions'!$E$29</x:f>
        <x:v>24000</x:v>
      </x:c>
      <x:c r="AC8" s="32" t="n">
        <x:f>'Assumptions'!$E$11*(1+'Assumptions'!$E$12)^(AC$6-1)*INDEX('Assumptions'!$E$34:$E$45,MOD(AC$6-1,12)+1)*'Assumptions'!$E$29</x:f>
        <x:v>24000</x:v>
      </x:c>
      <x:c r="AD8" s="32" t="n">
        <x:f>'Assumptions'!$E$11*(1+'Assumptions'!$E$12)^(AD$6-1)*INDEX('Assumptions'!$E$34:$E$45,MOD(AD$6-1,12)+1)*'Assumptions'!$E$29</x:f>
        <x:v>24000</x:v>
      </x:c>
      <x:c r="AE8" s="32" t="n">
        <x:f>'Assumptions'!$E$11*(1+'Assumptions'!$E$12)^(AE$6-1)*INDEX('Assumptions'!$E$34:$E$45,MOD(AE$6-1,12)+1)*'Assumptions'!$E$29</x:f>
        <x:v>24000</x:v>
      </x:c>
      <x:c r="AF8" s="32" t="n">
        <x:f>'Assumptions'!$E$11*(1+'Assumptions'!$E$12)^(AF$6-1)*INDEX('Assumptions'!$E$34:$E$45,MOD(AF$6-1,12)+1)*'Assumptions'!$E$29</x:f>
        <x:v>24000</x:v>
      </x:c>
      <x:c r="AG8" s="32" t="n">
        <x:f>'Assumptions'!$E$11*(1+'Assumptions'!$E$12)^(AG$6-1)*INDEX('Assumptions'!$E$34:$E$45,MOD(AG$6-1,12)+1)*'Assumptions'!$E$29</x:f>
        <x:v>24000</x:v>
      </x:c>
      <x:c r="AH8" s="32" t="n">
        <x:f>'Assumptions'!$E$11*(1+'Assumptions'!$E$12)^(AH$6-1)*INDEX('Assumptions'!$E$34:$E$45,MOD(AH$6-1,12)+1)*'Assumptions'!$E$29</x:f>
        <x:v>24000</x:v>
      </x:c>
      <x:c r="AI8" s="32" t="n">
        <x:f>'Assumptions'!$E$11*(1+'Assumptions'!$E$12)^(AI$6-1)*INDEX('Assumptions'!$E$34:$E$45,MOD(AI$6-1,12)+1)*'Assumptions'!$E$29</x:f>
        <x:v>24000</x:v>
      </x:c>
      <x:c r="AJ8" s="32" t="n">
        <x:f>'Assumptions'!$E$11*(1+'Assumptions'!$E$12)^(AJ$6-1)*INDEX('Assumptions'!$E$34:$E$45,MOD(AJ$6-1,12)+1)*'Assumptions'!$E$29</x:f>
        <x:v>24000</x:v>
      </x:c>
      <x:c r="AK8" s="32" t="n">
        <x:f>'Assumptions'!$E$11*(1+'Assumptions'!$E$12)^(AK$6-1)*INDEX('Assumptions'!$E$34:$E$45,MOD(AK$6-1,12)+1)*'Assumptions'!$E$29</x:f>
        <x:v>24000</x:v>
      </x:c>
      <x:c r="AL8" s="32" t="n">
        <x:f>'Assumptions'!$E$11*(1+'Assumptions'!$E$12)^(AL$6-1)*INDEX('Assumptions'!$E$34:$E$45,MOD(AL$6-1,12)+1)*'Assumptions'!$E$29</x:f>
        <x:v>24000</x:v>
      </x:c>
      <x:c r="AM8" s="32" t="n">
        <x:f>'Assumptions'!$E$11*(1+'Assumptions'!$E$12)^(AM$6-1)*INDEX('Assumptions'!$E$34:$E$45,MOD(AM$6-1,12)+1)*'Assumptions'!$E$29</x:f>
        <x:v>24000</x:v>
      </x:c>
      <x:c r="AN8" s="32" t="n">
        <x:f>'Assumptions'!$E$11*(1+'Assumptions'!$E$12)^(AN$6-1)*INDEX('Assumptions'!$E$34:$E$45,MOD(AN$6-1,12)+1)*'Assumptions'!$E$29</x:f>
        <x:v>24000</x:v>
      </x:c>
      <x:c r="AO8" s="32" t="n">
        <x:f>'Assumptions'!$E$11*(1+'Assumptions'!$E$12)^(AO$6-1)*INDEX('Assumptions'!$E$34:$E$45,MOD(AO$6-1,12)+1)*'Assumptions'!$E$29</x:f>
        <x:v>24000</x:v>
      </x:c>
      <x:c r="AP8" s="32" t="n">
        <x:f>'Assumptions'!$E$11*(1+'Assumptions'!$E$12)^(AP$6-1)*INDEX('Assumptions'!$E$34:$E$45,MOD(AP$6-1,12)+1)*'Assumptions'!$E$29</x:f>
        <x:v>24000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'Assumptions'!$E$13</x:f>
        <x:v>0.3</x:v>
      </x:c>
      <x:c r="H9" s="33" t="n">
        <x:f>'Assumptions'!$E$13</x:f>
        <x:v>0.3</x:v>
      </x:c>
      <x:c r="I9" s="33" t="n">
        <x:f>'Assumptions'!$E$13</x:f>
        <x:v>0.3</x:v>
      </x:c>
      <x:c r="J9" s="33" t="n">
        <x:f>'Assumptions'!$E$13</x:f>
        <x:v>0.3</x:v>
      </x:c>
      <x:c r="K9" s="33" t="n">
        <x:f>'Assumptions'!$E$13</x:f>
        <x:v>0.3</x:v>
      </x:c>
      <x:c r="L9" s="33" t="n">
        <x:f>'Assumptions'!$E$13</x:f>
        <x:v>0.3</x:v>
      </x:c>
      <x:c r="M9" s="33" t="n">
        <x:f>'Assumptions'!$E$13</x:f>
        <x:v>0.3</x:v>
      </x:c>
      <x:c r="N9" s="33" t="n">
        <x:f>'Assumptions'!$E$13</x:f>
        <x:v>0.3</x:v>
      </x:c>
      <x:c r="O9" s="33" t="n">
        <x:f>'Assumptions'!$E$13</x:f>
        <x:v>0.3</x:v>
      </x:c>
      <x:c r="P9" s="33" t="n">
        <x:f>'Assumptions'!$E$13</x:f>
        <x:v>0.3</x:v>
      </x:c>
      <x:c r="Q9" s="33" t="n">
        <x:f>'Assumptions'!$E$13</x:f>
        <x:v>0.3</x:v>
      </x:c>
      <x:c r="R9" s="33" t="n">
        <x:f>'Assumptions'!$E$13</x:f>
        <x:v>0.3</x:v>
      </x:c>
      <x:c r="S9" s="33" t="n">
        <x:f>'Assumptions'!$E$13</x:f>
        <x:v>0.3</x:v>
      </x:c>
      <x:c r="T9" s="33" t="n">
        <x:f>'Assumptions'!$E$13</x:f>
        <x:v>0.3</x:v>
      </x:c>
      <x:c r="U9" s="33" t="n">
        <x:f>'Assumptions'!$E$13</x:f>
        <x:v>0.3</x:v>
      </x:c>
      <x:c r="V9" s="33" t="n">
        <x:f>'Assumptions'!$E$13</x:f>
        <x:v>0.3</x:v>
      </x:c>
      <x:c r="W9" s="33" t="n">
        <x:f>'Assumptions'!$E$13</x:f>
        <x:v>0.3</x:v>
      </x:c>
      <x:c r="X9" s="33" t="n">
        <x:f>'Assumptions'!$E$13</x:f>
        <x:v>0.3</x:v>
      </x:c>
      <x:c r="Y9" s="33" t="n">
        <x:f>'Assumptions'!$E$13</x:f>
        <x:v>0.3</x:v>
      </x:c>
      <x:c r="Z9" s="33" t="n">
        <x:f>'Assumptions'!$E$13</x:f>
        <x:v>0.3</x:v>
      </x:c>
      <x:c r="AA9" s="33" t="n">
        <x:f>'Assumptions'!$E$13</x:f>
        <x:v>0.3</x:v>
      </x:c>
      <x:c r="AB9" s="33" t="n">
        <x:f>'Assumptions'!$E$13</x:f>
        <x:v>0.3</x:v>
      </x:c>
      <x:c r="AC9" s="33" t="n">
        <x:f>'Assumptions'!$E$13</x:f>
        <x:v>0.3</x:v>
      </x:c>
      <x:c r="AD9" s="33" t="n">
        <x:f>'Assumptions'!$E$13</x:f>
        <x:v>0.3</x:v>
      </x:c>
      <x:c r="AE9" s="33" t="n">
        <x:f>'Assumptions'!$E$13</x:f>
        <x:v>0.3</x:v>
      </x:c>
      <x:c r="AF9" s="33" t="n">
        <x:f>'Assumptions'!$E$13</x:f>
        <x:v>0.3</x:v>
      </x:c>
      <x:c r="AG9" s="33" t="n">
        <x:f>'Assumptions'!$E$13</x:f>
        <x:v>0.3</x:v>
      </x:c>
      <x:c r="AH9" s="33" t="n">
        <x:f>'Assumptions'!$E$13</x:f>
        <x:v>0.3</x:v>
      </x:c>
      <x:c r="AI9" s="33" t="n">
        <x:f>'Assumptions'!$E$13</x:f>
        <x:v>0.3</x:v>
      </x:c>
      <x:c r="AJ9" s="33" t="n">
        <x:f>'Assumptions'!$E$13</x:f>
        <x:v>0.3</x:v>
      </x:c>
      <x:c r="AK9" s="33" t="n">
        <x:f>'Assumptions'!$E$13</x:f>
        <x:v>0.3</x:v>
      </x:c>
      <x:c r="AL9" s="33" t="n">
        <x:f>'Assumptions'!$E$13</x:f>
        <x:v>0.3</x:v>
      </x:c>
      <x:c r="AM9" s="33" t="n">
        <x:f>'Assumptions'!$E$13</x:f>
        <x:v>0.3</x:v>
      </x:c>
      <x:c r="AN9" s="33" t="n">
        <x:f>'Assumptions'!$E$13</x:f>
        <x:v>0.3</x:v>
      </x:c>
      <x:c r="AO9" s="33" t="n">
        <x:f>'Assumptions'!$E$13</x:f>
        <x:v>0.3</x:v>
      </x:c>
      <x:c r="AP9" s="33" t="n">
        <x:f>'Assumptions'!$E$13</x:f>
        <x:v>0.3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'Assumptions'!$E$14</x:f>
        <x:v>1500</x:v>
      </x:c>
      <x:c r="H10" s="34" t="n">
        <x:f>'Assumptions'!$E$14</x:f>
        <x:v>1500</x:v>
      </x:c>
      <x:c r="I10" s="34" t="n">
        <x:f>'Assumptions'!$E$14</x:f>
        <x:v>1500</x:v>
      </x:c>
      <x:c r="J10" s="34" t="n">
        <x:f>'Assumptions'!$E$14</x:f>
        <x:v>1500</x:v>
      </x:c>
      <x:c r="K10" s="34" t="n">
        <x:f>'Assumptions'!$E$14</x:f>
        <x:v>1500</x:v>
      </x:c>
      <x:c r="L10" s="34" t="n">
        <x:f>'Assumptions'!$E$14</x:f>
        <x:v>1500</x:v>
      </x:c>
      <x:c r="M10" s="34" t="n">
        <x:f>'Assumptions'!$E$14</x:f>
        <x:v>1500</x:v>
      </x:c>
      <x:c r="N10" s="34" t="n">
        <x:f>'Assumptions'!$E$14</x:f>
        <x:v>1500</x:v>
      </x:c>
      <x:c r="O10" s="34" t="n">
        <x:f>'Assumptions'!$E$14</x:f>
        <x:v>1500</x:v>
      </x:c>
      <x:c r="P10" s="34" t="n">
        <x:f>'Assumptions'!$E$14</x:f>
        <x:v>1500</x:v>
      </x:c>
      <x:c r="Q10" s="34" t="n">
        <x:f>'Assumptions'!$E$14</x:f>
        <x:v>1500</x:v>
      </x:c>
      <x:c r="R10" s="34" t="n">
        <x:f>'Assumptions'!$E$14</x:f>
        <x:v>1500</x:v>
      </x:c>
      <x:c r="S10" s="34" t="n">
        <x:f>'Assumptions'!$E$14</x:f>
        <x:v>1500</x:v>
      </x:c>
      <x:c r="T10" s="34" t="n">
        <x:f>'Assumptions'!$E$14</x:f>
        <x:v>1500</x:v>
      </x:c>
      <x:c r="U10" s="34" t="n">
        <x:f>'Assumptions'!$E$14</x:f>
        <x:v>1500</x:v>
      </x:c>
      <x:c r="V10" s="34" t="n">
        <x:f>'Assumptions'!$E$14</x:f>
        <x:v>1500</x:v>
      </x:c>
      <x:c r="W10" s="34" t="n">
        <x:f>'Assumptions'!$E$14</x:f>
        <x:v>1500</x:v>
      </x:c>
      <x:c r="X10" s="34" t="n">
        <x:f>'Assumptions'!$E$14</x:f>
        <x:v>1500</x:v>
      </x:c>
      <x:c r="Y10" s="34" t="n">
        <x:f>'Assumptions'!$E$14</x:f>
        <x:v>1500</x:v>
      </x:c>
      <x:c r="Z10" s="34" t="n">
        <x:f>'Assumptions'!$E$14</x:f>
        <x:v>1500</x:v>
      </x:c>
      <x:c r="AA10" s="34" t="n">
        <x:f>'Assumptions'!$E$14</x:f>
        <x:v>1500</x:v>
      </x:c>
      <x:c r="AB10" s="34" t="n">
        <x:f>'Assumptions'!$E$14</x:f>
        <x:v>1500</x:v>
      </x:c>
      <x:c r="AC10" s="34" t="n">
        <x:f>'Assumptions'!$E$14</x:f>
        <x:v>1500</x:v>
      </x:c>
      <x:c r="AD10" s="34" t="n">
        <x:f>'Assumptions'!$E$14</x:f>
        <x:v>1500</x:v>
      </x:c>
      <x:c r="AE10" s="34" t="n">
        <x:f>'Assumptions'!$E$14</x:f>
        <x:v>1500</x:v>
      </x:c>
      <x:c r="AF10" s="34" t="n">
        <x:f>'Assumptions'!$E$14</x:f>
        <x:v>1500</x:v>
      </x:c>
      <x:c r="AG10" s="34" t="n">
        <x:f>'Assumptions'!$E$14</x:f>
        <x:v>1500</x:v>
      </x:c>
      <x:c r="AH10" s="34" t="n">
        <x:f>'Assumptions'!$E$14</x:f>
        <x:v>1500</x:v>
      </x:c>
      <x:c r="AI10" s="34" t="n">
        <x:f>'Assumptions'!$E$14</x:f>
        <x:v>1500</x:v>
      </x:c>
      <x:c r="AJ10" s="34" t="n">
        <x:f>'Assumptions'!$E$14</x:f>
        <x:v>1500</x:v>
      </x:c>
      <x:c r="AK10" s="34" t="n">
        <x:f>'Assumptions'!$E$14</x:f>
        <x:v>1500</x:v>
      </x:c>
      <x:c r="AL10" s="34" t="n">
        <x:f>'Assumptions'!$E$14</x:f>
        <x:v>1500</x:v>
      </x:c>
      <x:c r="AM10" s="34" t="n">
        <x:f>'Assumptions'!$E$14</x:f>
        <x:v>1500</x:v>
      </x:c>
      <x:c r="AN10" s="34" t="n">
        <x:f>'Assumptions'!$E$14</x:f>
        <x:v>1500</x:v>
      </x:c>
      <x:c r="AO10" s="34" t="n">
        <x:f>'Assumptions'!$E$14</x:f>
        <x:v>1500</x:v>
      </x:c>
      <x:c r="AP10" s="34" t="n">
        <x:f>'Assumptions'!$E$14</x:f>
        <x:v>1500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259200000</x:v>
      </x:c>
      <x:c r="F11" s="42"/>
      <x:c r="G11" s="43" t="n">
        <x:f>G8*G9*G10</x:f>
        <x:v>10800000</x:v>
      </x:c>
      <x:c r="H11" s="43" t="n">
        <x:f>H8*H9*H10</x:f>
        <x:v>10800000</x:v>
      </x:c>
      <x:c r="I11" s="43" t="n">
        <x:f>I8*I9*I10</x:f>
        <x:v>10800000</x:v>
      </x:c>
      <x:c r="J11" s="43" t="n">
        <x:f>J8*J9*J10</x:f>
        <x:v>10800000</x:v>
      </x:c>
      <x:c r="K11" s="43" t="n">
        <x:f>K8*K9*K10</x:f>
        <x:v>10800000</x:v>
      </x:c>
      <x:c r="L11" s="43" t="n">
        <x:f>L8*L9*L10</x:f>
        <x:v>10800000</x:v>
      </x:c>
      <x:c r="M11" s="43" t="n">
        <x:f>M8*M9*M10</x:f>
        <x:v>10800000</x:v>
      </x:c>
      <x:c r="N11" s="43" t="n">
        <x:f>N8*N9*N10</x:f>
        <x:v>10800000</x:v>
      </x:c>
      <x:c r="O11" s="43" t="n">
        <x:f>O8*O9*O10</x:f>
        <x:v>10800000</x:v>
      </x:c>
      <x:c r="P11" s="43" t="n">
        <x:f>P8*P9*P10</x:f>
        <x:v>10800000</x:v>
      </x:c>
      <x:c r="Q11" s="43" t="n">
        <x:f>Q8*Q9*Q10</x:f>
        <x:v>10800000</x:v>
      </x:c>
      <x:c r="R11" s="43" t="n">
        <x:f>R8*R9*R10</x:f>
        <x:v>10800000</x:v>
      </x:c>
      <x:c r="S11" s="43" t="n">
        <x:f>S8*S9*S10</x:f>
        <x:v>10800000</x:v>
      </x:c>
      <x:c r="T11" s="43" t="n">
        <x:f>T8*T9*T10</x:f>
        <x:v>10800000</x:v>
      </x:c>
      <x:c r="U11" s="43" t="n">
        <x:f>U8*U9*U10</x:f>
        <x:v>10800000</x:v>
      </x:c>
      <x:c r="V11" s="43" t="n">
        <x:f>V8*V9*V10</x:f>
        <x:v>10800000</x:v>
      </x:c>
      <x:c r="W11" s="43" t="n">
        <x:f>W8*W9*W10</x:f>
        <x:v>10800000</x:v>
      </x:c>
      <x:c r="X11" s="43" t="n">
        <x:f>X8*X9*X10</x:f>
        <x:v>10800000</x:v>
      </x:c>
      <x:c r="Y11" s="43" t="n">
        <x:f>Y8*Y9*Y10</x:f>
        <x:v>10800000</x:v>
      </x:c>
      <x:c r="Z11" s="43" t="n">
        <x:f>Z8*Z9*Z10</x:f>
        <x:v>10800000</x:v>
      </x:c>
      <x:c r="AA11" s="43" t="n">
        <x:f>AA8*AA9*AA10</x:f>
        <x:v>10800000</x:v>
      </x:c>
      <x:c r="AB11" s="43" t="n">
        <x:f>AB8*AB9*AB10</x:f>
        <x:v>10800000</x:v>
      </x:c>
      <x:c r="AC11" s="43" t="n">
        <x:f>AC8*AC9*AC10</x:f>
        <x:v>10800000</x:v>
      </x:c>
      <x:c r="AD11" s="43" t="n">
        <x:f>AD8*AD9*AD10</x:f>
        <x:v>10800000</x:v>
      </x:c>
      <x:c r="AE11" s="43" t="n">
        <x:f>AE8*AE9*AE10</x:f>
        <x:v>10800000</x:v>
      </x:c>
      <x:c r="AF11" s="43" t="n">
        <x:f>AF8*AF9*AF10</x:f>
        <x:v>10800000</x:v>
      </x:c>
      <x:c r="AG11" s="43" t="n">
        <x:f>AG8*AG9*AG10</x:f>
        <x:v>10800000</x:v>
      </x:c>
      <x:c r="AH11" s="43" t="n">
        <x:f>AH8*AH9*AH10</x:f>
        <x:v>10800000</x:v>
      </x:c>
      <x:c r="AI11" s="43" t="n">
        <x:f>AI8*AI9*AI10</x:f>
        <x:v>10800000</x:v>
      </x:c>
      <x:c r="AJ11" s="43" t="n">
        <x:f>AJ8*AJ9*AJ10</x:f>
        <x:v>10800000</x:v>
      </x:c>
      <x:c r="AK11" s="43" t="n">
        <x:f>AK8*AK9*AK10</x:f>
        <x:v>10800000</x:v>
      </x:c>
      <x:c r="AL11" s="43" t="n">
        <x:f>AL8*AL9*AL10</x:f>
        <x:v>10800000</x:v>
      </x:c>
      <x:c r="AM11" s="43" t="n">
        <x:f>AM8*AM9*AM10</x:f>
        <x:v>10800000</x:v>
      </x:c>
      <x:c r="AN11" s="43" t="n">
        <x:f>AN8*AN9*AN10</x:f>
        <x:v>10800000</x:v>
      </x:c>
      <x:c r="AO11" s="43" t="n">
        <x:f>AO8*AO9*AO10</x:f>
        <x:v>10800000</x:v>
      </x:c>
      <x:c r="AP11" s="43" t="n">
        <x:f>AP8*AP9*AP10</x:f>
        <x:v>10800000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204480000</x:v>
      </x:c>
      <x:c r="F13" s="2"/>
      <x:c r="G13" s="35" t="n">
        <x:f>$E$44</x:f>
        <x:v>204480000</x:v>
      </x:c>
      <x:c r="H13" s="35" t="n">
        <x:f>G16</x:f>
        <x:v>118940482.62911195</x:v>
      </x:c>
      <x:c r="I13" s="35" t="n">
        <x:f>H16</x:f>
        <x:v>77424328.70795931</x:v>
      </x:c>
      <x:c r="J13" s="35" t="n">
        <x:f>I16</x:f>
        <x:v>55397305.21810193</x:v>
      </x:c>
      <x:c r="K13" s="35" t="n">
        <x:f>J16</x:f>
        <x:v>43597026.70267554</x:v>
      </x:c>
      <x:c r="L13" s="35" t="n">
        <x:f>K16</x:f>
        <x:v>37404358.8798667</x:v>
      </x:c>
      <x:c r="M13" s="35" t="n">
        <x:f>L16</x:f>
        <x:v>34300811.29751723</x:v>
      </x:c>
      <x:c r="N13" s="35" t="n">
        <x:f>M16</x:f>
        <x:v>32868291.210574146</x:v>
      </x:c>
      <x:c r="O13" s="35" t="n">
        <x:f>N16</x:f>
        <x:v>32297605.446619686</x:v>
      </x:c>
      <x:c r="P13" s="35" t="n">
        <x:f>O16</x:f>
        <x:v>32137802.317604594</x:v>
      </x:c>
      <x:c r="Q13" s="35" t="n">
        <x:f>P16</x:f>
        <x:v>32137802.317604598</x:v>
      </x:c>
      <x:c r="R13" s="35" t="n">
        <x:f>Q16</x:f>
        <x:v>32137802.317604598</x:v>
      </x:c>
      <x:c r="S13" s="35" t="n">
        <x:f>R16</x:f>
        <x:v>32137802.317604598</x:v>
      </x:c>
      <x:c r="T13" s="35" t="n">
        <x:f>S16</x:f>
        <x:v>32137802.317604598</x:v>
      </x:c>
      <x:c r="U13" s="35" t="n">
        <x:f>T16</x:f>
        <x:v>32137802.317604598</x:v>
      </x:c>
      <x:c r="V13" s="35" t="n">
        <x:f>U16</x:f>
        <x:v>32137802.317604598</x:v>
      </x:c>
      <x:c r="W13" s="35" t="n">
        <x:f>V16</x:f>
        <x:v>32137802.317604598</x:v>
      </x:c>
      <x:c r="X13" s="35" t="n">
        <x:f>W16</x:f>
        <x:v>32137802.317604598</x:v>
      </x:c>
      <x:c r="Y13" s="35" t="n">
        <x:f>X16</x:f>
        <x:v>32137802.317604598</x:v>
      </x:c>
      <x:c r="Z13" s="35" t="n">
        <x:f>Y16</x:f>
        <x:v>32137802.317604598</x:v>
      </x:c>
      <x:c r="AA13" s="35" t="n">
        <x:f>Z16</x:f>
        <x:v>32137802.317604598</x:v>
      </x:c>
      <x:c r="AB13" s="35" t="n">
        <x:f>AA16</x:f>
        <x:v>32137802.317604598</x:v>
      </x:c>
      <x:c r="AC13" s="35" t="n">
        <x:f>AB16</x:f>
        <x:v>32137802.317604598</x:v>
      </x:c>
      <x:c r="AD13" s="35" t="n">
        <x:f>AC16</x:f>
        <x:v>32137802.317604598</x:v>
      </x:c>
      <x:c r="AE13" s="35" t="n">
        <x:f>AD16</x:f>
        <x:v>32137802.317604598</x:v>
      </x:c>
      <x:c r="AF13" s="35" t="n">
        <x:f>AE16</x:f>
        <x:v>32137802.317604598</x:v>
      </x:c>
      <x:c r="AG13" s="35" t="n">
        <x:f>AF16</x:f>
        <x:v>32137802.317604598</x:v>
      </x:c>
      <x:c r="AH13" s="35" t="n">
        <x:f>AG16</x:f>
        <x:v>32137802.317604598</x:v>
      </x:c>
      <x:c r="AI13" s="35" t="n">
        <x:f>AH16</x:f>
        <x:v>32137802.317604598</x:v>
      </x:c>
      <x:c r="AJ13" s="35" t="n">
        <x:f>AI16</x:f>
        <x:v>32137802.317604598</x:v>
      </x:c>
      <x:c r="AK13" s="35" t="n">
        <x:f>AJ16</x:f>
        <x:v>32137802.317604598</x:v>
      </x:c>
      <x:c r="AL13" s="35" t="n">
        <x:f>AK16</x:f>
        <x:v>32137802.317604598</x:v>
      </x:c>
      <x:c r="AM13" s="35" t="n">
        <x:f>AL16</x:f>
        <x:v>32137802.317604598</x:v>
      </x:c>
      <x:c r="AN13" s="35" t="n">
        <x:f>AM16</x:f>
        <x:v>32137802.317604598</x:v>
      </x:c>
      <x:c r="AO13" s="35" t="n">
        <x:f>AN16</x:f>
        <x:v>32137802.317604598</x:v>
      </x:c>
      <x:c r="AP13" s="35" t="n">
        <x:f>AO16</x:f>
        <x:v>32137802.317604598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354032251.64193004</x:v>
      </x:c>
      <x:c r="F14" s="2"/>
      <x:c r="G14" s="35" t="n">
        <x:f>SUM(G29:G30)</x:f>
        <x:v>77806437.67298885</x:v>
      </x:c>
      <x:c r="H14" s="35" t="n">
        <x:f>SUM(H29:H30)</x:f>
        <x:v>42496956.543571256</x:v>
      </x:c>
      <x:c r="I14" s="35" t="n">
        <x:f>SUM(I29:I30)</x:f>
        <x:v>26747571.16595096</x:v>
      </x:c>
      <x:c r="J14" s="35" t="n">
        <x:f>SUM(J29:J30)</x:f>
        <x:v>18464757.764716346</x:v>
      </x:c>
      <x:c r="K14" s="35" t="n">
        <x:f>SUM(K29:K30)</x:f>
        <x:v>13934999.930254694</x:v>
      </x:c>
      <x:c r="L14" s="35" t="n">
        <x:f>SUM(L29:L30)</x:f>
        <x:v>11449048.981598552</x:v>
      </x:c>
      <x:c r="M14" s="35" t="n">
        <x:f>SUM(M29:M30)</x:f>
        <x:v>10103151.353159854</x:v>
      </x:c>
      <x:c r="N14" s="35" t="n">
        <x:f>SUM(N29:N30)</x:f>
        <x:v>9413455.44213034</x:v>
      </x:c>
      <x:c r="O14" s="35" t="n">
        <x:f>SUM(O29:O30)</x:f>
        <x:v>9091612.001601372</x:v>
      </x:c>
      <x:c r="P14" s="35" t="n">
        <x:f>SUM(P29:P30)</x:f>
        <x:v>8968284.052397188</x:v>
      </x:c>
      <x:c r="Q14" s="35" t="n">
        <x:f>SUM(Q29:Q30)</x:f>
        <x:v>8968284.052397188</x:v>
      </x:c>
      <x:c r="R14" s="35" t="n">
        <x:f>SUM(R29:R30)</x:f>
        <x:v>8968284.052397188</x:v>
      </x:c>
      <x:c r="S14" s="35" t="n">
        <x:f>SUM(S29:S30)</x:f>
        <x:v>8968284.052397188</x:v>
      </x:c>
      <x:c r="T14" s="35" t="n">
        <x:f>SUM(T29:T30)</x:f>
        <x:v>8968284.052397188</x:v>
      </x:c>
      <x:c r="U14" s="35" t="n">
        <x:f>SUM(U29:U30)</x:f>
        <x:v>8968284.052397188</x:v>
      </x:c>
      <x:c r="V14" s="35" t="n">
        <x:f>SUM(V29:V30)</x:f>
        <x:v>8968284.052397188</x:v>
      </x:c>
      <x:c r="W14" s="35" t="n">
        <x:f>SUM(W29:W30)</x:f>
        <x:v>8968284.052397188</x:v>
      </x:c>
      <x:c r="X14" s="35" t="n">
        <x:f>SUM(X29:X30)</x:f>
        <x:v>8968284.052397188</x:v>
      </x:c>
      <x:c r="Y14" s="35" t="n">
        <x:f>SUM(Y29:Y30)</x:f>
        <x:v>8968284.052397188</x:v>
      </x:c>
      <x:c r="Z14" s="35" t="n">
        <x:f>SUM(Z29:Z30)</x:f>
        <x:v>8968284.052397188</x:v>
      </x:c>
      <x:c r="AA14" s="35" t="n">
        <x:f>SUM(AA29:AA30)</x:f>
        <x:v>8968284.052397188</x:v>
      </x:c>
      <x:c r="AB14" s="35" t="n">
        <x:f>SUM(AB29:AB30)</x:f>
        <x:v>8968284.052397188</x:v>
      </x:c>
      <x:c r="AC14" s="35" t="n">
        <x:f>SUM(AC29:AC30)</x:f>
        <x:v>8968284.052397188</x:v>
      </x:c>
      <x:c r="AD14" s="35" t="n">
        <x:f>SUM(AD29:AD30)</x:f>
        <x:v>8968284.052397188</x:v>
      </x:c>
      <x:c r="AE14" s="35" t="n">
        <x:f>SUM(AE29:AE30)</x:f>
        <x:v>8968284.052397188</x:v>
      </x:c>
      <x:c r="AF14" s="35" t="n">
        <x:f>SUM(AF29:AF30)</x:f>
        <x:v>8968284.052397188</x:v>
      </x:c>
      <x:c r="AG14" s="35" t="n">
        <x:f>SUM(AG29:AG30)</x:f>
        <x:v>8968284.052397188</x:v>
      </x:c>
      <x:c r="AH14" s="35" t="n">
        <x:f>SUM(AH29:AH30)</x:f>
        <x:v>8968284.052397188</x:v>
      </x:c>
      <x:c r="AI14" s="35" t="n">
        <x:f>SUM(AI29:AI30)</x:f>
        <x:v>8968284.052397188</x:v>
      </x:c>
      <x:c r="AJ14" s="35" t="n">
        <x:f>SUM(AJ29:AJ30)</x:f>
        <x:v>8968284.052397188</x:v>
      </x:c>
      <x:c r="AK14" s="35" t="n">
        <x:f>SUM(AK29:AK30)</x:f>
        <x:v>8968284.052397188</x:v>
      </x:c>
      <x:c r="AL14" s="35" t="n">
        <x:f>SUM(AL29:AL30)</x:f>
        <x:v>8968284.052397188</x:v>
      </x:c>
      <x:c r="AM14" s="35" t="n">
        <x:f>SUM(AM29:AM30)</x:f>
        <x:v>8968284.052397188</x:v>
      </x:c>
      <x:c r="AN14" s="35" t="n">
        <x:f>SUM(AN29:AN30)</x:f>
        <x:v>8968284.052397188</x:v>
      </x:c>
      <x:c r="AO14" s="35" t="n">
        <x:f>SUM(AO29:AO30)</x:f>
        <x:v>8968284.052397188</x:v>
      </x:c>
      <x:c r="AP14" s="35" t="n">
        <x:f>SUM(AP29:AP30)</x:f>
        <x:v>8968284.052397188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77509946.04046534</x:v>
      </x:c>
      <x:c r="F15" s="2"/>
      <x:c r="G15" s="35" t="n">
        <x:f>SUM(G27:G28)</x:f>
        <x:v>18533079.69789923</x:v>
      </x:c>
      <x:c r="H15" s="35" t="n">
        <x:f>SUM(H27:H28)</x:f>
        <x:v>9819197.377581373</x:v>
      </x:c>
      <x:c r="I15" s="35" t="n">
        <x:f>SUM(I27:I28)</x:f>
        <x:v>6079452.323906417</x:v>
      </x:c>
      <x:c r="J15" s="35" t="n">
        <x:f>SUM(J27:J28)</x:f>
        <x:v>4135520.750710055</x:v>
      </x:c>
      <x:c r="K15" s="35" t="n">
        <x:f>SUM(K27:K28)</x:f>
        <x:v>3057667.892554145</x:v>
      </x:c>
      <x:c r="L15" s="35" t="n">
        <x:f>SUM(L27:L28)</x:f>
        <x:v>2454498.6007509143</x:v>
      </x:c>
      <x:c r="M15" s="35" t="n">
        <x:f>SUM(M27:M28)</x:f>
        <x:v>2129368.7337832344</x:v>
      </x:c>
      <x:c r="N15" s="35" t="n">
        <x:f>SUM(N27:N28)</x:f>
        <x:v>1957230.321824122</x:v>
      </x:c>
      <x:c r="O15" s="35" t="n">
        <x:f>SUM(O27:O28)</x:f>
        <x:v>1868191.1274137266</x:v>
      </x:c>
      <x:c r="P15" s="35" t="n">
        <x:f>SUM(P27:P28)</x:f>
        <x:v>1831715.9476028115</x:v>
      </x:c>
      <x:c r="Q15" s="35" t="n">
        <x:f>SUM(Q27:Q28)</x:f>
        <x:v>1831715.9476028115</x:v>
      </x:c>
      <x:c r="R15" s="35" t="n">
        <x:f>SUM(R27:R28)</x:f>
        <x:v>1831715.9476028115</x:v>
      </x:c>
      <x:c r="S15" s="35" t="n">
        <x:f>SUM(S27:S28)</x:f>
        <x:v>1831715.9476028115</x:v>
      </x:c>
      <x:c r="T15" s="35" t="n">
        <x:f>SUM(T27:T28)</x:f>
        <x:v>1831715.9476028115</x:v>
      </x:c>
      <x:c r="U15" s="35" t="n">
        <x:f>SUM(U27:U28)</x:f>
        <x:v>1831715.9476028115</x:v>
      </x:c>
      <x:c r="V15" s="35" t="n">
        <x:f>SUM(V27:V28)</x:f>
        <x:v>1831715.9476028115</x:v>
      </x:c>
      <x:c r="W15" s="35" t="n">
        <x:f>SUM(W27:W28)</x:f>
        <x:v>1831715.9476028115</x:v>
      </x:c>
      <x:c r="X15" s="35" t="n">
        <x:f>SUM(X27:X28)</x:f>
        <x:v>1831715.9476028115</x:v>
      </x:c>
      <x:c r="Y15" s="35" t="n">
        <x:f>SUM(Y27:Y28)</x:f>
        <x:v>1831715.9476028115</x:v>
      </x:c>
      <x:c r="Z15" s="35" t="n">
        <x:f>SUM(Z27:Z28)</x:f>
        <x:v>1831715.9476028115</x:v>
      </x:c>
      <x:c r="AA15" s="35" t="n">
        <x:f>SUM(AA27:AA28)</x:f>
        <x:v>1831715.9476028115</x:v>
      </x:c>
      <x:c r="AB15" s="35" t="n">
        <x:f>SUM(AB27:AB28)</x:f>
        <x:v>1831715.9476028115</x:v>
      </x:c>
      <x:c r="AC15" s="35" t="n">
        <x:f>SUM(AC27:AC28)</x:f>
        <x:v>1831715.9476028115</x:v>
      </x:c>
      <x:c r="AD15" s="35" t="n">
        <x:f>SUM(AD27:AD28)</x:f>
        <x:v>1831715.9476028115</x:v>
      </x:c>
      <x:c r="AE15" s="35" t="n">
        <x:f>SUM(AE27:AE28)</x:f>
        <x:v>1831715.9476028115</x:v>
      </x:c>
      <x:c r="AF15" s="35" t="n">
        <x:f>SUM(AF27:AF28)</x:f>
        <x:v>1831715.9476028115</x:v>
      </x:c>
      <x:c r="AG15" s="35" t="n">
        <x:f>SUM(AG27:AG28)</x:f>
        <x:v>1831715.9476028115</x:v>
      </x:c>
      <x:c r="AH15" s="35" t="n">
        <x:f>SUM(AH27:AH28)</x:f>
        <x:v>1831715.9476028115</x:v>
      </x:c>
      <x:c r="AI15" s="35" t="n">
        <x:f>SUM(AI27:AI28)</x:f>
        <x:v>1831715.9476028115</x:v>
      </x:c>
      <x:c r="AJ15" s="35" t="n">
        <x:f>SUM(AJ27:AJ28)</x:f>
        <x:v>1831715.9476028115</x:v>
      </x:c>
      <x:c r="AK15" s="35" t="n">
        <x:f>SUM(AK27:AK28)</x:f>
        <x:v>1831715.9476028115</x:v>
      </x:c>
      <x:c r="AL15" s="35" t="n">
        <x:f>SUM(AL27:AL28)</x:f>
        <x:v>1831715.9476028115</x:v>
      </x:c>
      <x:c r="AM15" s="35" t="n">
        <x:f>SUM(AM27:AM28)</x:f>
        <x:v>1831715.9476028115</x:v>
      </x:c>
      <x:c r="AN15" s="35" t="n">
        <x:f>SUM(AN27:AN28)</x:f>
        <x:v>1831715.9476028115</x:v>
      </x:c>
      <x:c r="AO15" s="35" t="n">
        <x:f>SUM(AO27:AO28)</x:f>
        <x:v>1831715.9476028115</x:v>
      </x:c>
      <x:c r="AP15" s="35" t="n">
        <x:f>SUM(AP27:AP28)</x:f>
        <x:v>1831715.9476028115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32137802.317604598</x:v>
      </x:c>
      <x:c r="F16" s="42"/>
      <x:c r="G16" s="43" t="n">
        <x:f>G13+G11-G14-G15</x:f>
        <x:v>118940482.62911195</x:v>
      </x:c>
      <x:c r="H16" s="43" t="n">
        <x:f>H13+H11-H14-H15</x:f>
        <x:v>77424328.70795931</x:v>
      </x:c>
      <x:c r="I16" s="43" t="n">
        <x:f>I13+I11-I14-I15</x:f>
        <x:v>55397305.21810193</x:v>
      </x:c>
      <x:c r="J16" s="43" t="n">
        <x:f>J13+J11-J14-J15</x:f>
        <x:v>43597026.70267554</x:v>
      </x:c>
      <x:c r="K16" s="43" t="n">
        <x:f>K13+K11-K14-K15</x:f>
        <x:v>37404358.8798667</x:v>
      </x:c>
      <x:c r="L16" s="43" t="n">
        <x:f>L13+L11-L14-L15</x:f>
        <x:v>34300811.29751723</x:v>
      </x:c>
      <x:c r="M16" s="43" t="n">
        <x:f>M13+M11-M14-M15</x:f>
        <x:v>32868291.210574146</x:v>
      </x:c>
      <x:c r="N16" s="43" t="n">
        <x:f>N13+N11-N14-N15</x:f>
        <x:v>32297605.446619686</x:v>
      </x:c>
      <x:c r="O16" s="43" t="n">
        <x:f>O13+O11-O14-O15</x:f>
        <x:v>32137802.317604594</x:v>
      </x:c>
      <x:c r="P16" s="43" t="n">
        <x:f>P13+P11-P14-P15</x:f>
        <x:v>32137802.317604598</x:v>
      </x:c>
      <x:c r="Q16" s="43" t="n">
        <x:f>Q13+Q11-Q14-Q15</x:f>
        <x:v>32137802.317604598</x:v>
      </x:c>
      <x:c r="R16" s="43" t="n">
        <x:f>R13+R11-R14-R15</x:f>
        <x:v>32137802.317604598</x:v>
      </x:c>
      <x:c r="S16" s="43" t="n">
        <x:f>S13+S11-S14-S15</x:f>
        <x:v>32137802.317604598</x:v>
      </x:c>
      <x:c r="T16" s="43" t="n">
        <x:f>T13+T11-T14-T15</x:f>
        <x:v>32137802.317604598</x:v>
      </x:c>
      <x:c r="U16" s="43" t="n">
        <x:f>U13+U11-U14-U15</x:f>
        <x:v>32137802.317604598</x:v>
      </x:c>
      <x:c r="V16" s="43" t="n">
        <x:f>V13+V11-V14-V15</x:f>
        <x:v>32137802.317604598</x:v>
      </x:c>
      <x:c r="W16" s="43" t="n">
        <x:f>W13+W11-W14-W15</x:f>
        <x:v>32137802.317604598</x:v>
      </x:c>
      <x:c r="X16" s="43" t="n">
        <x:f>X13+X11-X14-X15</x:f>
        <x:v>32137802.317604598</x:v>
      </x:c>
      <x:c r="Y16" s="43" t="n">
        <x:f>Y13+Y11-Y14-Y15</x:f>
        <x:v>32137802.317604598</x:v>
      </x:c>
      <x:c r="Z16" s="43" t="n">
        <x:f>Z13+Z11-Z14-Z15</x:f>
        <x:v>32137802.317604598</x:v>
      </x:c>
      <x:c r="AA16" s="43" t="n">
        <x:f>AA13+AA11-AA14-AA15</x:f>
        <x:v>32137802.317604598</x:v>
      </x:c>
      <x:c r="AB16" s="43" t="n">
        <x:f>AB13+AB11-AB14-AB15</x:f>
        <x:v>32137802.317604598</x:v>
      </x:c>
      <x:c r="AC16" s="43" t="n">
        <x:f>AC13+AC11-AC14-AC15</x:f>
        <x:v>32137802.317604598</x:v>
      </x:c>
      <x:c r="AD16" s="43" t="n">
        <x:f>AD13+AD11-AD14-AD15</x:f>
        <x:v>32137802.317604598</x:v>
      </x:c>
      <x:c r="AE16" s="43" t="n">
        <x:f>AE13+AE11-AE14-AE15</x:f>
        <x:v>32137802.317604598</x:v>
      </x:c>
      <x:c r="AF16" s="43" t="n">
        <x:f>AF13+AF11-AF14-AF15</x:f>
        <x:v>32137802.317604598</x:v>
      </x:c>
      <x:c r="AG16" s="43" t="n">
        <x:f>AG13+AG11-AG14-AG15</x:f>
        <x:v>32137802.317604598</x:v>
      </x:c>
      <x:c r="AH16" s="43" t="n">
        <x:f>AH13+AH11-AH14-AH15</x:f>
        <x:v>32137802.317604598</x:v>
      </x:c>
      <x:c r="AI16" s="43" t="n">
        <x:f>AI13+AI11-AI14-AI15</x:f>
        <x:v>32137802.317604598</x:v>
      </x:c>
      <x:c r="AJ16" s="43" t="n">
        <x:f>AJ13+AJ11-AJ14-AJ15</x:f>
        <x:v>32137802.317604598</x:v>
      </x:c>
      <x:c r="AK16" s="43" t="n">
        <x:f>AK13+AK11-AK14-AK15</x:f>
        <x:v>32137802.317604598</x:v>
      </x:c>
      <x:c r="AL16" s="43" t="n">
        <x:f>AL13+AL11-AL14-AL15</x:f>
        <x:v>32137802.317604598</x:v>
      </x:c>
      <x:c r="AM16" s="43" t="n">
        <x:f>AM13+AM11-AM14-AM15</x:f>
        <x:v>32137802.317604598</x:v>
      </x:c>
      <x:c r="AN16" s="43" t="n">
        <x:f>AN13+AN11-AN14-AN15</x:f>
        <x:v>32137802.317604598</x:v>
      </x:c>
      <x:c r="AO16" s="43" t="n">
        <x:f>AO13+AO11-AO14-AO15</x:f>
        <x:v>32137802.317604598</x:v>
      </x:c>
      <x:c r="AP16" s="43" t="n">
        <x:f>AP13+AP11-AP14-AP15</x:f>
        <x:v>32137802.317604598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39237954.80147392</x:v>
      </x:c>
      <x:c r="F18" s="2"/>
      <x:c r="G18" s="35" t="n">
        <x:f>$E$48</x:f>
        <x:v>39237954.80147392</x:v>
      </x:c>
      <x:c r="H18" s="35" t="n">
        <x:f>G20</x:f>
        <x:v>22536591.0511775</x:v>
      </x:c>
      <x:c r="I18" s="35" t="n">
        <x:f>H20</x:f>
        <x:v>14549109.621198941</x:v>
      </x:c>
      <x:c r="J18" s="35" t="n">
        <x:f>I20</x:f>
        <x:v>10301373.244895335</x:v>
      </x:c>
      <x:c r="K18" s="35" t="n">
        <x:f>J20</x:f>
        <x:v>7997568.441788092</x:v>
      </x:c>
      <x:c r="L18" s="35" t="n">
        <x:f>K20</x:f>
        <x:v>6771616.496836759</x:v>
      </x:c>
      <x:c r="M18" s="35" t="n">
        <x:f>L20</x:f>
        <x:v>6148833.8436886575</x:v>
      </x:c>
      <x:c r="N18" s="35" t="n">
        <x:f>M20</x:f>
        <x:v>5851181.057508234</x:v>
      </x:c>
      <x:c r="O18" s="35" t="n">
        <x:f>N20</x:f>
        <x:v>5725666.683286923</x:v>
      </x:c>
      <x:c r="P18" s="35" t="n">
        <x:f>O20</x:f>
        <x:v>5689191.503476008</x:v>
      </x:c>
      <x:c r="Q18" s="35" t="n">
        <x:f>P20</x:f>
        <x:v>5689191.503476008</x:v>
      </x:c>
      <x:c r="R18" s="35" t="n">
        <x:f>Q20</x:f>
        <x:v>5689191.503476008</x:v>
      </x:c>
      <x:c r="S18" s="35" t="n">
        <x:f>R20</x:f>
        <x:v>5689191.503476008</x:v>
      </x:c>
      <x:c r="T18" s="35" t="n">
        <x:f>S20</x:f>
        <x:v>5689191.503476008</x:v>
      </x:c>
      <x:c r="U18" s="35" t="n">
        <x:f>T20</x:f>
        <x:v>5689191.503476008</x:v>
      </x:c>
      <x:c r="V18" s="35" t="n">
        <x:f>U20</x:f>
        <x:v>5689191.503476008</x:v>
      </x:c>
      <x:c r="W18" s="35" t="n">
        <x:f>V20</x:f>
        <x:v>5689191.503476008</x:v>
      </x:c>
      <x:c r="X18" s="35" t="n">
        <x:f>W20</x:f>
        <x:v>5689191.503476008</x:v>
      </x:c>
      <x:c r="Y18" s="35" t="n">
        <x:f>X20</x:f>
        <x:v>5689191.503476008</x:v>
      </x:c>
      <x:c r="Z18" s="35" t="n">
        <x:f>Y20</x:f>
        <x:v>5689191.503476008</x:v>
      </x:c>
      <x:c r="AA18" s="35" t="n">
        <x:f>Z20</x:f>
        <x:v>5689191.503476008</x:v>
      </x:c>
      <x:c r="AB18" s="35" t="n">
        <x:f>AA20</x:f>
        <x:v>5689191.503476008</x:v>
      </x:c>
      <x:c r="AC18" s="35" t="n">
        <x:f>AB20</x:f>
        <x:v>5689191.503476008</x:v>
      </x:c>
      <x:c r="AD18" s="35" t="n">
        <x:f>AC20</x:f>
        <x:v>5689191.503476008</x:v>
      </x:c>
      <x:c r="AE18" s="35" t="n">
        <x:f>AD20</x:f>
        <x:v>5689191.503476008</x:v>
      </x:c>
      <x:c r="AF18" s="35" t="n">
        <x:f>AE20</x:f>
        <x:v>5689191.503476008</x:v>
      </x:c>
      <x:c r="AG18" s="35" t="n">
        <x:f>AF20</x:f>
        <x:v>5689191.503476008</x:v>
      </x:c>
      <x:c r="AH18" s="35" t="n">
        <x:f>AG20</x:f>
        <x:v>5689191.503476008</x:v>
      </x:c>
      <x:c r="AI18" s="35" t="n">
        <x:f>AH20</x:f>
        <x:v>5689191.503476008</x:v>
      </x:c>
      <x:c r="AJ18" s="35" t="n">
        <x:f>AI20</x:f>
        <x:v>5689191.503476008</x:v>
      </x:c>
      <x:c r="AK18" s="35" t="n">
        <x:f>AJ20</x:f>
        <x:v>5689191.503476008</x:v>
      </x:c>
      <x:c r="AL18" s="35" t="n">
        <x:f>AK20</x:f>
        <x:v>5689191.503476008</x:v>
      </x:c>
      <x:c r="AM18" s="35" t="n">
        <x:f>AL20</x:f>
        <x:v>5689191.503476008</x:v>
      </x:c>
      <x:c r="AN18" s="35" t="n">
        <x:f>AM20</x:f>
        <x:v>5689191.503476008</x:v>
      </x:c>
      <x:c r="AO18" s="35" t="n">
        <x:f>AN20</x:f>
        <x:v>5689191.503476008</x:v>
      </x:c>
      <x:c r="AP18" s="35" t="n">
        <x:f>AO20</x:f>
        <x:v>5689191.503476008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43961182.74246747</x:v>
      </x:c>
      <x:c r="F19" s="2"/>
      <x:c r="G19" s="35" t="n">
        <x:f>G11*$E$49</x:f>
        <x:v>1831715.9476028113</x:v>
      </x:c>
      <x:c r="H19" s="35" t="n">
        <x:f>H11*$E$49</x:f>
        <x:v>1831715.9476028113</x:v>
      </x:c>
      <x:c r="I19" s="35" t="n">
        <x:f>I11*$E$49</x:f>
        <x:v>1831715.9476028113</x:v>
      </x:c>
      <x:c r="J19" s="35" t="n">
        <x:f>J11*$E$49</x:f>
        <x:v>1831715.9476028113</x:v>
      </x:c>
      <x:c r="K19" s="35" t="n">
        <x:f>K11*$E$49</x:f>
        <x:v>1831715.9476028113</x:v>
      </x:c>
      <x:c r="L19" s="35" t="n">
        <x:f>L11*$E$49</x:f>
        <x:v>1831715.9476028113</x:v>
      </x:c>
      <x:c r="M19" s="35" t="n">
        <x:f>M11*$E$49</x:f>
        <x:v>1831715.9476028113</x:v>
      </x:c>
      <x:c r="N19" s="35" t="n">
        <x:f>N11*$E$49</x:f>
        <x:v>1831715.9476028113</x:v>
      </x:c>
      <x:c r="O19" s="35" t="n">
        <x:f>O11*$E$49</x:f>
        <x:v>1831715.9476028113</x:v>
      </x:c>
      <x:c r="P19" s="35" t="n">
        <x:f>P11*$E$49</x:f>
        <x:v>1831715.9476028113</x:v>
      </x:c>
      <x:c r="Q19" s="35" t="n">
        <x:f>Q11*$E$49</x:f>
        <x:v>1831715.9476028113</x:v>
      </x:c>
      <x:c r="R19" s="35" t="n">
        <x:f>R11*$E$49</x:f>
        <x:v>1831715.9476028113</x:v>
      </x:c>
      <x:c r="S19" s="35" t="n">
        <x:f>S11*$E$49</x:f>
        <x:v>1831715.9476028113</x:v>
      </x:c>
      <x:c r="T19" s="35" t="n">
        <x:f>T11*$E$49</x:f>
        <x:v>1831715.9476028113</x:v>
      </x:c>
      <x:c r="U19" s="35" t="n">
        <x:f>U11*$E$49</x:f>
        <x:v>1831715.9476028113</x:v>
      </x:c>
      <x:c r="V19" s="35" t="n">
        <x:f>V11*$E$49</x:f>
        <x:v>1831715.9476028113</x:v>
      </x:c>
      <x:c r="W19" s="35" t="n">
        <x:f>W11*$E$49</x:f>
        <x:v>1831715.9476028113</x:v>
      </x:c>
      <x:c r="X19" s="35" t="n">
        <x:f>X11*$E$49</x:f>
        <x:v>1831715.9476028113</x:v>
      </x:c>
      <x:c r="Y19" s="35" t="n">
        <x:f>Y11*$E$49</x:f>
        <x:v>1831715.9476028113</x:v>
      </x:c>
      <x:c r="Z19" s="35" t="n">
        <x:f>Z11*$E$49</x:f>
        <x:v>1831715.9476028113</x:v>
      </x:c>
      <x:c r="AA19" s="35" t="n">
        <x:f>AA11*$E$49</x:f>
        <x:v>1831715.9476028113</x:v>
      </x:c>
      <x:c r="AB19" s="35" t="n">
        <x:f>AB11*$E$49</x:f>
        <x:v>1831715.9476028113</x:v>
      </x:c>
      <x:c r="AC19" s="35" t="n">
        <x:f>AC11*$E$49</x:f>
        <x:v>1831715.9476028113</x:v>
      </x:c>
      <x:c r="AD19" s="35" t="n">
        <x:f>AD11*$E$49</x:f>
        <x:v>1831715.9476028113</x:v>
      </x:c>
      <x:c r="AE19" s="35" t="n">
        <x:f>AE11*$E$49</x:f>
        <x:v>1831715.9476028113</x:v>
      </x:c>
      <x:c r="AF19" s="35" t="n">
        <x:f>AF11*$E$49</x:f>
        <x:v>1831715.9476028113</x:v>
      </x:c>
      <x:c r="AG19" s="35" t="n">
        <x:f>AG11*$E$49</x:f>
        <x:v>1831715.9476028113</x:v>
      </x:c>
      <x:c r="AH19" s="35" t="n">
        <x:f>AH11*$E$49</x:f>
        <x:v>1831715.9476028113</x:v>
      </x:c>
      <x:c r="AI19" s="35" t="n">
        <x:f>AI11*$E$49</x:f>
        <x:v>1831715.9476028113</x:v>
      </x:c>
      <x:c r="AJ19" s="35" t="n">
        <x:f>AJ11*$E$49</x:f>
        <x:v>1831715.9476028113</x:v>
      </x:c>
      <x:c r="AK19" s="35" t="n">
        <x:f>AK11*$E$49</x:f>
        <x:v>1831715.9476028113</x:v>
      </x:c>
      <x:c r="AL19" s="35" t="n">
        <x:f>AL11*$E$49</x:f>
        <x:v>1831715.9476028113</x:v>
      </x:c>
      <x:c r="AM19" s="35" t="n">
        <x:f>AM11*$E$49</x:f>
        <x:v>1831715.9476028113</x:v>
      </x:c>
      <x:c r="AN19" s="35" t="n">
        <x:f>AN11*$E$49</x:f>
        <x:v>1831715.9476028113</x:v>
      </x:c>
      <x:c r="AO19" s="35" t="n">
        <x:f>AO11*$E$49</x:f>
        <x:v>1831715.9476028113</x:v>
      </x:c>
      <x:c r="AP19" s="35" t="n">
        <x:f>AP11*$E$49</x:f>
        <x:v>1831715.9476028113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5689191.503476008</x:v>
      </x:c>
      <x:c r="F20" s="42"/>
      <x:c r="G20" s="43" t="n">
        <x:f>G18+G19-G15</x:f>
        <x:v>22536591.0511775</x:v>
      </x:c>
      <x:c r="H20" s="43" t="n">
        <x:f>H18+H19-H15</x:f>
        <x:v>14549109.621198941</x:v>
      </x:c>
      <x:c r="I20" s="43" t="n">
        <x:f>I18+I19-I15</x:f>
        <x:v>10301373.244895335</x:v>
      </x:c>
      <x:c r="J20" s="43" t="n">
        <x:f>J18+J19-J15</x:f>
        <x:v>7997568.441788092</x:v>
      </x:c>
      <x:c r="K20" s="43" t="n">
        <x:f>K18+K19-K15</x:f>
        <x:v>6771616.496836759</x:v>
      </x:c>
      <x:c r="L20" s="43" t="n">
        <x:f>L18+L19-L15</x:f>
        <x:v>6148833.8436886575</x:v>
      </x:c>
      <x:c r="M20" s="43" t="n">
        <x:f>M18+M19-M15</x:f>
        <x:v>5851181.057508234</x:v>
      </x:c>
      <x:c r="N20" s="43" t="n">
        <x:f>N18+N19-N15</x:f>
        <x:v>5725666.683286923</x:v>
      </x:c>
      <x:c r="O20" s="43" t="n">
        <x:f>O18+O19-O15</x:f>
        <x:v>5689191.503476008</x:v>
      </x:c>
      <x:c r="P20" s="43" t="n">
        <x:f>P18+P19-P15</x:f>
        <x:v>5689191.503476008</x:v>
      </x:c>
      <x:c r="Q20" s="43" t="n">
        <x:f>Q18+Q19-Q15</x:f>
        <x:v>5689191.503476008</x:v>
      </x:c>
      <x:c r="R20" s="43" t="n">
        <x:f>R18+R19-R15</x:f>
        <x:v>5689191.503476008</x:v>
      </x:c>
      <x:c r="S20" s="43" t="n">
        <x:f>S18+S19-S15</x:f>
        <x:v>5689191.503476008</x:v>
      </x:c>
      <x:c r="T20" s="43" t="n">
        <x:f>T18+T19-T15</x:f>
        <x:v>5689191.503476008</x:v>
      </x:c>
      <x:c r="U20" s="43" t="n">
        <x:f>U18+U19-U15</x:f>
        <x:v>5689191.503476008</x:v>
      </x:c>
      <x:c r="V20" s="43" t="n">
        <x:f>V18+V19-V15</x:f>
        <x:v>5689191.503476008</x:v>
      </x:c>
      <x:c r="W20" s="43" t="n">
        <x:f>W18+W19-W15</x:f>
        <x:v>5689191.503476008</x:v>
      </x:c>
      <x:c r="X20" s="43" t="n">
        <x:f>X18+X19-X15</x:f>
        <x:v>5689191.503476008</x:v>
      </x:c>
      <x:c r="Y20" s="43" t="n">
        <x:f>Y18+Y19-Y15</x:f>
        <x:v>5689191.503476008</x:v>
      </x:c>
      <x:c r="Z20" s="43" t="n">
        <x:f>Z18+Z19-Z15</x:f>
        <x:v>5689191.503476008</x:v>
      </x:c>
      <x:c r="AA20" s="43" t="n">
        <x:f>AA18+AA19-AA15</x:f>
        <x:v>5689191.503476008</x:v>
      </x:c>
      <x:c r="AB20" s="43" t="n">
        <x:f>AB18+AB19-AB15</x:f>
        <x:v>5689191.503476008</x:v>
      </x:c>
      <x:c r="AC20" s="43" t="n">
        <x:f>AC18+AC19-AC15</x:f>
        <x:v>5689191.503476008</x:v>
      </x:c>
      <x:c r="AD20" s="43" t="n">
        <x:f>AD18+AD19-AD15</x:f>
        <x:v>5689191.503476008</x:v>
      </x:c>
      <x:c r="AE20" s="43" t="n">
        <x:f>AE18+AE19-AE15</x:f>
        <x:v>5689191.503476008</x:v>
      </x:c>
      <x:c r="AF20" s="43" t="n">
        <x:f>AF18+AF19-AF15</x:f>
        <x:v>5689191.503476008</x:v>
      </x:c>
      <x:c r="AG20" s="43" t="n">
        <x:f>AG18+AG19-AG15</x:f>
        <x:v>5689191.503476008</x:v>
      </x:c>
      <x:c r="AH20" s="43" t="n">
        <x:f>AH18+AH19-AH15</x:f>
        <x:v>5689191.503476008</x:v>
      </x:c>
      <x:c r="AI20" s="43" t="n">
        <x:f>AI18+AI19-AI15</x:f>
        <x:v>5689191.503476008</x:v>
      </x:c>
      <x:c r="AJ20" s="43" t="n">
        <x:f>AJ18+AJ19-AJ15</x:f>
        <x:v>5689191.503476008</x:v>
      </x:c>
      <x:c r="AK20" s="43" t="n">
        <x:f>AK18+AK19-AK15</x:f>
        <x:v>5689191.503476008</x:v>
      </x:c>
      <x:c r="AL20" s="43" t="n">
        <x:f>AL18+AL19-AL15</x:f>
        <x:v>5689191.503476008</x:v>
      </x:c>
      <x:c r="AM20" s="43" t="n">
        <x:f>AM18+AM19-AM15</x:f>
        <x:v>5689191.503476008</x:v>
      </x:c>
      <x:c r="AN20" s="43" t="n">
        <x:f>AN18+AN19-AN15</x:f>
        <x:v>5689191.503476008</x:v>
      </x:c>
      <x:c r="AO20" s="43" t="n">
        <x:f>AO18+AO19-AO15</x:f>
        <x:v>5689191.503476008</x:v>
      </x:c>
      <x:c r="AP20" s="43" t="n">
        <x:f>AP18+AP19-AP15</x:f>
        <x:v>5689191.503476008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26448610.81412859</x:v>
      </x:c>
      <x:c r="F21" s="42"/>
      <x:c r="G21" s="43" t="n">
        <x:f>G16-G20</x:f>
        <x:v>96403891.57793444</x:v>
      </x:c>
      <x:c r="H21" s="43" t="n">
        <x:f>H16-H20</x:f>
        <x:v>62875219.08676037</x:v>
      </x:c>
      <x:c r="I21" s="43" t="n">
        <x:f>I16-I20</x:f>
        <x:v>45095931.973206595</x:v>
      </x:c>
      <x:c r="J21" s="43" t="n">
        <x:f>J16-J20</x:f>
        <x:v>35599458.260887444</x:v>
      </x:c>
      <x:c r="K21" s="43" t="n">
        <x:f>K16-K20</x:f>
        <x:v>30632742.383029938</x:v>
      </x:c>
      <x:c r="L21" s="43" t="n">
        <x:f>L16-L20</x:f>
        <x:v>28151977.453828573</x:v>
      </x:c>
      <x:c r="M21" s="43" t="n">
        <x:f>M16-M20</x:f>
        <x:v>27017110.153065912</x:v>
      </x:c>
      <x:c r="N21" s="43" t="n">
        <x:f>N16-N20</x:f>
        <x:v>26571938.76333276</x:v>
      </x:c>
      <x:c r="O21" s="43" t="n">
        <x:f>O16-O20</x:f>
        <x:v>26448610.814128585</x:v>
      </x:c>
      <x:c r="P21" s="43" t="n">
        <x:f>P16-P20</x:f>
        <x:v>26448610.81412859</x:v>
      </x:c>
      <x:c r="Q21" s="43" t="n">
        <x:f>Q16-Q20</x:f>
        <x:v>26448610.81412859</x:v>
      </x:c>
      <x:c r="R21" s="43" t="n">
        <x:f>R16-R20</x:f>
        <x:v>26448610.81412859</x:v>
      </x:c>
      <x:c r="S21" s="43" t="n">
        <x:f>S16-S20</x:f>
        <x:v>26448610.81412859</x:v>
      </x:c>
      <x:c r="T21" s="43" t="n">
        <x:f>T16-T20</x:f>
        <x:v>26448610.81412859</x:v>
      </x:c>
      <x:c r="U21" s="43" t="n">
        <x:f>U16-U20</x:f>
        <x:v>26448610.81412859</x:v>
      </x:c>
      <x:c r="V21" s="43" t="n">
        <x:f>V16-V20</x:f>
        <x:v>26448610.81412859</x:v>
      </x:c>
      <x:c r="W21" s="43" t="n">
        <x:f>W16-W20</x:f>
        <x:v>26448610.81412859</x:v>
      </x:c>
      <x:c r="X21" s="43" t="n">
        <x:f>X16-X20</x:f>
        <x:v>26448610.81412859</x:v>
      </x:c>
      <x:c r="Y21" s="43" t="n">
        <x:f>Y16-Y20</x:f>
        <x:v>26448610.81412859</x:v>
      </x:c>
      <x:c r="Z21" s="43" t="n">
        <x:f>Z16-Z20</x:f>
        <x:v>26448610.81412859</x:v>
      </x:c>
      <x:c r="AA21" s="43" t="n">
        <x:f>AA16-AA20</x:f>
        <x:v>26448610.81412859</x:v>
      </x:c>
      <x:c r="AB21" s="43" t="n">
        <x:f>AB16-AB20</x:f>
        <x:v>26448610.81412859</x:v>
      </x:c>
      <x:c r="AC21" s="43" t="n">
        <x:f>AC16-AC20</x:f>
        <x:v>26448610.81412859</x:v>
      </x:c>
      <x:c r="AD21" s="43" t="n">
        <x:f>AD16-AD20</x:f>
        <x:v>26448610.81412859</x:v>
      </x:c>
      <x:c r="AE21" s="43" t="n">
        <x:f>AE16-AE20</x:f>
        <x:v>26448610.81412859</x:v>
      </x:c>
      <x:c r="AF21" s="43" t="n">
        <x:f>AF16-AF20</x:f>
        <x:v>26448610.81412859</x:v>
      </x:c>
      <x:c r="AG21" s="43" t="n">
        <x:f>AG16-AG20</x:f>
        <x:v>26448610.81412859</x:v>
      </x:c>
      <x:c r="AH21" s="43" t="n">
        <x:f>AH16-AH20</x:f>
        <x:v>26448610.81412859</x:v>
      </x:c>
      <x:c r="AI21" s="43" t="n">
        <x:f>AI16-AI20</x:f>
        <x:v>26448610.81412859</x:v>
      </x:c>
      <x:c r="AJ21" s="43" t="n">
        <x:f>AJ16-AJ20</x:f>
        <x:v>26448610.81412859</x:v>
      </x:c>
      <x:c r="AK21" s="43" t="n">
        <x:f>AK16-AK20</x:f>
        <x:v>26448610.81412859</x:v>
      </x:c>
      <x:c r="AL21" s="43" t="n">
        <x:f>AL16-AL20</x:f>
        <x:v>26448610.81412859</x:v>
      </x:c>
      <x:c r="AM21" s="43" t="n">
        <x:f>AM16-AM20</x:f>
        <x:v>26448610.81412859</x:v>
      </x:c>
      <x:c r="AN21" s="43" t="n">
        <x:f>AN16-AN20</x:f>
        <x:v>26448610.81412859</x:v>
      </x:c>
      <x:c r="AO21" s="43" t="n">
        <x:f>AO16-AO20</x:f>
        <x:v>26448610.81412859</x:v>
      </x:c>
      <x:c r="AP21" s="43" t="n">
        <x:f>AP16-AP20</x:f>
        <x:v>26448610.81412859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'Assumptions'!$E$15</x:f>
        <x:v>1</x:v>
      </x:c>
      <x:c r="H23" s="33" t="n">
        <x:f>'Assumptions'!$E$15</x:f>
        <x:v>1</x:v>
      </x:c>
      <x:c r="I23" s="33" t="n">
        <x:f>'Assumptions'!$E$15</x:f>
        <x:v>1</x:v>
      </x:c>
      <x:c r="J23" s="33" t="n">
        <x:f>'Assumptions'!$E$15</x:f>
        <x:v>1</x:v>
      </x:c>
      <x:c r="K23" s="33" t="n">
        <x:f>'Assumptions'!$E$15</x:f>
        <x:v>1</x:v>
      </x:c>
      <x:c r="L23" s="33" t="n">
        <x:f>'Assumptions'!$E$15</x:f>
        <x:v>1</x:v>
      </x:c>
      <x:c r="M23" s="33" t="n">
        <x:f>'Assumptions'!$E$15</x:f>
        <x:v>1</x:v>
      </x:c>
      <x:c r="N23" s="33" t="n">
        <x:f>'Assumptions'!$E$15</x:f>
        <x:v>1</x:v>
      </x:c>
      <x:c r="O23" s="33" t="n">
        <x:f>'Assumptions'!$E$15</x:f>
        <x:v>1</x:v>
      </x:c>
      <x:c r="P23" s="33" t="n">
        <x:f>'Assumptions'!$E$15</x:f>
        <x:v>1</x:v>
      </x:c>
      <x:c r="Q23" s="33" t="n">
        <x:f>'Assumptions'!$E$15</x:f>
        <x:v>1</x:v>
      </x:c>
      <x:c r="R23" s="33" t="n">
        <x:f>'Assumptions'!$E$15</x:f>
        <x:v>1</x:v>
      </x:c>
      <x:c r="S23" s="33" t="n">
        <x:f>'Assumptions'!$E$15</x:f>
        <x:v>1</x:v>
      </x:c>
      <x:c r="T23" s="33" t="n">
        <x:f>'Assumptions'!$E$15</x:f>
        <x:v>1</x:v>
      </x:c>
      <x:c r="U23" s="33" t="n">
        <x:f>'Assumptions'!$E$15</x:f>
        <x:v>1</x:v>
      </x:c>
      <x:c r="V23" s="33" t="n">
        <x:f>'Assumptions'!$E$15</x:f>
        <x:v>1</x:v>
      </x:c>
      <x:c r="W23" s="33" t="n">
        <x:f>'Assumptions'!$E$15</x:f>
        <x:v>1</x:v>
      </x:c>
      <x:c r="X23" s="33" t="n">
        <x:f>'Assumptions'!$E$15</x:f>
        <x:v>1</x:v>
      </x:c>
      <x:c r="Y23" s="33" t="n">
        <x:f>'Assumptions'!$E$15</x:f>
        <x:v>1</x:v>
      </x:c>
      <x:c r="Z23" s="33" t="n">
        <x:f>'Assumptions'!$E$15</x:f>
        <x:v>1</x:v>
      </x:c>
      <x:c r="AA23" s="33" t="n">
        <x:f>'Assumptions'!$E$15</x:f>
        <x:v>1</x:v>
      </x:c>
      <x:c r="AB23" s="33" t="n">
        <x:f>'Assumptions'!$E$15</x:f>
        <x:v>1</x:v>
      </x:c>
      <x:c r="AC23" s="33" t="n">
        <x:f>'Assumptions'!$E$15</x:f>
        <x:v>1</x:v>
      </x:c>
      <x:c r="AD23" s="33" t="n">
        <x:f>'Assumptions'!$E$15</x:f>
        <x:v>1</x:v>
      </x:c>
      <x:c r="AE23" s="33" t="n">
        <x:f>'Assumptions'!$E$15</x:f>
        <x:v>1</x:v>
      </x:c>
      <x:c r="AF23" s="33" t="n">
        <x:f>'Assumptions'!$E$15</x:f>
        <x:v>1</x:v>
      </x:c>
      <x:c r="AG23" s="33" t="n">
        <x:f>'Assumptions'!$E$15</x:f>
        <x:v>1</x:v>
      </x:c>
      <x:c r="AH23" s="33" t="n">
        <x:f>'Assumptions'!$E$15</x:f>
        <x:v>1</x:v>
      </x:c>
      <x:c r="AI23" s="33" t="n">
        <x:f>'Assumptions'!$E$15</x:f>
        <x:v>1</x:v>
      </x:c>
      <x:c r="AJ23" s="33" t="n">
        <x:f>'Assumptions'!$E$15</x:f>
        <x:v>1</x:v>
      </x:c>
      <x:c r="AK23" s="33" t="n">
        <x:f>'Assumptions'!$E$15</x:f>
        <x:v>1</x:v>
      </x:c>
      <x:c r="AL23" s="33" t="n">
        <x:f>'Assumptions'!$E$15</x:f>
        <x:v>1</x:v>
      </x:c>
      <x:c r="AM23" s="33" t="n">
        <x:f>'Assumptions'!$E$15</x:f>
        <x:v>1</x:v>
      </x:c>
      <x:c r="AN23" s="33" t="n">
        <x:f>'Assumptions'!$E$15</x:f>
        <x:v>1</x:v>
      </x:c>
      <x:c r="AO23" s="33" t="n">
        <x:f>'Assumptions'!$E$15</x:f>
        <x:v>1</x:v>
      </x:c>
      <x:c r="AP23" s="33" t="n">
        <x:f>'Assumptions'!$E$15</x:f>
        <x:v>1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86772274.90133587</x:v>
      </x:c>
      <x:c r="F24" s="42"/>
      <x:c r="G24" s="43" t="n">
        <x:f>(G13-G15)*G23/12</x:f>
        <x:v>15495576.69184173</x:v>
      </x:c>
      <x:c r="H24" s="43" t="n">
        <x:f>(H13-H15)*H23/12</x:f>
        <x:v>9093440.437627548</x:v>
      </x:c>
      <x:c r="I24" s="43" t="n">
        <x:f>(I13-I15)*I23/12</x:f>
        <x:v>5945406.365337741</x:v>
      </x:c>
      <x:c r="J24" s="43" t="n">
        <x:f>(J13-J15)*J23/12</x:f>
        <x:v>4271815.372282657</x:v>
      </x:c>
      <x:c r="K24" s="43" t="n">
        <x:f>(K13-K15)*K23/12</x:f>
        <x:v>3378279.9008434494</x:v>
      </x:c>
      <x:c r="L24" s="43" t="n">
        <x:f>(L13-L15)*L23/12</x:f>
        <x:v>2912488.3565929816</x:v>
      </x:c>
      <x:c r="M24" s="43" t="n">
        <x:f>(M13-M15)*M23/12</x:f>
        <x:v>2680953.5469778334</x:v>
      </x:c>
      <x:c r="N24" s="43" t="n">
        <x:f>(N13-N15)*N23/12</x:f>
        <x:v>2575921.7407291685</x:v>
      </x:c>
      <x:c r="O24" s="43" t="n">
        <x:f>(O13-O15)*O23/12</x:f>
        <x:v>2535784.5266004964</x:v>
      </x:c>
      <x:c r="P24" s="43" t="n">
        <x:f>(P13-P15)*P23/12</x:f>
        <x:v>2525507.1975001483</x:v>
      </x:c>
      <x:c r="Q24" s="43" t="n">
        <x:f>(Q13-Q15)*Q23/12</x:f>
        <x:v>2525507.197500149</x:v>
      </x:c>
      <x:c r="R24" s="43" t="n">
        <x:f>(R13-R15)*R23/12</x:f>
        <x:v>2525507.197500149</x:v>
      </x:c>
      <x:c r="S24" s="43" t="n">
        <x:f>(S13-S15)*S23/12</x:f>
        <x:v>2525507.197500149</x:v>
      </x:c>
      <x:c r="T24" s="43" t="n">
        <x:f>(T13-T15)*T23/12</x:f>
        <x:v>2525507.197500149</x:v>
      </x:c>
      <x:c r="U24" s="43" t="n">
        <x:f>(U13-U15)*U23/12</x:f>
        <x:v>2525507.197500149</x:v>
      </x:c>
      <x:c r="V24" s="43" t="n">
        <x:f>(V13-V15)*V23/12</x:f>
        <x:v>2525507.197500149</x:v>
      </x:c>
      <x:c r="W24" s="43" t="n">
        <x:f>(W13-W15)*W23/12</x:f>
        <x:v>2525507.197500149</x:v>
      </x:c>
      <x:c r="X24" s="43" t="n">
        <x:f>(X13-X15)*X23/12</x:f>
        <x:v>2525507.197500149</x:v>
      </x:c>
      <x:c r="Y24" s="43" t="n">
        <x:f>(Y13-Y15)*Y23/12</x:f>
        <x:v>2525507.197500149</x:v>
      </x:c>
      <x:c r="Z24" s="43" t="n">
        <x:f>(Z13-Z15)*Z23/12</x:f>
        <x:v>2525507.197500149</x:v>
      </x:c>
      <x:c r="AA24" s="43" t="n">
        <x:f>(AA13-AA15)*AA23/12</x:f>
        <x:v>2525507.197500149</x:v>
      </x:c>
      <x:c r="AB24" s="43" t="n">
        <x:f>(AB13-AB15)*AB23/12</x:f>
        <x:v>2525507.197500149</x:v>
      </x:c>
      <x:c r="AC24" s="43" t="n">
        <x:f>(AC13-AC15)*AC23/12</x:f>
        <x:v>2525507.197500149</x:v>
      </x:c>
      <x:c r="AD24" s="43" t="n">
        <x:f>(AD13-AD15)*AD23/12</x:f>
        <x:v>2525507.197500149</x:v>
      </x:c>
      <x:c r="AE24" s="43" t="n">
        <x:f>(AE13-AE15)*AE23/12</x:f>
        <x:v>2525507.197500149</x:v>
      </x:c>
      <x:c r="AF24" s="43" t="n">
        <x:f>(AF13-AF15)*AF23/12</x:f>
        <x:v>2525507.197500149</x:v>
      </x:c>
      <x:c r="AG24" s="43" t="n">
        <x:f>(AG13-AG15)*AG23/12</x:f>
        <x:v>2525507.197500149</x:v>
      </x:c>
      <x:c r="AH24" s="43" t="n">
        <x:f>(AH13-AH15)*AH23/12</x:f>
        <x:v>2525507.197500149</x:v>
      </x:c>
      <x:c r="AI24" s="43" t="n">
        <x:f>(AI13-AI15)*AI23/12</x:f>
        <x:v>2525507.197500149</x:v>
      </x:c>
      <x:c r="AJ24" s="43" t="n">
        <x:f>(AJ13-AJ15)*AJ23/12</x:f>
        <x:v>2525507.197500149</x:v>
      </x:c>
      <x:c r="AK24" s="43" t="n">
        <x:f>(AK13-AK15)*AK23/12</x:f>
        <x:v>2525507.197500149</x:v>
      </x:c>
      <x:c r="AL24" s="43" t="n">
        <x:f>(AL13-AL15)*AL23/12</x:f>
        <x:v>2525507.197500149</x:v>
      </x:c>
      <x:c r="AM24" s="43" t="n">
        <x:f>(AM13-AM15)*AM23/12</x:f>
        <x:v>2525507.197500149</x:v>
      </x:c>
      <x:c r="AN24" s="43" t="n">
        <x:f>(AN13-AN15)*AN23/12</x:f>
        <x:v>2525507.197500149</x:v>
      </x:c>
      <x:c r="AO24" s="43" t="n">
        <x:f>(AO13-AO15)*AO23/12</x:f>
        <x:v>2525507.197500149</x:v>
      </x:c>
      <x:c r="AP24" s="43" t="n">
        <x:f>(AP13-AP15)*AP23/12</x:f>
        <x:v>2525507.197500149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42811092.15886838</x:v>
      </x:c>
      <x:c r="F25" s="46"/>
      <x:c r="G25" s="47" t="n">
        <x:f>G24-G19</x:f>
        <x:v>13663860.74423892</x:v>
      </x:c>
      <x:c r="H25" s="47" t="n">
        <x:f>H24-H19</x:f>
        <x:v>7261724.490024737</x:v>
      </x:c>
      <x:c r="I25" s="47" t="n">
        <x:f>I24-I19</x:f>
        <x:v>4113690.4177349294</x:v>
      </x:c>
      <x:c r="J25" s="47" t="n">
        <x:f>J24-J19</x:f>
        <x:v>2440099.4246798456</x:v>
      </x:c>
      <x:c r="K25" s="47" t="n">
        <x:f>K24-K19</x:f>
        <x:v>1546563.9532406381</x:v>
      </x:c>
      <x:c r="L25" s="47" t="n">
        <x:f>L24-L19</x:f>
        <x:v>1080772.4089901703</x:v>
      </x:c>
      <x:c r="M25" s="47" t="n">
        <x:f>M24-M19</x:f>
        <x:v>849237.5993750221</x:v>
      </x:c>
      <x:c r="N25" s="47" t="n">
        <x:f>N24-N19</x:f>
        <x:v>744205.7931263573</x:v>
      </x:c>
      <x:c r="O25" s="47" t="n">
        <x:f>O24-O19</x:f>
        <x:v>704068.5789976851</x:v>
      </x:c>
      <x:c r="P25" s="47" t="n">
        <x:f>P24-P19</x:f>
        <x:v>693791.249897337</x:v>
      </x:c>
      <x:c r="Q25" s="47" t="n">
        <x:f>Q24-Q19</x:f>
        <x:v>693791.2498973375</x:v>
      </x:c>
      <x:c r="R25" s="47" t="n">
        <x:f>R24-R19</x:f>
        <x:v>693791.2498973375</x:v>
      </x:c>
      <x:c r="S25" s="47" t="n">
        <x:f>S24-S19</x:f>
        <x:v>693791.2498973375</x:v>
      </x:c>
      <x:c r="T25" s="47" t="n">
        <x:f>T24-T19</x:f>
        <x:v>693791.2498973375</x:v>
      </x:c>
      <x:c r="U25" s="47" t="n">
        <x:f>U24-U19</x:f>
        <x:v>693791.2498973375</x:v>
      </x:c>
      <x:c r="V25" s="47" t="n">
        <x:f>V24-V19</x:f>
        <x:v>693791.2498973375</x:v>
      </x:c>
      <x:c r="W25" s="47" t="n">
        <x:f>W24-W19</x:f>
        <x:v>693791.2498973375</x:v>
      </x:c>
      <x:c r="X25" s="47" t="n">
        <x:f>X24-X19</x:f>
        <x:v>693791.2498973375</x:v>
      </x:c>
      <x:c r="Y25" s="47" t="n">
        <x:f>Y24-Y19</x:f>
        <x:v>693791.2498973375</x:v>
      </x:c>
      <x:c r="Z25" s="47" t="n">
        <x:f>Z24-Z19</x:f>
        <x:v>693791.2498973375</x:v>
      </x:c>
      <x:c r="AA25" s="47" t="n">
        <x:f>AA24-AA19</x:f>
        <x:v>693791.2498973375</x:v>
      </x:c>
      <x:c r="AB25" s="47" t="n">
        <x:f>AB24-AB19</x:f>
        <x:v>693791.2498973375</x:v>
      </x:c>
      <x:c r="AC25" s="47" t="n">
        <x:f>AC24-AC19</x:f>
        <x:v>693791.2498973375</x:v>
      </x:c>
      <x:c r="AD25" s="47" t="n">
        <x:f>AD24-AD19</x:f>
        <x:v>693791.2498973375</x:v>
      </x:c>
      <x:c r="AE25" s="47" t="n">
        <x:f>AE24-AE19</x:f>
        <x:v>693791.2498973375</x:v>
      </x:c>
      <x:c r="AF25" s="47" t="n">
        <x:f>AF24-AF19</x:f>
        <x:v>693791.2498973375</x:v>
      </x:c>
      <x:c r="AG25" s="47" t="n">
        <x:f>AG24-AG19</x:f>
        <x:v>693791.2498973375</x:v>
      </x:c>
      <x:c r="AH25" s="47" t="n">
        <x:f>AH24-AH19</x:f>
        <x:v>693791.2498973375</x:v>
      </x:c>
      <x:c r="AI25" s="47" t="n">
        <x:f>AI24-AI19</x:f>
        <x:v>693791.2498973375</x:v>
      </x:c>
      <x:c r="AJ25" s="47" t="n">
        <x:f>AJ24-AJ19</x:f>
        <x:v>693791.2498973375</x:v>
      </x:c>
      <x:c r="AK25" s="47" t="n">
        <x:f>AK24-AK19</x:f>
        <x:v>693791.2498973375</x:v>
      </x:c>
      <x:c r="AL25" s="47" t="n">
        <x:f>AL24-AL19</x:f>
        <x:v>693791.2498973375</x:v>
      </x:c>
      <x:c r="AM25" s="47" t="n">
        <x:f>AM24-AM19</x:f>
        <x:v>693791.2498973375</x:v>
      </x:c>
      <x:c r="AN25" s="47" t="n">
        <x:f>AN24-AN19</x:f>
        <x:v>693791.2498973375</x:v>
      </x:c>
      <x:c r="AO25" s="47" t="n">
        <x:f>AO24-AO19</x:f>
        <x:v>693791.2498973375</x:v>
      </x:c>
      <x:c r="AP25" s="47" t="n">
        <x:f>AP24-AP19</x:f>
        <x:v>693791.2498973375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39237954.801473916</x:v>
      </x:c>
      <x:c r="F27" s="2"/>
      <x:c r="G27" s="35" t="n">
        <x:f>SUMPRODUCT($E$160:$E$219,$E$52:$E$111)</x:f>
        <x:v>18533079.69789923</x:v>
      </x:c>
      <x:c r="H27" s="35" t="n">
        <x:f>SUMPRODUCT($E$160:$E$219,$E$53:$E$112)</x:f>
        <x:v>9303023.175143695</x:v>
      </x:c>
      <x:c r="I27" s="35" t="n">
        <x:f>SUMPRODUCT($E$160:$E$219,$E$54:$E$113)</x:f>
        <x:v>5172493.480036336</x:v>
      </x:c>
      <x:c r="J27" s="35" t="n">
        <x:f>SUMPRODUCT($E$160:$E$219,$E$55:$E$114)</x:f>
        <x:v>2948365.3574369503</x:v>
      </x:c>
      <x:c r="K27" s="35" t="n">
        <x:f>SUMPRODUCT($E$160:$E$219,$E$56:$E$115)</x:f>
        <x:v>1653813.2291870427</x:v>
      </x:c>
      <x:c r="L27" s="35" t="n">
        <x:f>SUMPRODUCT($E$160:$E$219,$E$57:$E$116)</x:f>
        <x:v>888411.2387213482</x:v>
      </x:c>
      <x:c r="M27" s="35" t="n">
        <x:f>SUMPRODUCT($E$160:$E$219,$E$58:$E$117)</x:f>
        <x:v>456644.0925386682</x:v>
      </x:c>
      <x:c r="N27" s="35" t="n">
        <x:f>SUMPRODUCT($E$160:$E$219,$E$59:$E$118)</x:f>
        <x:v>212601.36899185297</x:v>
      </x:c>
      <x:c r="O27" s="35" t="n">
        <x:f>SUMPRODUCT($E$160:$E$219,$E$60:$E$119)</x:f>
        <x:v>69523.16151879089</x:v>
      </x:c>
      <x:c r="P27" s="35" t="n">
        <x:f>SUMPRODUCT($E$160:$E$219,$E$61:$E$120)</x:f>
        <x:v>0</x:v>
      </x:c>
      <x:c r="Q27" s="35" t="n">
        <x:f>SUMPRODUCT($E$160:$E$219,$E$62:$E$121)</x:f>
        <x:v>0</x:v>
      </x:c>
      <x:c r="R27" s="35" t="n">
        <x:f>SUMPRODUCT($E$160:$E$219,$E$63:$E$122)</x:f>
        <x:v>0</x:v>
      </x:c>
      <x:c r="S27" s="35" t="n">
        <x:f>SUMPRODUCT($E$160:$E$219,$E$64:$E$123)</x:f>
        <x:v>0</x:v>
      </x:c>
      <x:c r="T27" s="35" t="n">
        <x:f>SUMPRODUCT($E$160:$E$219,$E$65:$E$124)</x:f>
        <x:v>0</x:v>
      </x:c>
      <x:c r="U27" s="35" t="n">
        <x:f>SUMPRODUCT($E$160:$E$219,$E$66:$E$125)</x:f>
        <x:v>0</x:v>
      </x:c>
      <x:c r="V27" s="35" t="n">
        <x:f>SUMPRODUCT($E$160:$E$219,$E$67:$E$126)</x:f>
        <x:v>0</x:v>
      </x:c>
      <x:c r="W27" s="35" t="n">
        <x:f>SUMPRODUCT($E$160:$E$219,$E$68:$E$127)</x:f>
        <x:v>0</x:v>
      </x:c>
      <x:c r="X27" s="35" t="n">
        <x:f>SUMPRODUCT($E$160:$E$219,$E$69:$E$128)</x:f>
        <x:v>0</x:v>
      </x:c>
      <x:c r="Y27" s="35" t="n">
        <x:f>SUMPRODUCT($E$160:$E$219,$E$70:$E$129)</x:f>
        <x:v>0</x:v>
      </x:c>
      <x:c r="Z27" s="35" t="n">
        <x:f>SUMPRODUCT($E$160:$E$219,$E$71:$E$130)</x:f>
        <x:v>0</x:v>
      </x:c>
      <x:c r="AA27" s="35" t="n">
        <x:f>SUMPRODUCT($E$160:$E$219,$E$72:$E$131)</x:f>
        <x:v>0</x:v>
      </x:c>
      <x:c r="AB27" s="35" t="n">
        <x:f>SUMPRODUCT($E$160:$E$219,$E$73:$E$132)</x:f>
        <x:v>0</x:v>
      </x:c>
      <x:c r="AC27" s="35" t="n">
        <x:f>SUMPRODUCT($E$160:$E$219,$E$74:$E$133)</x:f>
        <x:v>0</x:v>
      </x:c>
      <x:c r="AD27" s="35" t="n">
        <x:f>SUMPRODUCT($E$160:$E$219,$E$75:$E$134)</x:f>
        <x:v>0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38271991.23899148</x:v>
      </x:c>
      <x:c r="F28" s="2"/>
      <x:c r="G28" s="35" t="n">
        <x:f>SUMPRODUCT($G$11:G11,$CY$150:$CY$150)</x:f>
        <x:v>0</x:v>
      </x:c>
      <x:c r="H28" s="35" t="n">
        <x:f>SUMPRODUCT($G$11:H11,$CX$150:$CY$150)</x:f>
        <x:v>516174.2024376781</x:v>
      </x:c>
      <x:c r="I28" s="35" t="n">
        <x:f>SUMPRODUCT($G$11:I11,$CW$150:$CY$150)</x:f>
        <x:v>906958.8438700808</x:v>
      </x:c>
      <x:c r="J28" s="35" t="n">
        <x:f>SUMPRODUCT($G$11:J11,$CV$150:$CY$150)</x:f>
        <x:v>1187155.3932731047</x:v>
      </x:c>
      <x:c r="K28" s="35" t="n">
        <x:f>SUMPRODUCT($G$11:K11,$CU$150:$CY$150)</x:f>
        <x:v>1403854.6633671022</x:v>
      </x:c>
      <x:c r="L28" s="35" t="n">
        <x:f>SUMPRODUCT($G$11:L11,$CT$150:$CY$150)</x:f>
        <x:v>1566087.3620295662</x:v>
      </x:c>
      <x:c r="M28" s="35" t="n">
        <x:f>SUMPRODUCT($G$11:M11,$CS$150:$CY$150)</x:f>
        <x:v>1672724.641244566</x:v>
      </x:c>
      <x:c r="N28" s="35" t="n">
        <x:f>SUMPRODUCT($G$11:N11,$CR$150:$CY$150)</x:f>
        <x:v>1744628.952832269</x:v>
      </x:c>
      <x:c r="O28" s="35" t="n">
        <x:f>SUMPRODUCT($G$11:O11,$CQ$150:$CY$150)</x:f>
        <x:v>1798667.9658949357</x:v>
      </x:c>
      <x:c r="P28" s="35" t="n">
        <x:f>SUMPRODUCT($G$11:P11,$CP$150:$CY$150)</x:f>
        <x:v>1831715.9476028115</x:v>
      </x:c>
      <x:c r="Q28" s="35" t="n">
        <x:f>SUMPRODUCT($G$11:Q11,$CO$150:$CY$150)</x:f>
        <x:v>1831715.9476028115</x:v>
      </x:c>
      <x:c r="R28" s="35" t="n">
        <x:f>SUMPRODUCT($G$11:R11,$CN$150:$CY$150)</x:f>
        <x:v>1831715.9476028115</x:v>
      </x:c>
      <x:c r="S28" s="35" t="n">
        <x:f>SUMPRODUCT($G$11:S11,$CM$150:$CY$150)</x:f>
        <x:v>1831715.9476028115</x:v>
      </x:c>
      <x:c r="T28" s="35" t="n">
        <x:f>SUMPRODUCT($G$11:T11,$CL$150:$CY$150)</x:f>
        <x:v>1831715.9476028115</x:v>
      </x:c>
      <x:c r="U28" s="35" t="n">
        <x:f>SUMPRODUCT($G$11:U11,$CK$150:$CY$150)</x:f>
        <x:v>1831715.9476028115</x:v>
      </x:c>
      <x:c r="V28" s="35" t="n">
        <x:f>SUMPRODUCT($G$11:V11,$CJ$150:$CY$150)</x:f>
        <x:v>1831715.9476028115</x:v>
      </x:c>
      <x:c r="W28" s="35" t="n">
        <x:f>SUMPRODUCT($G$11:W11,$CI$150:$CY$150)</x:f>
        <x:v>1831715.9476028115</x:v>
      </x:c>
      <x:c r="X28" s="35" t="n">
        <x:f>SUMPRODUCT($G$11:X11,$CH$150:$CY$150)</x:f>
        <x:v>1831715.9476028115</x:v>
      </x:c>
      <x:c r="Y28" s="35" t="n">
        <x:f>SUMPRODUCT($G$11:Y11,$CG$150:$CY$150)</x:f>
        <x:v>1831715.9476028115</x:v>
      </x:c>
      <x:c r="Z28" s="35" t="n">
        <x:f>SUMPRODUCT($G$11:Z11,$CF$150:$CY$150)</x:f>
        <x:v>1831715.9476028115</x:v>
      </x:c>
      <x:c r="AA28" s="35" t="n">
        <x:f>SUMPRODUCT($G$11:AA11,$CE$150:$CY$150)</x:f>
        <x:v>1831715.9476028115</x:v>
      </x:c>
      <x:c r="AB28" s="35" t="n">
        <x:f>SUMPRODUCT($G$11:AB11,$CD$150:$CY$150)</x:f>
        <x:v>1831715.9476028115</x:v>
      </x:c>
      <x:c r="AC28" s="35" t="n">
        <x:f>SUMPRODUCT($G$11:AC11,$CC$150:$CY$150)</x:f>
        <x:v>1831715.9476028115</x:v>
      </x:c>
      <x:c r="AD28" s="35" t="n">
        <x:f>SUMPRODUCT($G$11:AD11,$CB$150:$CY$150)</x:f>
        <x:v>1831715.9476028115</x:v>
      </x:c>
      <x:c r="AE28" s="35" t="n">
        <x:f>SUMPRODUCT($G$11:AE11,$CA$150:$CY$150)</x:f>
        <x:v>1831715.9476028115</x:v>
      </x:c>
      <x:c r="AF28" s="35" t="n">
        <x:f>SUMPRODUCT($G$11:AF11,$BZ$150:$CY$150)</x:f>
        <x:v>1831715.9476028115</x:v>
      </x:c>
      <x:c r="AG28" s="35" t="n">
        <x:f>SUMPRODUCT($G$11:AG11,$BY$150:$CY$150)</x:f>
        <x:v>1831715.9476028115</x:v>
      </x:c>
      <x:c r="AH28" s="35" t="n">
        <x:f>SUMPRODUCT($G$11:AH11,$BX$150:$CY$150)</x:f>
        <x:v>1831715.9476028115</x:v>
      </x:c>
      <x:c r="AI28" s="35" t="n">
        <x:f>SUMPRODUCT($G$11:AI11,$BW$150:$CY$150)</x:f>
        <x:v>1831715.9476028115</x:v>
      </x:c>
      <x:c r="AJ28" s="35" t="n">
        <x:f>SUMPRODUCT($G$11:AJ11,$BV$150:$CY$150)</x:f>
        <x:v>1831715.9476028115</x:v>
      </x:c>
      <x:c r="AK28" s="35" t="n">
        <x:f>SUMPRODUCT($G$11:AK11,$BU$150:$CY$150)</x:f>
        <x:v>1831715.9476028115</x:v>
      </x:c>
      <x:c r="AL28" s="35" t="n">
        <x:f>SUMPRODUCT($G$11:AL11,$BT$150:$CY$150)</x:f>
        <x:v>1831715.9476028115</x:v>
      </x:c>
      <x:c r="AM28" s="35" t="n">
        <x:f>SUMPRODUCT($G$11:AM11,$BS$150:$CY$150)</x:f>
        <x:v>1831715.9476028115</x:v>
      </x:c>
      <x:c r="AN28" s="35" t="n">
        <x:f>SUMPRODUCT($G$11:AN11,$BR$150:$CY$150)</x:f>
        <x:v>1831715.9476028115</x:v>
      </x:c>
      <x:c r="AO28" s="35" t="n">
        <x:f>SUMPRODUCT($G$11:AO11,$BQ$150:$CY$150)</x:f>
        <x:v>1831715.9476028115</x:v>
      </x:c>
      <x:c r="AP28" s="35" t="n">
        <x:f>SUMPRODUCT($G$11:AP11,$BP$150:$CY$150)</x:f>
        <x:v>1831715.9476028115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165242045.1985262</x:v>
      </x:c>
      <x:c r="F29" s="2"/>
      <x:c r="G29" s="35" t="n">
        <x:f>SUMPRODUCT($E$160:$E$219,$F$52:$F$111)</x:f>
        <x:v>77806437.67298885</x:v>
      </x:c>
      <x:c r="H29" s="35" t="n">
        <x:f>SUMPRODUCT($E$160:$E$219,$F$53:$F$112)</x:f>
        <x:v>39803663.297924705</x:v>
      </x:c>
      <x:c r="I29" s="35" t="n">
        <x:f>SUMPRODUCT($E$160:$E$219,$F$54:$F$113)</x:f>
        <x:v>22082234.84808623</x:v>
      </x:c>
      <x:c r="J29" s="35" t="n">
        <x:f>SUMPRODUCT($E$160:$E$219,$F$55:$F$114)</x:f>
        <x:v>12360620.795097202</x:v>
      </x:c>
      <x:c r="K29" s="35" t="n">
        <x:f>SUMPRODUCT($E$160:$E$219,$F$56:$F$115)</x:f>
        <x:v>6807864.334246907</x:v>
      </x:c>
      <x:c r="L29" s="35" t="n">
        <x:f>SUMPRODUCT($E$160:$E$219,$F$57:$F$116)</x:f>
        <x:v>3614045.591682584</x:v>
      </x:c>
      <x:c r="M29" s="35" t="n">
        <x:f>SUMPRODUCT($E$160:$E$219,$F$58:$F$117)</x:f>
        <x:v>1773649.7774076082</x:v>
      </x:c>
      <x:c r="N29" s="35" t="n">
        <x:f>SUMPRODUCT($E$160:$E$219,$F$59:$F$118)</x:f>
        <x:v>758460.843682783</x:v>
      </x:c>
      <x:c r="O29" s="35" t="n">
        <x:f>SUMPRODUCT($E$160:$E$219,$F$60:$F$119)</x:f>
        <x:v>235068.03740931215</x:v>
      </x:c>
      <x:c r="P29" s="35" t="n">
        <x:f>SUMPRODUCT($E$160:$E$219,$F$61:$F$120)</x:f>
        <x:v>0</x:v>
      </x:c>
      <x:c r="Q29" s="35" t="n">
        <x:f>SUMPRODUCT($E$160:$E$219,$F$62:$F$121)</x:f>
        <x:v>0</x:v>
      </x:c>
      <x:c r="R29" s="35" t="n">
        <x:f>SUMPRODUCT($E$160:$E$219,$F$63:$F$122)</x:f>
        <x:v>0</x:v>
      </x:c>
      <x:c r="S29" s="35" t="n">
        <x:f>SUMPRODUCT($E$160:$E$219,$F$64:$F$123)</x:f>
        <x:v>0</x:v>
      </x:c>
      <x:c r="T29" s="35" t="n">
        <x:f>SUMPRODUCT($E$160:$E$219,$F$65:$F$124)</x:f>
        <x:v>0</x:v>
      </x:c>
      <x:c r="U29" s="35" t="n">
        <x:f>SUMPRODUCT($E$160:$E$219,$F$66:$F$125)</x:f>
        <x:v>0</x:v>
      </x:c>
      <x:c r="V29" s="35" t="n">
        <x:f>SUMPRODUCT($E$160:$E$219,$F$67:$F$126)</x:f>
        <x:v>0</x:v>
      </x:c>
      <x:c r="W29" s="35" t="n">
        <x:f>SUMPRODUCT($E$160:$E$219,$F$68:$F$127)</x:f>
        <x:v>0</x:v>
      </x:c>
      <x:c r="X29" s="35" t="n">
        <x:f>SUMPRODUCT($E$160:$E$219,$F$69:$F$128)</x:f>
        <x:v>0</x:v>
      </x:c>
      <x:c r="Y29" s="35" t="n">
        <x:f>SUMPRODUCT($E$160:$E$219,$F$70:$F$129)</x:f>
        <x:v>0</x:v>
      </x:c>
      <x:c r="Z29" s="35" t="n">
        <x:f>SUMPRODUCT($E$160:$E$219,$F$71:$F$130)</x:f>
        <x:v>0</x:v>
      </x:c>
      <x:c r="AA29" s="35" t="n">
        <x:f>SUMPRODUCT($E$160:$E$219,$F$72:$F$131)</x:f>
        <x:v>0</x:v>
      </x:c>
      <x:c r="AB29" s="35" t="n">
        <x:f>SUMPRODUCT($E$160:$E$219,$F$73:$F$132)</x:f>
        <x:v>0</x:v>
      </x:c>
      <x:c r="AC29" s="35" t="n">
        <x:f>SUMPRODUCT($E$160:$E$219,$F$74:$F$133)</x:f>
        <x:v>0</x:v>
      </x:c>
      <x:c r="AD29" s="35" t="n">
        <x:f>SUMPRODUCT($E$160:$E$219,$F$75:$F$134)</x:f>
        <x:v>0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188790206.44340393</x:v>
      </x:c>
      <x:c r="F30" s="2"/>
      <x:c r="G30" s="35" t="n">
        <x:f>SUMPRODUCT($G$11:G11,$CY$151:$CY$151)</x:f>
        <x:v>0</x:v>
      </x:c>
      <x:c r="H30" s="35" t="n">
        <x:f>SUMPRODUCT($G$11:H11,$CX$151:$CY$151)</x:f>
        <x:v>2693293.245646554</x:v>
      </x:c>
      <x:c r="I30" s="35" t="n">
        <x:f>SUMPRODUCT($G$11:I11,$CW$151:$CY$151)</x:f>
        <x:v>4665336.317864733</x:v>
      </x:c>
      <x:c r="J30" s="35" t="n">
        <x:f>SUMPRODUCT($G$11:J11,$CV$151:$CY$151)</x:f>
        <x:v>6104136.969619145</x:v>
      </x:c>
      <x:c r="K30" s="35" t="n">
        <x:f>SUMPRODUCT($G$11:K11,$CU$151:$CY$151)</x:f>
        <x:v>7127135.596007787</x:v>
      </x:c>
      <x:c r="L30" s="35" t="n">
        <x:f>SUMPRODUCT($G$11:L11,$CT$151:$CY$151)</x:f>
        <x:v>7835003.389915968</x:v>
      </x:c>
      <x:c r="M30" s="35" t="n">
        <x:f>SUMPRODUCT($G$11:M11,$CS$151:$CY$151)</x:f>
        <x:v>8329501.575752245</x:v>
      </x:c>
      <x:c r="N30" s="35" t="n">
        <x:f>SUMPRODUCT($G$11:N11,$CR$151:$CY$151)</x:f>
        <x:v>8654994.598447558</x:v>
      </x:c>
      <x:c r="O30" s="35" t="n">
        <x:f>SUMPRODUCT($G$11:O11,$CQ$151:$CY$151)</x:f>
        <x:v>8856543.964192059</x:v>
      </x:c>
      <x:c r="P30" s="35" t="n">
        <x:f>SUMPRODUCT($G$11:P11,$CP$151:$CY$151)</x:f>
        <x:v>8968284.052397188</x:v>
      </x:c>
      <x:c r="Q30" s="35" t="n">
        <x:f>SUMPRODUCT($G$11:Q11,$CO$151:$CY$151)</x:f>
        <x:v>8968284.052397188</x:v>
      </x:c>
      <x:c r="R30" s="35" t="n">
        <x:f>SUMPRODUCT($G$11:R11,$CN$151:$CY$151)</x:f>
        <x:v>8968284.052397188</x:v>
      </x:c>
      <x:c r="S30" s="35" t="n">
        <x:f>SUMPRODUCT($G$11:S11,$CM$151:$CY$151)</x:f>
        <x:v>8968284.052397188</x:v>
      </x:c>
      <x:c r="T30" s="35" t="n">
        <x:f>SUMPRODUCT($G$11:T11,$CL$151:$CY$151)</x:f>
        <x:v>8968284.052397188</x:v>
      </x:c>
      <x:c r="U30" s="35" t="n">
        <x:f>SUMPRODUCT($G$11:U11,$CK$151:$CY$151)</x:f>
        <x:v>8968284.052397188</x:v>
      </x:c>
      <x:c r="V30" s="35" t="n">
        <x:f>SUMPRODUCT($G$11:V11,$CJ$151:$CY$151)</x:f>
        <x:v>8968284.052397188</x:v>
      </x:c>
      <x:c r="W30" s="35" t="n">
        <x:f>SUMPRODUCT($G$11:W11,$CI$151:$CY$151)</x:f>
        <x:v>8968284.052397188</x:v>
      </x:c>
      <x:c r="X30" s="35" t="n">
        <x:f>SUMPRODUCT($G$11:X11,$CH$151:$CY$151)</x:f>
        <x:v>8968284.052397188</x:v>
      </x:c>
      <x:c r="Y30" s="35" t="n">
        <x:f>SUMPRODUCT($G$11:Y11,$CG$151:$CY$151)</x:f>
        <x:v>8968284.052397188</x:v>
      </x:c>
      <x:c r="Z30" s="35" t="n">
        <x:f>SUMPRODUCT($G$11:Z11,$CF$151:$CY$151)</x:f>
        <x:v>8968284.052397188</x:v>
      </x:c>
      <x:c r="AA30" s="35" t="n">
        <x:f>SUMPRODUCT($G$11:AA11,$CE$151:$CY$151)</x:f>
        <x:v>8968284.052397188</x:v>
      </x:c>
      <x:c r="AB30" s="35" t="n">
        <x:f>SUMPRODUCT($G$11:AB11,$CD$151:$CY$151)</x:f>
        <x:v>8968284.052397188</x:v>
      </x:c>
      <x:c r="AC30" s="35" t="n">
        <x:f>SUMPRODUCT($G$11:AC11,$CC$151:$CY$151)</x:f>
        <x:v>8968284.052397188</x:v>
      </x:c>
      <x:c r="AD30" s="35" t="n">
        <x:f>SUMPRODUCT($G$11:AD11,$CB$151:$CY$151)</x:f>
        <x:v>8968284.052397188</x:v>
      </x:c>
      <x:c r="AE30" s="35" t="n">
        <x:f>SUMPRODUCT($G$11:AE11,$CA$151:$CY$151)</x:f>
        <x:v>8968284.052397188</x:v>
      </x:c>
      <x:c r="AF30" s="35" t="n">
        <x:f>SUMPRODUCT($G$11:AF11,$BZ$151:$CY$151)</x:f>
        <x:v>8968284.052397188</x:v>
      </x:c>
      <x:c r="AG30" s="35" t="n">
        <x:f>SUMPRODUCT($G$11:AG11,$BY$151:$CY$151)</x:f>
        <x:v>8968284.052397188</x:v>
      </x:c>
      <x:c r="AH30" s="35" t="n">
        <x:f>SUMPRODUCT($G$11:AH11,$BX$151:$CY$151)</x:f>
        <x:v>8968284.052397188</x:v>
      </x:c>
      <x:c r="AI30" s="35" t="n">
        <x:f>SUMPRODUCT($G$11:AI11,$BW$151:$CY$151)</x:f>
        <x:v>8968284.052397188</x:v>
      </x:c>
      <x:c r="AJ30" s="35" t="n">
        <x:f>SUMPRODUCT($G$11:AJ11,$BV$151:$CY$151)</x:f>
        <x:v>8968284.052397188</x:v>
      </x:c>
      <x:c r="AK30" s="35" t="n">
        <x:f>SUMPRODUCT($G$11:AK11,$BU$151:$CY$151)</x:f>
        <x:v>8968284.052397188</x:v>
      </x:c>
      <x:c r="AL30" s="35" t="n">
        <x:f>SUMPRODUCT($G$11:AL11,$BT$151:$CY$151)</x:f>
        <x:v>8968284.052397188</x:v>
      </x:c>
      <x:c r="AM30" s="35" t="n">
        <x:f>SUMPRODUCT($G$11:AM11,$BS$151:$CY$151)</x:f>
        <x:v>8968284.052397188</x:v>
      </x:c>
      <x:c r="AN30" s="35" t="n">
        <x:f>SUMPRODUCT($G$11:AN11,$BR$151:$CY$151)</x:f>
        <x:v>8968284.052397188</x:v>
      </x:c>
      <x:c r="AO30" s="35" t="n">
        <x:f>SUMPRODUCT($G$11:AO11,$BQ$151:$CY$151)</x:f>
        <x:v>8968284.052397188</x:v>
      </x:c>
      <x:c r="AP30" s="35" t="n">
        <x:f>SUMPRODUCT($G$11:AP11,$BP$151:$CY$151)</x:f>
        <x:v>8968284.052397188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32813339.124251705</x:v>
      </x:c>
      <x:c r="F32" s="2"/>
      <x:c r="G32" s="35" t="n">
        <x:f>($E$44-G27)*G23/12</x:f>
        <x:v>15495576.69184173</x:v>
      </x:c>
      <x:c r="H32" s="35" t="n">
        <x:f>(G34-H27)*H23/12</x:f>
        <x:v>8236454.954497353</x:v>
      </x:c>
      <x:c r="I32" s="35" t="n">
        <x:f>(H34-I27)*I23/12</x:f>
        <x:v>4488441.889667267</x:v>
      </x:c>
      <x:c r="J32" s="35" t="n">
        <x:f>(I34-J27)*J23/12</x:f>
        <x:v>2402558.5392070017</x:v>
      </x:c>
      <x:c r="K32" s="35" t="n">
        <x:f>(J34-K27)*K23/12</x:f>
        <x:v>1234689.0371833148</x:v>
      </x:c>
      <x:c r="L32" s="35" t="n">
        <x:f>(K34-L27)*L23/12</x:f>
        <x:v>593332.7394359601</x:v>
      </x:c>
      <x:c r="M32" s="35" t="n">
        <x:f>(L34-M27)*M23/12</x:f>
        <x:v>254108.59908418905</x:v>
      </x:c>
      <x:c r="N32" s="35" t="n">
        <x:f>(M34-N27)*N23/12</x:f>
        <x:v>88587.67021756728</x:v>
      </x:c>
      <x:c r="O32" s="35" t="n">
        <x:f>(N34-O27)*O23/12</x:f>
        <x:v>19589.003117436125</x:v>
      </x:c>
      <x:c r="P32" s="35" t="n">
        <x:f>(O34-P27)*P23/12</x:f>
        <x:v>-6.553212491174539e-9</x:v>
      </x:c>
      <x:c r="Q32" s="35" t="n">
        <x:f>(P34-Q27)*Q23/12</x:f>
        <x:v>-6.553212491174539e-9</x:v>
      </x:c>
      <x:c r="R32" s="35" t="n">
        <x:f>(Q34-R27)*R23/12</x:f>
        <x:v>-6.553212491174539e-9</x:v>
      </x:c>
      <x:c r="S32" s="35" t="n">
        <x:f>(R34-S27)*S23/12</x:f>
        <x:v>-6.553212491174539e-9</x:v>
      </x:c>
      <x:c r="T32" s="35" t="n">
        <x:f>(S34-T27)*T23/12</x:f>
        <x:v>-6.553212491174539e-9</x:v>
      </x:c>
      <x:c r="U32" s="35" t="n">
        <x:f>(T34-U27)*U23/12</x:f>
        <x:v>-6.553212491174539e-9</x:v>
      </x:c>
      <x:c r="V32" s="35" t="n">
        <x:f>(U34-V27)*V23/12</x:f>
        <x:v>-6.553212491174539e-9</x:v>
      </x:c>
      <x:c r="W32" s="35" t="n">
        <x:f>(V34-W27)*W23/12</x:f>
        <x:v>-6.553212491174539e-9</x:v>
      </x:c>
      <x:c r="X32" s="35" t="n">
        <x:f>(W34-X27)*X23/12</x:f>
        <x:v>-6.553212491174539e-9</x:v>
      </x:c>
      <x:c r="Y32" s="35" t="n">
        <x:f>(X34-Y27)*Y23/12</x:f>
        <x:v>-6.553212491174539e-9</x:v>
      </x:c>
      <x:c r="Z32" s="35" t="n">
        <x:f>(Y34-Z27)*Z23/12</x:f>
        <x:v>-6.553212491174539e-9</x:v>
      </x:c>
      <x:c r="AA32" s="35" t="n">
        <x:f>(Z34-AA27)*AA23/12</x:f>
        <x:v>-6.553212491174539e-9</x:v>
      </x:c>
      <x:c r="AB32" s="35" t="n">
        <x:f>(AA34-AB27)*AB23/12</x:f>
        <x:v>-6.553212491174539e-9</x:v>
      </x:c>
      <x:c r="AC32" s="35" t="n">
        <x:f>(AB34-AC27)*AC23/12</x:f>
        <x:v>-6.553212491174539e-9</x:v>
      </x:c>
      <x:c r="AD32" s="35" t="n">
        <x:f>(AC34-AD27)*AD23/12</x:f>
        <x:v>-6.553212491174539e-9</x:v>
      </x:c>
      <x:c r="AE32" s="35" t="n">
        <x:f>(AD34-AE27)*AE23/12</x:f>
        <x:v>-6.553212491174539e-9</x:v>
      </x:c>
      <x:c r="AF32" s="35" t="n">
        <x:f>(AE34-AF27)*AF23/12</x:f>
        <x:v>-6.553212491174539e-9</x:v>
      </x:c>
      <x:c r="AG32" s="35" t="n">
        <x:f>(AF34-AG27)*AG23/12</x:f>
        <x:v>-6.553212491174539e-9</x:v>
      </x:c>
      <x:c r="AH32" s="35" t="n">
        <x:f>(AG34-AH27)*AH23/12</x:f>
        <x:v>-6.553212491174539e-9</x:v>
      </x:c>
      <x:c r="AI32" s="35" t="n">
        <x:f>(AH34-AI27)*AI23/12</x:f>
        <x:v>-6.553212491174539e-9</x:v>
      </x:c>
      <x:c r="AJ32" s="35" t="n">
        <x:f>(AI34-AJ27)*AJ23/12</x:f>
        <x:v>-6.553212491174539e-9</x:v>
      </x:c>
      <x:c r="AK32" s="35" t="n">
        <x:f>(AJ34-AK27)*AK23/12</x:f>
        <x:v>-6.553212491174539e-9</x:v>
      </x:c>
      <x:c r="AL32" s="35" t="n">
        <x:f>(AK34-AL27)*AL23/12</x:f>
        <x:v>-6.553212491174539e-9</x:v>
      </x:c>
      <x:c r="AM32" s="35" t="n">
        <x:f>(AL34-AM27)*AM23/12</x:f>
        <x:v>-6.553212491174539e-9</x:v>
      </x:c>
      <x:c r="AN32" s="35" t="n">
        <x:f>(AM34-AN27)*AN23/12</x:f>
        <x:v>-6.553212491174539e-9</x:v>
      </x:c>
      <x:c r="AO32" s="35" t="n">
        <x:f>(AN34-AO27)*AO23/12</x:f>
        <x:v>-6.553212491174539e-9</x:v>
      </x:c>
      <x:c r="AP32" s="35" t="n">
        <x:f>(AO34-AP27)*AP23/12</x:f>
        <x:v>-6.553212491174539e-9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53958935.777084105</x:v>
      </x:c>
      <x:c r="F33" s="2"/>
      <x:c r="G33" s="35" t="n">
        <x:f>G24-G32</x:f>
        <x:v>0</x:v>
      </x:c>
      <x:c r="H33" s="35" t="n">
        <x:f>H24-H32</x:f>
        <x:v>856985.4831301952</x:v>
      </x:c>
      <x:c r="I33" s="35" t="n">
        <x:f>I24-I32</x:f>
        <x:v>1456964.4756704737</x:v>
      </x:c>
      <x:c r="J33" s="35" t="n">
        <x:f>J24-J32</x:f>
        <x:v>1869256.8330756552</x:v>
      </x:c>
      <x:c r="K33" s="35" t="n">
        <x:f>K24-K32</x:f>
        <x:v>2143590.8636601344</x:v>
      </x:c>
      <x:c r="L33" s="35" t="n">
        <x:f>L24-L32</x:f>
        <x:v>2319155.6171570215</x:v>
      </x:c>
      <x:c r="M33" s="35" t="n">
        <x:f>M24-M32</x:f>
        <x:v>2426844.947893644</x:v>
      </x:c>
      <x:c r="N33" s="35" t="n">
        <x:f>N24-N32</x:f>
        <x:v>2487334.0705116014</x:v>
      </x:c>
      <x:c r="O33" s="35" t="n">
        <x:f>O24-O32</x:f>
        <x:v>2516195.5234830603</x:v>
      </x:c>
      <x:c r="P33" s="35" t="n">
        <x:f>P24-P32</x:f>
        <x:v>2525507.197500155</x:v>
      </x:c>
      <x:c r="Q33" s="35" t="n">
        <x:f>Q24-Q32</x:f>
        <x:v>2525507.1975001553</x:v>
      </x:c>
      <x:c r="R33" s="35" t="n">
        <x:f>R24-R32</x:f>
        <x:v>2525507.1975001553</x:v>
      </x:c>
      <x:c r="S33" s="35" t="n">
        <x:f>S24-S32</x:f>
        <x:v>2525507.1975001553</x:v>
      </x:c>
      <x:c r="T33" s="35" t="n">
        <x:f>T24-T32</x:f>
        <x:v>2525507.1975001553</x:v>
      </x:c>
      <x:c r="U33" s="35" t="n">
        <x:f>U24-U32</x:f>
        <x:v>2525507.1975001553</x:v>
      </x:c>
      <x:c r="V33" s="35" t="n">
        <x:f>V24-V32</x:f>
        <x:v>2525507.1975001553</x:v>
      </x:c>
      <x:c r="W33" s="35" t="n">
        <x:f>W24-W32</x:f>
        <x:v>2525507.1975001553</x:v>
      </x:c>
      <x:c r="X33" s="35" t="n">
        <x:f>X24-X32</x:f>
        <x:v>2525507.1975001553</x:v>
      </x:c>
      <x:c r="Y33" s="35" t="n">
        <x:f>Y24-Y32</x:f>
        <x:v>2525507.1975001553</x:v>
      </x:c>
      <x:c r="Z33" s="35" t="n">
        <x:f>Z24-Z32</x:f>
        <x:v>2525507.1975001553</x:v>
      </x:c>
      <x:c r="AA33" s="35" t="n">
        <x:f>AA24-AA32</x:f>
        <x:v>2525507.1975001553</x:v>
      </x:c>
      <x:c r="AB33" s="35" t="n">
        <x:f>AB24-AB32</x:f>
        <x:v>2525507.1975001553</x:v>
      </x:c>
      <x:c r="AC33" s="35" t="n">
        <x:f>AC24-AC32</x:f>
        <x:v>2525507.1975001553</x:v>
      </x:c>
      <x:c r="AD33" s="35" t="n">
        <x:f>AD24-AD32</x:f>
        <x:v>2525507.1975001553</x:v>
      </x:c>
      <x:c r="AE33" s="35" t="n">
        <x:f>AE24-AE32</x:f>
        <x:v>2525507.1975001553</x:v>
      </x:c>
      <x:c r="AF33" s="35" t="n">
        <x:f>AF24-AF32</x:f>
        <x:v>2525507.1975001553</x:v>
      </x:c>
      <x:c r="AG33" s="35" t="n">
        <x:f>AG24-AG32</x:f>
        <x:v>2525507.1975001553</x:v>
      </x:c>
      <x:c r="AH33" s="35" t="n">
        <x:f>AH24-AH32</x:f>
        <x:v>2525507.1975001553</x:v>
      </x:c>
      <x:c r="AI33" s="35" t="n">
        <x:f>AI24-AI32</x:f>
        <x:v>2525507.1975001553</x:v>
      </x:c>
      <x:c r="AJ33" s="35" t="n">
        <x:f>AJ24-AJ32</x:f>
        <x:v>2525507.1975001553</x:v>
      </x:c>
      <x:c r="AK33" s="35" t="n">
        <x:f>AK24-AK32</x:f>
        <x:v>2525507.1975001553</x:v>
      </x:c>
      <x:c r="AL33" s="35" t="n">
        <x:f>AL24-AL32</x:f>
        <x:v>2525507.1975001553</x:v>
      </x:c>
      <x:c r="AM33" s="35" t="n">
        <x:f>AM24-AM32</x:f>
        <x:v>2525507.1975001553</x:v>
      </x:c>
      <x:c r="AN33" s="35" t="n">
        <x:f>AN24-AN32</x:f>
        <x:v>2525507.1975001553</x:v>
      </x:c>
      <x:c r="AO33" s="35" t="n">
        <x:f>AO24-AO32</x:f>
        <x:v>2525507.1975001553</x:v>
      </x:c>
      <x:c r="AP33" s="35" t="n">
        <x:f>AP24-AP32</x:f>
        <x:v>2525507.1975001553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-7.863854989409447e-8</x:v>
      </x:c>
      <x:c r="F34" s="2"/>
      <x:c r="G34" s="35" t="n">
        <x:f>$E$44-G27-G29</x:f>
        <x:v>108140482.62911193</x:v>
      </x:c>
      <x:c r="H34" s="35" t="n">
        <x:f>G34-H27-H29</x:f>
        <x:v>59033796.15604354</x:v>
      </x:c>
      <x:c r="I34" s="35" t="n">
        <x:f>H34-I27-I29</x:f>
        <x:v>31779067.827920973</x:v>
      </x:c>
      <x:c r="J34" s="35" t="n">
        <x:f>I34-J27-J29</x:f>
        <x:v>16470081.67538682</x:v>
      </x:c>
      <x:c r="K34" s="35" t="n">
        <x:f>J34-K27-K29</x:f>
        <x:v>8008404.111952869</x:v>
      </x:c>
      <x:c r="L34" s="35" t="n">
        <x:f>K34-L27-L29</x:f>
        <x:v>3505947.281548937</x:v>
      </x:c>
      <x:c r="M34" s="35" t="n">
        <x:f>L34-M27-M29</x:f>
        <x:v>1275653.4116026603</x:v>
      </x:c>
      <x:c r="N34" s="35" t="n">
        <x:f>M34-N27-N29</x:f>
        <x:v>304591.1989280244</x:v>
      </x:c>
      <x:c r="O34" s="35" t="n">
        <x:f>N34-O27-O29</x:f>
        <x:v>-7.863854989409447e-8</x:v>
      </x:c>
      <x:c r="P34" s="35" t="n">
        <x:f>O34-P27-P29</x:f>
        <x:v>-7.863854989409447e-8</x:v>
      </x:c>
      <x:c r="Q34" s="35" t="n">
        <x:f>P34-Q27-Q29</x:f>
        <x:v>-7.863854989409447e-8</x:v>
      </x:c>
      <x:c r="R34" s="35" t="n">
        <x:f>Q34-R27-R29</x:f>
        <x:v>-7.863854989409447e-8</x:v>
      </x:c>
      <x:c r="S34" s="35" t="n">
        <x:f>R34-S27-S29</x:f>
        <x:v>-7.863854989409447e-8</x:v>
      </x:c>
      <x:c r="T34" s="35" t="n">
        <x:f>S34-T27-T29</x:f>
        <x:v>-7.863854989409447e-8</x:v>
      </x:c>
      <x:c r="U34" s="35" t="n">
        <x:f>T34-U27-U29</x:f>
        <x:v>-7.863854989409447e-8</x:v>
      </x:c>
      <x:c r="V34" s="35" t="n">
        <x:f>U34-V27-V29</x:f>
        <x:v>-7.863854989409447e-8</x:v>
      </x:c>
      <x:c r="W34" s="35" t="n">
        <x:f>V34-W27-W29</x:f>
        <x:v>-7.863854989409447e-8</x:v>
      </x:c>
      <x:c r="X34" s="35" t="n">
        <x:f>W34-X27-X29</x:f>
        <x:v>-7.863854989409447e-8</x:v>
      </x:c>
      <x:c r="Y34" s="35" t="n">
        <x:f>X34-Y27-Y29</x:f>
        <x:v>-7.863854989409447e-8</x:v>
      </x:c>
      <x:c r="Z34" s="35" t="n">
        <x:f>Y34-Z27-Z29</x:f>
        <x:v>-7.863854989409447e-8</x:v>
      </x:c>
      <x:c r="AA34" s="35" t="n">
        <x:f>Z34-AA27-AA29</x:f>
        <x:v>-7.863854989409447e-8</x:v>
      </x:c>
      <x:c r="AB34" s="35" t="n">
        <x:f>AA34-AB27-AB29</x:f>
        <x:v>-7.863854989409447e-8</x:v>
      </x:c>
      <x:c r="AC34" s="35" t="n">
        <x:f>AB34-AC27-AC29</x:f>
        <x:v>-7.863854989409447e-8</x:v>
      </x:c>
      <x:c r="AD34" s="35" t="n">
        <x:f>AC34-AD27-AD29</x:f>
        <x:v>-7.863854989409447e-8</x:v>
      </x:c>
      <x:c r="AE34" s="35" t="n">
        <x:f>AD34-AE27-AE29</x:f>
        <x:v>-7.863854989409447e-8</x:v>
      </x:c>
      <x:c r="AF34" s="35" t="n">
        <x:f>AE34-AF27-AF29</x:f>
        <x:v>-7.863854989409447e-8</x:v>
      </x:c>
      <x:c r="AG34" s="35" t="n">
        <x:f>AF34-AG27-AG29</x:f>
        <x:v>-7.863854989409447e-8</x:v>
      </x:c>
      <x:c r="AH34" s="35" t="n">
        <x:f>AG34-AH27-AH29</x:f>
        <x:v>-7.863854989409447e-8</x:v>
      </x:c>
      <x:c r="AI34" s="35" t="n">
        <x:f>AH34-AI27-AI29</x:f>
        <x:v>-7.863854989409447e-8</x:v>
      </x:c>
      <x:c r="AJ34" s="35" t="n">
        <x:f>AI34-AJ27-AJ29</x:f>
        <x:v>-7.863854989409447e-8</x:v>
      </x:c>
      <x:c r="AK34" s="35" t="n">
        <x:f>AJ34-AK27-AK29</x:f>
        <x:v>-7.863854989409447e-8</x:v>
      </x:c>
      <x:c r="AL34" s="35" t="n">
        <x:f>AK34-AL27-AL29</x:f>
        <x:v>-7.863854989409447e-8</x:v>
      </x:c>
      <x:c r="AM34" s="35" t="n">
        <x:f>AL34-AM27-AM29</x:f>
        <x:v>-7.863854989409447e-8</x:v>
      </x:c>
      <x:c r="AN34" s="35" t="n">
        <x:f>AM34-AN27-AN29</x:f>
        <x:v>-7.863854989409447e-8</x:v>
      </x:c>
      <x:c r="AO34" s="35" t="n">
        <x:f>AN34-AO27-AO29</x:f>
        <x:v>-7.863854989409447e-8</x:v>
      </x:c>
      <x:c r="AP34" s="35" t="n">
        <x:f>AO34-AP27-AP29</x:f>
        <x:v>-7.863854989409447e-8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'Assumptions'!E58</x:f>
        <x:v>0.2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'Assumptions'!E59</x:f>
        <x:v>3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'Assumptions'!E15/12</x:f>
        <x:v>0.08333333333333333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'Assumptions'!E16</x:f>
        <x:v>12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'Assumptions'!E17*'Assumptions'!$E$29</x:f>
        <x:v>204480000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'Assumptions'!E19</x:f>
        <x:v>3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'Assumptions'!E18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'Assumptions'!E27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39237954.80147392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0.16960332848174178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$E$40*INDEX('Assumptions'!$E$65:$E$101,MIN(C51,36)+1)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0.16960332848174178</x:v>
      </x:c>
      <x:c r="H51" s="30" t="n">
        <x:f>IF($E$42=0,1-MIN(C51,$E$43)/$E$43,((1+$E$42)^$E$43-(1+$E$42)^MIN(C51,$E$43))/((1+$E$42)^$E$43-1))</x:f>
        <x:v>1</x:v>
      </x:c>
      <x:c r="I51" s="30" t="n">
        <x:f>MAX(0,1-D51-J51)</x:f>
        <x:v>1</x:v>
      </x:c>
      <x:c r="J51" s="2" t="n">
        <x:f>(1-$E$40)*INDEX('Assumptions'!$H$65:$H$101,MIN(C51,36)+1)</x:f>
        <x:v>0</x:v>
      </x:c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$E$40*INDEX('Assumptions'!$E$65:$E$101,MIN(C52,36)+1)</x:f>
        <x:v>0.047793907633118346</x:v>
      </x:c>
      <x:c r="E52" s="30" t="n">
        <x:f>(D52-D51)*H51</x:f>
        <x:v>0.047793907633118346</x:v>
      </x:c>
      <x:c r="F52" s="30" t="n">
        <x:f>(1-D52-J51)*(H51-H52)+(J52-J51)*H52</x:f>
        <x:v>0.24937900422653278</x:v>
      </x:c>
      <x:c r="G52" s="30" t="n">
        <x:f>SUM(E53:E147)</x:f>
        <x:v>0.12180942084862346</x:v>
      </x:c>
      <x:c r="H52" s="30" t="n">
        <x:f>IF($E$42=0,1-MIN(C52,$E$43)/$E$43,((1+$E$42)^$E$43-(1+$E$42)^MIN(C52,$E$43))/((1+$E$42)^$E$43-1))</x:f>
        <x:v>0.9483375634505021</x:v>
      </x:c>
      <x:c r="I52" s="30" t="n">
        <x:f>MAX(0,1-D52-J52)</x:f>
        <x:v>0.7411148890729693</x:v>
      </x:c>
      <x:c r="J52" s="2" t="n">
        <x:f>(1-$E$40)*INDEX('Assumptions'!$H$65:$H$101,MIN(C52,36)+1)</x:f>
        <x:v>0.21109120329391234</x:v>
      </x:c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$E$40*INDEX('Assumptions'!$E$65:$E$101,MIN(C53,36)+1)</x:f>
        <x:v>0.0859488479098054</x:v>
      </x:c>
      <x:c r="E53" s="30" t="n">
        <x:f>(D53-D52)*H52</x:f>
        <x:v>0.03618376309559283</x:v>
      </x:c>
      <x:c r="F53" s="30" t="n">
        <x:f>(1-D53-J52)*(H52-H53)+(J53-J52)*H53</x:f>
        <x:v>0.18259658076094243</x:v>
      </x:c>
      <x:c r="G53" s="30" t="n">
        <x:f>SUM(E54:E147)</x:f>
        <x:v>0.08562565775303065</x:v>
      </x:c>
      <x:c r="H53" s="30" t="n">
        <x:f>IF($E$42=0,1-MIN(C53,$E$43)/$E$43,((1+$E$42)^$E$43-(1+$E$42)^MIN(C53,$E$43))/((1+$E$42)^$E$43-1))</x:f>
        <x:v>0.8923699238552127</x:v>
      </x:c>
      <x:c r="I53" s="30" t="n">
        <x:f>MAX(0,1-D53-J53)</x:f>
        <x:v>0.5424283487644193</x:v>
      </x:c>
      <x:c r="J53" s="2" t="n">
        <x:f>(1-$E$40)*INDEX('Assumptions'!$H$65:$H$101,MIN(C53,36)+1)</x:f>
        <x:v>0.3716228033257753</x:v>
      </x:c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$E$40*INDEX('Assumptions'!$E$65:$E$101,MIN(C54,36)+1)</x:f>
        <x:v>0.11502213271151718</x:v>
      </x:c>
      <x:c r="E54" s="30" t="n">
        <x:f>(D54-D53)*H53</x:f>
        <x:v>0.025944124944724447</x:v>
      </x:c>
      <x:c r="F54" s="30" t="n">
        <x:f>(1-D54-J53)*(H53-H54)+(J54-J53)*H54</x:f>
        <x:v>0.133222282569853</x:v>
      </x:c>
      <x:c r="G54" s="30" t="n">
        <x:f>SUM(E55:E147)</x:f>
        <x:v>0.05968153280830618</x:v>
      </x:c>
      <x:c r="H54" s="30" t="n">
        <x:f>IF($E$42=0,1-MIN(C54,$E$43)/$E$43,((1+$E$42)^$E$43-(1+$E$42)^MIN(C54,$E$43))/((1+$E$42)^$E$43-1))</x:f>
        <x:v>0.8317383142936492</x:v>
      </x:c>
      <x:c r="I54" s="30" t="n">
        <x:f>MAX(0,1-D54-J54)</x:f>
        <x:v>0.39060402915926706</x:v>
      </x:c>
      <x:c r="J54" s="2" t="n">
        <x:f>(1-$E$40)*INDEX('Assumptions'!$H$65:$H$101,MIN(C54,36)+1)</x:f>
        <x:v>0.49437383812921576</x:v>
      </x:c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$E$40*INDEX('Assumptions'!$E$65:$E$101,MIN(C55,36)+1)</x:f>
        <x:v>0.139146003027586</x:v>
      </x:c>
      <x:c r="E55" s="30" t="n">
        <x:f>(D55-D54)*H54</x:f>
        <x:v>0.02006474723092569</x:v>
      </x:c>
      <x:c r="F55" s="30" t="n">
        <x:f>(1-D55-J54)*(H54-H55)+(J55-J54)*H55</x:f>
        <x:v>0.09472209503598536</x:v>
      </x:c>
      <x:c r="G55" s="30" t="n">
        <x:f>SUM(E56:E147)</x:f>
        <x:v>0.03961678557738049</x:v>
      </x:c>
      <x:c r="H55" s="30" t="n">
        <x:f>IF($E$42=0,1-MIN(C55,$E$43)/$E$43,((1+$E$42)^$E$43-(1+$E$42)^MIN(C55,$E$43))/((1+$E$42)^$E$43-1))</x:f>
        <x:v>0.7660540706019554</x:v>
      </x:c>
      <x:c r="I55" s="30" t="n">
        <x:f>MAX(0,1-D55-J55)</x:f>
        <x:v>0.2742541323972555</x:v>
      </x:c>
      <x:c r="J55" s="2" t="n">
        <x:f>(1-$E$40)*INDEX('Assumptions'!$H$65:$H$101,MIN(C55,36)+1)</x:f>
        <x:v>0.5865998645751586</x:v>
      </x:c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$E$40*INDEX('Assumptions'!$E$65:$E$101,MIN(C56,36)+1)</x:f>
        <x:v>0.15875499245655234</x:v>
      </x:c>
      <x:c r="E56" s="30" t="n">
        <x:f>(D56-D55)*H55</x:f>
        <x:v>0.015021546172450368</x:v>
      </x:c>
      <x:c r="F56" s="30" t="n">
        <x:f>(1-D56-J55)*(H55-H56)+(J56-J55)*H56</x:f>
        <x:v>0.06554331425075753</x:v>
      </x:c>
      <x:c r="G56" s="30" t="n">
        <x:f>SUM(E57:E147)</x:f>
        <x:v>0.024595239404930126</x:v>
      </x:c>
      <x:c r="H56" s="30" t="n">
        <x:f>IF($E$42=0,1-MIN(C56,$E$43)/$E$43,((1+$E$42)^$E$43-(1+$E$42)^MIN(C56,$E$43))/((1+$E$42)^$E$43-1))</x:f>
        <x:v>0.6948961399359538</x:v>
      </x:c>
      <x:c r="I56" s="30" t="n">
        <x:f>MAX(0,1-D56-J56)</x:f>
        <x:v>0.18639999078287506</x:v>
      </x:c>
      <x:c r="J56" s="2" t="n">
        <x:f>(1-$E$40)*INDEX('Assumptions'!$H$65:$H$101,MIN(C56,36)+1)</x:f>
        <x:v>0.6548450167605726</x:v>
      </x:c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$E$40*INDEX('Assumptions'!$E$65:$E$101,MIN(C57,36)+1)</x:f>
        <x:v>0.1729640541883488</x:v>
      </x:c>
      <x:c r="E57" s="30" t="n">
        <x:f>(D57-D56)*H56</x:f>
        <x:v>0.009873822149537033</x:v>
      </x:c>
      <x:c r="F57" s="30" t="n">
        <x:f>(1-D57-J56)*(H56-H57)+(J57-J56)*H57</x:f>
        <x:v>0.04578686905891455</x:v>
      </x:c>
      <x:c r="G57" s="30" t="n">
        <x:f>SUM(E58:E147)</x:f>
        <x:v>0.014721417255393093</x:v>
      </x:c>
      <x:c r="H57" s="30" t="n">
        <x:f>IF($E$42=0,1-MIN(C57,$E$43)/$E$43,((1+$E$42)^$E$43-(1+$E$42)^MIN(C57,$E$43))/((1+$E$42)^$E$43-1))</x:f>
        <x:v>0.617808381714452</x:v>
      </x:c>
      <x:c r="I57" s="30" t="n">
        <x:f>MAX(0,1-D57-J57)</x:f>
        <x:v>0.11956448804672748</x:v>
      </x:c>
      <x:c r="J57" s="2" t="n">
        <x:f>(1-$E$40)*INDEX('Assumptions'!$H$65:$H$101,MIN(C57,36)+1)</x:f>
        <x:v>0.7074714577649237</x:v>
      </x:c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$E$40*INDEX('Assumptions'!$E$65:$E$101,MIN(C58,36)+1)</x:f>
        <x:v>0.1837405454525418</x:v>
      </x:c>
      <x:c r="E58" s="30" t="n">
        <x:f>(D58-D57)*H57</x:f>
        <x:v>0.006657806628491006</x:v>
      </x:c>
      <x:c r="F58" s="30" t="n">
        <x:f>(1-D58-J57)*(H57-H58)+(J58-J57)*H58</x:f>
        <x:v>0.03013824284215856</x:v>
      </x:c>
      <x:c r="G58" s="30" t="n">
        <x:f>SUM(E59:E147)</x:f>
        <x:v>0.008063610626902086</x:v>
      </x:c>
      <x:c r="H58" s="30" t="n">
        <x:f>IF($E$42=0,1-MIN(C58,$E$43)/$E$43,((1+$E$42)^$E$43-(1+$E$42)^MIN(C58,$E$43))/((1+$E$42)^$E$43-1))</x:f>
        <x:v>0.5342966436411585</x:v>
      </x:c>
      <x:c r="I58" s="30" t="n">
        <x:f>MAX(0,1-D58-J58)</x:f>
        <x:v>0.06938447740823561</x:v>
      </x:c>
      <x:c r="J58" s="2" t="n">
        <x:f>(1-$E$40)*INDEX('Assumptions'!$H$65:$H$101,MIN(C58,36)+1)</x:f>
        <x:v>0.7468749771392226</x:v>
      </x:c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$E$40*INDEX('Assumptions'!$E$65:$E$101,MIN(C59,36)+1)</x:f>
        <x:v>0.19310540368282814</x:v>
      </x:c>
      <x:c r="E59" s="30" t="n">
        <x:f>(D59-D58)*H58</x:f>
        <x:v>0.005003612320617276</x:v>
      </x:c>
      <x:c r="F59" s="30" t="n">
        <x:f>(1-D59-J58)*(H58-H59)+(J59-J58)*H59</x:f>
        <x:v>0.018661978309675996</x:v>
      </x:c>
      <x:c r="G59" s="30" t="n">
        <x:f>SUM(E60:E147)</x:f>
        <x:v>0.0030599983062848104</x:v>
      </x:c>
      <x:c r="H59" s="30" t="n">
        <x:f>IF($E$42=0,1-MIN(C59,$E$43)/$E$43,((1+$E$42)^$E$43-(1+$E$42)^MIN(C59,$E$43))/((1+$E$42)^$E$43-1))</x:f>
        <x:v>0.44382559406175714</x:v>
      </x:c>
      <x:c r="I59" s="30" t="n">
        <x:f>MAX(0,1-D59-J59)</x:f>
        <x:v>0.030206240805160434</x:v>
      </x:c>
      <x:c r="J59" s="2" t="n">
        <x:f>(1-$E$40)*INDEX('Assumptions'!$H$65:$H$101,MIN(C59,36)+1)</x:f>
        <x:v>0.7766883555120114</x:v>
      </x:c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$E$40*INDEX('Assumptions'!$E$65:$E$101,MIN(C60,36)+1)</x:f>
        <x:v>0.2</x:v>
      </x:c>
      <x:c r="E60" s="30" t="n">
        <x:f>(D60-D59)*H59</x:f>
        <x:v>0.0030599983062848104</x:v>
      </x:c>
      <x:c r="F60" s="30" t="n">
        <x:f>(1-D60-J59)*(H59-H60)+(J60-J59)*H60</x:f>
        <x:v>0.010346304463438035</x:v>
      </x:c>
      <x:c r="G60" s="30" t="n">
        <x:f>SUM(E61:E147)</x:f>
        <x:v>0</x:v>
      </x:c>
      <x:c r="H60" s="30" t="n">
        <x:f>IF($E$42=0,1-MIN(C60,$E$43)/$E$43,((1+$E$42)^$E$43-(1+$E$42)^MIN(C60,$E$43))/((1+$E$42)^$E$43-1))</x:f>
        <x:v>0.34581529035073894</x:v>
      </x:c>
      <x:c r="I60" s="30" t="n">
        <x:f>MAX(0,1-D60-J60)</x:f>
        <x:v>0</x:v>
      </x:c>
      <x:c r="J60" s="2" t="n">
        <x:f>(1-$E$40)*INDEX('Assumptions'!$H$65:$H$101,MIN(C60,36)+1)</x:f>
        <x:v>0.8</x:v>
      </x:c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$E$40*INDEX('Assumptions'!$E$65:$E$101,MIN(C61,36)+1)</x:f>
        <x:v>0.2</x:v>
      </x:c>
      <x:c r="E61" s="30" t="n">
        <x:f>(D61-D60)*H60</x:f>
        <x:v>0</x:v>
      </x:c>
      <x:c r="F61" s="30" t="n">
        <x:f>(1-D61-J60)*(H60-H61)+(J61-J60)*H61</x:f>
        <x:v>0</x:v>
      </x:c>
      <x:c r="G61" s="30" t="n">
        <x:f>SUM(E62:E147)</x:f>
        <x:v>0</x:v>
      </x:c>
      <x:c r="H61" s="30" t="n">
        <x:f>IF($E$42=0,1-MIN(C61,$E$43)/$E$43,((1+$E$42)^$E$43-(1+$E$42)^MIN(C61,$E$43))/((1+$E$42)^$E$43-1))</x:f>
        <x:v>0.23963746133046956</x:v>
      </x:c>
      <x:c r="I61" s="30" t="n">
        <x:f>MAX(0,1-D61-J61)</x:f>
        <x:v>0</x:v>
      </x:c>
      <x:c r="J61" s="2" t="n">
        <x:f>(1-$E$40)*INDEX('Assumptions'!$H$65:$H$101,MIN(C61,36)+1)</x:f>
        <x:v>0.8</x:v>
      </x:c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$E$40*INDEX('Assumptions'!$E$65:$E$101,MIN(C62,36)+1)</x:f>
        <x:v>0.2</x:v>
      </x:c>
      <x:c r="E62" s="30" t="n">
        <x:f>(D62-D61)*H61</x:f>
        <x:v>0</x:v>
      </x:c>
      <x:c r="F62" s="30" t="n">
        <x:f>(1-D62-J61)*(H61-H62)+(J62-J61)*H62</x:f>
        <x:v>0</x:v>
      </x:c>
      <x:c r="G62" s="30" t="n">
        <x:f>SUM(E63:E147)</x:f>
        <x:v>0</x:v>
      </x:c>
      <x:c r="H62" s="30" t="n">
        <x:f>IF($E$42=0,1-MIN(C62,$E$43)/$E$43,((1+$E$42)^$E$43-(1+$E$42)^MIN(C62,$E$43))/((1+$E$42)^$E$43-1))</x:f>
        <x:v>0.12461147989184414</x:v>
      </x:c>
      <x:c r="I62" s="30" t="n">
        <x:f>MAX(0,1-D62-J62)</x:f>
        <x:v>0</x:v>
      </x:c>
      <x:c r="J62" s="2" t="n">
        <x:f>(1-$E$40)*INDEX('Assumptions'!$H$65:$H$101,MIN(C62,36)+1)</x:f>
        <x:v>0.8</x:v>
      </x:c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$E$40*INDEX('Assumptions'!$E$65:$E$101,MIN(C63,36)+1)</x:f>
        <x:v>0.2</x:v>
      </x:c>
      <x:c r="E63" s="30" t="n">
        <x:f>(D63-D62)*H62</x:f>
        <x:v>0</x:v>
      </x:c>
      <x:c r="F63" s="30" t="n">
        <x:f>(1-D63-J62)*(H62-H63)+(J63-J62)*H63</x:f>
        <x:v>0</x:v>
      </x:c>
      <x:c r="G63" s="30" t="n">
        <x:f>SUM(E64:E147)</x:f>
        <x:v>0</x:v>
      </x:c>
      <x:c r="H63" s="30" t="n">
        <x:f>IF($E$42=0,1-MIN(C63,$E$43)/$E$43,((1+$E$42)^$E$43-(1+$E$42)^MIN(C63,$E$43))/((1+$E$42)^$E$43-1))</x:f>
        <x:v>0</x:v>
      </x:c>
      <x:c r="I63" s="30" t="n">
        <x:f>MAX(0,1-D63-J63)</x:f>
        <x:v>0</x:v>
      </x:c>
      <x:c r="J63" s="2" t="n">
        <x:f>(1-$E$40)*INDEX('Assumptions'!$H$65:$H$101,MIN(C63,36)+1)</x:f>
        <x:v>0.8</x:v>
      </x:c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$E$40*INDEX('Assumptions'!$E$65:$E$101,MIN(C64,36)+1)</x:f>
        <x:v>0.2</x:v>
      </x:c>
      <x:c r="E64" s="30" t="n">
        <x:f>(D64-D63)*H63</x:f>
        <x:v>0</x:v>
      </x:c>
      <x:c r="F64" s="30" t="n">
        <x:f>(1-D64-J63)*(H63-H64)+(J64-J63)*H64</x:f>
        <x:v>0</x:v>
      </x:c>
      <x:c r="G64" s="30" t="n">
        <x:f>SUM(E65:E147)</x:f>
        <x:v>0</x:v>
      </x:c>
      <x:c r="H64" s="30" t="n">
        <x:f>IF($E$42=0,1-MIN(C64,$E$43)/$E$43,((1+$E$42)^$E$43-(1+$E$42)^MIN(C64,$E$43))/((1+$E$42)^$E$43-1))</x:f>
        <x:v>0</x:v>
      </x:c>
      <x:c r="I64" s="30" t="n">
        <x:f>MAX(0,1-D64-J64)</x:f>
        <x:v>0</x:v>
      </x:c>
      <x:c r="J64" s="2" t="n">
        <x:f>(1-$E$40)*INDEX('Assumptions'!$H$65:$H$101,MIN(C64,36)+1)</x:f>
        <x:v>0.8</x:v>
      </x:c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$E$40*INDEX('Assumptions'!$E$65:$E$101,MIN(C65,36)+1)</x:f>
        <x:v>0.2</x:v>
      </x:c>
      <x:c r="E65" s="30" t="n">
        <x:f>(D65-D64)*H64</x:f>
        <x:v>0</x:v>
      </x:c>
      <x:c r="F65" s="30" t="n">
        <x:f>(1-D65-J64)*(H64-H65)+(J65-J64)*H65</x:f>
        <x:v>0</x:v>
      </x:c>
      <x:c r="G65" s="30" t="n">
        <x:f>SUM(E66:E147)</x:f>
        <x:v>0</x:v>
      </x:c>
      <x:c r="H65" s="30" t="n">
        <x:f>IF($E$42=0,1-MIN(C65,$E$43)/$E$43,((1+$E$42)^$E$43-(1+$E$42)^MIN(C65,$E$43))/((1+$E$42)^$E$43-1))</x:f>
        <x:v>0</x:v>
      </x:c>
      <x:c r="I65" s="30" t="n">
        <x:f>MAX(0,1-D65-J65)</x:f>
        <x:v>0</x:v>
      </x:c>
      <x:c r="J65" s="2" t="n">
        <x:f>(1-$E$40)*INDEX('Assumptions'!$H$65:$H$101,MIN(C65,36)+1)</x:f>
        <x:v>0.8</x:v>
      </x:c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$E$40*INDEX('Assumptions'!$E$65:$E$101,MIN(C66,36)+1)</x:f>
        <x:v>0.2</x:v>
      </x:c>
      <x:c r="E66" s="30" t="n">
        <x:f>(D66-D65)*H65</x:f>
        <x:v>0</x:v>
      </x:c>
      <x:c r="F66" s="30" t="n">
        <x:f>(1-D66-J65)*(H65-H66)+(J66-J65)*H66</x:f>
        <x:v>0</x:v>
      </x:c>
      <x:c r="G66" s="30" t="n">
        <x:f>SUM(E67:E147)</x:f>
        <x:v>0</x:v>
      </x:c>
      <x:c r="H66" s="30" t="n">
        <x:f>IF($E$42=0,1-MIN(C66,$E$43)/$E$43,((1+$E$42)^$E$43-(1+$E$42)^MIN(C66,$E$43))/((1+$E$42)^$E$43-1))</x:f>
        <x:v>0</x:v>
      </x:c>
      <x:c r="I66" s="30" t="n">
        <x:f>MAX(0,1-D66-J66)</x:f>
        <x:v>0</x:v>
      </x:c>
      <x:c r="J66" s="2" t="n">
        <x:f>(1-$E$40)*INDEX('Assumptions'!$H$65:$H$101,MIN(C66,36)+1)</x:f>
        <x:v>0.8</x:v>
      </x:c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$E$40*INDEX('Assumptions'!$E$65:$E$101,MIN(C67,36)+1)</x:f>
        <x:v>0.2</x:v>
      </x:c>
      <x:c r="E67" s="30" t="n">
        <x:f>(D67-D66)*H66</x:f>
        <x:v>0</x:v>
      </x:c>
      <x:c r="F67" s="30" t="n">
        <x:f>(1-D67-J66)*(H66-H67)+(J67-J66)*H67</x:f>
        <x:v>0</x:v>
      </x:c>
      <x:c r="G67" s="30" t="n">
        <x:f>SUM(E68:E147)</x:f>
        <x:v>0</x:v>
      </x:c>
      <x:c r="H67" s="30" t="n">
        <x:f>IF($E$42=0,1-MIN(C67,$E$43)/$E$43,((1+$E$42)^$E$43-(1+$E$42)^MIN(C67,$E$43))/((1+$E$42)^$E$43-1))</x:f>
        <x:v>0</x:v>
      </x:c>
      <x:c r="I67" s="30" t="n">
        <x:f>MAX(0,1-D67-J67)</x:f>
        <x:v>0</x:v>
      </x:c>
      <x:c r="J67" s="2" t="n">
        <x:f>(1-$E$40)*INDEX('Assumptions'!$H$65:$H$101,MIN(C67,36)+1)</x:f>
        <x:v>0.8</x:v>
      </x:c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$E$40*INDEX('Assumptions'!$E$65:$E$101,MIN(C68,36)+1)</x:f>
        <x:v>0.2</x:v>
      </x:c>
      <x:c r="E68" s="30" t="n">
        <x:f>(D68-D67)*H67</x:f>
        <x:v>0</x:v>
      </x:c>
      <x:c r="F68" s="30" t="n">
        <x:f>(1-D68-J67)*(H67-H68)+(J68-J67)*H68</x:f>
        <x:v>0</x:v>
      </x:c>
      <x:c r="G68" s="30" t="n">
        <x:f>SUM(E69:E147)</x:f>
        <x:v>0</x:v>
      </x:c>
      <x:c r="H68" s="30" t="n">
        <x:f>IF($E$42=0,1-MIN(C68,$E$43)/$E$43,((1+$E$42)^$E$43-(1+$E$42)^MIN(C68,$E$43))/((1+$E$42)^$E$43-1))</x:f>
        <x:v>0</x:v>
      </x:c>
      <x:c r="I68" s="30" t="n">
        <x:f>MAX(0,1-D68-J68)</x:f>
        <x:v>0</x:v>
      </x:c>
      <x:c r="J68" s="2" t="n">
        <x:f>(1-$E$40)*INDEX('Assumptions'!$H$65:$H$101,MIN(C68,36)+1)</x:f>
        <x:v>0.8</x:v>
      </x:c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$E$40*INDEX('Assumptions'!$E$65:$E$101,MIN(C69,36)+1)</x:f>
        <x:v>0.2</x:v>
      </x:c>
      <x:c r="E69" s="30" t="n">
        <x:f>(D69-D68)*H68</x:f>
        <x:v>0</x:v>
      </x:c>
      <x:c r="F69" s="30" t="n">
        <x:f>(1-D69-J68)*(H68-H69)+(J69-J68)*H69</x:f>
        <x:v>0</x:v>
      </x:c>
      <x:c r="G69" s="30" t="n">
        <x:f>SUM(E70:E147)</x:f>
        <x:v>0</x:v>
      </x:c>
      <x:c r="H69" s="30" t="n">
        <x:f>IF($E$42=0,1-MIN(C69,$E$43)/$E$43,((1+$E$42)^$E$43-(1+$E$42)^MIN(C69,$E$43))/((1+$E$42)^$E$43-1))</x:f>
        <x:v>0</x:v>
      </x:c>
      <x:c r="I69" s="30" t="n">
        <x:f>MAX(0,1-D69-J69)</x:f>
        <x:v>0</x:v>
      </x:c>
      <x:c r="J69" s="2" t="n">
        <x:f>(1-$E$40)*INDEX('Assumptions'!$H$65:$H$101,MIN(C69,36)+1)</x:f>
        <x:v>0.8</x:v>
      </x:c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$E$40*INDEX('Assumptions'!$E$65:$E$101,MIN(C70,36)+1)</x:f>
        <x:v>0.2</x:v>
      </x:c>
      <x:c r="E70" s="30" t="n">
        <x:f>(D70-D69)*H69</x:f>
        <x:v>0</x:v>
      </x:c>
      <x:c r="F70" s="30" t="n">
        <x:f>(1-D70-J69)*(H69-H70)+(J70-J69)*H70</x:f>
        <x:v>0</x:v>
      </x:c>
      <x:c r="G70" s="30" t="n">
        <x:f>SUM(E71:E147)</x:f>
        <x:v>0</x:v>
      </x:c>
      <x:c r="H70" s="30" t="n">
        <x:f>IF($E$42=0,1-MIN(C70,$E$43)/$E$43,((1+$E$42)^$E$43-(1+$E$42)^MIN(C70,$E$43))/((1+$E$42)^$E$43-1))</x:f>
        <x:v>0</x:v>
      </x:c>
      <x:c r="I70" s="30" t="n">
        <x:f>MAX(0,1-D70-J70)</x:f>
        <x:v>0</x:v>
      </x:c>
      <x:c r="J70" s="2" t="n">
        <x:f>(1-$E$40)*INDEX('Assumptions'!$H$65:$H$101,MIN(C70,36)+1)</x:f>
        <x:v>0.8</x:v>
      </x:c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$E$40*INDEX('Assumptions'!$E$65:$E$101,MIN(C71,36)+1)</x:f>
        <x:v>0.2</x:v>
      </x:c>
      <x:c r="E71" s="30" t="n">
        <x:f>(D71-D70)*H70</x:f>
        <x:v>0</x:v>
      </x:c>
      <x:c r="F71" s="30" t="n">
        <x:f>(1-D71-J70)*(H70-H71)+(J71-J70)*H71</x:f>
        <x:v>0</x:v>
      </x:c>
      <x:c r="G71" s="30" t="n">
        <x:f>SUM(E72:E147)</x:f>
        <x:v>0</x:v>
      </x:c>
      <x:c r="H71" s="30" t="n">
        <x:f>IF($E$42=0,1-MIN(C71,$E$43)/$E$43,((1+$E$42)^$E$43-(1+$E$42)^MIN(C71,$E$43))/((1+$E$42)^$E$43-1))</x:f>
        <x:v>0</x:v>
      </x:c>
      <x:c r="I71" s="30" t="n">
        <x:f>MAX(0,1-D71-J71)</x:f>
        <x:v>0</x:v>
      </x:c>
      <x:c r="J71" s="2" t="n">
        <x:f>(1-$E$40)*INDEX('Assumptions'!$H$65:$H$101,MIN(C71,36)+1)</x:f>
        <x:v>0.8</x:v>
      </x:c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$E$40*INDEX('Assumptions'!$E$65:$E$101,MIN(C72,36)+1)</x:f>
        <x:v>0.2</x:v>
      </x:c>
      <x:c r="E72" s="30" t="n">
        <x:f>(D72-D71)*H71</x:f>
        <x:v>0</x:v>
      </x:c>
      <x:c r="F72" s="30" t="n">
        <x:f>(1-D72-J71)*(H71-H72)+(J72-J71)*H72</x:f>
        <x:v>0</x:v>
      </x:c>
      <x:c r="G72" s="30" t="n">
        <x:f>SUM(E73:E147)</x:f>
        <x:v>0</x:v>
      </x:c>
      <x:c r="H72" s="30" t="n">
        <x:f>IF($E$42=0,1-MIN(C72,$E$43)/$E$43,((1+$E$42)^$E$43-(1+$E$42)^MIN(C72,$E$43))/((1+$E$42)^$E$43-1))</x:f>
        <x:v>0</x:v>
      </x:c>
      <x:c r="I72" s="30" t="n">
        <x:f>MAX(0,1-D72-J72)</x:f>
        <x:v>0</x:v>
      </x:c>
      <x:c r="J72" s="2" t="n">
        <x:f>(1-$E$40)*INDEX('Assumptions'!$H$65:$H$101,MIN(C72,36)+1)</x:f>
        <x:v>0.8</x:v>
      </x:c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$E$40*INDEX('Assumptions'!$E$65:$E$101,MIN(C73,36)+1)</x:f>
        <x:v>0.2</x:v>
      </x:c>
      <x:c r="E73" s="30" t="n">
        <x:f>(D73-D72)*H72</x:f>
        <x:v>0</x:v>
      </x:c>
      <x:c r="F73" s="30" t="n">
        <x:f>(1-D73-J72)*(H72-H73)+(J73-J72)*H73</x:f>
        <x:v>0</x:v>
      </x:c>
      <x:c r="G73" s="30" t="n">
        <x:f>SUM(E74:E147)</x:f>
        <x:v>0</x:v>
      </x:c>
      <x:c r="H73" s="30" t="n">
        <x:f>IF($E$42=0,1-MIN(C73,$E$43)/$E$43,((1+$E$42)^$E$43-(1+$E$42)^MIN(C73,$E$43))/((1+$E$42)^$E$43-1))</x:f>
        <x:v>0</x:v>
      </x:c>
      <x:c r="I73" s="30" t="n">
        <x:f>MAX(0,1-D73-J73)</x:f>
        <x:v>0</x:v>
      </x:c>
      <x:c r="J73" s="2" t="n">
        <x:f>(1-$E$40)*INDEX('Assumptions'!$H$65:$H$101,MIN(C73,36)+1)</x:f>
        <x:v>0.8</x:v>
      </x:c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$E$40*INDEX('Assumptions'!$E$65:$E$101,MIN(C74,36)+1)</x:f>
        <x:v>0.2</x:v>
      </x:c>
      <x:c r="E74" s="30" t="n">
        <x:f>(D74-D73)*H73</x:f>
        <x:v>0</x:v>
      </x:c>
      <x:c r="F74" s="30" t="n">
        <x:f>(1-D74-J73)*(H73-H74)+(J74-J73)*H74</x:f>
        <x:v>0</x:v>
      </x:c>
      <x:c r="G74" s="30" t="n">
        <x:f>SUM(E75:E147)</x:f>
        <x:v>0</x:v>
      </x:c>
      <x:c r="H74" s="30" t="n">
        <x:f>IF($E$42=0,1-MIN(C74,$E$43)/$E$43,((1+$E$42)^$E$43-(1+$E$42)^MIN(C74,$E$43))/((1+$E$42)^$E$43-1))</x:f>
        <x:v>0</x:v>
      </x:c>
      <x:c r="I74" s="30" t="n">
        <x:f>MAX(0,1-D74-J74)</x:f>
        <x:v>0</x:v>
      </x:c>
      <x:c r="J74" s="2" t="n">
        <x:f>(1-$E$40)*INDEX('Assumptions'!$H$65:$H$101,MIN(C74,36)+1)</x:f>
        <x:v>0.8</x:v>
      </x:c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$E$40*INDEX('Assumptions'!$E$65:$E$101,MIN(C75,36)+1)</x:f>
        <x:v>0.2</x:v>
      </x:c>
      <x:c r="E75" s="30" t="n">
        <x:f>(D75-D74)*H74</x:f>
        <x:v>0</x:v>
      </x:c>
      <x:c r="F75" s="30" t="n">
        <x:f>(1-D75-J74)*(H74-H75)+(J75-J74)*H75</x:f>
        <x:v>0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MAX(0,1-D75-J75)</x:f>
        <x:v>0</x:v>
      </x:c>
      <x:c r="J75" s="2" t="n">
        <x:f>(1-$E$40)*INDEX('Assumptions'!$H$65:$H$101,MIN(C75,36)+1)</x:f>
        <x:v>0.8</x:v>
      </x:c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$E$40*INDEX('Assumptions'!$E$65:$E$101,MIN(C76,36)+1)</x:f>
        <x:v>0.2</x:v>
      </x:c>
      <x:c r="E76" s="30" t="n">
        <x:f>(D76-D75)*H75</x:f>
        <x:v>0</x:v>
      </x:c>
      <x:c r="F76" s="30" t="n">
        <x:f>(1-D76-J75)*(H75-H76)+(J76-J75)*H76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MAX(0,1-D76-J76)</x:f>
        <x:v>0</x:v>
      </x:c>
      <x:c r="J76" s="2" t="n">
        <x:f>(1-$E$40)*INDEX('Assumptions'!$H$65:$H$101,MIN(C76,36)+1)</x:f>
        <x:v>0.8</x:v>
      </x:c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$E$40*INDEX('Assumptions'!$E$65:$E$101,MIN(C77,36)+1)</x:f>
        <x:v>0.2</x:v>
      </x:c>
      <x:c r="E77" s="30" t="n">
        <x:f>(D77-D76)*H76</x:f>
        <x:v>0</x:v>
      </x:c>
      <x:c r="F77" s="30" t="n">
        <x:f>(1-D77-J76)*(H76-H77)+(J77-J76)*H77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MAX(0,1-D77-J77)</x:f>
        <x:v>0</x:v>
      </x:c>
      <x:c r="J77" s="2" t="n">
        <x:f>(1-$E$40)*INDEX('Assumptions'!$H$65:$H$101,MIN(C77,36)+1)</x:f>
        <x:v>0.8</x:v>
      </x:c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$E$40*INDEX('Assumptions'!$E$65:$E$101,MIN(C78,36)+1)</x:f>
        <x:v>0.2</x:v>
      </x:c>
      <x:c r="E78" s="30" t="n">
        <x:f>(D78-D77)*H77</x:f>
        <x:v>0</x:v>
      </x:c>
      <x:c r="F78" s="30" t="n">
        <x:f>(1-D78-J77)*(H77-H78)+(J78-J77)*H78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MAX(0,1-D78-J78)</x:f>
        <x:v>0</x:v>
      </x:c>
      <x:c r="J78" s="2" t="n">
        <x:f>(1-$E$40)*INDEX('Assumptions'!$H$65:$H$101,MIN(C78,36)+1)</x:f>
        <x:v>0.8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$E$40*INDEX('Assumptions'!$E$65:$E$101,MIN(C79,36)+1)</x:f>
        <x:v>0.2</x:v>
      </x:c>
      <x:c r="E79" s="30" t="n">
        <x:f>(D79-D78)*H78</x:f>
        <x:v>0</x:v>
      </x:c>
      <x:c r="F79" s="30" t="n">
        <x:f>(1-D79-J78)*(H78-H79)+(J79-J78)*H79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MAX(0,1-D79-J79)</x:f>
        <x:v>0</x:v>
      </x:c>
      <x:c r="J79" s="2" t="n">
        <x:f>(1-$E$40)*INDEX('Assumptions'!$H$65:$H$101,MIN(C79,36)+1)</x:f>
        <x:v>0.8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$E$40*INDEX('Assumptions'!$E$65:$E$101,MIN(C80,36)+1)</x:f>
        <x:v>0.2</x:v>
      </x:c>
      <x:c r="E80" s="30" t="n">
        <x:f>(D80-D79)*H79</x:f>
        <x:v>0</x:v>
      </x:c>
      <x:c r="F80" s="30" t="n">
        <x:f>(1-D80-J79)*(H79-H80)+(J80-J79)*H80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MAX(0,1-D80-J80)</x:f>
        <x:v>0</x:v>
      </x:c>
      <x:c r="J80" s="2" t="n">
        <x:f>(1-$E$40)*INDEX('Assumptions'!$H$65:$H$101,MIN(C80,36)+1)</x:f>
        <x:v>0.8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$E$40*INDEX('Assumptions'!$E$65:$E$101,MIN(C81,36)+1)</x:f>
        <x:v>0.2</x:v>
      </x:c>
      <x:c r="E81" s="30" t="n">
        <x:f>(D81-D80)*H80</x:f>
        <x:v>0</x:v>
      </x:c>
      <x:c r="F81" s="30" t="n">
        <x:f>(1-D81-J80)*(H80-H81)+(J81-J80)*H81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MAX(0,1-D81-J81)</x:f>
        <x:v>0</x:v>
      </x:c>
      <x:c r="J81" s="2" t="n">
        <x:f>(1-$E$40)*INDEX('Assumptions'!$H$65:$H$101,MIN(C81,36)+1)</x:f>
        <x:v>0.8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$E$40*INDEX('Assumptions'!$E$65:$E$101,MIN(C82,36)+1)</x:f>
        <x:v>0.2</x:v>
      </x:c>
      <x:c r="E82" s="30" t="n">
        <x:f>(D82-D81)*H81</x:f>
        <x:v>0</x:v>
      </x:c>
      <x:c r="F82" s="30" t="n">
        <x:f>(1-D82-J81)*(H81-H82)+(J82-J81)*H82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MAX(0,1-D82-J82)</x:f>
        <x:v>0</x:v>
      </x:c>
      <x:c r="J82" s="2" t="n">
        <x:f>(1-$E$40)*INDEX('Assumptions'!$H$65:$H$101,MIN(C82,36)+1)</x:f>
        <x:v>0.8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$E$40*INDEX('Assumptions'!$E$65:$E$101,MIN(C83,36)+1)</x:f>
        <x:v>0.2</x:v>
      </x:c>
      <x:c r="E83" s="30" t="n">
        <x:f>(D83-D82)*H82</x:f>
        <x:v>0</x:v>
      </x:c>
      <x:c r="F83" s="30" t="n">
        <x:f>(1-D83-J82)*(H82-H83)+(J83-J82)*H83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MAX(0,1-D83-J83)</x:f>
        <x:v>0</x:v>
      </x:c>
      <x:c r="J83" s="2" t="n">
        <x:f>(1-$E$40)*INDEX('Assumptions'!$H$65:$H$101,MIN(C83,36)+1)</x:f>
        <x:v>0.8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$E$40*INDEX('Assumptions'!$E$65:$E$101,MIN(C84,36)+1)</x:f>
        <x:v>0.2</x:v>
      </x:c>
      <x:c r="E84" s="30" t="n">
        <x:f>(D84-D83)*H83</x:f>
        <x:v>0</x:v>
      </x:c>
      <x:c r="F84" s="30" t="n">
        <x:f>(1-D84-J83)*(H83-H84)+(J84-J83)*H84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MAX(0,1-D84-J84)</x:f>
        <x:v>0</x:v>
      </x:c>
      <x:c r="J84" s="2" t="n">
        <x:f>(1-$E$40)*INDEX('Assumptions'!$H$65:$H$101,MIN(C84,36)+1)</x:f>
        <x:v>0.8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$E$40*INDEX('Assumptions'!$E$65:$E$101,MIN(C85,36)+1)</x:f>
        <x:v>0.2</x:v>
      </x:c>
      <x:c r="E85" s="30" t="n">
        <x:f>(D85-D84)*H84</x:f>
        <x:v>0</x:v>
      </x:c>
      <x:c r="F85" s="30" t="n">
        <x:f>(1-D85-J84)*(H84-H85)+(J85-J84)*H85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MAX(0,1-D85-J85)</x:f>
        <x:v>0</x:v>
      </x:c>
      <x:c r="J85" s="2" t="n">
        <x:f>(1-$E$40)*INDEX('Assumptions'!$H$65:$H$101,MIN(C85,36)+1)</x:f>
        <x:v>0.8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$E$40*INDEX('Assumptions'!$E$65:$E$101,MIN(C86,36)+1)</x:f>
        <x:v>0.2</x:v>
      </x:c>
      <x:c r="E86" s="30" t="n">
        <x:f>(D86-D85)*H85</x:f>
        <x:v>0</x:v>
      </x:c>
      <x:c r="F86" s="30" t="n">
        <x:f>(1-D86-J85)*(H85-H86)+(J86-J85)*H86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MAX(0,1-D86-J86)</x:f>
        <x:v>0</x:v>
      </x:c>
      <x:c r="J86" s="2" t="n">
        <x:f>(1-$E$40)*INDEX('Assumptions'!$H$65:$H$101,MIN(C86,36)+1)</x:f>
        <x:v>0.8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$E$40*INDEX('Assumptions'!$E$65:$E$101,MIN(C87,36)+1)</x:f>
        <x:v>0.2</x:v>
      </x:c>
      <x:c r="E87" s="30" t="n">
        <x:f>(D87-D86)*H86</x:f>
        <x:v>0</x:v>
      </x:c>
      <x:c r="F87" s="30" t="n">
        <x:f>(1-D87-J86)*(H86-H87)+(J87-J86)*H87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MAX(0,1-D87-J87)</x:f>
        <x:v>0</x:v>
      </x:c>
      <x:c r="J87" s="2" t="n">
        <x:f>(1-$E$40)*INDEX('Assumptions'!$H$65:$H$101,MIN(C87,36)+1)</x:f>
        <x:v>0.8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$E$40*INDEX('Assumptions'!$E$65:$E$101,MIN(C88,36)+1)</x:f>
        <x:v>0.2</x:v>
      </x:c>
      <x:c r="E88" s="30" t="n">
        <x:f>(D88-D87)*H87</x:f>
        <x:v>0</x:v>
      </x:c>
      <x:c r="F88" s="30" t="n">
        <x:f>(1-D88-J87)*(H87-H88)+(J88-J87)*H88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MAX(0,1-D88-J88)</x:f>
        <x:v>0</x:v>
      </x:c>
      <x:c r="J88" s="2" t="n">
        <x:f>(1-$E$40)*INDEX('Assumptions'!$H$65:$H$101,MIN(C88,36)+1)</x:f>
        <x:v>0.8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$E$40*INDEX('Assumptions'!$E$65:$E$101,MIN(C89,36)+1)</x:f>
        <x:v>0.2</x:v>
      </x:c>
      <x:c r="E89" s="30" t="n">
        <x:f>(D89-D88)*H88</x:f>
        <x:v>0</x:v>
      </x:c>
      <x:c r="F89" s="30" t="n">
        <x:f>(1-D89-J88)*(H88-H89)+(J89-J88)*H89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MAX(0,1-D89-J89)</x:f>
        <x:v>0</x:v>
      </x:c>
      <x:c r="J89" s="2" t="n">
        <x:f>(1-$E$40)*INDEX('Assumptions'!$H$65:$H$101,MIN(C89,36)+1)</x:f>
        <x:v>0.8</x:v>
      </x:c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$E$40*INDEX('Assumptions'!$E$65:$E$101,MIN(C90,36)+1)</x:f>
        <x:v>0.2</x:v>
      </x:c>
      <x:c r="E90" s="30" t="n">
        <x:f>(D90-D89)*H89</x:f>
        <x:v>0</x:v>
      </x:c>
      <x:c r="F90" s="30" t="n">
        <x:f>(1-D90-J89)*(H89-H90)+(J90-J89)*H90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MAX(0,1-D90-J90)</x:f>
        <x:v>0</x:v>
      </x:c>
      <x:c r="J90" s="2" t="n">
        <x:f>(1-$E$40)*INDEX('Assumptions'!$H$65:$H$101,MIN(C90,36)+1)</x:f>
        <x:v>0.8</x:v>
      </x:c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$E$40*INDEX('Assumptions'!$E$65:$E$101,MIN(C91,36)+1)</x:f>
        <x:v>0.2</x:v>
      </x:c>
      <x:c r="E91" s="30" t="n">
        <x:f>(D91-D90)*H90</x:f>
        <x:v>0</x:v>
      </x:c>
      <x:c r="F91" s="30" t="n">
        <x:f>(1-D91-J90)*(H90-H91)+(J91-J90)*H91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MAX(0,1-D91-J91)</x:f>
        <x:v>0</x:v>
      </x:c>
      <x:c r="J91" s="2" t="n">
        <x:f>(1-$E$40)*INDEX('Assumptions'!$H$65:$H$101,MIN(C91,36)+1)</x:f>
        <x:v>0.8</x:v>
      </x:c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$E$40*INDEX('Assumptions'!$E$65:$E$101,MIN(C92,36)+1)</x:f>
        <x:v>0.2</x:v>
      </x:c>
      <x:c r="E92" s="30" t="n">
        <x:f>(D92-D91)*H91</x:f>
        <x:v>0</x:v>
      </x:c>
      <x:c r="F92" s="30" t="n">
        <x:f>(1-D92-J91)*(H91-H92)+(J92-J91)*H92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MAX(0,1-D92-J92)</x:f>
        <x:v>0</x:v>
      </x:c>
      <x:c r="J92" s="2" t="n">
        <x:f>(1-$E$40)*INDEX('Assumptions'!$H$65:$H$101,MIN(C92,36)+1)</x:f>
        <x:v>0.8</x:v>
      </x:c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$E$40*INDEX('Assumptions'!$E$65:$E$101,MIN(C93,36)+1)</x:f>
        <x:v>0.2</x:v>
      </x:c>
      <x:c r="E93" s="30" t="n">
        <x:f>(D93-D92)*H92</x:f>
        <x:v>0</x:v>
      </x:c>
      <x:c r="F93" s="30" t="n">
        <x:f>(1-D93-J92)*(H92-H93)+(J93-J92)*H93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MAX(0,1-D93-J93)</x:f>
        <x:v>0</x:v>
      </x:c>
      <x:c r="J93" s="2" t="n">
        <x:f>(1-$E$40)*INDEX('Assumptions'!$H$65:$H$101,MIN(C93,36)+1)</x:f>
        <x:v>0.8</x:v>
      </x:c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$E$40*INDEX('Assumptions'!$E$65:$E$101,MIN(C94,36)+1)</x:f>
        <x:v>0.2</x:v>
      </x:c>
      <x:c r="E94" s="30" t="n">
        <x:f>(D94-D93)*H93</x:f>
        <x:v>0</x:v>
      </x:c>
      <x:c r="F94" s="30" t="n">
        <x:f>(1-D94-J93)*(H93-H94)+(J94-J93)*H94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MAX(0,1-D94-J94)</x:f>
        <x:v>0</x:v>
      </x:c>
      <x:c r="J94" s="2" t="n">
        <x:f>(1-$E$40)*INDEX('Assumptions'!$H$65:$H$101,MIN(C94,36)+1)</x:f>
        <x:v>0.8</x:v>
      </x:c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$E$40*INDEX('Assumptions'!$E$65:$E$101,MIN(C95,36)+1)</x:f>
        <x:v>0.2</x:v>
      </x:c>
      <x:c r="E95" s="30" t="n">
        <x:f>(D95-D94)*H94</x:f>
        <x:v>0</x:v>
      </x:c>
      <x:c r="F95" s="30" t="n">
        <x:f>(1-D95-J94)*(H94-H95)+(J95-J94)*H95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MAX(0,1-D95-J95)</x:f>
        <x:v>0</x:v>
      </x:c>
      <x:c r="J95" s="2" t="n">
        <x:f>(1-$E$40)*INDEX('Assumptions'!$H$65:$H$101,MIN(C95,36)+1)</x:f>
        <x:v>0.8</x:v>
      </x:c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$E$40*INDEX('Assumptions'!$E$65:$E$101,MIN(C96,36)+1)</x:f>
        <x:v>0.2</x:v>
      </x:c>
      <x:c r="E96" s="30" t="n">
        <x:f>(D96-D95)*H95</x:f>
        <x:v>0</x:v>
      </x:c>
      <x:c r="F96" s="30" t="n">
        <x:f>(1-D96-J95)*(H95-H96)+(J96-J95)*H96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MAX(0,1-D96-J96)</x:f>
        <x:v>0</x:v>
      </x:c>
      <x:c r="J96" s="2" t="n">
        <x:f>(1-$E$40)*INDEX('Assumptions'!$H$65:$H$101,MIN(C96,36)+1)</x:f>
        <x:v>0.8</x:v>
      </x:c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$E$40*INDEX('Assumptions'!$E$65:$E$101,MIN(C97,36)+1)</x:f>
        <x:v>0.2</x:v>
      </x:c>
      <x:c r="E97" s="30" t="n">
        <x:f>(D97-D96)*H96</x:f>
        <x:v>0</x:v>
      </x:c>
      <x:c r="F97" s="30" t="n">
        <x:f>(1-D97-J96)*(H96-H97)+(J97-J96)*H97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MAX(0,1-D97-J97)</x:f>
        <x:v>0</x:v>
      </x:c>
      <x:c r="J97" s="2" t="n">
        <x:f>(1-$E$40)*INDEX('Assumptions'!$H$65:$H$101,MIN(C97,36)+1)</x:f>
        <x:v>0.8</x:v>
      </x:c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$E$40*INDEX('Assumptions'!$E$65:$E$101,MIN(C98,36)+1)</x:f>
        <x:v>0.2</x:v>
      </x:c>
      <x:c r="E98" s="30" t="n">
        <x:f>(D98-D97)*H97</x:f>
        <x:v>0</x:v>
      </x:c>
      <x:c r="F98" s="30" t="n">
        <x:f>(1-D98-J97)*(H97-H98)+(J98-J97)*H98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MAX(0,1-D98-J98)</x:f>
        <x:v>0</x:v>
      </x:c>
      <x:c r="J98" s="2" t="n">
        <x:f>(1-$E$40)*INDEX('Assumptions'!$H$65:$H$101,MIN(C98,36)+1)</x:f>
        <x:v>0.8</x:v>
      </x:c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$E$40*INDEX('Assumptions'!$E$65:$E$101,MIN(C99,36)+1)</x:f>
        <x:v>0.2</x:v>
      </x:c>
      <x:c r="E99" s="30" t="n">
        <x:f>(D99-D98)*H98</x:f>
        <x:v>0</x:v>
      </x:c>
      <x:c r="F99" s="30" t="n">
        <x:f>(1-D99-J98)*(H98-H99)+(J99-J98)*H99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MAX(0,1-D99-J99)</x:f>
        <x:v>0</x:v>
      </x:c>
      <x:c r="J99" s="2" t="n">
        <x:f>(1-$E$40)*INDEX('Assumptions'!$H$65:$H$101,MIN(C99,36)+1)</x:f>
        <x:v>0.8</x:v>
      </x:c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$E$40*INDEX('Assumptions'!$E$65:$E$101,MIN(C100,36)+1)</x:f>
        <x:v>0.2</x:v>
      </x:c>
      <x:c r="E100" s="30" t="n">
        <x:f>(D100-D99)*H99</x:f>
        <x:v>0</x:v>
      </x:c>
      <x:c r="F100" s="30" t="n">
        <x:f>(1-D100-J99)*(H99-H100)+(J100-J99)*H100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MAX(0,1-D100-J100)</x:f>
        <x:v>0</x:v>
      </x:c>
      <x:c r="J100" s="2" t="n">
        <x:f>(1-$E$40)*INDEX('Assumptions'!$H$65:$H$101,MIN(C100,36)+1)</x:f>
        <x:v>0.8</x:v>
      </x:c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$E$40*INDEX('Assumptions'!$E$65:$E$101,MIN(C101,36)+1)</x:f>
        <x:v>0.2</x:v>
      </x:c>
      <x:c r="E101" s="30" t="n">
        <x:f>(D101-D100)*H100</x:f>
        <x:v>0</x:v>
      </x:c>
      <x:c r="F101" s="30" t="n">
        <x:f>(1-D101-J100)*(H100-H101)+(J101-J100)*H101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MAX(0,1-D101-J101)</x:f>
        <x:v>0</x:v>
      </x:c>
      <x:c r="J101" s="2" t="n">
        <x:f>(1-$E$40)*INDEX('Assumptions'!$H$65:$H$101,MIN(C101,36)+1)</x:f>
        <x:v>0.8</x:v>
      </x:c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$E$40*INDEX('Assumptions'!$E$65:$E$101,MIN(C102,36)+1)</x:f>
        <x:v>0.2</x:v>
      </x:c>
      <x:c r="E102" s="30" t="n">
        <x:f>(D102-D101)*H101</x:f>
        <x:v>0</x:v>
      </x:c>
      <x:c r="F102" s="30" t="n">
        <x:f>(1-D102-J101)*(H101-H102)+(J102-J101)*H102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MAX(0,1-D102-J102)</x:f>
        <x:v>0</x:v>
      </x:c>
      <x:c r="J102" s="2" t="n">
        <x:f>(1-$E$40)*INDEX('Assumptions'!$H$65:$H$101,MIN(C102,36)+1)</x:f>
        <x:v>0.8</x:v>
      </x:c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$E$40*INDEX('Assumptions'!$E$65:$E$101,MIN(C103,36)+1)</x:f>
        <x:v>0.2</x:v>
      </x:c>
      <x:c r="E103" s="30" t="n">
        <x:f>(D103-D102)*H102</x:f>
        <x:v>0</x:v>
      </x:c>
      <x:c r="F103" s="30" t="n">
        <x:f>(1-D103-J102)*(H102-H103)+(J103-J102)*H103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MAX(0,1-D103-J103)</x:f>
        <x:v>0</x:v>
      </x:c>
      <x:c r="J103" s="2" t="n">
        <x:f>(1-$E$40)*INDEX('Assumptions'!$H$65:$H$101,MIN(C103,36)+1)</x:f>
        <x:v>0.8</x:v>
      </x:c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$E$40*INDEX('Assumptions'!$E$65:$E$101,MIN(C104,36)+1)</x:f>
        <x:v>0.2</x:v>
      </x:c>
      <x:c r="E104" s="30" t="n">
        <x:f>(D104-D103)*H103</x:f>
        <x:v>0</x:v>
      </x:c>
      <x:c r="F104" s="30" t="n">
        <x:f>(1-D104-J103)*(H103-H104)+(J104-J103)*H104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MAX(0,1-D104-J104)</x:f>
        <x:v>0</x:v>
      </x:c>
      <x:c r="J104" s="2" t="n">
        <x:f>(1-$E$40)*INDEX('Assumptions'!$H$65:$H$101,MIN(C104,36)+1)</x:f>
        <x:v>0.8</x:v>
      </x:c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$E$40*INDEX('Assumptions'!$E$65:$E$101,MIN(C105,36)+1)</x:f>
        <x:v>0.2</x:v>
      </x:c>
      <x:c r="E105" s="30" t="n">
        <x:f>(D105-D104)*H104</x:f>
        <x:v>0</x:v>
      </x:c>
      <x:c r="F105" s="30" t="n">
        <x:f>(1-D105-J104)*(H104-H105)+(J105-J104)*H105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MAX(0,1-D105-J105)</x:f>
        <x:v>0</x:v>
      </x:c>
      <x:c r="J105" s="2" t="n">
        <x:f>(1-$E$40)*INDEX('Assumptions'!$H$65:$H$101,MIN(C105,36)+1)</x:f>
        <x:v>0.8</x:v>
      </x:c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$E$40*INDEX('Assumptions'!$E$65:$E$101,MIN(C106,36)+1)</x:f>
        <x:v>0.2</x:v>
      </x:c>
      <x:c r="E106" s="30" t="n">
        <x:f>(D106-D105)*H105</x:f>
        <x:v>0</x:v>
      </x:c>
      <x:c r="F106" s="30" t="n">
        <x:f>(1-D106-J105)*(H105-H106)+(J106-J105)*H106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MAX(0,1-D106-J106)</x:f>
        <x:v>0</x:v>
      </x:c>
      <x:c r="J106" s="2" t="n">
        <x:f>(1-$E$40)*INDEX('Assumptions'!$H$65:$H$101,MIN(C106,36)+1)</x:f>
        <x:v>0.8</x:v>
      </x:c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$E$40*INDEX('Assumptions'!$E$65:$E$101,MIN(C107,36)+1)</x:f>
        <x:v>0.2</x:v>
      </x:c>
      <x:c r="E107" s="30" t="n">
        <x:f>(D107-D106)*H106</x:f>
        <x:v>0</x:v>
      </x:c>
      <x:c r="F107" s="30" t="n">
        <x:f>(1-D107-J106)*(H106-H107)+(J107-J106)*H107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MAX(0,1-D107-J107)</x:f>
        <x:v>0</x:v>
      </x:c>
      <x:c r="J107" s="2" t="n">
        <x:f>(1-$E$40)*INDEX('Assumptions'!$H$65:$H$101,MIN(C107,36)+1)</x:f>
        <x:v>0.8</x:v>
      </x:c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$E$40*INDEX('Assumptions'!$E$65:$E$101,MIN(C108,36)+1)</x:f>
        <x:v>0.2</x:v>
      </x:c>
      <x:c r="E108" s="30" t="n">
        <x:f>(D108-D107)*H107</x:f>
        <x:v>0</x:v>
      </x:c>
      <x:c r="F108" s="30" t="n">
        <x:f>(1-D108-J107)*(H107-H108)+(J108-J107)*H108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MAX(0,1-D108-J108)</x:f>
        <x:v>0</x:v>
      </x:c>
      <x:c r="J108" s="2" t="n">
        <x:f>(1-$E$40)*INDEX('Assumptions'!$H$65:$H$101,MIN(C108,36)+1)</x:f>
        <x:v>0.8</x:v>
      </x:c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$E$40*INDEX('Assumptions'!$E$65:$E$101,MIN(C109,36)+1)</x:f>
        <x:v>0.2</x:v>
      </x:c>
      <x:c r="E109" s="30" t="n">
        <x:f>(D109-D108)*H108</x:f>
        <x:v>0</x:v>
      </x:c>
      <x:c r="F109" s="30" t="n">
        <x:f>(1-D109-J108)*(H108-H109)+(J109-J108)*H109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MAX(0,1-D109-J109)</x:f>
        <x:v>0</x:v>
      </x:c>
      <x:c r="J109" s="2" t="n">
        <x:f>(1-$E$40)*INDEX('Assumptions'!$H$65:$H$101,MIN(C109,36)+1)</x:f>
        <x:v>0.8</x:v>
      </x:c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$E$40*INDEX('Assumptions'!$E$65:$E$101,MIN(C110,36)+1)</x:f>
        <x:v>0.2</x:v>
      </x:c>
      <x:c r="E110" s="30" t="n">
        <x:f>(D110-D109)*H109</x:f>
        <x:v>0</x:v>
      </x:c>
      <x:c r="F110" s="30" t="n">
        <x:f>(1-D110-J109)*(H109-H110)+(J110-J109)*H110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MAX(0,1-D110-J110)</x:f>
        <x:v>0</x:v>
      </x:c>
      <x:c r="J110" s="2" t="n">
        <x:f>(1-$E$40)*INDEX('Assumptions'!$H$65:$H$101,MIN(C110,36)+1)</x:f>
        <x:v>0.8</x:v>
      </x:c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$E$40*INDEX('Assumptions'!$E$65:$E$101,MIN(C111,36)+1)</x:f>
        <x:v>0.2</x:v>
      </x:c>
      <x:c r="E111" s="30" t="n">
        <x:f>(D111-D110)*H110</x:f>
        <x:v>0</x:v>
      </x:c>
      <x:c r="F111" s="30" t="n">
        <x:f>(1-D111-J110)*(H110-H111)+(J111-J110)*H111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MAX(0,1-D111-J111)</x:f>
        <x:v>0</x:v>
      </x:c>
      <x:c r="J111" s="2" t="n">
        <x:f>(1-$E$40)*INDEX('Assumptions'!$H$65:$H$101,MIN(C111,36)+1)</x:f>
        <x:v>0.8</x:v>
      </x:c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$E$40*INDEX('Assumptions'!$E$65:$E$101,MIN(C112,36)+1)</x:f>
        <x:v>0.2</x:v>
      </x:c>
      <x:c r="E112" s="30" t="n">
        <x:f>(D112-D111)*H111</x:f>
        <x:v>0</x:v>
      </x:c>
      <x:c r="F112" s="30" t="n">
        <x:f>(1-D112-J111)*(H111-H112)+(J112-J111)*H112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MAX(0,1-D112-J112)</x:f>
        <x:v>0</x:v>
      </x:c>
      <x:c r="J112" s="2" t="n">
        <x:f>(1-$E$40)*INDEX('Assumptions'!$H$65:$H$101,MIN(C112,36)+1)</x:f>
        <x:v>0.8</x:v>
      </x:c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$E$40*INDEX('Assumptions'!$E$65:$E$101,MIN(C113,36)+1)</x:f>
        <x:v>0.2</x:v>
      </x:c>
      <x:c r="E113" s="30" t="n">
        <x:f>(D113-D112)*H112</x:f>
        <x:v>0</x:v>
      </x:c>
      <x:c r="F113" s="30" t="n">
        <x:f>(1-D113-J112)*(H112-H113)+(J113-J112)*H113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MAX(0,1-D113-J113)</x:f>
        <x:v>0</x:v>
      </x:c>
      <x:c r="J113" s="2" t="n">
        <x:f>(1-$E$40)*INDEX('Assumptions'!$H$65:$H$101,MIN(C113,36)+1)</x:f>
        <x:v>0.8</x:v>
      </x:c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$E$40*INDEX('Assumptions'!$E$65:$E$101,MIN(C114,36)+1)</x:f>
        <x:v>0.2</x:v>
      </x:c>
      <x:c r="E114" s="30" t="n">
        <x:f>(D114-D113)*H113</x:f>
        <x:v>0</x:v>
      </x:c>
      <x:c r="F114" s="30" t="n">
        <x:f>(1-D114-J113)*(H113-H114)+(J114-J113)*H114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MAX(0,1-D114-J114)</x:f>
        <x:v>0</x:v>
      </x:c>
      <x:c r="J114" s="2" t="n">
        <x:f>(1-$E$40)*INDEX('Assumptions'!$H$65:$H$101,MIN(C114,36)+1)</x:f>
        <x:v>0.8</x:v>
      </x:c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$E$40*INDEX('Assumptions'!$E$65:$E$101,MIN(C115,36)+1)</x:f>
        <x:v>0.2</x:v>
      </x:c>
      <x:c r="E115" s="30" t="n">
        <x:f>(D115-D114)*H114</x:f>
        <x:v>0</x:v>
      </x:c>
      <x:c r="F115" s="30" t="n">
        <x:f>(1-D115-J114)*(H114-H115)+(J115-J114)*H115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MAX(0,1-D115-J115)</x:f>
        <x:v>0</x:v>
      </x:c>
      <x:c r="J115" s="2" t="n">
        <x:f>(1-$E$40)*INDEX('Assumptions'!$H$65:$H$101,MIN(C115,36)+1)</x:f>
        <x:v>0.8</x:v>
      </x:c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$E$40*INDEX('Assumptions'!$E$65:$E$101,MIN(C116,36)+1)</x:f>
        <x:v>0.2</x:v>
      </x:c>
      <x:c r="E116" s="30" t="n">
        <x:f>(D116-D115)*H115</x:f>
        <x:v>0</x:v>
      </x:c>
      <x:c r="F116" s="30" t="n">
        <x:f>(1-D116-J115)*(H115-H116)+(J116-J115)*H116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MAX(0,1-D116-J116)</x:f>
        <x:v>0</x:v>
      </x:c>
      <x:c r="J116" s="2" t="n">
        <x:f>(1-$E$40)*INDEX('Assumptions'!$H$65:$H$101,MIN(C116,36)+1)</x:f>
        <x:v>0.8</x:v>
      </x:c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$E$40*INDEX('Assumptions'!$E$65:$E$101,MIN(C117,36)+1)</x:f>
        <x:v>0.2</x:v>
      </x:c>
      <x:c r="E117" s="30" t="n">
        <x:f>(D117-D116)*H116</x:f>
        <x:v>0</x:v>
      </x:c>
      <x:c r="F117" s="30" t="n">
        <x:f>(1-D117-J116)*(H116-H117)+(J117-J116)*H117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MAX(0,1-D117-J117)</x:f>
        <x:v>0</x:v>
      </x:c>
      <x:c r="J117" s="2" t="n">
        <x:f>(1-$E$40)*INDEX('Assumptions'!$H$65:$H$101,MIN(C117,36)+1)</x:f>
        <x:v>0.8</x:v>
      </x:c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$E$40*INDEX('Assumptions'!$E$65:$E$101,MIN(C118,36)+1)</x:f>
        <x:v>0.2</x:v>
      </x:c>
      <x:c r="E118" s="30" t="n">
        <x:f>(D118-D117)*H117</x:f>
        <x:v>0</x:v>
      </x:c>
      <x:c r="F118" s="30" t="n">
        <x:f>(1-D118-J117)*(H117-H118)+(J118-J117)*H118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MAX(0,1-D118-J118)</x:f>
        <x:v>0</x:v>
      </x:c>
      <x:c r="J118" s="2" t="n">
        <x:f>(1-$E$40)*INDEX('Assumptions'!$H$65:$H$101,MIN(C118,36)+1)</x:f>
        <x:v>0.8</x:v>
      </x:c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$E$40*INDEX('Assumptions'!$E$65:$E$101,MIN(C119,36)+1)</x:f>
        <x:v>0.2</x:v>
      </x:c>
      <x:c r="E119" s="30" t="n">
        <x:f>(D119-D118)*H118</x:f>
        <x:v>0</x:v>
      </x:c>
      <x:c r="F119" s="30" t="n">
        <x:f>(1-D119-J118)*(H118-H119)+(J119-J118)*H119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MAX(0,1-D119-J119)</x:f>
        <x:v>0</x:v>
      </x:c>
      <x:c r="J119" s="2" t="n">
        <x:f>(1-$E$40)*INDEX('Assumptions'!$H$65:$H$101,MIN(C119,36)+1)</x:f>
        <x:v>0.8</x:v>
      </x:c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$E$40*INDEX('Assumptions'!$E$65:$E$101,MIN(C120,36)+1)</x:f>
        <x:v>0.2</x:v>
      </x:c>
      <x:c r="E120" s="30" t="n">
        <x:f>(D120-D119)*H119</x:f>
        <x:v>0</x:v>
      </x:c>
      <x:c r="F120" s="30" t="n">
        <x:f>(1-D120-J119)*(H119-H120)+(J120-J119)*H120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MAX(0,1-D120-J120)</x:f>
        <x:v>0</x:v>
      </x:c>
      <x:c r="J120" s="2" t="n">
        <x:f>(1-$E$40)*INDEX('Assumptions'!$H$65:$H$101,MIN(C120,36)+1)</x:f>
        <x:v>0.8</x:v>
      </x:c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$E$40*INDEX('Assumptions'!$E$65:$E$101,MIN(C121,36)+1)</x:f>
        <x:v>0.2</x:v>
      </x:c>
      <x:c r="E121" s="30" t="n">
        <x:f>(D121-D120)*H120</x:f>
        <x:v>0</x:v>
      </x:c>
      <x:c r="F121" s="30" t="n">
        <x:f>(1-D121-J120)*(H120-H121)+(J121-J120)*H121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MAX(0,1-D121-J121)</x:f>
        <x:v>0</x:v>
      </x:c>
      <x:c r="J121" s="2" t="n">
        <x:f>(1-$E$40)*INDEX('Assumptions'!$H$65:$H$101,MIN(C121,36)+1)</x:f>
        <x:v>0.8</x:v>
      </x:c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$E$40*INDEX('Assumptions'!$E$65:$E$101,MIN(C122,36)+1)</x:f>
        <x:v>0.2</x:v>
      </x:c>
      <x:c r="E122" s="30" t="n">
        <x:f>(D122-D121)*H121</x:f>
        <x:v>0</x:v>
      </x:c>
      <x:c r="F122" s="30" t="n">
        <x:f>(1-D122-J121)*(H121-H122)+(J122-J121)*H122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MAX(0,1-D122-J122)</x:f>
        <x:v>0</x:v>
      </x:c>
      <x:c r="J122" s="2" t="n">
        <x:f>(1-$E$40)*INDEX('Assumptions'!$H$65:$H$101,MIN(C122,36)+1)</x:f>
        <x:v>0.8</x:v>
      </x:c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$E$40*INDEX('Assumptions'!$E$65:$E$101,MIN(C123,36)+1)</x:f>
        <x:v>0.2</x:v>
      </x:c>
      <x:c r="E123" s="30" t="n">
        <x:f>(D123-D122)*H122</x:f>
        <x:v>0</x:v>
      </x:c>
      <x:c r="F123" s="30" t="n">
        <x:f>(1-D123-J122)*(H122-H123)+(J123-J122)*H123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MAX(0,1-D123-J123)</x:f>
        <x:v>0</x:v>
      </x:c>
      <x:c r="J123" s="2" t="n">
        <x:f>(1-$E$40)*INDEX('Assumptions'!$H$65:$H$101,MIN(C123,36)+1)</x:f>
        <x:v>0.8</x:v>
      </x:c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$E$40*INDEX('Assumptions'!$E$65:$E$101,MIN(C124,36)+1)</x:f>
        <x:v>0.2</x:v>
      </x:c>
      <x:c r="E124" s="30" t="n">
        <x:f>(D124-D123)*H123</x:f>
        <x:v>0</x:v>
      </x:c>
      <x:c r="F124" s="30" t="n">
        <x:f>(1-D124-J123)*(H123-H124)+(J124-J123)*H124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MAX(0,1-D124-J124)</x:f>
        <x:v>0</x:v>
      </x:c>
      <x:c r="J124" s="2" t="n">
        <x:f>(1-$E$40)*INDEX('Assumptions'!$H$65:$H$101,MIN(C124,36)+1)</x:f>
        <x:v>0.8</x:v>
      </x:c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$E$40*INDEX('Assumptions'!$E$65:$E$101,MIN(C125,36)+1)</x:f>
        <x:v>0.2</x:v>
      </x:c>
      <x:c r="E125" s="30" t="n">
        <x:f>(D125-D124)*H124</x:f>
        <x:v>0</x:v>
      </x:c>
      <x:c r="F125" s="30" t="n">
        <x:f>(1-D125-J124)*(H124-H125)+(J125-J124)*H125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MAX(0,1-D125-J125)</x:f>
        <x:v>0</x:v>
      </x:c>
      <x:c r="J125" s="2" t="n">
        <x:f>(1-$E$40)*INDEX('Assumptions'!$H$65:$H$101,MIN(C125,36)+1)</x:f>
        <x:v>0.8</x:v>
      </x:c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$E$40*INDEX('Assumptions'!$E$65:$E$101,MIN(C126,36)+1)</x:f>
        <x:v>0.2</x:v>
      </x:c>
      <x:c r="E126" s="30" t="n">
        <x:f>(D126-D125)*H125</x:f>
        <x:v>0</x:v>
      </x:c>
      <x:c r="F126" s="30" t="n">
        <x:f>(1-D126-J125)*(H125-H126)+(J126-J125)*H126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MAX(0,1-D126-J126)</x:f>
        <x:v>0</x:v>
      </x:c>
      <x:c r="J126" s="2" t="n">
        <x:f>(1-$E$40)*INDEX('Assumptions'!$H$65:$H$101,MIN(C126,36)+1)</x:f>
        <x:v>0.8</x:v>
      </x:c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$E$40*INDEX('Assumptions'!$E$65:$E$101,MIN(C127,36)+1)</x:f>
        <x:v>0.2</x:v>
      </x:c>
      <x:c r="E127" s="30" t="n">
        <x:f>(D127-D126)*H126</x:f>
        <x:v>0</x:v>
      </x:c>
      <x:c r="F127" s="30" t="n">
        <x:f>(1-D127-J126)*(H126-H127)+(J127-J126)*H127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MAX(0,1-D127-J127)</x:f>
        <x:v>0</x:v>
      </x:c>
      <x:c r="J127" s="2" t="n">
        <x:f>(1-$E$40)*INDEX('Assumptions'!$H$65:$H$101,MIN(C127,36)+1)</x:f>
        <x:v>0.8</x:v>
      </x:c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$E$40*INDEX('Assumptions'!$E$65:$E$101,MIN(C128,36)+1)</x:f>
        <x:v>0.2</x:v>
      </x:c>
      <x:c r="E128" s="30" t="n">
        <x:f>(D128-D127)*H127</x:f>
        <x:v>0</x:v>
      </x:c>
      <x:c r="F128" s="30" t="n">
        <x:f>(1-D128-J127)*(H127-H128)+(J128-J127)*H128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MAX(0,1-D128-J128)</x:f>
        <x:v>0</x:v>
      </x:c>
      <x:c r="J128" s="2" t="n">
        <x:f>(1-$E$40)*INDEX('Assumptions'!$H$65:$H$101,MIN(C128,36)+1)</x:f>
        <x:v>0.8</x:v>
      </x:c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$E$40*INDEX('Assumptions'!$E$65:$E$101,MIN(C129,36)+1)</x:f>
        <x:v>0.2</x:v>
      </x:c>
      <x:c r="E129" s="30" t="n">
        <x:f>(D129-D128)*H128</x:f>
        <x:v>0</x:v>
      </x:c>
      <x:c r="F129" s="30" t="n">
        <x:f>(1-D129-J128)*(H128-H129)+(J129-J128)*H129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MAX(0,1-D129-J129)</x:f>
        <x:v>0</x:v>
      </x:c>
      <x:c r="J129" s="2" t="n">
        <x:f>(1-$E$40)*INDEX('Assumptions'!$H$65:$H$101,MIN(C129,36)+1)</x:f>
        <x:v>0.8</x:v>
      </x:c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$E$40*INDEX('Assumptions'!$E$65:$E$101,MIN(C130,36)+1)</x:f>
        <x:v>0.2</x:v>
      </x:c>
      <x:c r="E130" s="30" t="n">
        <x:f>(D130-D129)*H129</x:f>
        <x:v>0</x:v>
      </x:c>
      <x:c r="F130" s="30" t="n">
        <x:f>(1-D130-J129)*(H129-H130)+(J130-J129)*H130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MAX(0,1-D130-J130)</x:f>
        <x:v>0</x:v>
      </x:c>
      <x:c r="J130" s="2" t="n">
        <x:f>(1-$E$40)*INDEX('Assumptions'!$H$65:$H$101,MIN(C130,36)+1)</x:f>
        <x:v>0.8</x:v>
      </x:c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$E$40*INDEX('Assumptions'!$E$65:$E$101,MIN(C131,36)+1)</x:f>
        <x:v>0.2</x:v>
      </x:c>
      <x:c r="E131" s="30" t="n">
        <x:f>(D131-D130)*H130</x:f>
        <x:v>0</x:v>
      </x:c>
      <x:c r="F131" s="30" t="n">
        <x:f>(1-D131-J130)*(H130-H131)+(J131-J130)*H131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MAX(0,1-D131-J131)</x:f>
        <x:v>0</x:v>
      </x:c>
      <x:c r="J131" s="2" t="n">
        <x:f>(1-$E$40)*INDEX('Assumptions'!$H$65:$H$101,MIN(C131,36)+1)</x:f>
        <x:v>0.8</x:v>
      </x:c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$E$40*INDEX('Assumptions'!$E$65:$E$101,MIN(C132,36)+1)</x:f>
        <x:v>0.2</x:v>
      </x:c>
      <x:c r="E132" s="30" t="n">
        <x:f>(D132-D131)*H131</x:f>
        <x:v>0</x:v>
      </x:c>
      <x:c r="F132" s="30" t="n">
        <x:f>(1-D132-J131)*(H131-H132)+(J132-J131)*H132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MAX(0,1-D132-J132)</x:f>
        <x:v>0</x:v>
      </x:c>
      <x:c r="J132" s="2" t="n">
        <x:f>(1-$E$40)*INDEX('Assumptions'!$H$65:$H$101,MIN(C132,36)+1)</x:f>
        <x:v>0.8</x:v>
      </x:c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$E$40*INDEX('Assumptions'!$E$65:$E$101,MIN(C133,36)+1)</x:f>
        <x:v>0.2</x:v>
      </x:c>
      <x:c r="E133" s="30" t="n">
        <x:f>(D133-D132)*H132</x:f>
        <x:v>0</x:v>
      </x:c>
      <x:c r="F133" s="30" t="n">
        <x:f>(1-D133-J132)*(H132-H133)+(J133-J132)*H133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MAX(0,1-D133-J133)</x:f>
        <x:v>0</x:v>
      </x:c>
      <x:c r="J133" s="2" t="n">
        <x:f>(1-$E$40)*INDEX('Assumptions'!$H$65:$H$101,MIN(C133,36)+1)</x:f>
        <x:v>0.8</x:v>
      </x:c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$E$40*INDEX('Assumptions'!$E$65:$E$101,MIN(C134,36)+1)</x:f>
        <x:v>0.2</x:v>
      </x:c>
      <x:c r="E134" s="30" t="n">
        <x:f>(D134-D133)*H133</x:f>
        <x:v>0</x:v>
      </x:c>
      <x:c r="F134" s="30" t="n">
        <x:f>(1-D134-J133)*(H133-H134)+(J134-J133)*H134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MAX(0,1-D134-J134)</x:f>
        <x:v>0</x:v>
      </x:c>
      <x:c r="J134" s="2" t="n">
        <x:f>(1-$E$40)*INDEX('Assumptions'!$H$65:$H$101,MIN(C134,36)+1)</x:f>
        <x:v>0.8</x:v>
      </x:c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$E$40*INDEX('Assumptions'!$E$65:$E$101,MIN(C135,36)+1)</x:f>
        <x:v>0.2</x:v>
      </x:c>
      <x:c r="E135" s="30" t="n">
        <x:f>(D135-D134)*H134</x:f>
        <x:v>0</x:v>
      </x:c>
      <x:c r="F135" s="30" t="n">
        <x:f>(1-D135-J134)*(H134-H135)+(J135-J134)*H135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MAX(0,1-D135-J135)</x:f>
        <x:v>0</x:v>
      </x:c>
      <x:c r="J135" s="2" t="n">
        <x:f>(1-$E$40)*INDEX('Assumptions'!$H$65:$H$101,MIN(C135,36)+1)</x:f>
        <x:v>0.8</x:v>
      </x:c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$E$40*INDEX('Assumptions'!$E$65:$E$101,MIN(C136,36)+1)</x:f>
        <x:v>0.2</x:v>
      </x:c>
      <x:c r="E136" s="30" t="n">
        <x:f>(D136-D135)*H135</x:f>
        <x:v>0</x:v>
      </x:c>
      <x:c r="F136" s="30" t="n">
        <x:f>(1-D136-J135)*(H135-H136)+(J136-J135)*H136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MAX(0,1-D136-J136)</x:f>
        <x:v>0</x:v>
      </x:c>
      <x:c r="J136" s="2" t="n">
        <x:f>(1-$E$40)*INDEX('Assumptions'!$H$65:$H$101,MIN(C136,36)+1)</x:f>
        <x:v>0.8</x:v>
      </x:c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$E$40*INDEX('Assumptions'!$E$65:$E$101,MIN(C137,36)+1)</x:f>
        <x:v>0.2</x:v>
      </x:c>
      <x:c r="E137" s="30" t="n">
        <x:f>(D137-D136)*H136</x:f>
        <x:v>0</x:v>
      </x:c>
      <x:c r="F137" s="30" t="n">
        <x:f>(1-D137-J136)*(H136-H137)+(J137-J136)*H137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MAX(0,1-D137-J137)</x:f>
        <x:v>0</x:v>
      </x:c>
      <x:c r="J137" s="2" t="n">
        <x:f>(1-$E$40)*INDEX('Assumptions'!$H$65:$H$101,MIN(C137,36)+1)</x:f>
        <x:v>0.8</x:v>
      </x:c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$E$40*INDEX('Assumptions'!$E$65:$E$101,MIN(C138,36)+1)</x:f>
        <x:v>0.2</x:v>
      </x:c>
      <x:c r="E138" s="30" t="n">
        <x:f>(D138-D137)*H137</x:f>
        <x:v>0</x:v>
      </x:c>
      <x:c r="F138" s="30" t="n">
        <x:f>(1-D138-J137)*(H137-H138)+(J138-J137)*H138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MAX(0,1-D138-J138)</x:f>
        <x:v>0</x:v>
      </x:c>
      <x:c r="J138" s="2" t="n">
        <x:f>(1-$E$40)*INDEX('Assumptions'!$H$65:$H$101,MIN(C138,36)+1)</x:f>
        <x:v>0.8</x:v>
      </x:c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$E$40*INDEX('Assumptions'!$E$65:$E$101,MIN(C139,36)+1)</x:f>
        <x:v>0.2</x:v>
      </x:c>
      <x:c r="E139" s="30" t="n">
        <x:f>(D139-D138)*H138</x:f>
        <x:v>0</x:v>
      </x:c>
      <x:c r="F139" s="30" t="n">
        <x:f>(1-D139-J138)*(H138-H139)+(J139-J138)*H139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MAX(0,1-D139-J139)</x:f>
        <x:v>0</x:v>
      </x:c>
      <x:c r="J139" s="2" t="n">
        <x:f>(1-$E$40)*INDEX('Assumptions'!$H$65:$H$101,MIN(C139,36)+1)</x:f>
        <x:v>0.8</x:v>
      </x:c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$E$40*INDEX('Assumptions'!$E$65:$E$101,MIN(C140,36)+1)</x:f>
        <x:v>0.2</x:v>
      </x:c>
      <x:c r="E140" s="30" t="n">
        <x:f>(D140-D139)*H139</x:f>
        <x:v>0</x:v>
      </x:c>
      <x:c r="F140" s="30" t="n">
        <x:f>(1-D140-J139)*(H139-H140)+(J140-J139)*H140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MAX(0,1-D140-J140)</x:f>
        <x:v>0</x:v>
      </x:c>
      <x:c r="J140" s="2" t="n">
        <x:f>(1-$E$40)*INDEX('Assumptions'!$H$65:$H$101,MIN(C140,36)+1)</x:f>
        <x:v>0.8</x:v>
      </x:c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$E$40*INDEX('Assumptions'!$E$65:$E$101,MIN(C141,36)+1)</x:f>
        <x:v>0.2</x:v>
      </x:c>
      <x:c r="E141" s="30" t="n">
        <x:f>(D141-D140)*H140</x:f>
        <x:v>0</x:v>
      </x:c>
      <x:c r="F141" s="30" t="n">
        <x:f>(1-D141-J140)*(H140-H141)+(J141-J140)*H141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MAX(0,1-D141-J141)</x:f>
        <x:v>0</x:v>
      </x:c>
      <x:c r="J141" s="2" t="n">
        <x:f>(1-$E$40)*INDEX('Assumptions'!$H$65:$H$101,MIN(C141,36)+1)</x:f>
        <x:v>0.8</x:v>
      </x:c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$E$40*INDEX('Assumptions'!$E$65:$E$101,MIN(C142,36)+1)</x:f>
        <x:v>0.2</x:v>
      </x:c>
      <x:c r="E142" s="30" t="n">
        <x:f>(D142-D141)*H141</x:f>
        <x:v>0</x:v>
      </x:c>
      <x:c r="F142" s="30" t="n">
        <x:f>(1-D142-J141)*(H141-H142)+(J142-J141)*H142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MAX(0,1-D142-J142)</x:f>
        <x:v>0</x:v>
      </x:c>
      <x:c r="J142" s="2" t="n">
        <x:f>(1-$E$40)*INDEX('Assumptions'!$H$65:$H$101,MIN(C142,36)+1)</x:f>
        <x:v>0.8</x:v>
      </x:c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$E$40*INDEX('Assumptions'!$E$65:$E$101,MIN(C143,36)+1)</x:f>
        <x:v>0.2</x:v>
      </x:c>
      <x:c r="E143" s="30" t="n">
        <x:f>(D143-D142)*H142</x:f>
        <x:v>0</x:v>
      </x:c>
      <x:c r="F143" s="30" t="n">
        <x:f>(1-D143-J142)*(H142-H143)+(J143-J142)*H143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MAX(0,1-D143-J143)</x:f>
        <x:v>0</x:v>
      </x:c>
      <x:c r="J143" s="2" t="n">
        <x:f>(1-$E$40)*INDEX('Assumptions'!$H$65:$H$101,MIN(C143,36)+1)</x:f>
        <x:v>0.8</x:v>
      </x:c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$E$40*INDEX('Assumptions'!$E$65:$E$101,MIN(C144,36)+1)</x:f>
        <x:v>0.2</x:v>
      </x:c>
      <x:c r="E144" s="30" t="n">
        <x:f>(D144-D143)*H143</x:f>
        <x:v>0</x:v>
      </x:c>
      <x:c r="F144" s="30" t="n">
        <x:f>(1-D144-J143)*(H143-H144)+(J144-J143)*H144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MAX(0,1-D144-J144)</x:f>
        <x:v>0</x:v>
      </x:c>
      <x:c r="J144" s="2" t="n">
        <x:f>(1-$E$40)*INDEX('Assumptions'!$H$65:$H$101,MIN(C144,36)+1)</x:f>
        <x:v>0.8</x:v>
      </x:c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$E$40*INDEX('Assumptions'!$E$65:$E$101,MIN(C145,36)+1)</x:f>
        <x:v>0.2</x:v>
      </x:c>
      <x:c r="E145" s="30" t="n">
        <x:f>(D145-D144)*H144</x:f>
        <x:v>0</x:v>
      </x:c>
      <x:c r="F145" s="30" t="n">
        <x:f>(1-D145-J144)*(H144-H145)+(J145-J144)*H145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MAX(0,1-D145-J145)</x:f>
        <x:v>0</x:v>
      </x:c>
      <x:c r="J145" s="2" t="n">
        <x:f>(1-$E$40)*INDEX('Assumptions'!$H$65:$H$101,MIN(C145,36)+1)</x:f>
        <x:v>0.8</x:v>
      </x:c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$E$40*INDEX('Assumptions'!$E$65:$E$101,MIN(C146,36)+1)</x:f>
        <x:v>0.2</x:v>
      </x:c>
      <x:c r="E146" s="30" t="n">
        <x:f>(D146-D145)*H145</x:f>
        <x:v>0</x:v>
      </x:c>
      <x:c r="F146" s="30" t="n">
        <x:f>(1-D146-J145)*(H145-H146)+(J146-J145)*H146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MAX(0,1-D146-J146)</x:f>
        <x:v>0</x:v>
      </x:c>
      <x:c r="J146" s="2" t="n">
        <x:f>(1-$E$40)*INDEX('Assumptions'!$H$65:$H$101,MIN(C146,36)+1)</x:f>
        <x:v>0.8</x:v>
      </x:c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$E$40*INDEX('Assumptions'!$E$65:$E$101,MIN(C147,36)+1)</x:f>
        <x:v>0.2</x:v>
      </x:c>
      <x:c r="E147" s="30" t="n">
        <x:f>(D147-D146)*H146</x:f>
        <x:v>0</x:v>
      </x:c>
      <x:c r="F147" s="30" t="n">
        <x:f>(1-D147-J146)*(H146-H147)+(J147-J146)*H147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MAX(0,1-D147-J147)</x:f>
        <x:v>0</x:v>
      </x:c>
      <x:c r="J147" s="2" t="n">
        <x:f>(1-$E$40)*INDEX('Assumptions'!$H$65:$H$101,MIN(C147,36)+1)</x:f>
        <x:v>0.8</x:v>
      </x:c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0</x:v>
      </x:c>
      <x:c r="CB150" s="30" t="n">
        <x:f>E74</x:f>
        <x:v>0</x:v>
      </x:c>
      <x:c r="CC150" s="30" t="n">
        <x:f>E73</x:f>
        <x:v>0</x:v>
      </x:c>
      <x:c r="CD150" s="30" t="n">
        <x:f>E72</x:f>
        <x:v>0</x:v>
      </x:c>
      <x:c r="CE150" s="30" t="n">
        <x:f>E71</x:f>
        <x:v>0</x:v>
      </x:c>
      <x:c r="CF150" s="30" t="n">
        <x:f>E70</x:f>
        <x:v>0</x:v>
      </x:c>
      <x:c r="CG150" s="30" t="n">
        <x:f>E69</x:f>
        <x:v>0</x:v>
      </x:c>
      <x:c r="CH150" s="30" t="n">
        <x:f>E68</x:f>
        <x:v>0</x:v>
      </x:c>
      <x:c r="CI150" s="30" t="n">
        <x:f>E67</x:f>
        <x:v>0</x:v>
      </x:c>
      <x:c r="CJ150" s="30" t="n">
        <x:f>E66</x:f>
        <x:v>0</x:v>
      </x:c>
      <x:c r="CK150" s="30" t="n">
        <x:f>E65</x:f>
        <x:v>0</x:v>
      </x:c>
      <x:c r="CL150" s="30" t="n">
        <x:f>E64</x:f>
        <x:v>0</x:v>
      </x:c>
      <x:c r="CM150" s="30" t="n">
        <x:f>E63</x:f>
        <x:v>0</x:v>
      </x:c>
      <x:c r="CN150" s="30" t="n">
        <x:f>E62</x:f>
        <x:v>0</x:v>
      </x:c>
      <x:c r="CO150" s="30" t="n">
        <x:f>E61</x:f>
        <x:v>0</x:v>
      </x:c>
      <x:c r="CP150" s="30" t="n">
        <x:f>E60</x:f>
        <x:v>0.0030599983062848104</x:v>
      </x:c>
      <x:c r="CQ150" s="30" t="n">
        <x:f>E59</x:f>
        <x:v>0.005003612320617276</x:v>
      </x:c>
      <x:c r="CR150" s="30" t="n">
        <x:f>E58</x:f>
        <x:v>0.006657806628491006</x:v>
      </x:c>
      <x:c r="CS150" s="30" t="n">
        <x:f>E57</x:f>
        <x:v>0.009873822149537033</x:v>
      </x:c>
      <x:c r="CT150" s="30" t="n">
        <x:f>E56</x:f>
        <x:v>0.015021546172450368</x:v>
      </x:c>
      <x:c r="CU150" s="30" t="n">
        <x:f>E55</x:f>
        <x:v>0.02006474723092569</x:v>
      </x:c>
      <x:c r="CV150" s="30" t="n">
        <x:f>E54</x:f>
        <x:v>0.025944124944724447</x:v>
      </x:c>
      <x:c r="CW150" s="30" t="n">
        <x:f>E53</x:f>
        <x:v>0.03618376309559283</x:v>
      </x:c>
      <x:c r="CX150" s="30" t="n">
        <x:f>E52</x:f>
        <x:v>0.047793907633118346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</x:v>
      </x:c>
      <x:c r="CB151" s="30" t="n">
        <x:f>F74</x:f>
        <x:v>0</x:v>
      </x:c>
      <x:c r="CC151" s="30" t="n">
        <x:f>F73</x:f>
        <x:v>0</x:v>
      </x:c>
      <x:c r="CD151" s="30" t="n">
        <x:f>F72</x:f>
        <x:v>0</x:v>
      </x:c>
      <x:c r="CE151" s="30" t="n">
        <x:f>F71</x:f>
        <x:v>0</x:v>
      </x:c>
      <x:c r="CF151" s="30" t="n">
        <x:f>F70</x:f>
        <x:v>0</x:v>
      </x:c>
      <x:c r="CG151" s="30" t="n">
        <x:f>F69</x:f>
        <x:v>0</x:v>
      </x:c>
      <x:c r="CH151" s="30" t="n">
        <x:f>F68</x:f>
        <x:v>0</x:v>
      </x:c>
      <x:c r="CI151" s="30" t="n">
        <x:f>F67</x:f>
        <x:v>0</x:v>
      </x:c>
      <x:c r="CJ151" s="30" t="n">
        <x:f>F66</x:f>
        <x:v>0</x:v>
      </x:c>
      <x:c r="CK151" s="30" t="n">
        <x:f>F65</x:f>
        <x:v>0</x:v>
      </x:c>
      <x:c r="CL151" s="30" t="n">
        <x:f>F64</x:f>
        <x:v>0</x:v>
      </x:c>
      <x:c r="CM151" s="30" t="n">
        <x:f>F63</x:f>
        <x:v>0</x:v>
      </x:c>
      <x:c r="CN151" s="30" t="n">
        <x:f>F62</x:f>
        <x:v>0</x:v>
      </x:c>
      <x:c r="CO151" s="30" t="n">
        <x:f>F61</x:f>
        <x:v>0</x:v>
      </x:c>
      <x:c r="CP151" s="30" t="n">
        <x:f>F60</x:f>
        <x:v>0.010346304463438035</x:v>
      </x:c>
      <x:c r="CQ151" s="30" t="n">
        <x:f>F59</x:f>
        <x:v>0.018661978309675996</x:v>
      </x:c>
      <x:c r="CR151" s="30" t="n">
        <x:f>F58</x:f>
        <x:v>0.03013824284215856</x:v>
      </x:c>
      <x:c r="CS151" s="30" t="n">
        <x:f>F57</x:f>
        <x:v>0.04578686905891455</x:v>
      </x:c>
      <x:c r="CT151" s="30" t="n">
        <x:f>F56</x:f>
        <x:v>0.06554331425075753</x:v>
      </x:c>
      <x:c r="CU151" s="30" t="n">
        <x:f>F55</x:f>
        <x:v>0.09472209503598536</x:v>
      </x:c>
      <x:c r="CV151" s="30" t="n">
        <x:f>F54</x:f>
        <x:v>0.133222282569853</x:v>
      </x:c>
      <x:c r="CW151" s="30" t="n">
        <x:f>F53</x:f>
        <x:v>0.18259658076094243</x:v>
      </x:c>
      <x:c r="CX151" s="30" t="n">
        <x:f>F52</x:f>
        <x:v>0.24937900422653278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IF(OR(C160&gt;=$E$43,INDEX($I$51:$I$147,C160+1)&lt;=0.0000000001),0,IF($E$46=0,$E$44/MIN($E$43,COUNTIF($I$51:$I$110,"&gt;0.0000000001")),IF(C160=$E$45,$E$44,0)))</x:f>
        <x:v>22720000</x:v>
      </x:c>
      <x:c r="E160" s="31" t="n">
        <x:f>IF(D160=0,0,D160/(INDEX($I$51:$I$147,C160+1)*INDEX($H$51:$H$147,C160+1)))</x:f>
        <x:v>22720000</x:v>
      </x:c>
      <x:c r="F160" s="31" t="n">
        <x:f>E160*INDEX($G$51:$G$147,C160+1)</x:f>
        <x:v>3853387.6231051735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IF(OR(C161&gt;=$E$43,INDEX($I$51:$I$147,C161+1)&lt;=0.0000000001),0,IF($E$46=0,$E$44/MIN($E$43,COUNTIF($I$51:$I$110,"&gt;0.0000000001")),IF(C161=$E$45,$E$44,0)))</x:f>
        <x:v>22720000</x:v>
      </x:c>
      <x:c r="E161" s="31" t="n">
        <x:f>IF(D161=0,0,D161/(INDEX($I$51:$I$147,C161+1)*INDEX($H$51:$H$147,C161+1)))</x:f>
        <x:v>32326585.561914198</x:v>
      </x:c>
      <x:c r="F161" s="31" t="n">
        <x:f>E161*INDEX($G$51:$G$147,C161+1)</x:f>
        <x:v>3937682.6653102417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IF(OR(C162&gt;=$E$43,INDEX($I$51:$I$147,C162+1)&lt;=0.0000000001),0,IF($E$46=0,$E$44/MIN($E$43,COUNTIF($I$51:$I$110,"&gt;0.0000000001")),IF(C162=$E$45,$E$44,0)))</x:f>
        <x:v>22720000</x:v>
      </x:c>
      <x:c r="E162" s="31" t="n">
        <x:f>IF(D162=0,0,D162/(INDEX($I$51:$I$147,C162+1)*INDEX($H$51:$H$147,C162+1)))</x:f>
        <x:v>46937615.56771977</x:v>
      </x:c>
      <x:c r="F162" s="31" t="n">
        <x:f>E162*INDEX($G$51:$G$147,C162+1)</x:f>
        <x:v>4019064.2063448965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IF(OR(C163&gt;=$E$43,INDEX($I$51:$I$147,C163+1)&lt;=0.0000000001),0,IF($E$46=0,$E$44/MIN($E$43,COUNTIF($I$51:$I$110,"&gt;0.0000000001")),IF(C163=$E$45,$E$44,0)))</x:f>
        <x:v>22720000</x:v>
      </x:c>
      <x:c r="E163" s="31" t="n">
        <x:f>IF(D163=0,0,D163/(INDEX($I$51:$I$147,C163+1)*INDEX($H$51:$H$147,C163+1)))</x:f>
        <x:v>69933441.42011927</x:v>
      </x:c>
      <x:c r="F163" s="31" t="n">
        <x:f>E163*INDEX($G$51:$G$147,C163+1)</x:f>
        <x:v>4173734.9785126066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IF(OR(C164&gt;=$E$43,INDEX($I$51:$I$147,C164+1)&lt;=0.0000000001),0,IF($E$46=0,$E$44/MIN($E$43,COUNTIF($I$51:$I$110,"&gt;0.0000000001")),IF(C164=$E$45,$E$44,0)))</x:f>
        <x:v>22720000</x:v>
      </x:c>
      <x:c r="E164" s="31" t="n">
        <x:f>IF(D164=0,0,D164/(INDEX($I$51:$I$147,C164+1)*INDEX($H$51:$H$147,C164+1)))</x:f>
        <x:v>108142329.93658236</x:v>
      </x:c>
      <x:c r="F164" s="31" t="n">
        <x:f>E164*INDEX($G$51:$G$147,C164+1)</x:f>
        <x:v>4284251.496935919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IF(OR(C165&gt;=$E$43,INDEX($I$51:$I$147,C165+1)&lt;=0.0000000001),0,IF($E$46=0,$E$44/MIN($E$43,COUNTIF($I$51:$I$110,"&gt;0.0000000001")),IF(C165=$E$45,$E$44,0)))</x:f>
        <x:v>22720000</x:v>
      </x:c>
      <x:c r="E165" s="31" t="n">
        <x:f>IF(D165=0,0,D165/(INDEX($I$51:$I$147,C165+1)*INDEX($H$51:$H$147,C165+1)))</x:f>
        <x:v>175405231.1408026</x:v>
      </x:c>
      <x:c r="F165" s="31" t="n">
        <x:f>E165*INDEX($G$51:$G$147,C165+1)</x:f>
        <x:v>4314133.652785145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IF(OR(C166&gt;=$E$43,INDEX($I$51:$I$147,C166+1)&lt;=0.0000000001),0,IF($E$46=0,$E$44/MIN($E$43,COUNTIF($I$51:$I$110,"&gt;0.0000000001")),IF(C166=$E$45,$E$44,0)))</x:f>
        <x:v>22720000</x:v>
      </x:c>
      <x:c r="E166" s="31" t="n">
        <x:f>IF(D166=0,0,D166/(INDEX($I$51:$I$147,C166+1)*INDEX($H$51:$H$147,C166+1)))</x:f>
        <x:v>307575913.40779763</x:v>
      </x:c>
      <x:c r="F166" s="31" t="n">
        <x:f>E166*INDEX($G$51:$G$147,C166+1)</x:f>
        <x:v>4527953.358984844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IF(OR(C167&gt;=$E$43,INDEX($I$51:$I$147,C167+1)&lt;=0.0000000001),0,IF($E$46=0,$E$44/MIN($E$43,COUNTIF($I$51:$I$110,"&gt;0.0000000001")),IF(C167=$E$45,$E$44,0)))</x:f>
        <x:v>22720000</x:v>
      </x:c>
      <x:c r="E167" s="31" t="n">
        <x:f>IF(D167=0,0,D167/(INDEX($I$51:$I$147,C167+1)*INDEX($H$51:$H$147,C167+1)))</x:f>
        <x:v>612863221.0619744</x:v>
      </x:c>
      <x:c r="F167" s="31" t="n">
        <x:f>E167*INDEX($G$51:$G$147,C167+1)</x:f>
        <x:v>4941890.382192779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IF(OR(C168&gt;=$E$43,INDEX($I$51:$I$147,C168+1)&lt;=0.0000000001),0,IF($E$46=0,$E$44/MIN($E$43,COUNTIF($I$51:$I$110,"&gt;0.0000000001")),IF(C168=$E$45,$E$44,0)))</x:f>
        <x:v>22720000</x:v>
      </x:c>
      <x:c r="E168" s="31" t="n">
        <x:f>IF(D168=0,0,D168/(INDEX($I$51:$I$147,C168+1)*INDEX($H$51:$H$147,C168+1)))</x:f>
        <x:v>1694725263.949096</x:v>
      </x:c>
      <x:c r="F168" s="31" t="n">
        <x:f>E168*INDEX($G$51:$G$147,C168+1)</x:f>
        <x:v>5185856.437302312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IF(OR(C169&gt;=$E$43,INDEX($I$51:$I$147,C169+1)&lt;=0.0000000001),0,IF($E$46=0,$E$44/MIN($E$43,COUNTIF($I$51:$I$110,"&gt;0.0000000001")),IF(C169=$E$45,$E$44,0)))</x:f>
        <x:v>0</x:v>
      </x:c>
      <x:c r="E169" s="31" t="n">
        <x:f>IF(D169=0,0,D169/(INDEX($I$51:$I$147,C169+1)*INDEX($H$51:$H$147,C169+1)))</x:f>
        <x:v>0</x:v>
      </x:c>
      <x:c r="F169" s="31" t="n">
        <x:f>E169*INDEX($G$51:$G$147,C169+1)</x:f>
        <x:v>0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IF(OR(C170&gt;=$E$43,INDEX($I$51:$I$147,C170+1)&lt;=0.0000000001),0,IF($E$46=0,$E$44/MIN($E$43,COUNTIF($I$51:$I$110,"&gt;0.0000000001")),IF(C170=$E$45,$E$44,0)))</x:f>
        <x:v>0</x:v>
      </x:c>
      <x:c r="E170" s="31" t="n">
        <x:f>IF(D170=0,0,D170/(INDEX($I$51:$I$147,C170+1)*INDEX($H$51:$H$147,C170+1)))</x:f>
        <x:v>0</x:v>
      </x:c>
      <x:c r="F170" s="31" t="n">
        <x:f>E170*INDEX($G$51:$G$147,C170+1)</x:f>
        <x:v>0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IF(OR(C171&gt;=$E$43,INDEX($I$51:$I$147,C171+1)&lt;=0.0000000001),0,IF($E$46=0,$E$44/MIN($E$43,COUNTIF($I$51:$I$110,"&gt;0.0000000001")),IF(C171=$E$45,$E$44,0)))</x:f>
        <x:v>0</x:v>
      </x:c>
      <x:c r="E171" s="31" t="n">
        <x:f>IF(D171=0,0,D171/(INDEX($I$51:$I$147,C171+1)*INDEX($H$51:$H$147,C171+1)))</x:f>
        <x:v>0</x:v>
      </x:c>
      <x:c r="F171" s="31" t="n">
        <x:f>E171*INDEX($G$51:$G$147,C171+1)</x:f>
        <x:v>0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IF(OR(C172&gt;=$E$43,INDEX($I$51:$I$147,C172+1)&lt;=0.0000000001),0,IF($E$46=0,$E$44/MIN($E$43,COUNTIF($I$51:$I$110,"&gt;0.0000000001")),IF(C172=$E$45,$E$44,0)))</x:f>
        <x:v>0</x:v>
      </x:c>
      <x:c r="E172" s="31" t="n">
        <x:f>IF(D172=0,0,D172/(INDEX($I$51:$I$147,C172+1)*INDEX($H$51:$H$147,C172+1)))</x:f>
        <x:v>0</x:v>
      </x:c>
      <x:c r="F172" s="31" t="n">
        <x:f>E172*INDEX($G$51:$G$147,C172+1)</x:f>
        <x:v>0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IF(OR(C173&gt;=$E$43,INDEX($I$51:$I$147,C173+1)&lt;=0.0000000001),0,IF($E$46=0,$E$44/MIN($E$43,COUNTIF($I$51:$I$110,"&gt;0.0000000001")),IF(C173=$E$45,$E$44,0)))</x:f>
        <x:v>0</x:v>
      </x:c>
      <x:c r="E173" s="31" t="n">
        <x:f>IF(D173=0,0,D173/(INDEX($I$51:$I$147,C173+1)*INDEX($H$51:$H$147,C173+1)))</x:f>
        <x:v>0</x:v>
      </x:c>
      <x:c r="F173" s="31" t="n">
        <x:f>E173*INDEX($G$51:$G$147,C173+1)</x:f>
        <x:v>0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IF(OR(C174&gt;=$E$43,INDEX($I$51:$I$147,C174+1)&lt;=0.0000000001),0,IF($E$46=0,$E$44/MIN($E$43,COUNTIF($I$51:$I$110,"&gt;0.0000000001")),IF(C174=$E$45,$E$44,0)))</x:f>
        <x:v>0</x:v>
      </x:c>
      <x:c r="E174" s="31" t="n">
        <x:f>IF(D174=0,0,D174/(INDEX($I$51:$I$147,C174+1)*INDEX($H$51:$H$147,C174+1)))</x:f>
        <x:v>0</x:v>
      </x:c>
      <x:c r="F174" s="31" t="n">
        <x:f>E174*INDEX($G$51:$G$147,C174+1)</x:f>
        <x:v>0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IF(OR(C175&gt;=$E$43,INDEX($I$51:$I$147,C175+1)&lt;=0.0000000001),0,IF($E$46=0,$E$44/MIN($E$43,COUNTIF($I$51:$I$110,"&gt;0.0000000001")),IF(C175=$E$45,$E$44,0)))</x:f>
        <x:v>0</x:v>
      </x:c>
      <x:c r="E175" s="31" t="n">
        <x:f>IF(D175=0,0,D175/(INDEX($I$51:$I$147,C175+1)*INDEX($H$51:$H$147,C175+1)))</x:f>
        <x:v>0</x:v>
      </x:c>
      <x:c r="F175" s="31" t="n">
        <x:f>E175*INDEX($G$51:$G$147,C175+1)</x:f>
        <x:v>0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IF(OR(C176&gt;=$E$43,INDEX($I$51:$I$147,C176+1)&lt;=0.0000000001),0,IF($E$46=0,$E$44/MIN($E$43,COUNTIF($I$51:$I$110,"&gt;0.0000000001")),IF(C176=$E$45,$E$44,0)))</x:f>
        <x:v>0</x:v>
      </x:c>
      <x:c r="E176" s="31" t="n">
        <x:f>IF(D176=0,0,D176/(INDEX($I$51:$I$147,C176+1)*INDEX($H$51:$H$147,C176+1)))</x:f>
        <x:v>0</x:v>
      </x:c>
      <x:c r="F176" s="31" t="n">
        <x:f>E176*INDEX($G$51:$G$147,C176+1)</x:f>
        <x:v>0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IF(OR(C177&gt;=$E$43,INDEX($I$51:$I$147,C177+1)&lt;=0.0000000001),0,IF($E$46=0,$E$44/MIN($E$43,COUNTIF($I$51:$I$110,"&gt;0.0000000001")),IF(C177=$E$45,$E$44,0)))</x:f>
        <x:v>0</x:v>
      </x:c>
      <x:c r="E177" s="31" t="n">
        <x:f>IF(D177=0,0,D177/(INDEX($I$51:$I$147,C177+1)*INDEX($H$51:$H$147,C177+1)))</x:f>
        <x:v>0</x:v>
      </x:c>
      <x:c r="F177" s="31" t="n">
        <x:f>E177*INDEX($G$51:$G$147,C177+1)</x:f>
        <x:v>0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IF(OR(C178&gt;=$E$43,INDEX($I$51:$I$147,C178+1)&lt;=0.0000000001),0,IF($E$46=0,$E$44/MIN($E$43,COUNTIF($I$51:$I$110,"&gt;0.0000000001")),IF(C178=$E$45,$E$44,0)))</x:f>
        <x:v>0</x:v>
      </x:c>
      <x:c r="E178" s="31" t="n">
        <x:f>IF(D178=0,0,D178/(INDEX($I$51:$I$147,C178+1)*INDEX($H$51:$H$147,C178+1)))</x:f>
        <x:v>0</x:v>
      </x:c>
      <x:c r="F178" s="31" t="n">
        <x:f>E178*INDEX($G$51:$G$147,C178+1)</x:f>
        <x:v>0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IF(OR(C179&gt;=$E$43,INDEX($I$51:$I$147,C179+1)&lt;=0.0000000001),0,IF($E$46=0,$E$44/MIN($E$43,COUNTIF($I$51:$I$110,"&gt;0.0000000001")),IF(C179=$E$45,$E$44,0)))</x:f>
        <x:v>0</x:v>
      </x:c>
      <x:c r="E179" s="31" t="n">
        <x:f>IF(D179=0,0,D179/(INDEX($I$51:$I$147,C179+1)*INDEX($H$51:$H$147,C179+1)))</x:f>
        <x:v>0</x:v>
      </x:c>
      <x:c r="F179" s="31" t="n">
        <x:f>E179*INDEX($G$51:$G$147,C179+1)</x:f>
        <x:v>0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IF(OR(C180&gt;=$E$43,INDEX($I$51:$I$147,C180+1)&lt;=0.0000000001),0,IF($E$46=0,$E$44/MIN($E$43,COUNTIF($I$51:$I$110,"&gt;0.0000000001")),IF(C180=$E$45,$E$44,0)))</x:f>
        <x:v>0</x:v>
      </x:c>
      <x:c r="E180" s="31" t="n">
        <x:f>IF(D180=0,0,D180/(INDEX($I$51:$I$147,C180+1)*INDEX($H$51:$H$147,C180+1)))</x:f>
        <x:v>0</x:v>
      </x:c>
      <x:c r="F180" s="31" t="n">
        <x:f>E180*INDEX($G$51:$G$147,C180+1)</x:f>
        <x:v>0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IF(OR(C181&gt;=$E$43,INDEX($I$51:$I$147,C181+1)&lt;=0.0000000001),0,IF($E$46=0,$E$44/MIN($E$43,COUNTIF($I$51:$I$110,"&gt;0.0000000001")),IF(C181=$E$45,$E$44,0)))</x:f>
        <x:v>0</x:v>
      </x:c>
      <x:c r="E181" s="31" t="n">
        <x:f>IF(D181=0,0,D181/(INDEX($I$51:$I$147,C181+1)*INDEX($H$51:$H$147,C181+1)))</x:f>
        <x:v>0</x:v>
      </x:c>
      <x:c r="F181" s="31" t="n">
        <x:f>E181*INDEX($G$51:$G$147,C181+1)</x:f>
        <x:v>0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IF(OR(C182&gt;=$E$43,INDEX($I$51:$I$147,C182+1)&lt;=0.0000000001),0,IF($E$46=0,$E$44/MIN($E$43,COUNTIF($I$51:$I$110,"&gt;0.0000000001")),IF(C182=$E$45,$E$44,0)))</x:f>
        <x:v>0</x:v>
      </x:c>
      <x:c r="E182" s="31" t="n">
        <x:f>IF(D182=0,0,D182/(INDEX($I$51:$I$147,C182+1)*INDEX($H$51:$H$147,C182+1)))</x:f>
        <x:v>0</x:v>
      </x:c>
      <x:c r="F182" s="31" t="n">
        <x:f>E182*INDEX($G$51:$G$147,C182+1)</x:f>
        <x:v>0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IF(OR(C183&gt;=$E$43,INDEX($I$51:$I$147,C183+1)&lt;=0.0000000001),0,IF($E$46=0,$E$44/MIN($E$43,COUNTIF($I$51:$I$110,"&gt;0.0000000001")),IF(C183=$E$45,$E$44,0)))</x:f>
        <x:v>0</x:v>
      </x:c>
      <x:c r="E183" s="31" t="n">
        <x:f>IF(D183=0,0,D183/(INDEX($I$51:$I$147,C183+1)*INDEX($H$51:$H$147,C183+1)))</x:f>
        <x:v>0</x:v>
      </x:c>
      <x:c r="F183" s="31" t="n">
        <x:f>E183*INDEX($G$51:$G$147,C183+1)</x:f>
        <x:v>0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IF(OR(C184&gt;=$E$43,INDEX($I$51:$I$147,C184+1)&lt;=0.0000000001),0,IF($E$46=0,$E$44/MIN($E$43,COUNTIF($I$51:$I$110,"&gt;0.0000000001")),IF(C184=$E$45,$E$44,0)))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IF(OR(C185&gt;=$E$43,INDEX($I$51:$I$147,C185+1)&lt;=0.0000000001),0,IF($E$46=0,$E$44/MIN($E$43,COUNTIF($I$51:$I$110,"&gt;0.0000000001")),IF(C185=$E$45,$E$44,0)))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IF(OR(C186&gt;=$E$43,INDEX($I$51:$I$147,C186+1)&lt;=0.0000000001),0,IF($E$46=0,$E$44/MIN($E$43,COUNTIF($I$51:$I$110,"&gt;0.0000000001")),IF(C186=$E$45,$E$44,0)))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IF(OR(C187&gt;=$E$43,INDEX($I$51:$I$147,C187+1)&lt;=0.0000000001),0,IF($E$46=0,$E$44/MIN($E$43,COUNTIF($I$51:$I$110,"&gt;0.0000000001")),IF(C187=$E$45,$E$44,0)))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IF(OR(C188&gt;=$E$43,INDEX($I$51:$I$147,C188+1)&lt;=0.0000000001),0,IF($E$46=0,$E$44/MIN($E$43,COUNTIF($I$51:$I$110,"&gt;0.0000000001")),IF(C188=$E$45,$E$44,0)))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IF(OR(C189&gt;=$E$43,INDEX($I$51:$I$147,C189+1)&lt;=0.0000000001),0,IF($E$46=0,$E$44/MIN($E$43,COUNTIF($I$51:$I$110,"&gt;0.0000000001")),IF(C189=$E$45,$E$44,0)))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IF(OR(C190&gt;=$E$43,INDEX($I$51:$I$147,C190+1)&lt;=0.0000000001),0,IF($E$46=0,$E$44/MIN($E$43,COUNTIF($I$51:$I$110,"&gt;0.0000000001")),IF(C190=$E$45,$E$44,0)))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IF(OR(C191&gt;=$E$43,INDEX($I$51:$I$147,C191+1)&lt;=0.0000000001),0,IF($E$46=0,$E$44/MIN($E$43,COUNTIF($I$51:$I$110,"&gt;0.0000000001")),IF(C191=$E$45,$E$44,0)))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IF(OR(C192&gt;=$E$43,INDEX($I$51:$I$147,C192+1)&lt;=0.0000000001),0,IF($E$46=0,$E$44/MIN($E$43,COUNTIF($I$51:$I$110,"&gt;0.0000000001")),IF(C192=$E$45,$E$44,0)))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IF(OR(C193&gt;=$E$43,INDEX($I$51:$I$147,C193+1)&lt;=0.0000000001),0,IF($E$46=0,$E$44/MIN($E$43,COUNTIF($I$51:$I$110,"&gt;0.0000000001")),IF(C193=$E$45,$E$44,0)))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IF(OR(C194&gt;=$E$43,INDEX($I$51:$I$147,C194+1)&lt;=0.0000000001),0,IF($E$46=0,$E$44/MIN($E$43,COUNTIF($I$51:$I$110,"&gt;0.0000000001")),IF(C194=$E$45,$E$44,0)))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IF(OR(C195&gt;=$E$43,INDEX($I$51:$I$147,C195+1)&lt;=0.0000000001),0,IF($E$46=0,$E$44/MIN($E$43,COUNTIF($I$51:$I$110,"&gt;0.0000000001")),IF(C195=$E$45,$E$44,0)))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IF(OR(C196&gt;=$E$43,INDEX($I$51:$I$147,C196+1)&lt;=0.0000000001),0,IF($E$46=0,$E$44/MIN($E$43,COUNTIF($I$51:$I$110,"&gt;0.0000000001")),IF(C196=$E$45,$E$44,0)))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IF(OR(C197&gt;=$E$43,INDEX($I$51:$I$147,C197+1)&lt;=0.0000000001),0,IF($E$46=0,$E$44/MIN($E$43,COUNTIF($I$51:$I$110,"&gt;0.0000000001")),IF(C197=$E$45,$E$44,0)))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IF(OR(C198&gt;=$E$43,INDEX($I$51:$I$147,C198+1)&lt;=0.0000000001),0,IF($E$46=0,$E$44/MIN($E$43,COUNTIF($I$51:$I$110,"&gt;0.0000000001")),IF(C198=$E$45,$E$44,0)))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IF(OR(C199&gt;=$E$43,INDEX($I$51:$I$147,C199+1)&lt;=0.0000000001),0,IF($E$46=0,$E$44/MIN($E$43,COUNTIF($I$51:$I$110,"&gt;0.0000000001")),IF(C199=$E$45,$E$44,0)))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IF(OR(C200&gt;=$E$43,INDEX($I$51:$I$147,C200+1)&lt;=0.0000000001),0,IF($E$46=0,$E$44/MIN($E$43,COUNTIF($I$51:$I$110,"&gt;0.0000000001")),IF(C200=$E$45,$E$44,0)))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IF(OR(C201&gt;=$E$43,INDEX($I$51:$I$147,C201+1)&lt;=0.0000000001),0,IF($E$46=0,$E$44/MIN($E$43,COUNTIF($I$51:$I$110,"&gt;0.0000000001")),IF(C201=$E$45,$E$44,0)))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IF(OR(C202&gt;=$E$43,INDEX($I$51:$I$147,C202+1)&lt;=0.0000000001),0,IF($E$46=0,$E$44/MIN($E$43,COUNTIF($I$51:$I$110,"&gt;0.0000000001")),IF(C202=$E$45,$E$44,0)))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IF(OR(C203&gt;=$E$43,INDEX($I$51:$I$147,C203+1)&lt;=0.0000000001),0,IF($E$46=0,$E$44/MIN($E$43,COUNTIF($I$51:$I$110,"&gt;0.0000000001")),IF(C203=$E$45,$E$44,0)))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IF(OR(C204&gt;=$E$43,INDEX($I$51:$I$147,C204+1)&lt;=0.0000000001),0,IF($E$46=0,$E$44/MIN($E$43,COUNTIF($I$51:$I$110,"&gt;0.0000000001")),IF(C204=$E$45,$E$44,0)))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IF(OR(C205&gt;=$E$43,INDEX($I$51:$I$147,C205+1)&lt;=0.0000000001),0,IF($E$46=0,$E$44/MIN($E$43,COUNTIF($I$51:$I$110,"&gt;0.0000000001")),IF(C205=$E$45,$E$44,0)))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IF(OR(C206&gt;=$E$43,INDEX($I$51:$I$147,C206+1)&lt;=0.0000000001),0,IF($E$46=0,$E$44/MIN($E$43,COUNTIF($I$51:$I$110,"&gt;0.0000000001")),IF(C206=$E$45,$E$44,0)))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IF(OR(C207&gt;=$E$43,INDEX($I$51:$I$147,C207+1)&lt;=0.0000000001),0,IF($E$46=0,$E$44/MIN($E$43,COUNTIF($I$51:$I$110,"&gt;0.0000000001")),IF(C207=$E$45,$E$44,0)))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IF(OR(C208&gt;=$E$43,INDEX($I$51:$I$147,C208+1)&lt;=0.0000000001),0,IF($E$46=0,$E$44/MIN($E$43,COUNTIF($I$51:$I$110,"&gt;0.0000000001")),IF(C208=$E$45,$E$44,0)))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IF(OR(C209&gt;=$E$43,INDEX($I$51:$I$147,C209+1)&lt;=0.0000000001),0,IF($E$46=0,$E$44/MIN($E$43,COUNTIF($I$51:$I$110,"&gt;0.0000000001")),IF(C209=$E$45,$E$44,0)))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IF(OR(C210&gt;=$E$43,INDEX($I$51:$I$147,C210+1)&lt;=0.0000000001),0,IF($E$46=0,$E$44/MIN($E$43,COUNTIF($I$51:$I$110,"&gt;0.0000000001")),IF(C210=$E$45,$E$44,0)))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IF(OR(C211&gt;=$E$43,INDEX($I$51:$I$147,C211+1)&lt;=0.0000000001),0,IF($E$46=0,$E$44/MIN($E$43,COUNTIF($I$51:$I$110,"&gt;0.0000000001")),IF(C211=$E$45,$E$44,0)))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IF(OR(C212&gt;=$E$43,INDEX($I$51:$I$147,C212+1)&lt;=0.0000000001),0,IF($E$46=0,$E$44/MIN($E$43,COUNTIF($I$51:$I$110,"&gt;0.0000000001")),IF(C212=$E$45,$E$44,0)))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IF(OR(C213&gt;=$E$43,INDEX($I$51:$I$147,C213+1)&lt;=0.0000000001),0,IF($E$46=0,$E$44/MIN($E$43,COUNTIF($I$51:$I$110,"&gt;0.0000000001")),IF(C213=$E$45,$E$44,0)))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IF(OR(C214&gt;=$E$43,INDEX($I$51:$I$147,C214+1)&lt;=0.0000000001),0,IF($E$46=0,$E$44/MIN($E$43,COUNTIF($I$51:$I$110,"&gt;0.0000000001")),IF(C214=$E$45,$E$44,0)))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IF(OR(C215&gt;=$E$43,INDEX($I$51:$I$147,C215+1)&lt;=0.0000000001),0,IF($E$46=0,$E$44/MIN($E$43,COUNTIF($I$51:$I$110,"&gt;0.0000000001")),IF(C215=$E$45,$E$44,0)))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IF(OR(C216&gt;=$E$43,INDEX($I$51:$I$147,C216+1)&lt;=0.0000000001),0,IF($E$46=0,$E$44/MIN($E$43,COUNTIF($I$51:$I$110,"&gt;0.0000000001")),IF(C216=$E$45,$E$44,0)))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IF(OR(C217&gt;=$E$43,INDEX($I$51:$I$147,C217+1)&lt;=0.0000000001),0,IF($E$46=0,$E$44/MIN($E$43,COUNTIF($I$51:$I$110,"&gt;0.0000000001")),IF(C217=$E$45,$E$44,0)))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IF(OR(C218&gt;=$E$43,INDEX($I$51:$I$147,C218+1)&lt;=0.0000000001),0,IF($E$46=0,$E$44/MIN($E$43,COUNTIF($I$51:$I$110,"&gt;0.0000000001")),IF(C218=$E$45,$E$44,0)))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IF(OR(C219&gt;=$E$43,INDEX($I$51:$I$147,C219+1)&lt;=0.0000000001),0,IF($E$46=0,$E$44/MIN($E$43,COUNTIF($I$51:$I$110,"&gt;0.0000000001")),IF(C219=$E$45,$E$44,0)))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0" priority="1">
      <x:formula>ABS(G35)&gt;0.01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CF Installment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230400</x:v>
      </x:c>
      <x:c r="F8" s="2"/>
      <x:c r="G8" s="32" t="n">
        <x:f>'Assumptions'!$F$11*(1+'Assumptions'!$F$12)^(G$6-1)*INDEX('Assumptions'!$F$34:$F$45,MOD(G$6-1,12)+1)*'Assumptions'!$E$29</x:f>
        <x:v>9600</x:v>
      </x:c>
      <x:c r="H8" s="32" t="n">
        <x:f>'Assumptions'!$F$11*(1+'Assumptions'!$F$12)^(H$6-1)*INDEX('Assumptions'!$F$34:$F$45,MOD(H$6-1,12)+1)*'Assumptions'!$E$29</x:f>
        <x:v>9600</x:v>
      </x:c>
      <x:c r="I8" s="32" t="n">
        <x:f>'Assumptions'!$F$11*(1+'Assumptions'!$F$12)^(I$6-1)*INDEX('Assumptions'!$F$34:$F$45,MOD(I$6-1,12)+1)*'Assumptions'!$E$29</x:f>
        <x:v>9600</x:v>
      </x:c>
      <x:c r="J8" s="32" t="n">
        <x:f>'Assumptions'!$F$11*(1+'Assumptions'!$F$12)^(J$6-1)*INDEX('Assumptions'!$F$34:$F$45,MOD(J$6-1,12)+1)*'Assumptions'!$E$29</x:f>
        <x:v>9600</x:v>
      </x:c>
      <x:c r="K8" s="32" t="n">
        <x:f>'Assumptions'!$F$11*(1+'Assumptions'!$F$12)^(K$6-1)*INDEX('Assumptions'!$F$34:$F$45,MOD(K$6-1,12)+1)*'Assumptions'!$E$29</x:f>
        <x:v>9600</x:v>
      </x:c>
      <x:c r="L8" s="32" t="n">
        <x:f>'Assumptions'!$F$11*(1+'Assumptions'!$F$12)^(L$6-1)*INDEX('Assumptions'!$F$34:$F$45,MOD(L$6-1,12)+1)*'Assumptions'!$E$29</x:f>
        <x:v>9600</x:v>
      </x:c>
      <x:c r="M8" s="32" t="n">
        <x:f>'Assumptions'!$F$11*(1+'Assumptions'!$F$12)^(M$6-1)*INDEX('Assumptions'!$F$34:$F$45,MOD(M$6-1,12)+1)*'Assumptions'!$E$29</x:f>
        <x:v>9600</x:v>
      </x:c>
      <x:c r="N8" s="32" t="n">
        <x:f>'Assumptions'!$F$11*(1+'Assumptions'!$F$12)^(N$6-1)*INDEX('Assumptions'!$F$34:$F$45,MOD(N$6-1,12)+1)*'Assumptions'!$E$29</x:f>
        <x:v>9600</x:v>
      </x:c>
      <x:c r="O8" s="32" t="n">
        <x:f>'Assumptions'!$F$11*(1+'Assumptions'!$F$12)^(O$6-1)*INDEX('Assumptions'!$F$34:$F$45,MOD(O$6-1,12)+1)*'Assumptions'!$E$29</x:f>
        <x:v>9600</x:v>
      </x:c>
      <x:c r="P8" s="32" t="n">
        <x:f>'Assumptions'!$F$11*(1+'Assumptions'!$F$12)^(P$6-1)*INDEX('Assumptions'!$F$34:$F$45,MOD(P$6-1,12)+1)*'Assumptions'!$E$29</x:f>
        <x:v>9600</x:v>
      </x:c>
      <x:c r="Q8" s="32" t="n">
        <x:f>'Assumptions'!$F$11*(1+'Assumptions'!$F$12)^(Q$6-1)*INDEX('Assumptions'!$F$34:$F$45,MOD(Q$6-1,12)+1)*'Assumptions'!$E$29</x:f>
        <x:v>9600</x:v>
      </x:c>
      <x:c r="R8" s="32" t="n">
        <x:f>'Assumptions'!$F$11*(1+'Assumptions'!$F$12)^(R$6-1)*INDEX('Assumptions'!$F$34:$F$45,MOD(R$6-1,12)+1)*'Assumptions'!$E$29</x:f>
        <x:v>9600</x:v>
      </x:c>
      <x:c r="S8" s="32" t="n">
        <x:f>'Assumptions'!$F$11*(1+'Assumptions'!$F$12)^(S$6-1)*INDEX('Assumptions'!$F$34:$F$45,MOD(S$6-1,12)+1)*'Assumptions'!$E$29</x:f>
        <x:v>9600</x:v>
      </x:c>
      <x:c r="T8" s="32" t="n">
        <x:f>'Assumptions'!$F$11*(1+'Assumptions'!$F$12)^(T$6-1)*INDEX('Assumptions'!$F$34:$F$45,MOD(T$6-1,12)+1)*'Assumptions'!$E$29</x:f>
        <x:v>9600</x:v>
      </x:c>
      <x:c r="U8" s="32" t="n">
        <x:f>'Assumptions'!$F$11*(1+'Assumptions'!$F$12)^(U$6-1)*INDEX('Assumptions'!$F$34:$F$45,MOD(U$6-1,12)+1)*'Assumptions'!$E$29</x:f>
        <x:v>9600</x:v>
      </x:c>
      <x:c r="V8" s="32" t="n">
        <x:f>'Assumptions'!$F$11*(1+'Assumptions'!$F$12)^(V$6-1)*INDEX('Assumptions'!$F$34:$F$45,MOD(V$6-1,12)+1)*'Assumptions'!$E$29</x:f>
        <x:v>9600</x:v>
      </x:c>
      <x:c r="W8" s="32" t="n">
        <x:f>'Assumptions'!$F$11*(1+'Assumptions'!$F$12)^(W$6-1)*INDEX('Assumptions'!$F$34:$F$45,MOD(W$6-1,12)+1)*'Assumptions'!$E$29</x:f>
        <x:v>9600</x:v>
      </x:c>
      <x:c r="X8" s="32" t="n">
        <x:f>'Assumptions'!$F$11*(1+'Assumptions'!$F$12)^(X$6-1)*INDEX('Assumptions'!$F$34:$F$45,MOD(X$6-1,12)+1)*'Assumptions'!$E$29</x:f>
        <x:v>9600</x:v>
      </x:c>
      <x:c r="Y8" s="32" t="n">
        <x:f>'Assumptions'!$F$11*(1+'Assumptions'!$F$12)^(Y$6-1)*INDEX('Assumptions'!$F$34:$F$45,MOD(Y$6-1,12)+1)*'Assumptions'!$E$29</x:f>
        <x:v>9600</x:v>
      </x:c>
      <x:c r="Z8" s="32" t="n">
        <x:f>'Assumptions'!$F$11*(1+'Assumptions'!$F$12)^(Z$6-1)*INDEX('Assumptions'!$F$34:$F$45,MOD(Z$6-1,12)+1)*'Assumptions'!$E$29</x:f>
        <x:v>9600</x:v>
      </x:c>
      <x:c r="AA8" s="32" t="n">
        <x:f>'Assumptions'!$F$11*(1+'Assumptions'!$F$12)^(AA$6-1)*INDEX('Assumptions'!$F$34:$F$45,MOD(AA$6-1,12)+1)*'Assumptions'!$E$29</x:f>
        <x:v>9600</x:v>
      </x:c>
      <x:c r="AB8" s="32" t="n">
        <x:f>'Assumptions'!$F$11*(1+'Assumptions'!$F$12)^(AB$6-1)*INDEX('Assumptions'!$F$34:$F$45,MOD(AB$6-1,12)+1)*'Assumptions'!$E$29</x:f>
        <x:v>9600</x:v>
      </x:c>
      <x:c r="AC8" s="32" t="n">
        <x:f>'Assumptions'!$F$11*(1+'Assumptions'!$F$12)^(AC$6-1)*INDEX('Assumptions'!$F$34:$F$45,MOD(AC$6-1,12)+1)*'Assumptions'!$E$29</x:f>
        <x:v>9600</x:v>
      </x:c>
      <x:c r="AD8" s="32" t="n">
        <x:f>'Assumptions'!$F$11*(1+'Assumptions'!$F$12)^(AD$6-1)*INDEX('Assumptions'!$F$34:$F$45,MOD(AD$6-1,12)+1)*'Assumptions'!$E$29</x:f>
        <x:v>9600</x:v>
      </x:c>
      <x:c r="AE8" s="32" t="n">
        <x:f>'Assumptions'!$F$11*(1+'Assumptions'!$F$12)^(AE$6-1)*INDEX('Assumptions'!$F$34:$F$45,MOD(AE$6-1,12)+1)*'Assumptions'!$E$29</x:f>
        <x:v>9600</x:v>
      </x:c>
      <x:c r="AF8" s="32" t="n">
        <x:f>'Assumptions'!$F$11*(1+'Assumptions'!$F$12)^(AF$6-1)*INDEX('Assumptions'!$F$34:$F$45,MOD(AF$6-1,12)+1)*'Assumptions'!$E$29</x:f>
        <x:v>9600</x:v>
      </x:c>
      <x:c r="AG8" s="32" t="n">
        <x:f>'Assumptions'!$F$11*(1+'Assumptions'!$F$12)^(AG$6-1)*INDEX('Assumptions'!$F$34:$F$45,MOD(AG$6-1,12)+1)*'Assumptions'!$E$29</x:f>
        <x:v>9600</x:v>
      </x:c>
      <x:c r="AH8" s="32" t="n">
        <x:f>'Assumptions'!$F$11*(1+'Assumptions'!$F$12)^(AH$6-1)*INDEX('Assumptions'!$F$34:$F$45,MOD(AH$6-1,12)+1)*'Assumptions'!$E$29</x:f>
        <x:v>9600</x:v>
      </x:c>
      <x:c r="AI8" s="32" t="n">
        <x:f>'Assumptions'!$F$11*(1+'Assumptions'!$F$12)^(AI$6-1)*INDEX('Assumptions'!$F$34:$F$45,MOD(AI$6-1,12)+1)*'Assumptions'!$E$29</x:f>
        <x:v>9600</x:v>
      </x:c>
      <x:c r="AJ8" s="32" t="n">
        <x:f>'Assumptions'!$F$11*(1+'Assumptions'!$F$12)^(AJ$6-1)*INDEX('Assumptions'!$F$34:$F$45,MOD(AJ$6-1,12)+1)*'Assumptions'!$E$29</x:f>
        <x:v>9600</x:v>
      </x:c>
      <x:c r="AK8" s="32" t="n">
        <x:f>'Assumptions'!$F$11*(1+'Assumptions'!$F$12)^(AK$6-1)*INDEX('Assumptions'!$F$34:$F$45,MOD(AK$6-1,12)+1)*'Assumptions'!$E$29</x:f>
        <x:v>9600</x:v>
      </x:c>
      <x:c r="AL8" s="32" t="n">
        <x:f>'Assumptions'!$F$11*(1+'Assumptions'!$F$12)^(AL$6-1)*INDEX('Assumptions'!$F$34:$F$45,MOD(AL$6-1,12)+1)*'Assumptions'!$E$29</x:f>
        <x:v>9600</x:v>
      </x:c>
      <x:c r="AM8" s="32" t="n">
        <x:f>'Assumptions'!$F$11*(1+'Assumptions'!$F$12)^(AM$6-1)*INDEX('Assumptions'!$F$34:$F$45,MOD(AM$6-1,12)+1)*'Assumptions'!$E$29</x:f>
        <x:v>9600</x:v>
      </x:c>
      <x:c r="AN8" s="32" t="n">
        <x:f>'Assumptions'!$F$11*(1+'Assumptions'!$F$12)^(AN$6-1)*INDEX('Assumptions'!$F$34:$F$45,MOD(AN$6-1,12)+1)*'Assumptions'!$E$29</x:f>
        <x:v>9600</x:v>
      </x:c>
      <x:c r="AO8" s="32" t="n">
        <x:f>'Assumptions'!$F$11*(1+'Assumptions'!$F$12)^(AO$6-1)*INDEX('Assumptions'!$F$34:$F$45,MOD(AO$6-1,12)+1)*'Assumptions'!$E$29</x:f>
        <x:v>9600</x:v>
      </x:c>
      <x:c r="AP8" s="32" t="n">
        <x:f>'Assumptions'!$F$11*(1+'Assumptions'!$F$12)^(AP$6-1)*INDEX('Assumptions'!$F$34:$F$45,MOD(AP$6-1,12)+1)*'Assumptions'!$E$29</x:f>
        <x:v>9600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'Assumptions'!$F$13</x:f>
        <x:v>0.45</x:v>
      </x:c>
      <x:c r="H9" s="33" t="n">
        <x:f>'Assumptions'!$F$13</x:f>
        <x:v>0.45</x:v>
      </x:c>
      <x:c r="I9" s="33" t="n">
        <x:f>'Assumptions'!$F$13</x:f>
        <x:v>0.45</x:v>
      </x:c>
      <x:c r="J9" s="33" t="n">
        <x:f>'Assumptions'!$F$13</x:f>
        <x:v>0.45</x:v>
      </x:c>
      <x:c r="K9" s="33" t="n">
        <x:f>'Assumptions'!$F$13</x:f>
        <x:v>0.45</x:v>
      </x:c>
      <x:c r="L9" s="33" t="n">
        <x:f>'Assumptions'!$F$13</x:f>
        <x:v>0.45</x:v>
      </x:c>
      <x:c r="M9" s="33" t="n">
        <x:f>'Assumptions'!$F$13</x:f>
        <x:v>0.45</x:v>
      </x:c>
      <x:c r="N9" s="33" t="n">
        <x:f>'Assumptions'!$F$13</x:f>
        <x:v>0.45</x:v>
      </x:c>
      <x:c r="O9" s="33" t="n">
        <x:f>'Assumptions'!$F$13</x:f>
        <x:v>0.45</x:v>
      </x:c>
      <x:c r="P9" s="33" t="n">
        <x:f>'Assumptions'!$F$13</x:f>
        <x:v>0.45</x:v>
      </x:c>
      <x:c r="Q9" s="33" t="n">
        <x:f>'Assumptions'!$F$13</x:f>
        <x:v>0.45</x:v>
      </x:c>
      <x:c r="R9" s="33" t="n">
        <x:f>'Assumptions'!$F$13</x:f>
        <x:v>0.45</x:v>
      </x:c>
      <x:c r="S9" s="33" t="n">
        <x:f>'Assumptions'!$F$13</x:f>
        <x:v>0.45</x:v>
      </x:c>
      <x:c r="T9" s="33" t="n">
        <x:f>'Assumptions'!$F$13</x:f>
        <x:v>0.45</x:v>
      </x:c>
      <x:c r="U9" s="33" t="n">
        <x:f>'Assumptions'!$F$13</x:f>
        <x:v>0.45</x:v>
      </x:c>
      <x:c r="V9" s="33" t="n">
        <x:f>'Assumptions'!$F$13</x:f>
        <x:v>0.45</x:v>
      </x:c>
      <x:c r="W9" s="33" t="n">
        <x:f>'Assumptions'!$F$13</x:f>
        <x:v>0.45</x:v>
      </x:c>
      <x:c r="X9" s="33" t="n">
        <x:f>'Assumptions'!$F$13</x:f>
        <x:v>0.45</x:v>
      </x:c>
      <x:c r="Y9" s="33" t="n">
        <x:f>'Assumptions'!$F$13</x:f>
        <x:v>0.45</x:v>
      </x:c>
      <x:c r="Z9" s="33" t="n">
        <x:f>'Assumptions'!$F$13</x:f>
        <x:v>0.45</x:v>
      </x:c>
      <x:c r="AA9" s="33" t="n">
        <x:f>'Assumptions'!$F$13</x:f>
        <x:v>0.45</x:v>
      </x:c>
      <x:c r="AB9" s="33" t="n">
        <x:f>'Assumptions'!$F$13</x:f>
        <x:v>0.45</x:v>
      </x:c>
      <x:c r="AC9" s="33" t="n">
        <x:f>'Assumptions'!$F$13</x:f>
        <x:v>0.45</x:v>
      </x:c>
      <x:c r="AD9" s="33" t="n">
        <x:f>'Assumptions'!$F$13</x:f>
        <x:v>0.45</x:v>
      </x:c>
      <x:c r="AE9" s="33" t="n">
        <x:f>'Assumptions'!$F$13</x:f>
        <x:v>0.45</x:v>
      </x:c>
      <x:c r="AF9" s="33" t="n">
        <x:f>'Assumptions'!$F$13</x:f>
        <x:v>0.45</x:v>
      </x:c>
      <x:c r="AG9" s="33" t="n">
        <x:f>'Assumptions'!$F$13</x:f>
        <x:v>0.45</x:v>
      </x:c>
      <x:c r="AH9" s="33" t="n">
        <x:f>'Assumptions'!$F$13</x:f>
        <x:v>0.45</x:v>
      </x:c>
      <x:c r="AI9" s="33" t="n">
        <x:f>'Assumptions'!$F$13</x:f>
        <x:v>0.45</x:v>
      </x:c>
      <x:c r="AJ9" s="33" t="n">
        <x:f>'Assumptions'!$F$13</x:f>
        <x:v>0.45</x:v>
      </x:c>
      <x:c r="AK9" s="33" t="n">
        <x:f>'Assumptions'!$F$13</x:f>
        <x:v>0.45</x:v>
      </x:c>
      <x:c r="AL9" s="33" t="n">
        <x:f>'Assumptions'!$F$13</x:f>
        <x:v>0.45</x:v>
      </x:c>
      <x:c r="AM9" s="33" t="n">
        <x:f>'Assumptions'!$F$13</x:f>
        <x:v>0.45</x:v>
      </x:c>
      <x:c r="AN9" s="33" t="n">
        <x:f>'Assumptions'!$F$13</x:f>
        <x:v>0.45</x:v>
      </x:c>
      <x:c r="AO9" s="33" t="n">
        <x:f>'Assumptions'!$F$13</x:f>
        <x:v>0.45</x:v>
      </x:c>
      <x:c r="AP9" s="33" t="n">
        <x:f>'Assumptions'!$F$13</x:f>
        <x:v>0.45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'Assumptions'!$F$14</x:f>
        <x:v>4000</x:v>
      </x:c>
      <x:c r="H10" s="34" t="n">
        <x:f>'Assumptions'!$F$14</x:f>
        <x:v>4000</x:v>
      </x:c>
      <x:c r="I10" s="34" t="n">
        <x:f>'Assumptions'!$F$14</x:f>
        <x:v>4000</x:v>
      </x:c>
      <x:c r="J10" s="34" t="n">
        <x:f>'Assumptions'!$F$14</x:f>
        <x:v>4000</x:v>
      </x:c>
      <x:c r="K10" s="34" t="n">
        <x:f>'Assumptions'!$F$14</x:f>
        <x:v>4000</x:v>
      </x:c>
      <x:c r="L10" s="34" t="n">
        <x:f>'Assumptions'!$F$14</x:f>
        <x:v>4000</x:v>
      </x:c>
      <x:c r="M10" s="34" t="n">
        <x:f>'Assumptions'!$F$14</x:f>
        <x:v>4000</x:v>
      </x:c>
      <x:c r="N10" s="34" t="n">
        <x:f>'Assumptions'!$F$14</x:f>
        <x:v>4000</x:v>
      </x:c>
      <x:c r="O10" s="34" t="n">
        <x:f>'Assumptions'!$F$14</x:f>
        <x:v>4000</x:v>
      </x:c>
      <x:c r="P10" s="34" t="n">
        <x:f>'Assumptions'!$F$14</x:f>
        <x:v>4000</x:v>
      </x:c>
      <x:c r="Q10" s="34" t="n">
        <x:f>'Assumptions'!$F$14</x:f>
        <x:v>4000</x:v>
      </x:c>
      <x:c r="R10" s="34" t="n">
        <x:f>'Assumptions'!$F$14</x:f>
        <x:v>4000</x:v>
      </x:c>
      <x:c r="S10" s="34" t="n">
        <x:f>'Assumptions'!$F$14</x:f>
        <x:v>4000</x:v>
      </x:c>
      <x:c r="T10" s="34" t="n">
        <x:f>'Assumptions'!$F$14</x:f>
        <x:v>4000</x:v>
      </x:c>
      <x:c r="U10" s="34" t="n">
        <x:f>'Assumptions'!$F$14</x:f>
        <x:v>4000</x:v>
      </x:c>
      <x:c r="V10" s="34" t="n">
        <x:f>'Assumptions'!$F$14</x:f>
        <x:v>4000</x:v>
      </x:c>
      <x:c r="W10" s="34" t="n">
        <x:f>'Assumptions'!$F$14</x:f>
        <x:v>4000</x:v>
      </x:c>
      <x:c r="X10" s="34" t="n">
        <x:f>'Assumptions'!$F$14</x:f>
        <x:v>4000</x:v>
      </x:c>
      <x:c r="Y10" s="34" t="n">
        <x:f>'Assumptions'!$F$14</x:f>
        <x:v>4000</x:v>
      </x:c>
      <x:c r="Z10" s="34" t="n">
        <x:f>'Assumptions'!$F$14</x:f>
        <x:v>4000</x:v>
      </x:c>
      <x:c r="AA10" s="34" t="n">
        <x:f>'Assumptions'!$F$14</x:f>
        <x:v>4000</x:v>
      </x:c>
      <x:c r="AB10" s="34" t="n">
        <x:f>'Assumptions'!$F$14</x:f>
        <x:v>4000</x:v>
      </x:c>
      <x:c r="AC10" s="34" t="n">
        <x:f>'Assumptions'!$F$14</x:f>
        <x:v>4000</x:v>
      </x:c>
      <x:c r="AD10" s="34" t="n">
        <x:f>'Assumptions'!$F$14</x:f>
        <x:v>4000</x:v>
      </x:c>
      <x:c r="AE10" s="34" t="n">
        <x:f>'Assumptions'!$F$14</x:f>
        <x:v>4000</x:v>
      </x:c>
      <x:c r="AF10" s="34" t="n">
        <x:f>'Assumptions'!$F$14</x:f>
        <x:v>4000</x:v>
      </x:c>
      <x:c r="AG10" s="34" t="n">
        <x:f>'Assumptions'!$F$14</x:f>
        <x:v>4000</x:v>
      </x:c>
      <x:c r="AH10" s="34" t="n">
        <x:f>'Assumptions'!$F$14</x:f>
        <x:v>4000</x:v>
      </x:c>
      <x:c r="AI10" s="34" t="n">
        <x:f>'Assumptions'!$F$14</x:f>
        <x:v>4000</x:v>
      </x:c>
      <x:c r="AJ10" s="34" t="n">
        <x:f>'Assumptions'!$F$14</x:f>
        <x:v>4000</x:v>
      </x:c>
      <x:c r="AK10" s="34" t="n">
        <x:f>'Assumptions'!$F$14</x:f>
        <x:v>4000</x:v>
      </x:c>
      <x:c r="AL10" s="34" t="n">
        <x:f>'Assumptions'!$F$14</x:f>
        <x:v>4000</x:v>
      </x:c>
      <x:c r="AM10" s="34" t="n">
        <x:f>'Assumptions'!$F$14</x:f>
        <x:v>4000</x:v>
      </x:c>
      <x:c r="AN10" s="34" t="n">
        <x:f>'Assumptions'!$F$14</x:f>
        <x:v>4000</x:v>
      </x:c>
      <x:c r="AO10" s="34" t="n">
        <x:f>'Assumptions'!$F$14</x:f>
        <x:v>4000</x:v>
      </x:c>
      <x:c r="AP10" s="34" t="n">
        <x:f>'Assumptions'!$F$14</x:f>
        <x:v>4000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414720000</x:v>
      </x:c>
      <x:c r="F11" s="42"/>
      <x:c r="G11" s="43" t="n">
        <x:f>G8*G9*G10</x:f>
        <x:v>17280000</x:v>
      </x:c>
      <x:c r="H11" s="43" t="n">
        <x:f>H8*H9*H10</x:f>
        <x:v>17280000</x:v>
      </x:c>
      <x:c r="I11" s="43" t="n">
        <x:f>I8*I9*I10</x:f>
        <x:v>17280000</x:v>
      </x:c>
      <x:c r="J11" s="43" t="n">
        <x:f>J8*J9*J10</x:f>
        <x:v>17280000</x:v>
      </x:c>
      <x:c r="K11" s="43" t="n">
        <x:f>K8*K9*K10</x:f>
        <x:v>17280000</x:v>
      </x:c>
      <x:c r="L11" s="43" t="n">
        <x:f>L8*L9*L10</x:f>
        <x:v>17280000</x:v>
      </x:c>
      <x:c r="M11" s="43" t="n">
        <x:f>M8*M9*M10</x:f>
        <x:v>17280000</x:v>
      </x:c>
      <x:c r="N11" s="43" t="n">
        <x:f>N8*N9*N10</x:f>
        <x:v>17280000</x:v>
      </x:c>
      <x:c r="O11" s="43" t="n">
        <x:f>O8*O9*O10</x:f>
        <x:v>17280000</x:v>
      </x:c>
      <x:c r="P11" s="43" t="n">
        <x:f>P8*P9*P10</x:f>
        <x:v>17280000</x:v>
      </x:c>
      <x:c r="Q11" s="43" t="n">
        <x:f>Q8*Q9*Q10</x:f>
        <x:v>17280000</x:v>
      </x:c>
      <x:c r="R11" s="43" t="n">
        <x:f>R8*R9*R10</x:f>
        <x:v>17280000</x:v>
      </x:c>
      <x:c r="S11" s="43" t="n">
        <x:f>S8*S9*S10</x:f>
        <x:v>17280000</x:v>
      </x:c>
      <x:c r="T11" s="43" t="n">
        <x:f>T8*T9*T10</x:f>
        <x:v>17280000</x:v>
      </x:c>
      <x:c r="U11" s="43" t="n">
        <x:f>U8*U9*U10</x:f>
        <x:v>17280000</x:v>
      </x:c>
      <x:c r="V11" s="43" t="n">
        <x:f>V8*V9*V10</x:f>
        <x:v>17280000</x:v>
      </x:c>
      <x:c r="W11" s="43" t="n">
        <x:f>W8*W9*W10</x:f>
        <x:v>17280000</x:v>
      </x:c>
      <x:c r="X11" s="43" t="n">
        <x:f>X8*X9*X10</x:f>
        <x:v>17280000</x:v>
      </x:c>
      <x:c r="Y11" s="43" t="n">
        <x:f>Y8*Y9*Y10</x:f>
        <x:v>17280000</x:v>
      </x:c>
      <x:c r="Z11" s="43" t="n">
        <x:f>Z8*Z9*Z10</x:f>
        <x:v>17280000</x:v>
      </x:c>
      <x:c r="AA11" s="43" t="n">
        <x:f>AA8*AA9*AA10</x:f>
        <x:v>17280000</x:v>
      </x:c>
      <x:c r="AB11" s="43" t="n">
        <x:f>AB8*AB9*AB10</x:f>
        <x:v>17280000</x:v>
      </x:c>
      <x:c r="AC11" s="43" t="n">
        <x:f>AC8*AC9*AC10</x:f>
        <x:v>17280000</x:v>
      </x:c>
      <x:c r="AD11" s="43" t="n">
        <x:f>AD8*AD9*AD10</x:f>
        <x:v>17280000</x:v>
      </x:c>
      <x:c r="AE11" s="43" t="n">
        <x:f>AE8*AE9*AE10</x:f>
        <x:v>17280000</x:v>
      </x:c>
      <x:c r="AF11" s="43" t="n">
        <x:f>AF8*AF9*AF10</x:f>
        <x:v>17280000</x:v>
      </x:c>
      <x:c r="AG11" s="43" t="n">
        <x:f>AG8*AG9*AG10</x:f>
        <x:v>17280000</x:v>
      </x:c>
      <x:c r="AH11" s="43" t="n">
        <x:f>AH8*AH9*AH10</x:f>
        <x:v>17280000</x:v>
      </x:c>
      <x:c r="AI11" s="43" t="n">
        <x:f>AI8*AI9*AI10</x:f>
        <x:v>17280000</x:v>
      </x:c>
      <x:c r="AJ11" s="43" t="n">
        <x:f>AJ8*AJ9*AJ10</x:f>
        <x:v>17280000</x:v>
      </x:c>
      <x:c r="AK11" s="43" t="n">
        <x:f>AK8*AK9*AK10</x:f>
        <x:v>17280000</x:v>
      </x:c>
      <x:c r="AL11" s="43" t="n">
        <x:f>AL8*AL9*AL10</x:f>
        <x:v>17280000</x:v>
      </x:c>
      <x:c r="AM11" s="43" t="n">
        <x:f>AM8*AM9*AM10</x:f>
        <x:v>17280000</x:v>
      </x:c>
      <x:c r="AN11" s="43" t="n">
        <x:f>AN8*AN9*AN10</x:f>
        <x:v>17280000</x:v>
      </x:c>
      <x:c r="AO11" s="43" t="n">
        <x:f>AO8*AO9*AO10</x:f>
        <x:v>17280000</x:v>
      </x:c>
      <x:c r="AP11" s="43" t="n">
        <x:f>AP8*AP9*AP10</x:f>
        <x:v>17280000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306720000</x:v>
      </x:c>
      <x:c r="F13" s="2"/>
      <x:c r="G13" s="35" t="n">
        <x:f>$E$44</x:f>
        <x:v>306720000</x:v>
      </x:c>
      <x:c r="H13" s="35" t="n">
        <x:f>G16</x:f>
        <x:v>190178375.82838577</x:v>
      </x:c>
      <x:c r="I13" s="35" t="n">
        <x:f>H16</x:f>
        <x:v>129611975.48591882</x:v>
      </x:c>
      <x:c r="J13" s="35" t="n">
        <x:f>I16</x:f>
        <x:v>95503131.10325596</x:v>
      </x:c>
      <x:c r="K13" s="35" t="n">
        <x:f>J16</x:f>
        <x:v>76155440.46159048</x:v>
      </x:c>
      <x:c r="L13" s="35" t="n">
        <x:f>K16</x:f>
        <x:v>65383377.119966924</x:v>
      </x:c>
      <x:c r="M13" s="35" t="n">
        <x:f>L16</x:f>
        <x:v>59625159.34256113</x:v>
      </x:c>
      <x:c r="N13" s="35" t="n">
        <x:f>M16</x:f>
        <x:v>56761911.66516415</x:v>
      </x:c>
      <x:c r="O13" s="35" t="n">
        <x:f>N16</x:f>
        <x:v>55513073.823897794</x:v>
      </x:c>
      <x:c r="P13" s="35" t="n">
        <x:f>O16</x:f>
        <x:v>55118894.33677145</x:v>
      </x:c>
      <x:c r="Q13" s="35" t="n">
        <x:f>P16</x:f>
        <x:v>55118894.33677146</x:v>
      </x:c>
      <x:c r="R13" s="35" t="n">
        <x:f>Q16</x:f>
        <x:v>55118894.33677146</x:v>
      </x:c>
      <x:c r="S13" s="35" t="n">
        <x:f>R16</x:f>
        <x:v>55118894.33677146</x:v>
      </x:c>
      <x:c r="T13" s="35" t="n">
        <x:f>S16</x:f>
        <x:v>55118894.33677146</x:v>
      </x:c>
      <x:c r="U13" s="35" t="n">
        <x:f>T16</x:f>
        <x:v>55118894.33677146</x:v>
      </x:c>
      <x:c r="V13" s="35" t="n">
        <x:f>U16</x:f>
        <x:v>55118894.33677146</x:v>
      </x:c>
      <x:c r="W13" s="35" t="n">
        <x:f>V16</x:f>
        <x:v>55118894.33677146</x:v>
      </x:c>
      <x:c r="X13" s="35" t="n">
        <x:f>W16</x:f>
        <x:v>55118894.33677146</x:v>
      </x:c>
      <x:c r="Y13" s="35" t="n">
        <x:f>X16</x:f>
        <x:v>55118894.33677146</x:v>
      </x:c>
      <x:c r="Z13" s="35" t="n">
        <x:f>Y16</x:f>
        <x:v>55118894.33677146</x:v>
      </x:c>
      <x:c r="AA13" s="35" t="n">
        <x:f>Z16</x:f>
        <x:v>55118894.33677146</x:v>
      </x:c>
      <x:c r="AB13" s="35" t="n">
        <x:f>AA16</x:f>
        <x:v>55118894.33677146</x:v>
      </x:c>
      <x:c r="AC13" s="35" t="n">
        <x:f>AB16</x:f>
        <x:v>55118894.33677146</x:v>
      </x:c>
      <x:c r="AD13" s="35" t="n">
        <x:f>AC16</x:f>
        <x:v>55118894.33677146</x:v>
      </x:c>
      <x:c r="AE13" s="35" t="n">
        <x:f>AD16</x:f>
        <x:v>55118894.33677146</x:v>
      </x:c>
      <x:c r="AF13" s="35" t="n">
        <x:f>AE16</x:f>
        <x:v>55118894.33677146</x:v>
      </x:c>
      <x:c r="AG13" s="35" t="n">
        <x:f>AF16</x:f>
        <x:v>55118894.33677146</x:v>
      </x:c>
      <x:c r="AH13" s="35" t="n">
        <x:f>AG16</x:f>
        <x:v>55118894.33677146</x:v>
      </x:c>
      <x:c r="AI13" s="35" t="n">
        <x:f>AH16</x:f>
        <x:v>55118894.33677146</x:v>
      </x:c>
      <x:c r="AJ13" s="35" t="n">
        <x:f>AI16</x:f>
        <x:v>55118894.33677146</x:v>
      </x:c>
      <x:c r="AK13" s="35" t="n">
        <x:f>AJ16</x:f>
        <x:v>55118894.33677146</x:v>
      </x:c>
      <x:c r="AL13" s="35" t="n">
        <x:f>AK16</x:f>
        <x:v>55118894.33677146</x:v>
      </x:c>
      <x:c r="AM13" s="35" t="n">
        <x:f>AL16</x:f>
        <x:v>55118894.33677146</x:v>
      </x:c>
      <x:c r="AN13" s="35" t="n">
        <x:f>AM16</x:f>
        <x:v>55118894.33677146</x:v>
      </x:c>
      <x:c r="AO13" s="35" t="n">
        <x:f>AN16</x:f>
        <x:v>55118894.33677146</x:v>
      </x:c>
      <x:c r="AP13" s="35" t="n">
        <x:f>AO16</x:f>
        <x:v>55118894.33677146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535477404.4436955</x:v>
      </x:c>
      <x:c r="F14" s="2"/>
      <x:c r="G14" s="35" t="n">
        <x:f>SUM(G29:G30)</x:f>
        <x:v>106022004.6247654</x:v>
      </x:c>
      <x:c r="H14" s="35" t="n">
        <x:f>SUM(H29:H30)</x:f>
        <x:v>61878898.8765796</x:v>
      </x:c>
      <x:c r="I14" s="35" t="n">
        <x:f>SUM(I29:I30)</x:f>
        <x:v>40934465.68192479</x:v>
      </x:c>
      <x:c r="J14" s="35" t="n">
        <x:f>SUM(J29:J30)</x:f>
        <x:v>29245780.216322284</x:v>
      </x:c>
      <x:c r="K14" s="35" t="n">
        <x:f>SUM(K29:K30)</x:f>
        <x:v>22482923.5058445</x:v>
      </x:c>
      <x:c r="L14" s="35" t="n">
        <x:f>SUM(L29:L30)</x:f>
        <x:v>18547349.650371965</x:v>
      </x:c>
      <x:c r="M14" s="35" t="n">
        <x:f>SUM(M29:M30)</x:f>
        <x:v>16272676.13523912</x:v>
      </x:c>
      <x:c r="N14" s="35" t="n">
        <x:f>SUM(N29:N30)</x:f>
        <x:v>15010472.45913178</x:v>
      </x:c>
      <x:c r="O14" s="35" t="n">
        <x:f>SUM(O29:O30)</x:f>
        <x:v>14352871.831480635</x:v>
      </x:c>
      <x:c r="P14" s="35" t="n">
        <x:f>SUM(P29:P30)</x:f>
        <x:v>14048664.097469024</x:v>
      </x:c>
      <x:c r="Q14" s="35" t="n">
        <x:f>SUM(Q29:Q30)</x:f>
        <x:v>14048664.097469024</x:v>
      </x:c>
      <x:c r="R14" s="35" t="n">
        <x:f>SUM(R29:R30)</x:f>
        <x:v>14048664.097469024</x:v>
      </x:c>
      <x:c r="S14" s="35" t="n">
        <x:f>SUM(S29:S30)</x:f>
        <x:v>14048664.097469024</x:v>
      </x:c>
      <x:c r="T14" s="35" t="n">
        <x:f>SUM(T29:T30)</x:f>
        <x:v>14048664.097469024</x:v>
      </x:c>
      <x:c r="U14" s="35" t="n">
        <x:f>SUM(U29:U30)</x:f>
        <x:v>14048664.097469024</x:v>
      </x:c>
      <x:c r="V14" s="35" t="n">
        <x:f>SUM(V29:V30)</x:f>
        <x:v>14048664.097469024</x:v>
      </x:c>
      <x:c r="W14" s="35" t="n">
        <x:f>SUM(W29:W30)</x:f>
        <x:v>14048664.097469024</x:v>
      </x:c>
      <x:c r="X14" s="35" t="n">
        <x:f>SUM(X29:X30)</x:f>
        <x:v>14048664.097469024</x:v>
      </x:c>
      <x:c r="Y14" s="35" t="n">
        <x:f>SUM(Y29:Y30)</x:f>
        <x:v>14048664.097469024</x:v>
      </x:c>
      <x:c r="Z14" s="35" t="n">
        <x:f>SUM(Z29:Z30)</x:f>
        <x:v>14048664.097469024</x:v>
      </x:c>
      <x:c r="AA14" s="35" t="n">
        <x:f>SUM(AA29:AA30)</x:f>
        <x:v>14048664.097469024</x:v>
      </x:c>
      <x:c r="AB14" s="35" t="n">
        <x:f>SUM(AB29:AB30)</x:f>
        <x:v>14048664.097469024</x:v>
      </x:c>
      <x:c r="AC14" s="35" t="n">
        <x:f>SUM(AC29:AC30)</x:f>
        <x:v>14048664.097469024</x:v>
      </x:c>
      <x:c r="AD14" s="35" t="n">
        <x:f>SUM(AD29:AD30)</x:f>
        <x:v>14048664.097469024</x:v>
      </x:c>
      <x:c r="AE14" s="35" t="n">
        <x:f>SUM(AE29:AE30)</x:f>
        <x:v>14048664.097469024</x:v>
      </x:c>
      <x:c r="AF14" s="35" t="n">
        <x:f>SUM(AF29:AF30)</x:f>
        <x:v>14048664.097469024</x:v>
      </x:c>
      <x:c r="AG14" s="35" t="n">
        <x:f>SUM(AG29:AG30)</x:f>
        <x:v>14048664.097469024</x:v>
      </x:c>
      <x:c r="AH14" s="35" t="n">
        <x:f>SUM(AH29:AH30)</x:f>
        <x:v>14048664.097469024</x:v>
      </x:c>
      <x:c r="AI14" s="35" t="n">
        <x:f>SUM(AI29:AI30)</x:f>
        <x:v>14048664.097469024</x:v>
      </x:c>
      <x:c r="AJ14" s="35" t="n">
        <x:f>SUM(AJ29:AJ30)</x:f>
        <x:v>14048664.097469024</x:v>
      </x:c>
      <x:c r="AK14" s="35" t="n">
        <x:f>SUM(AK29:AK30)</x:f>
        <x:v>14048664.097469024</x:v>
      </x:c>
      <x:c r="AL14" s="35" t="n">
        <x:f>SUM(AL29:AL30)</x:f>
        <x:v>14048664.097469024</x:v>
      </x:c>
      <x:c r="AM14" s="35" t="n">
        <x:f>SUM(AM29:AM30)</x:f>
        <x:v>14048664.097469024</x:v>
      </x:c>
      <x:c r="AN14" s="35" t="n">
        <x:f>SUM(AN29:AN30)</x:f>
        <x:v>14048664.097469024</x:v>
      </x:c>
      <x:c r="AO14" s="35" t="n">
        <x:f>SUM(AO29:AO30)</x:f>
        <x:v>14048664.097469024</x:v>
      </x:c>
      <x:c r="AP14" s="35" t="n">
        <x:f>SUM(AP29:AP30)</x:f>
        <x:v>14048664.097469024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130843701.21953322</x:v>
      </x:c>
      <x:c r="F15" s="2"/>
      <x:c r="G15" s="35" t="n">
        <x:f>SUM(G27:G28)</x:f>
        <x:v>27799619.546848845</x:v>
      </x:c>
      <x:c r="H15" s="35" t="n">
        <x:f>SUM(H27:H28)</x:f>
        <x:v>15967501.465887371</x:v>
      </x:c>
      <x:c r="I15" s="35" t="n">
        <x:f>SUM(I27:I28)</x:f>
        <x:v>10454378.700738069</x:v>
      </x:c>
      <x:c r="J15" s="35" t="n">
        <x:f>SUM(J27:J28)</x:f>
        <x:v>7381910.42534318</x:v>
      </x:c>
      <x:c r="K15" s="35" t="n">
        <x:f>SUM(K27:K28)</x:f>
        <x:v>5569139.835779054</x:v>
      </x:c>
      <x:c r="L15" s="35" t="n">
        <x:f>SUM(L27:L28)</x:f>
        <x:v>4490868.12703382</x:v>
      </x:c>
      <x:c r="M15" s="35" t="n">
        <x:f>SUM(M27:M28)</x:f>
        <x:v>3870571.542157852</x:v>
      </x:c>
      <x:c r="N15" s="35" t="n">
        <x:f>SUM(N27:N28)</x:f>
        <x:v>3518365.3821345735</x:v>
      </x:c>
      <x:c r="O15" s="35" t="n">
        <x:f>SUM(O27:O28)</x:f>
        <x:v>3321307.655645707</x:v>
      </x:c>
      <x:c r="P15" s="35" t="n">
        <x:f>SUM(P27:P28)</x:f>
        <x:v>3231335.9025309775</x:v>
      </x:c>
      <x:c r="Q15" s="35" t="n">
        <x:f>SUM(Q27:Q28)</x:f>
        <x:v>3231335.9025309775</x:v>
      </x:c>
      <x:c r="R15" s="35" t="n">
        <x:f>SUM(R27:R28)</x:f>
        <x:v>3231335.9025309775</x:v>
      </x:c>
      <x:c r="S15" s="35" t="n">
        <x:f>SUM(S27:S28)</x:f>
        <x:v>3231335.9025309775</x:v>
      </x:c>
      <x:c r="T15" s="35" t="n">
        <x:f>SUM(T27:T28)</x:f>
        <x:v>3231335.9025309775</x:v>
      </x:c>
      <x:c r="U15" s="35" t="n">
        <x:f>SUM(U27:U28)</x:f>
        <x:v>3231335.9025309775</x:v>
      </x:c>
      <x:c r="V15" s="35" t="n">
        <x:f>SUM(V27:V28)</x:f>
        <x:v>3231335.9025309775</x:v>
      </x:c>
      <x:c r="W15" s="35" t="n">
        <x:f>SUM(W27:W28)</x:f>
        <x:v>3231335.9025309775</x:v>
      </x:c>
      <x:c r="X15" s="35" t="n">
        <x:f>SUM(X27:X28)</x:f>
        <x:v>3231335.9025309775</x:v>
      </x:c>
      <x:c r="Y15" s="35" t="n">
        <x:f>SUM(Y27:Y28)</x:f>
        <x:v>3231335.9025309775</x:v>
      </x:c>
      <x:c r="Z15" s="35" t="n">
        <x:f>SUM(Z27:Z28)</x:f>
        <x:v>3231335.9025309775</x:v>
      </x:c>
      <x:c r="AA15" s="35" t="n">
        <x:f>SUM(AA27:AA28)</x:f>
        <x:v>3231335.9025309775</x:v>
      </x:c>
      <x:c r="AB15" s="35" t="n">
        <x:f>SUM(AB27:AB28)</x:f>
        <x:v>3231335.9025309775</x:v>
      </x:c>
      <x:c r="AC15" s="35" t="n">
        <x:f>SUM(AC27:AC28)</x:f>
        <x:v>3231335.9025309775</x:v>
      </x:c>
      <x:c r="AD15" s="35" t="n">
        <x:f>SUM(AD27:AD28)</x:f>
        <x:v>3231335.9025309775</x:v>
      </x:c>
      <x:c r="AE15" s="35" t="n">
        <x:f>SUM(AE27:AE28)</x:f>
        <x:v>3231335.9025309775</x:v>
      </x:c>
      <x:c r="AF15" s="35" t="n">
        <x:f>SUM(AF27:AF28)</x:f>
        <x:v>3231335.9025309775</x:v>
      </x:c>
      <x:c r="AG15" s="35" t="n">
        <x:f>SUM(AG27:AG28)</x:f>
        <x:v>3231335.9025309775</x:v>
      </x:c>
      <x:c r="AH15" s="35" t="n">
        <x:f>SUM(AH27:AH28)</x:f>
        <x:v>3231335.9025309775</x:v>
      </x:c>
      <x:c r="AI15" s="35" t="n">
        <x:f>SUM(AI27:AI28)</x:f>
        <x:v>3231335.9025309775</x:v>
      </x:c>
      <x:c r="AJ15" s="35" t="n">
        <x:f>SUM(AJ27:AJ28)</x:f>
        <x:v>3231335.9025309775</x:v>
      </x:c>
      <x:c r="AK15" s="35" t="n">
        <x:f>SUM(AK27:AK28)</x:f>
        <x:v>3231335.9025309775</x:v>
      </x:c>
      <x:c r="AL15" s="35" t="n">
        <x:f>SUM(AL27:AL28)</x:f>
        <x:v>3231335.9025309775</x:v>
      </x:c>
      <x:c r="AM15" s="35" t="n">
        <x:f>SUM(AM27:AM28)</x:f>
        <x:v>3231335.9025309775</x:v>
      </x:c>
      <x:c r="AN15" s="35" t="n">
        <x:f>SUM(AN27:AN28)</x:f>
        <x:v>3231335.9025309775</x:v>
      </x:c>
      <x:c r="AO15" s="35" t="n">
        <x:f>SUM(AO27:AO28)</x:f>
        <x:v>3231335.9025309775</x:v>
      </x:c>
      <x:c r="AP15" s="35" t="n">
        <x:f>SUM(AP27:AP28)</x:f>
        <x:v>3231335.9025309775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55118894.33677146</x:v>
      </x:c>
      <x:c r="F16" s="42"/>
      <x:c r="G16" s="43" t="n">
        <x:f>G13+G11-G14-G15</x:f>
        <x:v>190178375.82838577</x:v>
      </x:c>
      <x:c r="H16" s="43" t="n">
        <x:f>H13+H11-H14-H15</x:f>
        <x:v>129611975.48591882</x:v>
      </x:c>
      <x:c r="I16" s="43" t="n">
        <x:f>I13+I11-I14-I15</x:f>
        <x:v>95503131.10325596</x:v>
      </x:c>
      <x:c r="J16" s="43" t="n">
        <x:f>J13+J11-J14-J15</x:f>
        <x:v>76155440.46159048</x:v>
      </x:c>
      <x:c r="K16" s="43" t="n">
        <x:f>K13+K11-K14-K15</x:f>
        <x:v>65383377.119966924</x:v>
      </x:c>
      <x:c r="L16" s="43" t="n">
        <x:f>L13+L11-L14-L15</x:f>
        <x:v>59625159.34256113</x:v>
      </x:c>
      <x:c r="M16" s="43" t="n">
        <x:f>M13+M11-M14-M15</x:f>
        <x:v>56761911.66516415</x:v>
      </x:c>
      <x:c r="N16" s="43" t="n">
        <x:f>N13+N11-N14-N15</x:f>
        <x:v>55513073.823897794</x:v>
      </x:c>
      <x:c r="O16" s="43" t="n">
        <x:f>O13+O11-O14-O15</x:f>
        <x:v>55118894.33677145</x:v>
      </x:c>
      <x:c r="P16" s="43" t="n">
        <x:f>P13+P11-P14-P15</x:f>
        <x:v>55118894.33677146</x:v>
      </x:c>
      <x:c r="Q16" s="43" t="n">
        <x:f>Q13+Q11-Q14-Q15</x:f>
        <x:v>55118894.33677146</x:v>
      </x:c>
      <x:c r="R16" s="43" t="n">
        <x:f>R13+R11-R14-R15</x:f>
        <x:v>55118894.33677146</x:v>
      </x:c>
      <x:c r="S16" s="43" t="n">
        <x:f>S13+S11-S14-S15</x:f>
        <x:v>55118894.33677146</x:v>
      </x:c>
      <x:c r="T16" s="43" t="n">
        <x:f>T13+T11-T14-T15</x:f>
        <x:v>55118894.33677146</x:v>
      </x:c>
      <x:c r="U16" s="43" t="n">
        <x:f>U13+U11-U14-U15</x:f>
        <x:v>55118894.33677146</x:v>
      </x:c>
      <x:c r="V16" s="43" t="n">
        <x:f>V13+V11-V14-V15</x:f>
        <x:v>55118894.33677146</x:v>
      </x:c>
      <x:c r="W16" s="43" t="n">
        <x:f>W13+W11-W14-W15</x:f>
        <x:v>55118894.33677146</x:v>
      </x:c>
      <x:c r="X16" s="43" t="n">
        <x:f>X13+X11-X14-X15</x:f>
        <x:v>55118894.33677146</x:v>
      </x:c>
      <x:c r="Y16" s="43" t="n">
        <x:f>Y13+Y11-Y14-Y15</x:f>
        <x:v>55118894.33677146</x:v>
      </x:c>
      <x:c r="Z16" s="43" t="n">
        <x:f>Z13+Z11-Z14-Z15</x:f>
        <x:v>55118894.33677146</x:v>
      </x:c>
      <x:c r="AA16" s="43" t="n">
        <x:f>AA13+AA11-AA14-AA15</x:f>
        <x:v>55118894.33677146</x:v>
      </x:c>
      <x:c r="AB16" s="43" t="n">
        <x:f>AB13+AB11-AB14-AB15</x:f>
        <x:v>55118894.33677146</x:v>
      </x:c>
      <x:c r="AC16" s="43" t="n">
        <x:f>AC13+AC11-AC14-AC15</x:f>
        <x:v>55118894.33677146</x:v>
      </x:c>
      <x:c r="AD16" s="43" t="n">
        <x:f>AD13+AD11-AD14-AD15</x:f>
        <x:v>55118894.33677146</x:v>
      </x:c>
      <x:c r="AE16" s="43" t="n">
        <x:f>AE13+AE11-AE14-AE15</x:f>
        <x:v>55118894.33677146</x:v>
      </x:c>
      <x:c r="AF16" s="43" t="n">
        <x:f>AF13+AF11-AF14-AF15</x:f>
        <x:v>55118894.33677146</x:v>
      </x:c>
      <x:c r="AG16" s="43" t="n">
        <x:f>AG13+AG11-AG14-AG15</x:f>
        <x:v>55118894.33677146</x:v>
      </x:c>
      <x:c r="AH16" s="43" t="n">
        <x:f>AH13+AH11-AH14-AH15</x:f>
        <x:v>55118894.33677146</x:v>
      </x:c>
      <x:c r="AI16" s="43" t="n">
        <x:f>AI13+AI11-AI14-AI15</x:f>
        <x:v>55118894.33677146</x:v>
      </x:c>
      <x:c r="AJ16" s="43" t="n">
        <x:f>AJ13+AJ11-AJ14-AJ15</x:f>
        <x:v>55118894.33677146</x:v>
      </x:c>
      <x:c r="AK16" s="43" t="n">
        <x:f>AK13+AK11-AK14-AK15</x:f>
        <x:v>55118894.33677146</x:v>
      </x:c>
      <x:c r="AL16" s="43" t="n">
        <x:f>AL13+AL11-AL14-AL15</x:f>
        <x:v>55118894.33677146</x:v>
      </x:c>
      <x:c r="AM16" s="43" t="n">
        <x:f>AM13+AM11-AM14-AM15</x:f>
        <x:v>55118894.33677146</x:v>
      </x:c>
      <x:c r="AN16" s="43" t="n">
        <x:f>AN13+AN11-AN14-AN15</x:f>
        <x:v>55118894.33677146</x:v>
      </x:c>
      <x:c r="AO16" s="43" t="n">
        <x:f>AO13+AO11-AO14-AO15</x:f>
        <x:v>55118894.33677146</x:v>
      </x:c>
      <x:c r="AP16" s="43" t="n">
        <x:f>AP13+AP11-AP14-AP15</x:f>
        <x:v>55118894.33677146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64161574.26349827</x:v>
      </x:c>
      <x:c r="F18" s="2"/>
      <x:c r="G18" s="35" t="n">
        <x:f>$E$48</x:f>
        <x:v>64161574.26349827</x:v>
      </x:c>
      <x:c r="H18" s="35" t="n">
        <x:f>G20</x:f>
        <x:v>39593290.619180396</x:v>
      </x:c>
      <x:c r="I18" s="35" t="n">
        <x:f>H20</x:f>
        <x:v>26857125.055824</x:v>
      </x:c>
      <x:c r="J18" s="35" t="n">
        <x:f>I20</x:f>
        <x:v>19634082.257616907</x:v>
      </x:c>
      <x:c r="K18" s="35" t="n">
        <x:f>J20</x:f>
        <x:v>15483507.734804703</x:v>
      </x:c>
      <x:c r="L18" s="35" t="n">
        <x:f>K20</x:f>
        <x:v>13145703.801556626</x:v>
      </x:c>
      <x:c r="M18" s="35" t="n">
        <x:f>L20</x:f>
        <x:v>11886171.577053783</x:v>
      </x:c>
      <x:c r="N18" s="35" t="n">
        <x:f>M20</x:f>
        <x:v>11246935.93742691</x:v>
      </x:c>
      <x:c r="O18" s="35" t="n">
        <x:f>N20</x:f>
        <x:v>10959906.457823314</x:v>
      </x:c>
      <x:c r="P18" s="35" t="n">
        <x:f>O20</x:f>
        <x:v>10869934.704708584</x:v>
      </x:c>
      <x:c r="Q18" s="35" t="n">
        <x:f>P20</x:f>
        <x:v>10869934.704708584</x:v>
      </x:c>
      <x:c r="R18" s="35" t="n">
        <x:f>Q20</x:f>
        <x:v>10869934.704708584</x:v>
      </x:c>
      <x:c r="S18" s="35" t="n">
        <x:f>R20</x:f>
        <x:v>10869934.704708584</x:v>
      </x:c>
      <x:c r="T18" s="35" t="n">
        <x:f>S20</x:f>
        <x:v>10869934.704708584</x:v>
      </x:c>
      <x:c r="U18" s="35" t="n">
        <x:f>T20</x:f>
        <x:v>10869934.704708584</x:v>
      </x:c>
      <x:c r="V18" s="35" t="n">
        <x:f>U20</x:f>
        <x:v>10869934.704708584</x:v>
      </x:c>
      <x:c r="W18" s="35" t="n">
        <x:f>V20</x:f>
        <x:v>10869934.704708584</x:v>
      </x:c>
      <x:c r="X18" s="35" t="n">
        <x:f>W20</x:f>
        <x:v>10869934.704708584</x:v>
      </x:c>
      <x:c r="Y18" s="35" t="n">
        <x:f>X20</x:f>
        <x:v>10869934.704708584</x:v>
      </x:c>
      <x:c r="Z18" s="35" t="n">
        <x:f>Y20</x:f>
        <x:v>10869934.704708584</x:v>
      </x:c>
      <x:c r="AA18" s="35" t="n">
        <x:f>Z20</x:f>
        <x:v>10869934.704708584</x:v>
      </x:c>
      <x:c r="AB18" s="35" t="n">
        <x:f>AA20</x:f>
        <x:v>10869934.704708584</x:v>
      </x:c>
      <x:c r="AC18" s="35" t="n">
        <x:f>AB20</x:f>
        <x:v>10869934.704708584</x:v>
      </x:c>
      <x:c r="AD18" s="35" t="n">
        <x:f>AC20</x:f>
        <x:v>10869934.704708584</x:v>
      </x:c>
      <x:c r="AE18" s="35" t="n">
        <x:f>AD20</x:f>
        <x:v>10869934.704708584</x:v>
      </x:c>
      <x:c r="AF18" s="35" t="n">
        <x:f>AE20</x:f>
        <x:v>10869934.704708584</x:v>
      </x:c>
      <x:c r="AG18" s="35" t="n">
        <x:f>AF20</x:f>
        <x:v>10869934.704708584</x:v>
      </x:c>
      <x:c r="AH18" s="35" t="n">
        <x:f>AG20</x:f>
        <x:v>10869934.704708584</x:v>
      </x:c>
      <x:c r="AI18" s="35" t="n">
        <x:f>AH20</x:f>
        <x:v>10869934.704708584</x:v>
      </x:c>
      <x:c r="AJ18" s="35" t="n">
        <x:f>AI20</x:f>
        <x:v>10869934.704708584</x:v>
      </x:c>
      <x:c r="AK18" s="35" t="n">
        <x:f>AJ20</x:f>
        <x:v>10869934.704708584</x:v>
      </x:c>
      <x:c r="AL18" s="35" t="n">
        <x:f>AK20</x:f>
        <x:v>10869934.704708584</x:v>
      </x:c>
      <x:c r="AM18" s="35" t="n">
        <x:f>AL20</x:f>
        <x:v>10869934.704708584</x:v>
      </x:c>
      <x:c r="AN18" s="35" t="n">
        <x:f>AM20</x:f>
        <x:v>10869934.704708584</x:v>
      </x:c>
      <x:c r="AO18" s="35" t="n">
        <x:f>AN20</x:f>
        <x:v>10869934.704708584</x:v>
      </x:c>
      <x:c r="AP18" s="35" t="n">
        <x:f>AO20</x:f>
        <x:v>10869934.704708584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77552061.66074345</x:v>
      </x:c>
      <x:c r="F19" s="2"/>
      <x:c r="G19" s="35" t="n">
        <x:f>G11*$E$49</x:f>
        <x:v>3231335.902530977</x:v>
      </x:c>
      <x:c r="H19" s="35" t="n">
        <x:f>H11*$E$49</x:f>
        <x:v>3231335.902530977</x:v>
      </x:c>
      <x:c r="I19" s="35" t="n">
        <x:f>I11*$E$49</x:f>
        <x:v>3231335.902530977</x:v>
      </x:c>
      <x:c r="J19" s="35" t="n">
        <x:f>J11*$E$49</x:f>
        <x:v>3231335.902530977</x:v>
      </x:c>
      <x:c r="K19" s="35" t="n">
        <x:f>K11*$E$49</x:f>
        <x:v>3231335.902530977</x:v>
      </x:c>
      <x:c r="L19" s="35" t="n">
        <x:f>L11*$E$49</x:f>
        <x:v>3231335.902530977</x:v>
      </x:c>
      <x:c r="M19" s="35" t="n">
        <x:f>M11*$E$49</x:f>
        <x:v>3231335.902530977</x:v>
      </x:c>
      <x:c r="N19" s="35" t="n">
        <x:f>N11*$E$49</x:f>
        <x:v>3231335.902530977</x:v>
      </x:c>
      <x:c r="O19" s="35" t="n">
        <x:f>O11*$E$49</x:f>
        <x:v>3231335.902530977</x:v>
      </x:c>
      <x:c r="P19" s="35" t="n">
        <x:f>P11*$E$49</x:f>
        <x:v>3231335.902530977</x:v>
      </x:c>
      <x:c r="Q19" s="35" t="n">
        <x:f>Q11*$E$49</x:f>
        <x:v>3231335.902530977</x:v>
      </x:c>
      <x:c r="R19" s="35" t="n">
        <x:f>R11*$E$49</x:f>
        <x:v>3231335.902530977</x:v>
      </x:c>
      <x:c r="S19" s="35" t="n">
        <x:f>S11*$E$49</x:f>
        <x:v>3231335.902530977</x:v>
      </x:c>
      <x:c r="T19" s="35" t="n">
        <x:f>T11*$E$49</x:f>
        <x:v>3231335.902530977</x:v>
      </x:c>
      <x:c r="U19" s="35" t="n">
        <x:f>U11*$E$49</x:f>
        <x:v>3231335.902530977</x:v>
      </x:c>
      <x:c r="V19" s="35" t="n">
        <x:f>V11*$E$49</x:f>
        <x:v>3231335.902530977</x:v>
      </x:c>
      <x:c r="W19" s="35" t="n">
        <x:f>W11*$E$49</x:f>
        <x:v>3231335.902530977</x:v>
      </x:c>
      <x:c r="X19" s="35" t="n">
        <x:f>X11*$E$49</x:f>
        <x:v>3231335.902530977</x:v>
      </x:c>
      <x:c r="Y19" s="35" t="n">
        <x:f>Y11*$E$49</x:f>
        <x:v>3231335.902530977</x:v>
      </x:c>
      <x:c r="Z19" s="35" t="n">
        <x:f>Z11*$E$49</x:f>
        <x:v>3231335.902530977</x:v>
      </x:c>
      <x:c r="AA19" s="35" t="n">
        <x:f>AA11*$E$49</x:f>
        <x:v>3231335.902530977</x:v>
      </x:c>
      <x:c r="AB19" s="35" t="n">
        <x:f>AB11*$E$49</x:f>
        <x:v>3231335.902530977</x:v>
      </x:c>
      <x:c r="AC19" s="35" t="n">
        <x:f>AC11*$E$49</x:f>
        <x:v>3231335.902530977</x:v>
      </x:c>
      <x:c r="AD19" s="35" t="n">
        <x:f>AD11*$E$49</x:f>
        <x:v>3231335.902530977</x:v>
      </x:c>
      <x:c r="AE19" s="35" t="n">
        <x:f>AE11*$E$49</x:f>
        <x:v>3231335.902530977</x:v>
      </x:c>
      <x:c r="AF19" s="35" t="n">
        <x:f>AF11*$E$49</x:f>
        <x:v>3231335.902530977</x:v>
      </x:c>
      <x:c r="AG19" s="35" t="n">
        <x:f>AG11*$E$49</x:f>
        <x:v>3231335.902530977</x:v>
      </x:c>
      <x:c r="AH19" s="35" t="n">
        <x:f>AH11*$E$49</x:f>
        <x:v>3231335.902530977</x:v>
      </x:c>
      <x:c r="AI19" s="35" t="n">
        <x:f>AI11*$E$49</x:f>
        <x:v>3231335.902530977</x:v>
      </x:c>
      <x:c r="AJ19" s="35" t="n">
        <x:f>AJ11*$E$49</x:f>
        <x:v>3231335.902530977</x:v>
      </x:c>
      <x:c r="AK19" s="35" t="n">
        <x:f>AK11*$E$49</x:f>
        <x:v>3231335.902530977</x:v>
      </x:c>
      <x:c r="AL19" s="35" t="n">
        <x:f>AL11*$E$49</x:f>
        <x:v>3231335.902530977</x:v>
      </x:c>
      <x:c r="AM19" s="35" t="n">
        <x:f>AM11*$E$49</x:f>
        <x:v>3231335.902530977</x:v>
      </x:c>
      <x:c r="AN19" s="35" t="n">
        <x:f>AN11*$E$49</x:f>
        <x:v>3231335.902530977</x:v>
      </x:c>
      <x:c r="AO19" s="35" t="n">
        <x:f>AO11*$E$49</x:f>
        <x:v>3231335.902530977</x:v>
      </x:c>
      <x:c r="AP19" s="35" t="n">
        <x:f>AP11*$E$49</x:f>
        <x:v>3231335.902530977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10869934.704708584</x:v>
      </x:c>
      <x:c r="F20" s="42"/>
      <x:c r="G20" s="43" t="n">
        <x:f>G18+G19-G15</x:f>
        <x:v>39593290.619180396</x:v>
      </x:c>
      <x:c r="H20" s="43" t="n">
        <x:f>H18+H19-H15</x:f>
        <x:v>26857125.055824</x:v>
      </x:c>
      <x:c r="I20" s="43" t="n">
        <x:f>I18+I19-I15</x:f>
        <x:v>19634082.257616907</x:v>
      </x:c>
      <x:c r="J20" s="43" t="n">
        <x:f>J18+J19-J15</x:f>
        <x:v>15483507.734804703</x:v>
      </x:c>
      <x:c r="K20" s="43" t="n">
        <x:f>K18+K19-K15</x:f>
        <x:v>13145703.801556626</x:v>
      </x:c>
      <x:c r="L20" s="43" t="n">
        <x:f>L18+L19-L15</x:f>
        <x:v>11886171.577053783</x:v>
      </x:c>
      <x:c r="M20" s="43" t="n">
        <x:f>M18+M19-M15</x:f>
        <x:v>11246935.93742691</x:v>
      </x:c>
      <x:c r="N20" s="43" t="n">
        <x:f>N18+N19-N15</x:f>
        <x:v>10959906.457823314</x:v>
      </x:c>
      <x:c r="O20" s="43" t="n">
        <x:f>O18+O19-O15</x:f>
        <x:v>10869934.704708584</x:v>
      </x:c>
      <x:c r="P20" s="43" t="n">
        <x:f>P18+P19-P15</x:f>
        <x:v>10869934.704708584</x:v>
      </x:c>
      <x:c r="Q20" s="43" t="n">
        <x:f>Q18+Q19-Q15</x:f>
        <x:v>10869934.704708584</x:v>
      </x:c>
      <x:c r="R20" s="43" t="n">
        <x:f>R18+R19-R15</x:f>
        <x:v>10869934.704708584</x:v>
      </x:c>
      <x:c r="S20" s="43" t="n">
        <x:f>S18+S19-S15</x:f>
        <x:v>10869934.704708584</x:v>
      </x:c>
      <x:c r="T20" s="43" t="n">
        <x:f>T18+T19-T15</x:f>
        <x:v>10869934.704708584</x:v>
      </x:c>
      <x:c r="U20" s="43" t="n">
        <x:f>U18+U19-U15</x:f>
        <x:v>10869934.704708584</x:v>
      </x:c>
      <x:c r="V20" s="43" t="n">
        <x:f>V18+V19-V15</x:f>
        <x:v>10869934.704708584</x:v>
      </x:c>
      <x:c r="W20" s="43" t="n">
        <x:f>W18+W19-W15</x:f>
        <x:v>10869934.704708584</x:v>
      </x:c>
      <x:c r="X20" s="43" t="n">
        <x:f>X18+X19-X15</x:f>
        <x:v>10869934.704708584</x:v>
      </x:c>
      <x:c r="Y20" s="43" t="n">
        <x:f>Y18+Y19-Y15</x:f>
        <x:v>10869934.704708584</x:v>
      </x:c>
      <x:c r="Z20" s="43" t="n">
        <x:f>Z18+Z19-Z15</x:f>
        <x:v>10869934.704708584</x:v>
      </x:c>
      <x:c r="AA20" s="43" t="n">
        <x:f>AA18+AA19-AA15</x:f>
        <x:v>10869934.704708584</x:v>
      </x:c>
      <x:c r="AB20" s="43" t="n">
        <x:f>AB18+AB19-AB15</x:f>
        <x:v>10869934.704708584</x:v>
      </x:c>
      <x:c r="AC20" s="43" t="n">
        <x:f>AC18+AC19-AC15</x:f>
        <x:v>10869934.704708584</x:v>
      </x:c>
      <x:c r="AD20" s="43" t="n">
        <x:f>AD18+AD19-AD15</x:f>
        <x:v>10869934.704708584</x:v>
      </x:c>
      <x:c r="AE20" s="43" t="n">
        <x:f>AE18+AE19-AE15</x:f>
        <x:v>10869934.704708584</x:v>
      </x:c>
      <x:c r="AF20" s="43" t="n">
        <x:f>AF18+AF19-AF15</x:f>
        <x:v>10869934.704708584</x:v>
      </x:c>
      <x:c r="AG20" s="43" t="n">
        <x:f>AG18+AG19-AG15</x:f>
        <x:v>10869934.704708584</x:v>
      </x:c>
      <x:c r="AH20" s="43" t="n">
        <x:f>AH18+AH19-AH15</x:f>
        <x:v>10869934.704708584</x:v>
      </x:c>
      <x:c r="AI20" s="43" t="n">
        <x:f>AI18+AI19-AI15</x:f>
        <x:v>10869934.704708584</x:v>
      </x:c>
      <x:c r="AJ20" s="43" t="n">
        <x:f>AJ18+AJ19-AJ15</x:f>
        <x:v>10869934.704708584</x:v>
      </x:c>
      <x:c r="AK20" s="43" t="n">
        <x:f>AK18+AK19-AK15</x:f>
        <x:v>10869934.704708584</x:v>
      </x:c>
      <x:c r="AL20" s="43" t="n">
        <x:f>AL18+AL19-AL15</x:f>
        <x:v>10869934.704708584</x:v>
      </x:c>
      <x:c r="AM20" s="43" t="n">
        <x:f>AM18+AM19-AM15</x:f>
        <x:v>10869934.704708584</x:v>
      </x:c>
      <x:c r="AN20" s="43" t="n">
        <x:f>AN18+AN19-AN15</x:f>
        <x:v>10869934.704708584</x:v>
      </x:c>
      <x:c r="AO20" s="43" t="n">
        <x:f>AO18+AO19-AO15</x:f>
        <x:v>10869934.704708584</x:v>
      </x:c>
      <x:c r="AP20" s="43" t="n">
        <x:f>AP18+AP19-AP15</x:f>
        <x:v>10869934.704708584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44248959.632062875</x:v>
      </x:c>
      <x:c r="F21" s="42"/>
      <x:c r="G21" s="43" t="n">
        <x:f>G16-G20</x:f>
        <x:v>150585085.2092054</x:v>
      </x:c>
      <x:c r="H21" s="43" t="n">
        <x:f>H16-H20</x:f>
        <x:v>102754850.43009482</x:v>
      </x:c>
      <x:c r="I21" s="43" t="n">
        <x:f>I16-I20</x:f>
        <x:v>75869048.84563905</x:v>
      </x:c>
      <x:c r="J21" s="43" t="n">
        <x:f>J16-J20</x:f>
        <x:v>60671932.72678578</x:v>
      </x:c>
      <x:c r="K21" s="43" t="n">
        <x:f>K16-K20</x:f>
        <x:v>52237673.3184103</x:v>
      </x:c>
      <x:c r="L21" s="43" t="n">
        <x:f>L16-L20</x:f>
        <x:v>47738987.76550735</x:v>
      </x:c>
      <x:c r="M21" s="43" t="n">
        <x:f>M16-M20</x:f>
        <x:v>45514975.72773724</x:v>
      </x:c>
      <x:c r="N21" s="43" t="n">
        <x:f>N16-N20</x:f>
        <x:v>44553167.36607448</x:v>
      </x:c>
      <x:c r="O21" s="43" t="n">
        <x:f>O16-O20</x:f>
        <x:v>44248959.63206287</x:v>
      </x:c>
      <x:c r="P21" s="43" t="n">
        <x:f>P16-P20</x:f>
        <x:v>44248959.632062875</x:v>
      </x:c>
      <x:c r="Q21" s="43" t="n">
        <x:f>Q16-Q20</x:f>
        <x:v>44248959.632062875</x:v>
      </x:c>
      <x:c r="R21" s="43" t="n">
        <x:f>R16-R20</x:f>
        <x:v>44248959.632062875</x:v>
      </x:c>
      <x:c r="S21" s="43" t="n">
        <x:f>S16-S20</x:f>
        <x:v>44248959.632062875</x:v>
      </x:c>
      <x:c r="T21" s="43" t="n">
        <x:f>T16-T20</x:f>
        <x:v>44248959.632062875</x:v>
      </x:c>
      <x:c r="U21" s="43" t="n">
        <x:f>U16-U20</x:f>
        <x:v>44248959.632062875</x:v>
      </x:c>
      <x:c r="V21" s="43" t="n">
        <x:f>V16-V20</x:f>
        <x:v>44248959.632062875</x:v>
      </x:c>
      <x:c r="W21" s="43" t="n">
        <x:f>W16-W20</x:f>
        <x:v>44248959.632062875</x:v>
      </x:c>
      <x:c r="X21" s="43" t="n">
        <x:f>X16-X20</x:f>
        <x:v>44248959.632062875</x:v>
      </x:c>
      <x:c r="Y21" s="43" t="n">
        <x:f>Y16-Y20</x:f>
        <x:v>44248959.632062875</x:v>
      </x:c>
      <x:c r="Z21" s="43" t="n">
        <x:f>Z16-Z20</x:f>
        <x:v>44248959.632062875</x:v>
      </x:c>
      <x:c r="AA21" s="43" t="n">
        <x:f>AA16-AA20</x:f>
        <x:v>44248959.632062875</x:v>
      </x:c>
      <x:c r="AB21" s="43" t="n">
        <x:f>AB16-AB20</x:f>
        <x:v>44248959.632062875</x:v>
      </x:c>
      <x:c r="AC21" s="43" t="n">
        <x:f>AC16-AC20</x:f>
        <x:v>44248959.632062875</x:v>
      </x:c>
      <x:c r="AD21" s="43" t="n">
        <x:f>AD16-AD20</x:f>
        <x:v>44248959.632062875</x:v>
      </x:c>
      <x:c r="AE21" s="43" t="n">
        <x:f>AE16-AE20</x:f>
        <x:v>44248959.632062875</x:v>
      </x:c>
      <x:c r="AF21" s="43" t="n">
        <x:f>AF16-AF20</x:f>
        <x:v>44248959.632062875</x:v>
      </x:c>
      <x:c r="AG21" s="43" t="n">
        <x:f>AG16-AG20</x:f>
        <x:v>44248959.632062875</x:v>
      </x:c>
      <x:c r="AH21" s="43" t="n">
        <x:f>AH16-AH20</x:f>
        <x:v>44248959.632062875</x:v>
      </x:c>
      <x:c r="AI21" s="43" t="n">
        <x:f>AI16-AI20</x:f>
        <x:v>44248959.632062875</x:v>
      </x:c>
      <x:c r="AJ21" s="43" t="n">
        <x:f>AJ16-AJ20</x:f>
        <x:v>44248959.632062875</x:v>
      </x:c>
      <x:c r="AK21" s="43" t="n">
        <x:f>AK16-AK20</x:f>
        <x:v>44248959.632062875</x:v>
      </x:c>
      <x:c r="AL21" s="43" t="n">
        <x:f>AL16-AL20</x:f>
        <x:v>44248959.632062875</x:v>
      </x:c>
      <x:c r="AM21" s="43" t="n">
        <x:f>AM16-AM20</x:f>
        <x:v>44248959.632062875</x:v>
      </x:c>
      <x:c r="AN21" s="43" t="n">
        <x:f>AN16-AN20</x:f>
        <x:v>44248959.632062875</x:v>
      </x:c>
      <x:c r="AO21" s="43" t="n">
        <x:f>AO16-AO20</x:f>
        <x:v>44248959.632062875</x:v>
      </x:c>
      <x:c r="AP21" s="43" t="n">
        <x:f>AP16-AP20</x:f>
        <x:v>44248959.632062875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'Assumptions'!$F$15</x:f>
        <x:v>0.55</x:v>
      </x:c>
      <x:c r="H23" s="33" t="n">
        <x:f>'Assumptions'!$F$15</x:f>
        <x:v>0.55</x:v>
      </x:c>
      <x:c r="I23" s="33" t="n">
        <x:f>'Assumptions'!$F$15</x:f>
        <x:v>0.55</x:v>
      </x:c>
      <x:c r="J23" s="33" t="n">
        <x:f>'Assumptions'!$F$15</x:f>
        <x:v>0.55</x:v>
      </x:c>
      <x:c r="K23" s="33" t="n">
        <x:f>'Assumptions'!$F$15</x:f>
        <x:v>0.55</x:v>
      </x:c>
      <x:c r="L23" s="33" t="n">
        <x:f>'Assumptions'!$F$15</x:f>
        <x:v>0.55</x:v>
      </x:c>
      <x:c r="M23" s="33" t="n">
        <x:f>'Assumptions'!$F$15</x:f>
        <x:v>0.55</x:v>
      </x:c>
      <x:c r="N23" s="33" t="n">
        <x:f>'Assumptions'!$F$15</x:f>
        <x:v>0.55</x:v>
      </x:c>
      <x:c r="O23" s="33" t="n">
        <x:f>'Assumptions'!$F$15</x:f>
        <x:v>0.55</x:v>
      </x:c>
      <x:c r="P23" s="33" t="n">
        <x:f>'Assumptions'!$F$15</x:f>
        <x:v>0.55</x:v>
      </x:c>
      <x:c r="Q23" s="33" t="n">
        <x:f>'Assumptions'!$F$15</x:f>
        <x:v>0.55</x:v>
      </x:c>
      <x:c r="R23" s="33" t="n">
        <x:f>'Assumptions'!$F$15</x:f>
        <x:v>0.55</x:v>
      </x:c>
      <x:c r="S23" s="33" t="n">
        <x:f>'Assumptions'!$F$15</x:f>
        <x:v>0.55</x:v>
      </x:c>
      <x:c r="T23" s="33" t="n">
        <x:f>'Assumptions'!$F$15</x:f>
        <x:v>0.55</x:v>
      </x:c>
      <x:c r="U23" s="33" t="n">
        <x:f>'Assumptions'!$F$15</x:f>
        <x:v>0.55</x:v>
      </x:c>
      <x:c r="V23" s="33" t="n">
        <x:f>'Assumptions'!$F$15</x:f>
        <x:v>0.55</x:v>
      </x:c>
      <x:c r="W23" s="33" t="n">
        <x:f>'Assumptions'!$F$15</x:f>
        <x:v>0.55</x:v>
      </x:c>
      <x:c r="X23" s="33" t="n">
        <x:f>'Assumptions'!$F$15</x:f>
        <x:v>0.55</x:v>
      </x:c>
      <x:c r="Y23" s="33" t="n">
        <x:f>'Assumptions'!$F$15</x:f>
        <x:v>0.55</x:v>
      </x:c>
      <x:c r="Z23" s="33" t="n">
        <x:f>'Assumptions'!$F$15</x:f>
        <x:v>0.55</x:v>
      </x:c>
      <x:c r="AA23" s="33" t="n">
        <x:f>'Assumptions'!$F$15</x:f>
        <x:v>0.55</x:v>
      </x:c>
      <x:c r="AB23" s="33" t="n">
        <x:f>'Assumptions'!$F$15</x:f>
        <x:v>0.55</x:v>
      </x:c>
      <x:c r="AC23" s="33" t="n">
        <x:f>'Assumptions'!$F$15</x:f>
        <x:v>0.55</x:v>
      </x:c>
      <x:c r="AD23" s="33" t="n">
        <x:f>'Assumptions'!$F$15</x:f>
        <x:v>0.55</x:v>
      </x:c>
      <x:c r="AE23" s="33" t="n">
        <x:f>'Assumptions'!$F$15</x:f>
        <x:v>0.55</x:v>
      </x:c>
      <x:c r="AF23" s="33" t="n">
        <x:f>'Assumptions'!$F$15</x:f>
        <x:v>0.55</x:v>
      </x:c>
      <x:c r="AG23" s="33" t="n">
        <x:f>'Assumptions'!$F$15</x:f>
        <x:v>0.55</x:v>
      </x:c>
      <x:c r="AH23" s="33" t="n">
        <x:f>'Assumptions'!$F$15</x:f>
        <x:v>0.55</x:v>
      </x:c>
      <x:c r="AI23" s="33" t="n">
        <x:f>'Assumptions'!$F$15</x:f>
        <x:v>0.55</x:v>
      </x:c>
      <x:c r="AJ23" s="33" t="n">
        <x:f>'Assumptions'!$F$15</x:f>
        <x:v>0.55</x:v>
      </x:c>
      <x:c r="AK23" s="33" t="n">
        <x:f>'Assumptions'!$F$15</x:f>
        <x:v>0.55</x:v>
      </x:c>
      <x:c r="AL23" s="33" t="n">
        <x:f>'Assumptions'!$F$15</x:f>
        <x:v>0.55</x:v>
      </x:c>
      <x:c r="AM23" s="33" t="n">
        <x:f>'Assumptions'!$F$15</x:f>
        <x:v>0.55</x:v>
      </x:c>
      <x:c r="AN23" s="33" t="n">
        <x:f>'Assumptions'!$F$15</x:f>
        <x:v>0.55</x:v>
      </x:c>
      <x:c r="AO23" s="33" t="n">
        <x:f>'Assumptions'!$F$15</x:f>
        <x:v>0.55</x:v>
      </x:c>
      <x:c r="AP23" s="33" t="n">
        <x:f>'Assumptions'!$F$15</x:f>
        <x:v>0.55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79355473.93871075</x:v>
      </x:c>
      <x:c r="F24" s="42"/>
      <x:c r="G24" s="43" t="n">
        <x:f>(G13-G15)*G23/12</x:f>
        <x:v>12783850.77076943</x:v>
      </x:c>
      <x:c r="H24" s="43" t="n">
        <x:f>(H13-H15)*H23/12</x:f>
        <x:v>7984665.074947844</x:v>
      </x:c>
      <x:c r="I24" s="43" t="n">
        <x:f>(I13-I15)*I23/12</x:f>
        <x:v>5461389.852654118</x:v>
      </x:c>
      <x:c r="J24" s="43" t="n">
        <x:f>(J13-J15)*J23/12</x:f>
        <x:v>4038889.281071002</x:v>
      </x:c>
      <x:c r="K24" s="43" t="n">
        <x:f>(K13-K15)*K23/12</x:f>
        <x:v>3235205.445349691</x:v>
      </x:c>
      <x:c r="L24" s="43" t="n">
        <x:f>(L13-L15)*L23/12</x:f>
        <x:v>2790906.662176101</x:v>
      </x:c>
      <x:c r="M24" s="43" t="n">
        <x:f>(M13-M15)*M23/12</x:f>
        <x:v>2555418.607518484</x:v>
      </x:c>
      <x:c r="N24" s="43" t="n">
        <x:f>(N13-N15)*N23/12</x:f>
        <x:v>2440329.204638856</x:v>
      </x:c>
      <x:c r="O24" s="43" t="n">
        <x:f>(O13-O15)*O23/12</x:f>
        <x:v>2392122.616044888</x:v>
      </x:c>
      <x:c r="P24" s="43" t="n">
        <x:f>(P13-P15)*P23/12</x:f>
        <x:v>2378179.761569355</x:v>
      </x:c>
      <x:c r="Q24" s="43" t="n">
        <x:f>(Q13-Q15)*Q23/12</x:f>
        <x:v>2378179.7615693556</x:v>
      </x:c>
      <x:c r="R24" s="43" t="n">
        <x:f>(R13-R15)*R23/12</x:f>
        <x:v>2378179.7615693556</x:v>
      </x:c>
      <x:c r="S24" s="43" t="n">
        <x:f>(S13-S15)*S23/12</x:f>
        <x:v>2378179.7615693556</x:v>
      </x:c>
      <x:c r="T24" s="43" t="n">
        <x:f>(T13-T15)*T23/12</x:f>
        <x:v>2378179.7615693556</x:v>
      </x:c>
      <x:c r="U24" s="43" t="n">
        <x:f>(U13-U15)*U23/12</x:f>
        <x:v>2378179.7615693556</x:v>
      </x:c>
      <x:c r="V24" s="43" t="n">
        <x:f>(V13-V15)*V23/12</x:f>
        <x:v>2378179.7615693556</x:v>
      </x:c>
      <x:c r="W24" s="43" t="n">
        <x:f>(W13-W15)*W23/12</x:f>
        <x:v>2378179.7615693556</x:v>
      </x:c>
      <x:c r="X24" s="43" t="n">
        <x:f>(X13-X15)*X23/12</x:f>
        <x:v>2378179.7615693556</x:v>
      </x:c>
      <x:c r="Y24" s="43" t="n">
        <x:f>(Y13-Y15)*Y23/12</x:f>
        <x:v>2378179.7615693556</x:v>
      </x:c>
      <x:c r="Z24" s="43" t="n">
        <x:f>(Z13-Z15)*Z23/12</x:f>
        <x:v>2378179.7615693556</x:v>
      </x:c>
      <x:c r="AA24" s="43" t="n">
        <x:f>(AA13-AA15)*AA23/12</x:f>
        <x:v>2378179.7615693556</x:v>
      </x:c>
      <x:c r="AB24" s="43" t="n">
        <x:f>(AB13-AB15)*AB23/12</x:f>
        <x:v>2378179.7615693556</x:v>
      </x:c>
      <x:c r="AC24" s="43" t="n">
        <x:f>(AC13-AC15)*AC23/12</x:f>
        <x:v>2378179.7615693556</x:v>
      </x:c>
      <x:c r="AD24" s="43" t="n">
        <x:f>(AD13-AD15)*AD23/12</x:f>
        <x:v>2378179.7615693556</x:v>
      </x:c>
      <x:c r="AE24" s="43" t="n">
        <x:f>(AE13-AE15)*AE23/12</x:f>
        <x:v>2378179.7615693556</x:v>
      </x:c>
      <x:c r="AF24" s="43" t="n">
        <x:f>(AF13-AF15)*AF23/12</x:f>
        <x:v>2378179.7615693556</x:v>
      </x:c>
      <x:c r="AG24" s="43" t="n">
        <x:f>(AG13-AG15)*AG23/12</x:f>
        <x:v>2378179.7615693556</x:v>
      </x:c>
      <x:c r="AH24" s="43" t="n">
        <x:f>(AH13-AH15)*AH23/12</x:f>
        <x:v>2378179.7615693556</x:v>
      </x:c>
      <x:c r="AI24" s="43" t="n">
        <x:f>(AI13-AI15)*AI23/12</x:f>
        <x:v>2378179.7615693556</x:v>
      </x:c>
      <x:c r="AJ24" s="43" t="n">
        <x:f>(AJ13-AJ15)*AJ23/12</x:f>
        <x:v>2378179.7615693556</x:v>
      </x:c>
      <x:c r="AK24" s="43" t="n">
        <x:f>(AK13-AK15)*AK23/12</x:f>
        <x:v>2378179.7615693556</x:v>
      </x:c>
      <x:c r="AL24" s="43" t="n">
        <x:f>(AL13-AL15)*AL23/12</x:f>
        <x:v>2378179.7615693556</x:v>
      </x:c>
      <x:c r="AM24" s="43" t="n">
        <x:f>(AM13-AM15)*AM23/12</x:f>
        <x:v>2378179.7615693556</x:v>
      </x:c>
      <x:c r="AN24" s="43" t="n">
        <x:f>(AN13-AN15)*AN23/12</x:f>
        <x:v>2378179.7615693556</x:v>
      </x:c>
      <x:c r="AO24" s="43" t="n">
        <x:f>(AO13-AO15)*AO23/12</x:f>
        <x:v>2378179.7615693556</x:v>
      </x:c>
      <x:c r="AP24" s="43" t="n">
        <x:f>(AP13-AP15)*AP23/12</x:f>
        <x:v>2378179.7615693556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1803412.2779673026</x:v>
      </x:c>
      <x:c r="F25" s="46"/>
      <x:c r="G25" s="47" t="n">
        <x:f>G24-G19</x:f>
        <x:v>9552514.868238453</x:v>
      </x:c>
      <x:c r="H25" s="47" t="n">
        <x:f>H24-H19</x:f>
        <x:v>4753329.172416868</x:v>
      </x:c>
      <x:c r="I25" s="47" t="n">
        <x:f>I24-I19</x:f>
        <x:v>2230053.950123141</x:v>
      </x:c>
      <x:c r="J25" s="47" t="n">
        <x:f>J24-J19</x:f>
        <x:v>807553.3785400251</x:v>
      </x:c>
      <x:c r="K25" s="47" t="n">
        <x:f>K24-K19</x:f>
        <x:v>3869.5428187139332</x:v>
      </x:c>
      <x:c r="L25" s="47" t="n">
        <x:f>L24-L19</x:f>
        <x:v>-440429.24035487603</x:v>
      </x:c>
      <x:c r="M25" s="47" t="n">
        <x:f>M24-M19</x:f>
        <x:v>-675917.2950124932</x:v>
      </x:c>
      <x:c r="N25" s="47" t="n">
        <x:f>N24-N19</x:f>
        <x:v>-791006.697892121</x:v>
      </x:c>
      <x:c r="O25" s="47" t="n">
        <x:f>O24-O19</x:f>
        <x:v>-839213.2864860892</x:v>
      </x:c>
      <x:c r="P25" s="47" t="n">
        <x:f>P24-P19</x:f>
        <x:v>-853156.1409616219</x:v>
      </x:c>
      <x:c r="Q25" s="47" t="n">
        <x:f>Q24-Q19</x:f>
        <x:v>-853156.1409616214</x:v>
      </x:c>
      <x:c r="R25" s="47" t="n">
        <x:f>R24-R19</x:f>
        <x:v>-853156.1409616214</x:v>
      </x:c>
      <x:c r="S25" s="47" t="n">
        <x:f>S24-S19</x:f>
        <x:v>-853156.1409616214</x:v>
      </x:c>
      <x:c r="T25" s="47" t="n">
        <x:f>T24-T19</x:f>
        <x:v>-853156.1409616214</x:v>
      </x:c>
      <x:c r="U25" s="47" t="n">
        <x:f>U24-U19</x:f>
        <x:v>-853156.1409616214</x:v>
      </x:c>
      <x:c r="V25" s="47" t="n">
        <x:f>V24-V19</x:f>
        <x:v>-853156.1409616214</x:v>
      </x:c>
      <x:c r="W25" s="47" t="n">
        <x:f>W24-W19</x:f>
        <x:v>-853156.1409616214</x:v>
      </x:c>
      <x:c r="X25" s="47" t="n">
        <x:f>X24-X19</x:f>
        <x:v>-853156.1409616214</x:v>
      </x:c>
      <x:c r="Y25" s="47" t="n">
        <x:f>Y24-Y19</x:f>
        <x:v>-853156.1409616214</x:v>
      </x:c>
      <x:c r="Z25" s="47" t="n">
        <x:f>Z24-Z19</x:f>
        <x:v>-853156.1409616214</x:v>
      </x:c>
      <x:c r="AA25" s="47" t="n">
        <x:f>AA24-AA19</x:f>
        <x:v>-853156.1409616214</x:v>
      </x:c>
      <x:c r="AB25" s="47" t="n">
        <x:f>AB24-AB19</x:f>
        <x:v>-853156.1409616214</x:v>
      </x:c>
      <x:c r="AC25" s="47" t="n">
        <x:f>AC24-AC19</x:f>
        <x:v>-853156.1409616214</x:v>
      </x:c>
      <x:c r="AD25" s="47" t="n">
        <x:f>AD24-AD19</x:f>
        <x:v>-853156.1409616214</x:v>
      </x:c>
      <x:c r="AE25" s="47" t="n">
        <x:f>AE24-AE19</x:f>
        <x:v>-853156.1409616214</x:v>
      </x:c>
      <x:c r="AF25" s="47" t="n">
        <x:f>AF24-AF19</x:f>
        <x:v>-853156.1409616214</x:v>
      </x:c>
      <x:c r="AG25" s="47" t="n">
        <x:f>AG24-AG19</x:f>
        <x:v>-853156.1409616214</x:v>
      </x:c>
      <x:c r="AH25" s="47" t="n">
        <x:f>AH24-AH19</x:f>
        <x:v>-853156.1409616214</x:v>
      </x:c>
      <x:c r="AI25" s="47" t="n">
        <x:f>AI24-AI19</x:f>
        <x:v>-853156.1409616214</x:v>
      </x:c>
      <x:c r="AJ25" s="47" t="n">
        <x:f>AJ24-AJ19</x:f>
        <x:v>-853156.1409616214</x:v>
      </x:c>
      <x:c r="AK25" s="47" t="n">
        <x:f>AK24-AK19</x:f>
        <x:v>-853156.1409616214</x:v>
      </x:c>
      <x:c r="AL25" s="47" t="n">
        <x:f>AL24-AL19</x:f>
        <x:v>-853156.1409616214</x:v>
      </x:c>
      <x:c r="AM25" s="47" t="n">
        <x:f>AM24-AM19</x:f>
        <x:v>-853156.1409616214</x:v>
      </x:c>
      <x:c r="AN25" s="47" t="n">
        <x:f>AN24-AN19</x:f>
        <x:v>-853156.1409616214</x:v>
      </x:c>
      <x:c r="AO25" s="47" t="n">
        <x:f>AO24-AO19</x:f>
        <x:v>-853156.1409616214</x:v>
      </x:c>
      <x:c r="AP25" s="47" t="n">
        <x:f>AP24-AP19</x:f>
        <x:v>-853156.1409616214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64161574.26349826</x:v>
      </x:c>
      <x:c r="F27" s="2"/>
      <x:c r="G27" s="35" t="n">
        <x:f>SUMPRODUCT($E$160:$E$219,$E$52:$E$111)</x:f>
        <x:v>27799619.546848845</x:v>
      </x:c>
      <x:c r="H27" s="35" t="n">
        <x:f>SUMPRODUCT($E$160:$E$219,$E$53:$E$112)</x:f>
        <x:v>15141622.741987087</x:v>
      </x:c>
      <x:c r="I27" s="35" t="n">
        <x:f>SUMPRODUCT($E$160:$E$219,$E$54:$E$113)</x:f>
        <x:v>8984827.287719995</x:v>
      </x:c>
      <x:c r="J27" s="35" t="n">
        <x:f>SUMPRODUCT($E$160:$E$219,$E$55:$E$114)</x:f>
        <x:v>5434360.8779036375</x:v>
      </x:c>
      <x:c r="K27" s="35" t="n">
        <x:f>SUMPRODUCT($E$160:$E$219,$E$56:$E$115)</x:f>
        <x:v>3235785.2199295214</x:v>
      </x:c>
      <x:c r="L27" s="35" t="n">
        <x:f>SUMPRODUCT($E$160:$E$219,$E$57:$E$116)</x:f>
        <x:v>1853110.6988498294</x:v>
      </x:c>
      <x:c r="M27" s="35" t="n">
        <x:f>SUMPRODUCT($E$160:$E$219,$E$58:$E$117)</x:f>
        <x:v>1019207.7877078822</x:v>
      </x:c>
      <x:c r="N27" s="35" t="n">
        <x:f>SUMPRODUCT($E$160:$E$219,$E$59:$E$118)</x:f>
        <x:v>510525.97480444727</x:v>
      </x:c>
      <x:c r="O27" s="35" t="n">
        <x:f>SUMPRODUCT($E$160:$E$219,$E$60:$E$119)</x:f>
        <x:v>182514.12774702298</x:v>
      </x:c>
      <x:c r="P27" s="35" t="n">
        <x:f>SUMPRODUCT($E$160:$E$219,$E$61:$E$120)</x:f>
        <x:v>0</x:v>
      </x:c>
      <x:c r="Q27" s="35" t="n">
        <x:f>SUMPRODUCT($E$160:$E$219,$E$62:$E$121)</x:f>
        <x:v>0</x:v>
      </x:c>
      <x:c r="R27" s="35" t="n">
        <x:f>SUMPRODUCT($E$160:$E$219,$E$63:$E$122)</x:f>
        <x:v>0</x:v>
      </x:c>
      <x:c r="S27" s="35" t="n">
        <x:f>SUMPRODUCT($E$160:$E$219,$E$64:$E$123)</x:f>
        <x:v>0</x:v>
      </x:c>
      <x:c r="T27" s="35" t="n">
        <x:f>SUMPRODUCT($E$160:$E$219,$E$65:$E$124)</x:f>
        <x:v>0</x:v>
      </x:c>
      <x:c r="U27" s="35" t="n">
        <x:f>SUMPRODUCT($E$160:$E$219,$E$66:$E$125)</x:f>
        <x:v>0</x:v>
      </x:c>
      <x:c r="V27" s="35" t="n">
        <x:f>SUMPRODUCT($E$160:$E$219,$E$67:$E$126)</x:f>
        <x:v>0</x:v>
      </x:c>
      <x:c r="W27" s="35" t="n">
        <x:f>SUMPRODUCT($E$160:$E$219,$E$68:$E$127)</x:f>
        <x:v>0</x:v>
      </x:c>
      <x:c r="X27" s="35" t="n">
        <x:f>SUMPRODUCT($E$160:$E$219,$E$69:$E$128)</x:f>
        <x:v>0</x:v>
      </x:c>
      <x:c r="Y27" s="35" t="n">
        <x:f>SUMPRODUCT($E$160:$E$219,$E$70:$E$129)</x:f>
        <x:v>0</x:v>
      </x:c>
      <x:c r="Z27" s="35" t="n">
        <x:f>SUMPRODUCT($E$160:$E$219,$E$71:$E$130)</x:f>
        <x:v>0</x:v>
      </x:c>
      <x:c r="AA27" s="35" t="n">
        <x:f>SUMPRODUCT($E$160:$E$219,$E$72:$E$131)</x:f>
        <x:v>0</x:v>
      </x:c>
      <x:c r="AB27" s="35" t="n">
        <x:f>SUMPRODUCT($E$160:$E$219,$E$73:$E$132)</x:f>
        <x:v>0</x:v>
      </x:c>
      <x:c r="AC27" s="35" t="n">
        <x:f>SUMPRODUCT($E$160:$E$219,$E$74:$E$133)</x:f>
        <x:v>0</x:v>
      </x:c>
      <x:c r="AD27" s="35" t="n">
        <x:f>SUMPRODUCT($E$160:$E$219,$E$75:$E$134)</x:f>
        <x:v>0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66682126.95603484</x:v>
      </x:c>
      <x:c r="F28" s="2"/>
      <x:c r="G28" s="35" t="n">
        <x:f>SUMPRODUCT($G$11:G11,$CY$150:$CY$150)</x:f>
        <x:v>0</x:v>
      </x:c>
      <x:c r="H28" s="35" t="n">
        <x:f>SUMPRODUCT($G$11:H11,$CX$150:$CY$150)</x:f>
        <x:v>825878.723900285</x:v>
      </x:c>
      <x:c r="I28" s="35" t="n">
        <x:f>SUMPRODUCT($G$11:I11,$CW$150:$CY$150)</x:f>
        <x:v>1469551.4130180744</x:v>
      </x:c>
      <x:c r="J28" s="35" t="n">
        <x:f>SUMPRODUCT($G$11:J11,$CV$150:$CY$150)</x:f>
        <x:v>1947549.5474395426</x:v>
      </x:c>
      <x:c r="K28" s="35" t="n">
        <x:f>SUMPRODUCT($G$11:K11,$CU$150:$CY$150)</x:f>
        <x:v>2333354.6158495327</x:v>
      </x:c>
      <x:c r="L28" s="35" t="n">
        <x:f>SUMPRODUCT($G$11:L11,$CT$150:$CY$150)</x:f>
        <x:v>2637757.428183991</x:v>
      </x:c>
      <x:c r="M28" s="35" t="n">
        <x:f>SUMPRODUCT($G$11:M11,$CS$150:$CY$150)</x:f>
        <x:v>2851363.75444997</x:v>
      </x:c>
      <x:c r="N28" s="35" t="n">
        <x:f>SUMPRODUCT($G$11:N11,$CR$150:$CY$150)</x:f>
        <x:v>3007839.407330126</x:v>
      </x:c>
      <x:c r="O28" s="35" t="n">
        <x:f>SUMPRODUCT($G$11:O11,$CQ$150:$CY$150)</x:f>
        <x:v>3138793.527898684</x:v>
      </x:c>
      <x:c r="P28" s="35" t="n">
        <x:f>SUMPRODUCT($G$11:P11,$CP$150:$CY$150)</x:f>
        <x:v>3231335.9025309775</x:v>
      </x:c>
      <x:c r="Q28" s="35" t="n">
        <x:f>SUMPRODUCT($G$11:Q11,$CO$150:$CY$150)</x:f>
        <x:v>3231335.9025309775</x:v>
      </x:c>
      <x:c r="R28" s="35" t="n">
        <x:f>SUMPRODUCT($G$11:R11,$CN$150:$CY$150)</x:f>
        <x:v>3231335.9025309775</x:v>
      </x:c>
      <x:c r="S28" s="35" t="n">
        <x:f>SUMPRODUCT($G$11:S11,$CM$150:$CY$150)</x:f>
        <x:v>3231335.9025309775</x:v>
      </x:c>
      <x:c r="T28" s="35" t="n">
        <x:f>SUMPRODUCT($G$11:T11,$CL$150:$CY$150)</x:f>
        <x:v>3231335.9025309775</x:v>
      </x:c>
      <x:c r="U28" s="35" t="n">
        <x:f>SUMPRODUCT($G$11:U11,$CK$150:$CY$150)</x:f>
        <x:v>3231335.9025309775</x:v>
      </x:c>
      <x:c r="V28" s="35" t="n">
        <x:f>SUMPRODUCT($G$11:V11,$CJ$150:$CY$150)</x:f>
        <x:v>3231335.9025309775</x:v>
      </x:c>
      <x:c r="W28" s="35" t="n">
        <x:f>SUMPRODUCT($G$11:W11,$CI$150:$CY$150)</x:f>
        <x:v>3231335.9025309775</x:v>
      </x:c>
      <x:c r="X28" s="35" t="n">
        <x:f>SUMPRODUCT($G$11:X11,$CH$150:$CY$150)</x:f>
        <x:v>3231335.9025309775</x:v>
      </x:c>
      <x:c r="Y28" s="35" t="n">
        <x:f>SUMPRODUCT($G$11:Y11,$CG$150:$CY$150)</x:f>
        <x:v>3231335.9025309775</x:v>
      </x:c>
      <x:c r="Z28" s="35" t="n">
        <x:f>SUMPRODUCT($G$11:Z11,$CF$150:$CY$150)</x:f>
        <x:v>3231335.9025309775</x:v>
      </x:c>
      <x:c r="AA28" s="35" t="n">
        <x:f>SUMPRODUCT($G$11:AA11,$CE$150:$CY$150)</x:f>
        <x:v>3231335.9025309775</x:v>
      </x:c>
      <x:c r="AB28" s="35" t="n">
        <x:f>SUMPRODUCT($G$11:AB11,$CD$150:$CY$150)</x:f>
        <x:v>3231335.9025309775</x:v>
      </x:c>
      <x:c r="AC28" s="35" t="n">
        <x:f>SUMPRODUCT($G$11:AC11,$CC$150:$CY$150)</x:f>
        <x:v>3231335.9025309775</x:v>
      </x:c>
      <x:c r="AD28" s="35" t="n">
        <x:f>SUMPRODUCT($G$11:AD11,$CB$150:$CY$150)</x:f>
        <x:v>3231335.9025309775</x:v>
      </x:c>
      <x:c r="AE28" s="35" t="n">
        <x:f>SUMPRODUCT($G$11:AE11,$CA$150:$CY$150)</x:f>
        <x:v>3231335.9025309775</x:v>
      </x:c>
      <x:c r="AF28" s="35" t="n">
        <x:f>SUMPRODUCT($G$11:AF11,$BZ$150:$CY$150)</x:f>
        <x:v>3231335.9025309775</x:v>
      </x:c>
      <x:c r="AG28" s="35" t="n">
        <x:f>SUMPRODUCT($G$11:AG11,$BY$150:$CY$150)</x:f>
        <x:v>3231335.9025309775</x:v>
      </x:c>
      <x:c r="AH28" s="35" t="n">
        <x:f>SUMPRODUCT($G$11:AH11,$BX$150:$CY$150)</x:f>
        <x:v>3231335.9025309775</x:v>
      </x:c>
      <x:c r="AI28" s="35" t="n">
        <x:f>SUMPRODUCT($G$11:AI11,$BW$150:$CY$150)</x:f>
        <x:v>3231335.9025309775</x:v>
      </x:c>
      <x:c r="AJ28" s="35" t="n">
        <x:f>SUMPRODUCT($G$11:AJ11,$BV$150:$CY$150)</x:f>
        <x:v>3231335.9025309775</x:v>
      </x:c>
      <x:c r="AK28" s="35" t="n">
        <x:f>SUMPRODUCT($G$11:AK11,$BU$150:$CY$150)</x:f>
        <x:v>3231335.9025309775</x:v>
      </x:c>
      <x:c r="AL28" s="35" t="n">
        <x:f>SUMPRODUCT($G$11:AL11,$BT$150:$CY$150)</x:f>
        <x:v>3231335.9025309775</x:v>
      </x:c>
      <x:c r="AM28" s="35" t="n">
        <x:f>SUMPRODUCT($G$11:AM11,$BS$150:$CY$150)</x:f>
        <x:v>3231335.9025309775</x:v>
      </x:c>
      <x:c r="AN28" s="35" t="n">
        <x:f>SUMPRODUCT($G$11:AN11,$BR$150:$CY$150)</x:f>
        <x:v>3231335.9025309775</x:v>
      </x:c>
      <x:c r="AO28" s="35" t="n">
        <x:f>SUMPRODUCT($G$11:AO11,$BQ$150:$CY$150)</x:f>
        <x:v>3231335.9025309775</x:v>
      </x:c>
      <x:c r="AP28" s="35" t="n">
        <x:f>SUMPRODUCT($G$11:AP11,$BP$150:$CY$150)</x:f>
        <x:v>3231335.9025309775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242558425.73650184</x:v>
      </x:c>
      <x:c r="F29" s="2"/>
      <x:c r="G29" s="35" t="n">
        <x:f>SUMPRODUCT($E$160:$E$219,$F$52:$F$111)</x:f>
        <x:v>106022004.6247654</x:v>
      </x:c>
      <x:c r="H29" s="35" t="n">
        <x:f>SUMPRODUCT($E$160:$E$219,$F$53:$F$112)</x:f>
        <x:v>57927363.37667365</x:v>
      </x:c>
      <x:c r="I29" s="35" t="n">
        <x:f>SUMPRODUCT($E$160:$E$219,$F$54:$F$113)</x:f>
        <x:v>34042161.038259655</x:v>
      </x:c>
      <x:c r="J29" s="35" t="n">
        <x:f>SUMPRODUCT($E$160:$E$219,$F$55:$F$114)</x:f>
        <x:v>20160130.63843864</x:v>
      </x:c>
      <x:c r="K29" s="35" t="n">
        <x:f>SUMPRODUCT($E$160:$E$219,$F$56:$F$115)</x:f>
        <x:v>11793699.418109728</x:v>
      </x:c>
      <x:c r="L29" s="35" t="n">
        <x:f>SUMPRODUCT($E$160:$E$219,$F$57:$F$116)</x:f>
        <x:v>6707277.834000221</x:v>
      </x:c>
      <x:c r="M29" s="35" t="n">
        <x:f>SUMPRODUCT($E$160:$E$219,$F$58:$F$117)</x:f>
        <x:v>3580127.3480028566</x:v>
      </x:c>
      <x:c r="N29" s="35" t="n">
        <x:f>SUMPRODUCT($E$160:$E$219,$F$59:$F$118)</x:f>
        <x:v>1708554.3406853122</x:v>
      </x:c>
      <x:c r="O29" s="35" t="n">
        <x:f>SUMPRODUCT($E$160:$E$219,$F$60:$F$119)</x:f>
        <x:v>617107.1175664124</x:v>
      </x:c>
      <x:c r="P29" s="35" t="n">
        <x:f>SUMPRODUCT($E$160:$E$219,$F$61:$F$120)</x:f>
        <x:v>0</x:v>
      </x:c>
      <x:c r="Q29" s="35" t="n">
        <x:f>SUMPRODUCT($E$160:$E$219,$F$62:$F$121)</x:f>
        <x:v>0</x:v>
      </x:c>
      <x:c r="R29" s="35" t="n">
        <x:f>SUMPRODUCT($E$160:$E$219,$F$63:$F$122)</x:f>
        <x:v>0</x:v>
      </x:c>
      <x:c r="S29" s="35" t="n">
        <x:f>SUMPRODUCT($E$160:$E$219,$F$64:$F$123)</x:f>
        <x:v>0</x:v>
      </x:c>
      <x:c r="T29" s="35" t="n">
        <x:f>SUMPRODUCT($E$160:$E$219,$F$65:$F$124)</x:f>
        <x:v>0</x:v>
      </x:c>
      <x:c r="U29" s="35" t="n">
        <x:f>SUMPRODUCT($E$160:$E$219,$F$66:$F$125)</x:f>
        <x:v>0</x:v>
      </x:c>
      <x:c r="V29" s="35" t="n">
        <x:f>SUMPRODUCT($E$160:$E$219,$F$67:$F$126)</x:f>
        <x:v>0</x:v>
      </x:c>
      <x:c r="W29" s="35" t="n">
        <x:f>SUMPRODUCT($E$160:$E$219,$F$68:$F$127)</x:f>
        <x:v>0</x:v>
      </x:c>
      <x:c r="X29" s="35" t="n">
        <x:f>SUMPRODUCT($E$160:$E$219,$F$69:$F$128)</x:f>
        <x:v>0</x:v>
      </x:c>
      <x:c r="Y29" s="35" t="n">
        <x:f>SUMPRODUCT($E$160:$E$219,$F$70:$F$129)</x:f>
        <x:v>0</x:v>
      </x:c>
      <x:c r="Z29" s="35" t="n">
        <x:f>SUMPRODUCT($E$160:$E$219,$F$71:$F$130)</x:f>
        <x:v>0</x:v>
      </x:c>
      <x:c r="AA29" s="35" t="n">
        <x:f>SUMPRODUCT($E$160:$E$219,$F$72:$F$131)</x:f>
        <x:v>0</x:v>
      </x:c>
      <x:c r="AB29" s="35" t="n">
        <x:f>SUMPRODUCT($E$160:$E$219,$F$73:$F$132)</x:f>
        <x:v>0</x:v>
      </x:c>
      <x:c r="AC29" s="35" t="n">
        <x:f>SUMPRODUCT($E$160:$E$219,$F$74:$F$133)</x:f>
        <x:v>0</x:v>
      </x:c>
      <x:c r="AD29" s="35" t="n">
        <x:f>SUMPRODUCT($E$160:$E$219,$F$75:$F$134)</x:f>
        <x:v>0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292918978.7071937</x:v>
      </x:c>
      <x:c r="F30" s="2"/>
      <x:c r="G30" s="35" t="n">
        <x:f>SUMPRODUCT($G$11:G11,$CY$151:$CY$151)</x:f>
        <x:v>0</x:v>
      </x:c>
      <x:c r="H30" s="35" t="n">
        <x:f>SUMPRODUCT($G$11:H11,$CX$151:$CY$151)</x:f>
        <x:v>3951535.4999059457</x:v>
      </x:c>
      <x:c r="I30" s="35" t="n">
        <x:f>SUMPRODUCT($G$11:I11,$CW$151:$CY$151)</x:f>
        <x:v>6892304.643665137</x:v>
      </x:c>
      <x:c r="J30" s="35" t="n">
        <x:f>SUMPRODUCT($G$11:J11,$CV$151:$CY$151)</x:f>
        <x:v>9085649.577883646</x:v>
      </x:c>
      <x:c r="K30" s="35" t="n">
        <x:f>SUMPRODUCT($G$11:K11,$CU$151:$CY$151)</x:f>
        <x:v>10689224.087734772</x:v>
      </x:c>
      <x:c r="L30" s="35" t="n">
        <x:f>SUMPRODUCT($G$11:L11,$CT$151:$CY$151)</x:f>
        <x:v>11840071.816371743</x:v>
      </x:c>
      <x:c r="M30" s="35" t="n">
        <x:f>SUMPRODUCT($G$11:M11,$CS$151:$CY$151)</x:f>
        <x:v>12692548.787236264</x:v>
      </x:c>
      <x:c r="N30" s="35" t="n">
        <x:f>SUMPRODUCT($G$11:N11,$CR$151:$CY$151)</x:f>
        <x:v>13301918.118446467</x:v>
      </x:c>
      <x:c r="O30" s="35" t="n">
        <x:f>SUMPRODUCT($G$11:O11,$CQ$151:$CY$151)</x:f>
        <x:v>13735764.713914223</x:v>
      </x:c>
      <x:c r="P30" s="35" t="n">
        <x:f>SUMPRODUCT($G$11:P11,$CP$151:$CY$151)</x:f>
        <x:v>14048664.097469024</x:v>
      </x:c>
      <x:c r="Q30" s="35" t="n">
        <x:f>SUMPRODUCT($G$11:Q11,$CO$151:$CY$151)</x:f>
        <x:v>14048664.097469024</x:v>
      </x:c>
      <x:c r="R30" s="35" t="n">
        <x:f>SUMPRODUCT($G$11:R11,$CN$151:$CY$151)</x:f>
        <x:v>14048664.097469024</x:v>
      </x:c>
      <x:c r="S30" s="35" t="n">
        <x:f>SUMPRODUCT($G$11:S11,$CM$151:$CY$151)</x:f>
        <x:v>14048664.097469024</x:v>
      </x:c>
      <x:c r="T30" s="35" t="n">
        <x:f>SUMPRODUCT($G$11:T11,$CL$151:$CY$151)</x:f>
        <x:v>14048664.097469024</x:v>
      </x:c>
      <x:c r="U30" s="35" t="n">
        <x:f>SUMPRODUCT($G$11:U11,$CK$151:$CY$151)</x:f>
        <x:v>14048664.097469024</x:v>
      </x:c>
      <x:c r="V30" s="35" t="n">
        <x:f>SUMPRODUCT($G$11:V11,$CJ$151:$CY$151)</x:f>
        <x:v>14048664.097469024</x:v>
      </x:c>
      <x:c r="W30" s="35" t="n">
        <x:f>SUMPRODUCT($G$11:W11,$CI$151:$CY$151)</x:f>
        <x:v>14048664.097469024</x:v>
      </x:c>
      <x:c r="X30" s="35" t="n">
        <x:f>SUMPRODUCT($G$11:X11,$CH$151:$CY$151)</x:f>
        <x:v>14048664.097469024</x:v>
      </x:c>
      <x:c r="Y30" s="35" t="n">
        <x:f>SUMPRODUCT($G$11:Y11,$CG$151:$CY$151)</x:f>
        <x:v>14048664.097469024</x:v>
      </x:c>
      <x:c r="Z30" s="35" t="n">
        <x:f>SUMPRODUCT($G$11:Z11,$CF$151:$CY$151)</x:f>
        <x:v>14048664.097469024</x:v>
      </x:c>
      <x:c r="AA30" s="35" t="n">
        <x:f>SUMPRODUCT($G$11:AA11,$CE$151:$CY$151)</x:f>
        <x:v>14048664.097469024</x:v>
      </x:c>
      <x:c r="AB30" s="35" t="n">
        <x:f>SUMPRODUCT($G$11:AB11,$CD$151:$CY$151)</x:f>
        <x:v>14048664.097469024</x:v>
      </x:c>
      <x:c r="AC30" s="35" t="n">
        <x:f>SUMPRODUCT($G$11:AC11,$CC$151:$CY$151)</x:f>
        <x:v>14048664.097469024</x:v>
      </x:c>
      <x:c r="AD30" s="35" t="n">
        <x:f>SUMPRODUCT($G$11:AD11,$CB$151:$CY$151)</x:f>
        <x:v>14048664.097469024</x:v>
      </x:c>
      <x:c r="AE30" s="35" t="n">
        <x:f>SUMPRODUCT($G$11:AE11,$CA$151:$CY$151)</x:f>
        <x:v>14048664.097469024</x:v>
      </x:c>
      <x:c r="AF30" s="35" t="n">
        <x:f>SUMPRODUCT($G$11:AF11,$BZ$151:$CY$151)</x:f>
        <x:v>14048664.097469024</x:v>
      </x:c>
      <x:c r="AG30" s="35" t="n">
        <x:f>SUMPRODUCT($G$11:AG11,$BY$151:$CY$151)</x:f>
        <x:v>14048664.097469024</x:v>
      </x:c>
      <x:c r="AH30" s="35" t="n">
        <x:f>SUMPRODUCT($G$11:AH11,$BX$151:$CY$151)</x:f>
        <x:v>14048664.097469024</x:v>
      </x:c>
      <x:c r="AI30" s="35" t="n">
        <x:f>SUMPRODUCT($G$11:AI11,$BW$151:$CY$151)</x:f>
        <x:v>14048664.097469024</x:v>
      </x:c>
      <x:c r="AJ30" s="35" t="n">
        <x:f>SUMPRODUCT($G$11:AJ11,$BV$151:$CY$151)</x:f>
        <x:v>14048664.097469024</x:v>
      </x:c>
      <x:c r="AK30" s="35" t="n">
        <x:f>SUMPRODUCT($G$11:AK11,$BU$151:$CY$151)</x:f>
        <x:v>14048664.097469024</x:v>
      </x:c>
      <x:c r="AL30" s="35" t="n">
        <x:f>SUMPRODUCT($G$11:AL11,$BT$151:$CY$151)</x:f>
        <x:v>14048664.097469024</x:v>
      </x:c>
      <x:c r="AM30" s="35" t="n">
        <x:f>SUMPRODUCT($G$11:AM11,$BS$151:$CY$151)</x:f>
        <x:v>14048664.097469024</x:v>
      </x:c>
      <x:c r="AN30" s="35" t="n">
        <x:f>SUMPRODUCT($G$11:AN11,$BR$151:$CY$151)</x:f>
        <x:v>14048664.097469024</x:v>
      </x:c>
      <x:c r="AO30" s="35" t="n">
        <x:f>SUMPRODUCT($G$11:AO11,$BQ$151:$CY$151)</x:f>
        <x:v>14048664.097469024</x:v>
      </x:c>
      <x:c r="AP30" s="35" t="n">
        <x:f>SUMPRODUCT($G$11:AP11,$BP$151:$CY$151)</x:f>
        <x:v>14048664.097469024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28916767.332646996</x:v>
      </x:c>
      <x:c r="F32" s="2"/>
      <x:c r="G32" s="35" t="n">
        <x:f>($E$44-G27)*G23/12</x:f>
        <x:v>12783850.77076943</x:v>
      </x:c>
      <x:c r="H32" s="35" t="n">
        <x:f>(G34-H27)*H23/12</x:f>
        <x:v>7230517.849793274</x:v>
      </x:c>
      <x:c r="I32" s="35" t="n">
        <x:f>(H34-I27)*I23/12</x:f>
        <x:v>4163709.1110085645</x:v>
      </x:c>
      <x:c r="J32" s="35" t="n">
        <x:f>(I34-J27)*J23/12</x:f>
        <x:v>2354368.5231844136</x:v>
      </x:c>
      <x:c r="K32" s="35" t="n">
        <x:f>(J34-K27)*K23/12</x:f>
        <x:v>1282055.7130092063</x:v>
      </x:c>
      <x:c r="L32" s="35" t="n">
        <x:f>(K34-L27)*L23/12</x:f>
        <x:v>656576.9159818932</x:v>
      </x:c>
      <x:c r="M32" s="35" t="n">
        <x:f>(L34-M27)*M23/12</x:f>
        <x:v>302446.3249869384</x:v>
      </x:c>
      <x:c r="N32" s="35" t="n">
        <x:f>(M34-N27)*N23/12</x:f>
        <x:v>114958.04769160364</x:v>
      </x:c>
      <x:c r="O32" s="35" t="n">
        <x:f>(N34-O27)*O23/12</x:f>
        <x:v>28284.076221788262</x:v>
      </x:c>
      <x:c r="P32" s="35" t="n">
        <x:f>(O34-P27)*P23/12</x:f>
        <x:v>-5.639837278674046e-9</x:v>
      </x:c>
      <x:c r="Q32" s="35" t="n">
        <x:f>(P34-Q27)*Q23/12</x:f>
        <x:v>-5.639837278674046e-9</x:v>
      </x:c>
      <x:c r="R32" s="35" t="n">
        <x:f>(Q34-R27)*R23/12</x:f>
        <x:v>-5.639837278674046e-9</x:v>
      </x:c>
      <x:c r="S32" s="35" t="n">
        <x:f>(R34-S27)*S23/12</x:f>
        <x:v>-5.639837278674046e-9</x:v>
      </x:c>
      <x:c r="T32" s="35" t="n">
        <x:f>(S34-T27)*T23/12</x:f>
        <x:v>-5.639837278674046e-9</x:v>
      </x:c>
      <x:c r="U32" s="35" t="n">
        <x:f>(T34-U27)*U23/12</x:f>
        <x:v>-5.639837278674046e-9</x:v>
      </x:c>
      <x:c r="V32" s="35" t="n">
        <x:f>(U34-V27)*V23/12</x:f>
        <x:v>-5.639837278674046e-9</x:v>
      </x:c>
      <x:c r="W32" s="35" t="n">
        <x:f>(V34-W27)*W23/12</x:f>
        <x:v>-5.639837278674046e-9</x:v>
      </x:c>
      <x:c r="X32" s="35" t="n">
        <x:f>(W34-X27)*X23/12</x:f>
        <x:v>-5.639837278674046e-9</x:v>
      </x:c>
      <x:c r="Y32" s="35" t="n">
        <x:f>(X34-Y27)*Y23/12</x:f>
        <x:v>-5.639837278674046e-9</x:v>
      </x:c>
      <x:c r="Z32" s="35" t="n">
        <x:f>(Y34-Z27)*Z23/12</x:f>
        <x:v>-5.639837278674046e-9</x:v>
      </x:c>
      <x:c r="AA32" s="35" t="n">
        <x:f>(Z34-AA27)*AA23/12</x:f>
        <x:v>-5.639837278674046e-9</x:v>
      </x:c>
      <x:c r="AB32" s="35" t="n">
        <x:f>(AA34-AB27)*AB23/12</x:f>
        <x:v>-5.639837278674046e-9</x:v>
      </x:c>
      <x:c r="AC32" s="35" t="n">
        <x:f>(AB34-AC27)*AC23/12</x:f>
        <x:v>-5.639837278674046e-9</x:v>
      </x:c>
      <x:c r="AD32" s="35" t="n">
        <x:f>(AC34-AD27)*AD23/12</x:f>
        <x:v>-5.639837278674046e-9</x:v>
      </x:c>
      <x:c r="AE32" s="35" t="n">
        <x:f>(AD34-AE27)*AE23/12</x:f>
        <x:v>-5.639837278674046e-9</x:v>
      </x:c>
      <x:c r="AF32" s="35" t="n">
        <x:f>(AE34-AF27)*AF23/12</x:f>
        <x:v>-5.639837278674046e-9</x:v>
      </x:c>
      <x:c r="AG32" s="35" t="n">
        <x:f>(AF34-AG27)*AG23/12</x:f>
        <x:v>-5.639837278674046e-9</x:v>
      </x:c>
      <x:c r="AH32" s="35" t="n">
        <x:f>(AG34-AH27)*AH23/12</x:f>
        <x:v>-5.639837278674046e-9</x:v>
      </x:c>
      <x:c r="AI32" s="35" t="n">
        <x:f>(AH34-AI27)*AI23/12</x:f>
        <x:v>-5.639837278674046e-9</x:v>
      </x:c>
      <x:c r="AJ32" s="35" t="n">
        <x:f>(AI34-AJ27)*AJ23/12</x:f>
        <x:v>-5.639837278674046e-9</x:v>
      </x:c>
      <x:c r="AK32" s="35" t="n">
        <x:f>(AJ34-AK27)*AK23/12</x:f>
        <x:v>-5.639837278674046e-9</x:v>
      </x:c>
      <x:c r="AL32" s="35" t="n">
        <x:f>(AK34-AL27)*AL23/12</x:f>
        <x:v>-5.639837278674046e-9</x:v>
      </x:c>
      <x:c r="AM32" s="35" t="n">
        <x:f>(AL34-AM27)*AM23/12</x:f>
        <x:v>-5.639837278674046e-9</x:v>
      </x:c>
      <x:c r="AN32" s="35" t="n">
        <x:f>(AM34-AN27)*AN23/12</x:f>
        <x:v>-5.639837278674046e-9</x:v>
      </x:c>
      <x:c r="AO32" s="35" t="n">
        <x:f>(AN34-AO27)*AO23/12</x:f>
        <x:v>-5.639837278674046e-9</x:v>
      </x:c>
      <x:c r="AP32" s="35" t="n">
        <x:f>(AO34-AP27)*AP23/12</x:f>
        <x:v>-5.639837278674046e-9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50438706.60606371</x:v>
      </x:c>
      <x:c r="F33" s="2"/>
      <x:c r="G33" s="35" t="n">
        <x:f>G24-G32</x:f>
        <x:v>0</x:v>
      </x:c>
      <x:c r="H33" s="35" t="n">
        <x:f>H24-H32</x:f>
        <x:v>754147.2251545703</x:v>
      </x:c>
      <x:c r="I33" s="35" t="n">
        <x:f>I24-I32</x:f>
        <x:v>1297680.7416455536</x:v>
      </x:c>
      <x:c r="J33" s="35" t="n">
        <x:f>J24-J32</x:f>
        <x:v>1684520.7578865886</x:v>
      </x:c>
      <x:c r="K33" s="35" t="n">
        <x:f>K24-K32</x:f>
        <x:v>1953149.7323404846</x:v>
      </x:c>
      <x:c r="L33" s="35" t="n">
        <x:f>L24-L32</x:f>
        <x:v>2134329.746194208</x:v>
      </x:c>
      <x:c r="M33" s="35" t="n">
        <x:f>M24-M32</x:f>
        <x:v>2252972.2825315455</x:v>
      </x:c>
      <x:c r="N33" s="35" t="n">
        <x:f>N24-N32</x:f>
        <x:v>2325371.1569472523</x:v>
      </x:c>
      <x:c r="O33" s="35" t="n">
        <x:f>O24-O32</x:f>
        <x:v>2363838.5398230995</x:v>
      </x:c>
      <x:c r="P33" s="35" t="n">
        <x:f>P24-P32</x:f>
        <x:v>2378179.7615693607</x:v>
      </x:c>
      <x:c r="Q33" s="35" t="n">
        <x:f>Q24-Q32</x:f>
        <x:v>2378179.761569361</x:v>
      </x:c>
      <x:c r="R33" s="35" t="n">
        <x:f>R24-R32</x:f>
        <x:v>2378179.761569361</x:v>
      </x:c>
      <x:c r="S33" s="35" t="n">
        <x:f>S24-S32</x:f>
        <x:v>2378179.761569361</x:v>
      </x:c>
      <x:c r="T33" s="35" t="n">
        <x:f>T24-T32</x:f>
        <x:v>2378179.761569361</x:v>
      </x:c>
      <x:c r="U33" s="35" t="n">
        <x:f>U24-U32</x:f>
        <x:v>2378179.761569361</x:v>
      </x:c>
      <x:c r="V33" s="35" t="n">
        <x:f>V24-V32</x:f>
        <x:v>2378179.761569361</x:v>
      </x:c>
      <x:c r="W33" s="35" t="n">
        <x:f>W24-W32</x:f>
        <x:v>2378179.761569361</x:v>
      </x:c>
      <x:c r="X33" s="35" t="n">
        <x:f>X24-X32</x:f>
        <x:v>2378179.761569361</x:v>
      </x:c>
      <x:c r="Y33" s="35" t="n">
        <x:f>Y24-Y32</x:f>
        <x:v>2378179.761569361</x:v>
      </x:c>
      <x:c r="Z33" s="35" t="n">
        <x:f>Z24-Z32</x:f>
        <x:v>2378179.761569361</x:v>
      </x:c>
      <x:c r="AA33" s="35" t="n">
        <x:f>AA24-AA32</x:f>
        <x:v>2378179.761569361</x:v>
      </x:c>
      <x:c r="AB33" s="35" t="n">
        <x:f>AB24-AB32</x:f>
        <x:v>2378179.761569361</x:v>
      </x:c>
      <x:c r="AC33" s="35" t="n">
        <x:f>AC24-AC32</x:f>
        <x:v>2378179.761569361</x:v>
      </x:c>
      <x:c r="AD33" s="35" t="n">
        <x:f>AD24-AD32</x:f>
        <x:v>2378179.761569361</x:v>
      </x:c>
      <x:c r="AE33" s="35" t="n">
        <x:f>AE24-AE32</x:f>
        <x:v>2378179.761569361</x:v>
      </x:c>
      <x:c r="AF33" s="35" t="n">
        <x:f>AF24-AF32</x:f>
        <x:v>2378179.761569361</x:v>
      </x:c>
      <x:c r="AG33" s="35" t="n">
        <x:f>AG24-AG32</x:f>
        <x:v>2378179.761569361</x:v>
      </x:c>
      <x:c r="AH33" s="35" t="n">
        <x:f>AH24-AH32</x:f>
        <x:v>2378179.761569361</x:v>
      </x:c>
      <x:c r="AI33" s="35" t="n">
        <x:f>AI24-AI32</x:f>
        <x:v>2378179.761569361</x:v>
      </x:c>
      <x:c r="AJ33" s="35" t="n">
        <x:f>AJ24-AJ32</x:f>
        <x:v>2378179.761569361</x:v>
      </x:c>
      <x:c r="AK33" s="35" t="n">
        <x:f>AK24-AK32</x:f>
        <x:v>2378179.761569361</x:v>
      </x:c>
      <x:c r="AL33" s="35" t="n">
        <x:f>AL24-AL32</x:f>
        <x:v>2378179.761569361</x:v>
      </x:c>
      <x:c r="AM33" s="35" t="n">
        <x:f>AM24-AM32</x:f>
        <x:v>2378179.761569361</x:v>
      </x:c>
      <x:c r="AN33" s="35" t="n">
        <x:f>AN24-AN32</x:f>
        <x:v>2378179.761569361</x:v>
      </x:c>
      <x:c r="AO33" s="35" t="n">
        <x:f>AO24-AO32</x:f>
        <x:v>2378179.761569361</x:v>
      </x:c>
      <x:c r="AP33" s="35" t="n">
        <x:f>AP24-AP32</x:f>
        <x:v>2378179.761569361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-1.230509951710701e-7</x:v>
      </x:c>
      <x:c r="F34" s="2"/>
      <x:c r="G34" s="35" t="n">
        <x:f>$E$44-G27-G29</x:f>
        <x:v>172898375.82838577</x:v>
      </x:c>
      <x:c r="H34" s="35" t="n">
        <x:f>G34-H27-H29</x:f>
        <x:v>99829389.70972504</x:v>
      </x:c>
      <x:c r="I34" s="35" t="n">
        <x:f>H34-I27-I29</x:f>
        <x:v>56802401.38374539</x:v>
      </x:c>
      <x:c r="J34" s="35" t="n">
        <x:f>I34-J27-J29</x:f>
        <x:v>31207909.86740311</x:v>
      </x:c>
      <x:c r="K34" s="35" t="n">
        <x:f>J34-K27-K29</x:f>
        <x:v>16178425.22936386</x:v>
      </x:c>
      <x:c r="L34" s="35" t="n">
        <x:f>K34-L27-L29</x:f>
        <x:v>7618036.69651381</x:v>
      </x:c>
      <x:c r="M34" s="35" t="n">
        <x:f>L34-M27-M29</x:f>
        <x:v>3018701.5608030716</x:v>
      </x:c>
      <x:c r="N34" s="35" t="n">
        <x:f>M34-N27-N29</x:f>
        <x:v>799621.2453133124</x:v>
      </x:c>
      <x:c r="O34" s="35" t="n">
        <x:f>N34-O27-O29</x:f>
        <x:v>-1.230509951710701e-7</x:v>
      </x:c>
      <x:c r="P34" s="35" t="n">
        <x:f>O34-P27-P29</x:f>
        <x:v>-1.230509951710701e-7</x:v>
      </x:c>
      <x:c r="Q34" s="35" t="n">
        <x:f>P34-Q27-Q29</x:f>
        <x:v>-1.230509951710701e-7</x:v>
      </x:c>
      <x:c r="R34" s="35" t="n">
        <x:f>Q34-R27-R29</x:f>
        <x:v>-1.230509951710701e-7</x:v>
      </x:c>
      <x:c r="S34" s="35" t="n">
        <x:f>R34-S27-S29</x:f>
        <x:v>-1.230509951710701e-7</x:v>
      </x:c>
      <x:c r="T34" s="35" t="n">
        <x:f>S34-T27-T29</x:f>
        <x:v>-1.230509951710701e-7</x:v>
      </x:c>
      <x:c r="U34" s="35" t="n">
        <x:f>T34-U27-U29</x:f>
        <x:v>-1.230509951710701e-7</x:v>
      </x:c>
      <x:c r="V34" s="35" t="n">
        <x:f>U34-V27-V29</x:f>
        <x:v>-1.230509951710701e-7</x:v>
      </x:c>
      <x:c r="W34" s="35" t="n">
        <x:f>V34-W27-W29</x:f>
        <x:v>-1.230509951710701e-7</x:v>
      </x:c>
      <x:c r="X34" s="35" t="n">
        <x:f>W34-X27-X29</x:f>
        <x:v>-1.230509951710701e-7</x:v>
      </x:c>
      <x:c r="Y34" s="35" t="n">
        <x:f>X34-Y27-Y29</x:f>
        <x:v>-1.230509951710701e-7</x:v>
      </x:c>
      <x:c r="Z34" s="35" t="n">
        <x:f>Y34-Z27-Z29</x:f>
        <x:v>-1.230509951710701e-7</x:v>
      </x:c>
      <x:c r="AA34" s="35" t="n">
        <x:f>Z34-AA27-AA29</x:f>
        <x:v>-1.230509951710701e-7</x:v>
      </x:c>
      <x:c r="AB34" s="35" t="n">
        <x:f>AA34-AB27-AB29</x:f>
        <x:v>-1.230509951710701e-7</x:v>
      </x:c>
      <x:c r="AC34" s="35" t="n">
        <x:f>AB34-AC27-AC29</x:f>
        <x:v>-1.230509951710701e-7</x:v>
      </x:c>
      <x:c r="AD34" s="35" t="n">
        <x:f>AC34-AD27-AD29</x:f>
        <x:v>-1.230509951710701e-7</x:v>
      </x:c>
      <x:c r="AE34" s="35" t="n">
        <x:f>AD34-AE27-AE29</x:f>
        <x:v>-1.230509951710701e-7</x:v>
      </x:c>
      <x:c r="AF34" s="35" t="n">
        <x:f>AE34-AF27-AF29</x:f>
        <x:v>-1.230509951710701e-7</x:v>
      </x:c>
      <x:c r="AG34" s="35" t="n">
        <x:f>AF34-AG27-AG29</x:f>
        <x:v>-1.230509951710701e-7</x:v>
      </x:c>
      <x:c r="AH34" s="35" t="n">
        <x:f>AG34-AH27-AH29</x:f>
        <x:v>-1.230509951710701e-7</x:v>
      </x:c>
      <x:c r="AI34" s="35" t="n">
        <x:f>AH34-AI27-AI29</x:f>
        <x:v>-1.230509951710701e-7</x:v>
      </x:c>
      <x:c r="AJ34" s="35" t="n">
        <x:f>AI34-AJ27-AJ29</x:f>
        <x:v>-1.230509951710701e-7</x:v>
      </x:c>
      <x:c r="AK34" s="35" t="n">
        <x:f>AJ34-AK27-AK29</x:f>
        <x:v>-1.230509951710701e-7</x:v>
      </x:c>
      <x:c r="AL34" s="35" t="n">
        <x:f>AK34-AL27-AL29</x:f>
        <x:v>-1.230509951710701e-7</x:v>
      </x:c>
      <x:c r="AM34" s="35" t="n">
        <x:f>AL34-AM27-AM29</x:f>
        <x:v>-1.230509951710701e-7</x:v>
      </x:c>
      <x:c r="AN34" s="35" t="n">
        <x:f>AM34-AN27-AN29</x:f>
        <x:v>-1.230509951710701e-7</x:v>
      </x:c>
      <x:c r="AO34" s="35" t="n">
        <x:f>AN34-AO27-AO29</x:f>
        <x:v>-1.230509951710701e-7</x:v>
      </x:c>
      <x:c r="AP34" s="35" t="n">
        <x:f>AO34-AP27-AP29</x:f>
        <x:v>-1.230509951710701e-7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'Assumptions'!E58</x:f>
        <x:v>0.2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'Assumptions'!E59</x:f>
        <x:v>3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'Assumptions'!F15/12</x:f>
        <x:v>0.04583333333333334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'Assumptions'!F16</x:f>
        <x:v>24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'Assumptions'!F17*'Assumptions'!$E$29</x:f>
        <x:v>306720000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'Assumptions'!F19</x:f>
        <x:v>6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'Assumptions'!F18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'Assumptions'!F27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64161574.26349827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0.18699860547054264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$E$40*INDEX('Assumptions'!$E$65:$E$101,MIN(C51,36)+1)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0.18699860547054264</x:v>
      </x:c>
      <x:c r="H51" s="30" t="n">
        <x:f>IF($E$42=0,1-MIN(C51,$E$43)/$E$43,((1+$E$42)^$E$43-(1+$E$42)^MIN(C51,$E$43))/((1+$E$42)^$E$43-1))</x:f>
        <x:v>1</x:v>
      </x:c>
      <x:c r="I51" s="30" t="n">
        <x:f>MAX(0,1-D51-J51)</x:f>
        <x:v>1</x:v>
      </x:c>
      <x:c r="J51" s="2" t="n">
        <x:f>(1-$E$40)*INDEX('Assumptions'!$H$65:$H$101,MIN(C51,36)+1)</x:f>
        <x:v>0</x:v>
      </x:c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$E$40*INDEX('Assumptions'!$E$65:$E$101,MIN(C52,36)+1)</x:f>
        <x:v>0.047793907633118346</x:v>
      </x:c>
      <x:c r="E52" s="30" t="n">
        <x:f>(D52-D51)*H51</x:f>
        <x:v>0.047793907633118346</x:v>
      </x:c>
      <x:c r="F52" s="30" t="n">
        <x:f>(1-D52-J51)*(H51-H52)+(J52-J51)*H52</x:f>
        <x:v>0.2286768229112237</x:v>
      </x:c>
      <x:c r="G52" s="30" t="n">
        <x:f>SUM(E53:E147)</x:f>
        <x:v>0.1392046978374243</x:v>
      </x:c>
      <x:c r="H52" s="30" t="n">
        <x:f>IF($E$42=0,1-MIN(C52,$E$43)/$E$43,((1+$E$42)^$E$43-(1+$E$42)^MIN(C52,$E$43))/((1+$E$42)^$E$43-1))</x:f>
        <x:v>0.9762713988389728</x:v>
      </x:c>
      <x:c r="I52" s="30" t="n">
        <x:f>MAX(0,1-D52-J52)</x:f>
        <x:v>0.7411148890729693</x:v>
      </x:c>
      <x:c r="J52" s="2" t="n">
        <x:f>(1-$E$40)*INDEX('Assumptions'!$H$65:$H$101,MIN(C52,36)+1)</x:f>
        <x:v>0.21109120329391234</x:v>
      </x:c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$E$40*INDEX('Assumptions'!$E$65:$E$101,MIN(C53,36)+1)</x:f>
        <x:v>0.0859488479098054</x:v>
      </x:c>
      <x:c r="E53" s="30" t="n">
        <x:f>(D53-D52)*H52</x:f>
        <x:v>0.03724957691653874</x:v>
      </x:c>
      <x:c r="F53" s="30" t="n">
        <x:f>(1-D53-J52)*(H52-H53)+(J53-J52)*H53</x:f>
        <x:v>0.17018339952310133</x:v>
      </x:c>
      <x:c r="G53" s="30" t="n">
        <x:f>SUM(E54:E147)</x:f>
        <x:v>0.10195512092088559</x:v>
      </x:c>
      <x:c r="H53" s="30" t="n">
        <x:f>IF($E$42=0,1-MIN(C53,$E$43)/$E$43,((1+$E$42)^$E$43-(1+$E$42)^MIN(C53,$E$43))/((1+$E$42)^$E$43-1))</x:f>
        <x:v>0.9514552367913985</x:v>
      </x:c>
      <x:c r="I53" s="30" t="n">
        <x:f>MAX(0,1-D53-J53)</x:f>
        <x:v>0.5424283487644193</x:v>
      </x:c>
      <x:c r="J53" s="2" t="n">
        <x:f>(1-$E$40)*INDEX('Assumptions'!$H$65:$H$101,MIN(C53,36)+1)</x:f>
        <x:v>0.3716228033257753</x:v>
      </x:c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$E$40*INDEX('Assumptions'!$E$65:$E$101,MIN(C54,36)+1)</x:f>
        <x:v>0.11502213271151718</x:v>
      </x:c>
      <x:c r="E54" s="30" t="n">
        <x:f>(D54-D53)*H53</x:f>
        <x:v>0.027661929075316442</x:v>
      </x:c>
      <x:c r="F54" s="30" t="n">
        <x:f>(1-D54-J53)*(H53-H54)+(J54-J53)*H54</x:f>
        <x:v>0.1269296836932008</x:v>
      </x:c>
      <x:c r="G54" s="30" t="n">
        <x:f>SUM(E55:E147)</x:f>
        <x:v>0.07429319184556915</x:v>
      </x:c>
      <x:c r="H54" s="30" t="n">
        <x:f>IF($E$42=0,1-MIN(C54,$E$43)/$E$43,((1+$E$42)^$E$43-(1+$E$42)^MIN(C54,$E$43))/((1+$E$42)^$E$43-1))</x:f>
        <x:v>0.9255016673166439</x:v>
      </x:c>
      <x:c r="I54" s="30" t="n">
        <x:f>MAX(0,1-D54-J54)</x:f>
        <x:v>0.39060402915926706</x:v>
      </x:c>
      <x:c r="J54" s="2" t="n">
        <x:f>(1-$E$40)*INDEX('Assumptions'!$H$65:$H$101,MIN(C54,36)+1)</x:f>
        <x:v>0.49437383812921576</x:v>
      </x:c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$E$40*INDEX('Assumptions'!$E$65:$E$101,MIN(C55,36)+1)</x:f>
        <x:v>0.139146003027586</x:v>
      </x:c>
      <x:c r="E55" s="30" t="n">
        <x:f>(D55-D54)*H54</x:f>
        <x:v>0.022326682199652195</x:v>
      </x:c>
      <x:c r="F55" s="30" t="n">
        <x:f>(1-D55-J54)*(H54-H55)+(J55-J54)*H55</x:f>
        <x:v>0.09279945080156977</x:v>
      </x:c>
      <x:c r="G55" s="30" t="n">
        <x:f>SUM(E56:E147)</x:f>
        <x:v>0.05196650964591695</x:v>
      </x:c>
      <x:c r="H55" s="30" t="n">
        <x:f>IF($E$42=0,1-MIN(C55,$E$43)/$E$43,((1+$E$42)^$E$43-(1+$E$42)^MIN(C55,$E$43))/((1+$E$42)^$E$43-1))</x:f>
        <x:v>0.8983585592409629</x:v>
      </x:c>
      <x:c r="I55" s="30" t="n">
        <x:f>MAX(0,1-D55-J55)</x:f>
        <x:v>0.2742541323972555</x:v>
      </x:c>
      <x:c r="J55" s="2" t="n">
        <x:f>(1-$E$40)*INDEX('Assumptions'!$H$65:$H$101,MIN(C55,36)+1)</x:f>
        <x:v>0.5865998645751586</x:v>
      </x:c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$E$40*INDEX('Assumptions'!$E$65:$E$101,MIN(C56,36)+1)</x:f>
        <x:v>0.15875499245655234</x:v>
      </x:c>
      <x:c r="E56" s="30" t="n">
        <x:f>(D56-D55)*H55</x:f>
        <x:v>0.01761590349157746</x:v>
      </x:c>
      <x:c r="F56" s="30" t="n">
        <x:f>(1-D56-J55)*(H55-H56)+(J56-J55)*H56</x:f>
        <x:v>0.06659998429612093</x:v>
      </x:c>
      <x:c r="G56" s="30" t="n">
        <x:f>SUM(E57:E147)</x:f>
        <x:v>0.034350606154339484</x:v>
      </x:c>
      <x:c r="H56" s="30" t="n">
        <x:f>IF($E$42=0,1-MIN(C56,$E$43)/$E$43,((1+$E$42)^$E$43-(1+$E$42)^MIN(C56,$E$43))/((1+$E$42)^$E$43-1))</x:f>
        <x:v>0.8699713920451464</x:v>
      </x:c>
      <x:c r="I56" s="30" t="n">
        <x:f>MAX(0,1-D56-J56)</x:f>
        <x:v>0.18639999078287506</x:v>
      </x:c>
      <x:c r="J56" s="2" t="n">
        <x:f>(1-$E$40)*INDEX('Assumptions'!$H$65:$H$101,MIN(C56,36)+1)</x:f>
        <x:v>0.6548450167605726</x:v>
      </x:c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$E$40*INDEX('Assumptions'!$E$65:$E$101,MIN(C57,36)+1)</x:f>
        <x:v>0.1729640541883488</x:v>
      </x:c>
      <x:c r="E57" s="30" t="n">
        <x:f>(D57-D56)*H56</x:f>
        <x:v>0.012361477214466378</x:v>
      </x:c>
      <x:c r="F57" s="30" t="n">
        <x:f>(1-D57-J56)*(H56-H57)+(J57-J56)*H57</x:f>
        <x:v>0.04933315803614138</x:v>
      </x:c>
      <x:c r="G57" s="30" t="n">
        <x:f>SUM(E58:E147)</x:f>
        <x:v>0.021989128939873107</x:v>
      </x:c>
      <x:c r="H57" s="30" t="n">
        <x:f>IF($E$42=0,1-MIN(C57,$E$43)/$E$43,((1+$E$42)^$E$43-(1+$E$42)^MIN(C57,$E$43))/((1+$E$42)^$E$43-1))</x:f>
        <x:v>0.8402831463528551</x:v>
      </x:c>
      <x:c r="I57" s="30" t="n">
        <x:f>MAX(0,1-D57-J57)</x:f>
        <x:v>0.11956448804672748</x:v>
      </x:c>
      <x:c r="J57" s="2" t="n">
        <x:f>(1-$E$40)*INDEX('Assumptions'!$H$65:$H$101,MIN(C57,36)+1)</x:f>
        <x:v>0.7074714577649237</x:v>
      </x:c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$E$40*INDEX('Assumptions'!$E$65:$E$101,MIN(C58,36)+1)</x:f>
        <x:v>0.1837405454525418</x:v>
      </x:c>
      <x:c r="E58" s="30" t="n">
        <x:f>(D58-D57)*H57</x:f>
        <x:v>0.009055303986120151</x:v>
      </x:c>
      <x:c r="F58" s="30" t="n">
        <x:f>(1-D58-J57)*(H57-H58)+(J58-J57)*H58</x:f>
        <x:v>0.03526442888947929</x:v>
      </x:c>
      <x:c r="G58" s="30" t="n">
        <x:f>SUM(E59:E147)</x:f>
        <x:v>0.012933824953752959</x:v>
      </x:c>
      <x:c r="H58" s="30" t="n">
        <x:f>IF($E$42=0,1-MIN(C58,$E$43)/$E$43,((1+$E$42)^$E$43-(1+$E$42)^MIN(C58,$E$43))/((1+$E$42)^$E$43-1))</x:f>
        <x:v>0.8092341893996671</x:v>
      </x:c>
      <x:c r="I58" s="30" t="n">
        <x:f>MAX(0,1-D58-J58)</x:f>
        <x:v>0.06938447740823561</x:v>
      </x:c>
      <x:c r="J58" s="2" t="n">
        <x:f>(1-$E$40)*INDEX('Assumptions'!$H$65:$H$101,MIN(C58,36)+1)</x:f>
        <x:v>0.7468749771392226</x:v>
      </x:c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$E$40*INDEX('Assumptions'!$E$65:$E$101,MIN(C59,36)+1)</x:f>
        <x:v>0.19310540368282814</x:v>
      </x:c>
      <x:c r="E59" s="30" t="n">
        <x:f>(D59-D58)*H58</x:f>
        <x:v>0.007578363458828574</x:v>
      </x:c>
      <x:c r="F59" s="30" t="n">
        <x:f>(1-D59-J58)*(H58-H59)+(J59-J58)*H59</x:f>
        <x:v>0.025106863163643276</x:v>
      </x:c>
      <x:c r="G59" s="30" t="n">
        <x:f>SUM(E60:E147)</x:f>
        <x:v>0.005355461494924383</x:v>
      </x:c>
      <x:c r="H59" s="30" t="n">
        <x:f>IF($E$42=0,1-MIN(C59,$E$43)/$E$43,((1+$E$42)^$E$43-(1+$E$42)^MIN(C59,$E$43))/((1+$E$42)^$E$43-1))</x:f>
        <x:v>0.7767621552527914</x:v>
      </x:c>
      <x:c r="I59" s="30" t="n">
        <x:f>MAX(0,1-D59-J59)</x:f>
        <x:v>0.030206240805160434</x:v>
      </x:c>
      <x:c r="J59" s="2" t="n">
        <x:f>(1-$E$40)*INDEX('Assumptions'!$H$65:$H$101,MIN(C59,36)+1)</x:f>
        <x:v>0.7766883555120114</x:v>
      </x:c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$E$40*INDEX('Assumptions'!$E$65:$E$101,MIN(C60,36)+1)</x:f>
        <x:v>0.2</x:v>
      </x:c>
      <x:c r="E60" s="30" t="n">
        <x:f>(D60-D59)*H59</x:f>
        <x:v>0.005355461494924383</x:v>
      </x:c>
      <x:c r="F60" s="30" t="n">
        <x:f>(1-D60-J59)*(H59-H60)+(J60-J59)*H60</x:f>
        <x:v>0.01810760321497689</x:v>
      </x:c>
      <x:c r="G60" s="30" t="n">
        <x:f>SUM(E61:E147)</x:f>
        <x:v>0</x:v>
      </x:c>
      <x:c r="H60" s="30" t="n">
        <x:f>IF($E$42=0,1-MIN(C60,$E$43)/$E$43,((1+$E$42)^$E$43-(1+$E$42)^MIN(C60,$E$43))/((1+$E$42)^$E$43-1))</x:f>
        <x:v>0.7428018195408503</x:v>
      </x:c>
      <x:c r="I60" s="30" t="n">
        <x:f>MAX(0,1-D60-J60)</x:f>
        <x:v>0</x:v>
      </x:c>
      <x:c r="J60" s="2" t="n">
        <x:f>(1-$E$40)*INDEX('Assumptions'!$H$65:$H$101,MIN(C60,36)+1)</x:f>
        <x:v>0.8</x:v>
      </x:c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$E$40*INDEX('Assumptions'!$E$65:$E$101,MIN(C61,36)+1)</x:f>
        <x:v>0.2</x:v>
      </x:c>
      <x:c r="E61" s="30" t="n">
        <x:f>(D61-D60)*H60</x:f>
        <x:v>0</x:v>
      </x:c>
      <x:c r="F61" s="30" t="n">
        <x:f>(1-D61-J60)*(H60-H61)+(J61-J60)*H61</x:f>
        <x:v>0</x:v>
      </x:c>
      <x:c r="G61" s="30" t="n">
        <x:f>SUM(E62:E147)</x:f>
        <x:v>0</x:v>
      </x:c>
      <x:c r="H61" s="30" t="n">
        <x:f>IF($E$42=0,1-MIN(C61,$E$43)/$E$43,((1+$E$42)^$E$43-(1+$E$42)^MIN(C61,$E$43))/((1+$E$42)^$E$43-1))</x:f>
        <x:v>0.7072849684421122</x:v>
      </x:c>
      <x:c r="I61" s="30" t="n">
        <x:f>MAX(0,1-D61-J61)</x:f>
        <x:v>0</x:v>
      </x:c>
      <x:c r="J61" s="2" t="n">
        <x:f>(1-$E$40)*INDEX('Assumptions'!$H$65:$H$101,MIN(C61,36)+1)</x:f>
        <x:v>0.8</x:v>
      </x:c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$E$40*INDEX('Assumptions'!$E$65:$E$101,MIN(C62,36)+1)</x:f>
        <x:v>0.2</x:v>
      </x:c>
      <x:c r="E62" s="30" t="n">
        <x:f>(D62-D61)*H61</x:f>
        <x:v>0</x:v>
      </x:c>
      <x:c r="F62" s="30" t="n">
        <x:f>(1-D62-J61)*(H61-H62)+(J62-J61)*H62</x:f>
        <x:v>0</x:v>
      </x:c>
      <x:c r="G62" s="30" t="n">
        <x:f>SUM(E63:E147)</x:f>
        <x:v>0</x:v>
      </x:c>
      <x:c r="H62" s="30" t="n">
        <x:f>IF($E$42=0,1-MIN(C62,$E$43)/$E$43,((1+$E$42)^$E$43-(1+$E$42)^MIN(C62,$E$43))/((1+$E$42)^$E$43-1))</x:f>
        <x:v>0.6701402616680151</x:v>
      </x:c>
      <x:c r="I62" s="30" t="n">
        <x:f>MAX(0,1-D62-J62)</x:f>
        <x:v>0</x:v>
      </x:c>
      <x:c r="J62" s="2" t="n">
        <x:f>(1-$E$40)*INDEX('Assumptions'!$H$65:$H$101,MIN(C62,36)+1)</x:f>
        <x:v>0.8</x:v>
      </x:c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$E$40*INDEX('Assumptions'!$E$65:$E$101,MIN(C63,36)+1)</x:f>
        <x:v>0.2</x:v>
      </x:c>
      <x:c r="E63" s="30" t="n">
        <x:f>(D63-D62)*H62</x:f>
        <x:v>0</x:v>
      </x:c>
      <x:c r="F63" s="30" t="n">
        <x:f>(1-D63-J62)*(H62-H63)+(J63-J62)*H63</x:f>
        <x:v>0</x:v>
      </x:c>
      <x:c r="G63" s="30" t="n">
        <x:f>SUM(E64:E147)</x:f>
        <x:v>0</x:v>
      </x:c>
      <x:c r="H63" s="30" t="n">
        <x:f>IF($E$42=0,1-MIN(C63,$E$43)/$E$43,((1+$E$42)^$E$43-(1+$E$42)^MIN(C63,$E$43))/((1+$E$42)^$E$43-1))</x:f>
        <x:v>0.631293089166772</x:v>
      </x:c>
      <x:c r="I63" s="30" t="n">
        <x:f>MAX(0,1-D63-J63)</x:f>
        <x:v>0</x:v>
      </x:c>
      <x:c r="J63" s="2" t="n">
        <x:f>(1-$E$40)*INDEX('Assumptions'!$H$65:$H$101,MIN(C63,36)+1)</x:f>
        <x:v>0.8</x:v>
      </x:c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$E$40*INDEX('Assumptions'!$E$65:$E$101,MIN(C64,36)+1)</x:f>
        <x:v>0.2</x:v>
      </x:c>
      <x:c r="E64" s="30" t="n">
        <x:f>(D64-D63)*H63</x:f>
        <x:v>0</x:v>
      </x:c>
      <x:c r="F64" s="30" t="n">
        <x:f>(1-D64-J63)*(H63-H64)+(J64-J63)*H64</x:f>
        <x:v>0</x:v>
      </x:c>
      <x:c r="G64" s="30" t="n">
        <x:f>SUM(E65:E147)</x:f>
        <x:v>0</x:v>
      </x:c>
      <x:c r="H64" s="30" t="n">
        <x:f>IF($E$42=0,1-MIN(C64,$E$43)/$E$43,((1+$E$42)^$E$43-(1+$E$42)^MIN(C64,$E$43))/((1+$E$42)^$E$43-1))</x:f>
        <x:v>0.5906654212592217</x:v>
      </x:c>
      <x:c r="I64" s="30" t="n">
        <x:f>MAX(0,1-D64-J64)</x:f>
        <x:v>0</x:v>
      </x:c>
      <x:c r="J64" s="2" t="n">
        <x:f>(1-$E$40)*INDEX('Assumptions'!$H$65:$H$101,MIN(C64,36)+1)</x:f>
        <x:v>0.8</x:v>
      </x:c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$E$40*INDEX('Assumptions'!$E$65:$E$101,MIN(C65,36)+1)</x:f>
        <x:v>0.2</x:v>
      </x:c>
      <x:c r="E65" s="30" t="n">
        <x:f>(D65-D64)*H64</x:f>
        <x:v>0</x:v>
      </x:c>
      <x:c r="F65" s="30" t="n">
        <x:f>(1-D65-J64)*(H64-H65)+(J65-J64)*H65</x:f>
        <x:v>0</x:v>
      </x:c>
      <x:c r="G65" s="30" t="n">
        <x:f>SUM(E66:E147)</x:f>
        <x:v>0</x:v>
      </x:c>
      <x:c r="H65" s="30" t="n">
        <x:f>IF($E$42=0,1-MIN(C65,$E$43)/$E$43,((1+$E$42)^$E$43-(1+$E$42)^MIN(C65,$E$43))/((1+$E$42)^$E$43-1))</x:f>
        <x:v>0.5481756519059089</x:v>
      </x:c>
      <x:c r="I65" s="30" t="n">
        <x:f>MAX(0,1-D65-J65)</x:f>
        <x:v>0</x:v>
      </x:c>
      <x:c r="J65" s="2" t="n">
        <x:f>(1-$E$40)*INDEX('Assumptions'!$H$65:$H$101,MIN(C65,36)+1)</x:f>
        <x:v>0.8</x:v>
      </x:c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$E$40*INDEX('Assumptions'!$E$65:$E$101,MIN(C66,36)+1)</x:f>
        <x:v>0.2</x:v>
      </x:c>
      <x:c r="E66" s="30" t="n">
        <x:f>(D66-D65)*H65</x:f>
        <x:v>0</x:v>
      </x:c>
      <x:c r="F66" s="30" t="n">
        <x:f>(1-D66-J65)*(H65-H66)+(J66-J65)*H66</x:f>
        <x:v>0</x:v>
      </x:c>
      <x:c r="G66" s="30" t="n">
        <x:f>SUM(E67:E147)</x:f>
        <x:v>0</x:v>
      </x:c>
      <x:c r="H66" s="30" t="n">
        <x:f>IF($E$42=0,1-MIN(C66,$E$43)/$E$43,((1+$E$42)^$E$43-(1+$E$42)^MIN(C66,$E$43))/((1+$E$42)^$E$43-1))</x:f>
        <x:v>0.5037384347905691</x:v>
      </x:c>
      <x:c r="I66" s="30" t="n">
        <x:f>MAX(0,1-D66-J66)</x:f>
        <x:v>0</x:v>
      </x:c>
      <x:c r="J66" s="2" t="n">
        <x:f>(1-$E$40)*INDEX('Assumptions'!$H$65:$H$101,MIN(C66,36)+1)</x:f>
        <x:v>0.8</x:v>
      </x:c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$E$40*INDEX('Assumptions'!$E$65:$E$101,MIN(C67,36)+1)</x:f>
        <x:v>0.2</x:v>
      </x:c>
      <x:c r="E67" s="30" t="n">
        <x:f>(D67-D66)*H66</x:f>
        <x:v>0</x:v>
      </x:c>
      <x:c r="F67" s="30" t="n">
        <x:f>(1-D67-J66)*(H66-H67)+(J67-J66)*H67</x:f>
        <x:v>0</x:v>
      </x:c>
      <x:c r="G67" s="30" t="n">
        <x:f>SUM(E68:E147)</x:f>
        <x:v>0</x:v>
      </x:c>
      <x:c r="H67" s="30" t="n">
        <x:f>IF($E$42=0,1-MIN(C67,$E$43)/$E$43,((1+$E$42)^$E$43-(1+$E$42)^MIN(C67,$E$43))/((1+$E$42)^$E$43-1))</x:f>
        <x:v>0.4572645118907764</x:v>
      </x:c>
      <x:c r="I67" s="30" t="n">
        <x:f>MAX(0,1-D67-J67)</x:f>
        <x:v>0</x:v>
      </x:c>
      <x:c r="J67" s="2" t="n">
        <x:f>(1-$E$40)*INDEX('Assumptions'!$H$65:$H$101,MIN(C67,36)+1)</x:f>
        <x:v>0.8</x:v>
      </x:c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$E$40*INDEX('Assumptions'!$E$65:$E$101,MIN(C68,36)+1)</x:f>
        <x:v>0.2</x:v>
      </x:c>
      <x:c r="E68" s="30" t="n">
        <x:f>(D68-D67)*H67</x:f>
        <x:v>0</x:v>
      </x:c>
      <x:c r="F68" s="30" t="n">
        <x:f>(1-D68-J67)*(H67-H68)+(J68-J67)*H68</x:f>
        <x:v>0</x:v>
      </x:c>
      <x:c r="G68" s="30" t="n">
        <x:f>SUM(E69:E147)</x:f>
        <x:v>0</x:v>
      </x:c>
      <x:c r="H68" s="30" t="n">
        <x:f>IF($E$42=0,1-MIN(C68,$E$43)/$E$43,((1+$E$42)^$E$43-(1+$E$42)^MIN(C68,$E$43))/((1+$E$42)^$E$43-1))</x:f>
        <x:v>0.40866053419140974</x:v>
      </x:c>
      <x:c r="I68" s="30" t="n">
        <x:f>MAX(0,1-D68-J68)</x:f>
        <x:v>0</x:v>
      </x:c>
      <x:c r="J68" s="2" t="n">
        <x:f>(1-$E$40)*INDEX('Assumptions'!$H$65:$H$101,MIN(C68,36)+1)</x:f>
        <x:v>0.8</x:v>
      </x:c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$E$40*INDEX('Assumptions'!$E$65:$E$101,MIN(C69,36)+1)</x:f>
        <x:v>0.2</x:v>
      </x:c>
      <x:c r="E69" s="30" t="n">
        <x:f>(D69-D68)*H68</x:f>
        <x:v>0</x:v>
      </x:c>
      <x:c r="F69" s="30" t="n">
        <x:f>(1-D69-J68)*(H68-H69)+(J69-J68)*H69</x:f>
        <x:v>0</x:v>
      </x:c>
      <x:c r="G69" s="30" t="n">
        <x:f>SUM(E70:E147)</x:f>
        <x:v>0</x:v>
      </x:c>
      <x:c r="H69" s="30" t="n">
        <x:f>IF($E$42=0,1-MIN(C69,$E$43)/$E$43,((1+$E$42)^$E$43-(1+$E$42)^MIN(C69,$E$43))/((1+$E$42)^$E$43-1))</x:f>
        <x:v>0.35782887418082204</x:v>
      </x:c>
      <x:c r="I69" s="30" t="n">
        <x:f>MAX(0,1-D69-J69)</x:f>
        <x:v>0</x:v>
      </x:c>
      <x:c r="J69" s="2" t="n">
        <x:f>(1-$E$40)*INDEX('Assumptions'!$H$65:$H$101,MIN(C69,36)+1)</x:f>
        <x:v>0.8</x:v>
      </x:c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$E$40*INDEX('Assumptions'!$E$65:$E$101,MIN(C70,36)+1)</x:f>
        <x:v>0.2</x:v>
      </x:c>
      <x:c r="E70" s="30" t="n">
        <x:f>(D70-D69)*H69</x:f>
        <x:v>0</x:v>
      </x:c>
      <x:c r="F70" s="30" t="n">
        <x:f>(1-D70-J69)*(H69-H70)+(J70-J69)*H70</x:f>
        <x:v>0</x:v>
      </x:c>
      <x:c r="G70" s="30" t="n">
        <x:f>SUM(E71:E147)</x:f>
        <x:v>0</x:v>
      </x:c>
      <x:c r="H70" s="30" t="n">
        <x:f>IF($E$42=0,1-MIN(C70,$E$43)/$E$43,((1+$E$42)^$E$43-(1+$E$42)^MIN(C70,$E$43))/((1+$E$42)^$E$43-1))</x:f>
        <x:v>0.30466742975308264</x:v>
      </x:c>
      <x:c r="I70" s="30" t="n">
        <x:f>MAX(0,1-D70-J70)</x:f>
        <x:v>0</x:v>
      </x:c>
      <x:c r="J70" s="2" t="n">
        <x:f>(1-$E$40)*INDEX('Assumptions'!$H$65:$H$101,MIN(C70,36)+1)</x:f>
        <x:v>0.8</x:v>
      </x:c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$E$40*INDEX('Assumptions'!$E$65:$E$101,MIN(C71,36)+1)</x:f>
        <x:v>0.2</x:v>
      </x:c>
      <x:c r="E71" s="30" t="n">
        <x:f>(D71-D70)*H70</x:f>
        <x:v>0</x:v>
      </x:c>
      <x:c r="F71" s="30" t="n">
        <x:f>(1-D71-J70)*(H70-H71)+(J71-J70)*H71</x:f>
        <x:v>0</x:v>
      </x:c>
      <x:c r="G71" s="30" t="n">
        <x:f>SUM(E72:E147)</x:f>
        <x:v>0</x:v>
      </x:c>
      <x:c r="H71" s="30" t="n">
        <x:f>IF($E$42=0,1-MIN(C71,$E$43)/$E$43,((1+$E$42)^$E$43-(1+$E$42)^MIN(C71,$E$43))/((1+$E$42)^$E$43-1))</x:f>
        <x:v>0.2490694191224049</x:v>
      </x:c>
      <x:c r="I71" s="30" t="n">
        <x:f>MAX(0,1-D71-J71)</x:f>
        <x:v>0</x:v>
      </x:c>
      <x:c r="J71" s="2" t="n">
        <x:f>(1-$E$40)*INDEX('Assumptions'!$H$65:$H$101,MIN(C71,36)+1)</x:f>
        <x:v>0.8</x:v>
      </x:c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$E$40*INDEX('Assumptions'!$E$65:$E$101,MIN(C72,36)+1)</x:f>
        <x:v>0.2</x:v>
      </x:c>
      <x:c r="E72" s="30" t="n">
        <x:f>(D72-D71)*H71</x:f>
        <x:v>0</x:v>
      </x:c>
      <x:c r="F72" s="30" t="n">
        <x:f>(1-D72-J71)*(H71-H72)+(J72-J71)*H72</x:f>
        <x:v>0</x:v>
      </x:c>
      <x:c r="G72" s="30" t="n">
        <x:f>SUM(E73:E147)</x:f>
        <x:v>0</x:v>
      </x:c>
      <x:c r="H72" s="30" t="n">
        <x:f>IF($E$42=0,1-MIN(C72,$E$43)/$E$43,((1+$E$42)^$E$43-(1+$E$42)^MIN(C72,$E$43))/((1+$E$42)^$E$43-1))</x:f>
        <x:v>0.19092316633782133</x:v>
      </x:c>
      <x:c r="I72" s="30" t="n">
        <x:f>MAX(0,1-D72-J72)</x:f>
        <x:v>0</x:v>
      </x:c>
      <x:c r="J72" s="2" t="n">
        <x:f>(1-$E$40)*INDEX('Assumptions'!$H$65:$H$101,MIN(C72,36)+1)</x:f>
        <x:v>0.8</x:v>
      </x:c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$E$40*INDEX('Assumptions'!$E$65:$E$101,MIN(C73,36)+1)</x:f>
        <x:v>0.2</x:v>
      </x:c>
      <x:c r="E73" s="30" t="n">
        <x:f>(D73-D72)*H72</x:f>
        <x:v>0</x:v>
      </x:c>
      <x:c r="F73" s="30" t="n">
        <x:f>(1-D73-J72)*(H72-H73)+(J73-J72)*H73</x:f>
        <x:v>0</x:v>
      </x:c>
      <x:c r="G73" s="30" t="n">
        <x:f>SUM(E74:E147)</x:f>
        <x:v>0</x:v>
      </x:c>
      <x:c r="H73" s="30" t="n">
        <x:f>IF($E$42=0,1-MIN(C73,$E$43)/$E$43,((1+$E$42)^$E$43-(1+$E$42)^MIN(C73,$E$43))/((1+$E$42)^$E$43-1))</x:f>
        <x:v>0.1301118769672777</x:v>
      </x:c>
      <x:c r="I73" s="30" t="n">
        <x:f>MAX(0,1-D73-J73)</x:f>
        <x:v>0</x:v>
      </x:c>
      <x:c r="J73" s="2" t="n">
        <x:f>(1-$E$40)*INDEX('Assumptions'!$H$65:$H$101,MIN(C73,36)+1)</x:f>
        <x:v>0.8</x:v>
      </x:c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$E$40*INDEX('Assumptions'!$E$65:$E$101,MIN(C74,36)+1)</x:f>
        <x:v>0.2</x:v>
      </x:c>
      <x:c r="E74" s="30" t="n">
        <x:f>(D74-D73)*H73</x:f>
        <x:v>0</x:v>
      </x:c>
      <x:c r="F74" s="30" t="n">
        <x:f>(1-D74-J73)*(H73-H74)+(J74-J73)*H74</x:f>
        <x:v>0</x:v>
      </x:c>
      <x:c r="G74" s="30" t="n">
        <x:f>SUM(E75:E147)</x:f>
        <x:v>0</x:v>
      </x:c>
      <x:c r="H74" s="30" t="n">
        <x:f>IF($E$42=0,1-MIN(C74,$E$43)/$E$43,((1+$E$42)^$E$43-(1+$E$42)^MIN(C74,$E$43))/((1+$E$42)^$E$43-1))</x:f>
        <x:v>0.06651340350058388</x:v>
      </x:c>
      <x:c r="I74" s="30" t="n">
        <x:f>MAX(0,1-D74-J74)</x:f>
        <x:v>0</x:v>
      </x:c>
      <x:c r="J74" s="2" t="n">
        <x:f>(1-$E$40)*INDEX('Assumptions'!$H$65:$H$101,MIN(C74,36)+1)</x:f>
        <x:v>0.8</x:v>
      </x:c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$E$40*INDEX('Assumptions'!$E$65:$E$101,MIN(C75,36)+1)</x:f>
        <x:v>0.2</x:v>
      </x:c>
      <x:c r="E75" s="30" t="n">
        <x:f>(D75-D74)*H74</x:f>
        <x:v>0</x:v>
      </x:c>
      <x:c r="F75" s="30" t="n">
        <x:f>(1-D75-J74)*(H74-H75)+(J75-J74)*H75</x:f>
        <x:v>0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MAX(0,1-D75-J75)</x:f>
        <x:v>0</x:v>
      </x:c>
      <x:c r="J75" s="2" t="n">
        <x:f>(1-$E$40)*INDEX('Assumptions'!$H$65:$H$101,MIN(C75,36)+1)</x:f>
        <x:v>0.8</x:v>
      </x:c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$E$40*INDEX('Assumptions'!$E$65:$E$101,MIN(C76,36)+1)</x:f>
        <x:v>0.2</x:v>
      </x:c>
      <x:c r="E76" s="30" t="n">
        <x:f>(D76-D75)*H75</x:f>
        <x:v>0</x:v>
      </x:c>
      <x:c r="F76" s="30" t="n">
        <x:f>(1-D76-J75)*(H75-H76)+(J76-J75)*H76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MAX(0,1-D76-J76)</x:f>
        <x:v>0</x:v>
      </x:c>
      <x:c r="J76" s="2" t="n">
        <x:f>(1-$E$40)*INDEX('Assumptions'!$H$65:$H$101,MIN(C76,36)+1)</x:f>
        <x:v>0.8</x:v>
      </x:c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$E$40*INDEX('Assumptions'!$E$65:$E$101,MIN(C77,36)+1)</x:f>
        <x:v>0.2</x:v>
      </x:c>
      <x:c r="E77" s="30" t="n">
        <x:f>(D77-D76)*H76</x:f>
        <x:v>0</x:v>
      </x:c>
      <x:c r="F77" s="30" t="n">
        <x:f>(1-D77-J76)*(H76-H77)+(J77-J76)*H77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MAX(0,1-D77-J77)</x:f>
        <x:v>0</x:v>
      </x:c>
      <x:c r="J77" s="2" t="n">
        <x:f>(1-$E$40)*INDEX('Assumptions'!$H$65:$H$101,MIN(C77,36)+1)</x:f>
        <x:v>0.8</x:v>
      </x:c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$E$40*INDEX('Assumptions'!$E$65:$E$101,MIN(C78,36)+1)</x:f>
        <x:v>0.2</x:v>
      </x:c>
      <x:c r="E78" s="30" t="n">
        <x:f>(D78-D77)*H77</x:f>
        <x:v>0</x:v>
      </x:c>
      <x:c r="F78" s="30" t="n">
        <x:f>(1-D78-J77)*(H77-H78)+(J78-J77)*H78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MAX(0,1-D78-J78)</x:f>
        <x:v>0</x:v>
      </x:c>
      <x:c r="J78" s="2" t="n">
        <x:f>(1-$E$40)*INDEX('Assumptions'!$H$65:$H$101,MIN(C78,36)+1)</x:f>
        <x:v>0.8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$E$40*INDEX('Assumptions'!$E$65:$E$101,MIN(C79,36)+1)</x:f>
        <x:v>0.2</x:v>
      </x:c>
      <x:c r="E79" s="30" t="n">
        <x:f>(D79-D78)*H78</x:f>
        <x:v>0</x:v>
      </x:c>
      <x:c r="F79" s="30" t="n">
        <x:f>(1-D79-J78)*(H78-H79)+(J79-J78)*H79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MAX(0,1-D79-J79)</x:f>
        <x:v>0</x:v>
      </x:c>
      <x:c r="J79" s="2" t="n">
        <x:f>(1-$E$40)*INDEX('Assumptions'!$H$65:$H$101,MIN(C79,36)+1)</x:f>
        <x:v>0.8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$E$40*INDEX('Assumptions'!$E$65:$E$101,MIN(C80,36)+1)</x:f>
        <x:v>0.2</x:v>
      </x:c>
      <x:c r="E80" s="30" t="n">
        <x:f>(D80-D79)*H79</x:f>
        <x:v>0</x:v>
      </x:c>
      <x:c r="F80" s="30" t="n">
        <x:f>(1-D80-J79)*(H79-H80)+(J80-J79)*H80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MAX(0,1-D80-J80)</x:f>
        <x:v>0</x:v>
      </x:c>
      <x:c r="J80" s="2" t="n">
        <x:f>(1-$E$40)*INDEX('Assumptions'!$H$65:$H$101,MIN(C80,36)+1)</x:f>
        <x:v>0.8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$E$40*INDEX('Assumptions'!$E$65:$E$101,MIN(C81,36)+1)</x:f>
        <x:v>0.2</x:v>
      </x:c>
      <x:c r="E81" s="30" t="n">
        <x:f>(D81-D80)*H80</x:f>
        <x:v>0</x:v>
      </x:c>
      <x:c r="F81" s="30" t="n">
        <x:f>(1-D81-J80)*(H80-H81)+(J81-J80)*H81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MAX(0,1-D81-J81)</x:f>
        <x:v>0</x:v>
      </x:c>
      <x:c r="J81" s="2" t="n">
        <x:f>(1-$E$40)*INDEX('Assumptions'!$H$65:$H$101,MIN(C81,36)+1)</x:f>
        <x:v>0.8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$E$40*INDEX('Assumptions'!$E$65:$E$101,MIN(C82,36)+1)</x:f>
        <x:v>0.2</x:v>
      </x:c>
      <x:c r="E82" s="30" t="n">
        <x:f>(D82-D81)*H81</x:f>
        <x:v>0</x:v>
      </x:c>
      <x:c r="F82" s="30" t="n">
        <x:f>(1-D82-J81)*(H81-H82)+(J82-J81)*H82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MAX(0,1-D82-J82)</x:f>
        <x:v>0</x:v>
      </x:c>
      <x:c r="J82" s="2" t="n">
        <x:f>(1-$E$40)*INDEX('Assumptions'!$H$65:$H$101,MIN(C82,36)+1)</x:f>
        <x:v>0.8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$E$40*INDEX('Assumptions'!$E$65:$E$101,MIN(C83,36)+1)</x:f>
        <x:v>0.2</x:v>
      </x:c>
      <x:c r="E83" s="30" t="n">
        <x:f>(D83-D82)*H82</x:f>
        <x:v>0</x:v>
      </x:c>
      <x:c r="F83" s="30" t="n">
        <x:f>(1-D83-J82)*(H82-H83)+(J83-J82)*H83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MAX(0,1-D83-J83)</x:f>
        <x:v>0</x:v>
      </x:c>
      <x:c r="J83" s="2" t="n">
        <x:f>(1-$E$40)*INDEX('Assumptions'!$H$65:$H$101,MIN(C83,36)+1)</x:f>
        <x:v>0.8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$E$40*INDEX('Assumptions'!$E$65:$E$101,MIN(C84,36)+1)</x:f>
        <x:v>0.2</x:v>
      </x:c>
      <x:c r="E84" s="30" t="n">
        <x:f>(D84-D83)*H83</x:f>
        <x:v>0</x:v>
      </x:c>
      <x:c r="F84" s="30" t="n">
        <x:f>(1-D84-J83)*(H83-H84)+(J84-J83)*H84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MAX(0,1-D84-J84)</x:f>
        <x:v>0</x:v>
      </x:c>
      <x:c r="J84" s="2" t="n">
        <x:f>(1-$E$40)*INDEX('Assumptions'!$H$65:$H$101,MIN(C84,36)+1)</x:f>
        <x:v>0.8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$E$40*INDEX('Assumptions'!$E$65:$E$101,MIN(C85,36)+1)</x:f>
        <x:v>0.2</x:v>
      </x:c>
      <x:c r="E85" s="30" t="n">
        <x:f>(D85-D84)*H84</x:f>
        <x:v>0</x:v>
      </x:c>
      <x:c r="F85" s="30" t="n">
        <x:f>(1-D85-J84)*(H84-H85)+(J85-J84)*H85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MAX(0,1-D85-J85)</x:f>
        <x:v>0</x:v>
      </x:c>
      <x:c r="J85" s="2" t="n">
        <x:f>(1-$E$40)*INDEX('Assumptions'!$H$65:$H$101,MIN(C85,36)+1)</x:f>
        <x:v>0.8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$E$40*INDEX('Assumptions'!$E$65:$E$101,MIN(C86,36)+1)</x:f>
        <x:v>0.2</x:v>
      </x:c>
      <x:c r="E86" s="30" t="n">
        <x:f>(D86-D85)*H85</x:f>
        <x:v>0</x:v>
      </x:c>
      <x:c r="F86" s="30" t="n">
        <x:f>(1-D86-J85)*(H85-H86)+(J86-J85)*H86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MAX(0,1-D86-J86)</x:f>
        <x:v>0</x:v>
      </x:c>
      <x:c r="J86" s="2" t="n">
        <x:f>(1-$E$40)*INDEX('Assumptions'!$H$65:$H$101,MIN(C86,36)+1)</x:f>
        <x:v>0.8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$E$40*INDEX('Assumptions'!$E$65:$E$101,MIN(C87,36)+1)</x:f>
        <x:v>0.2</x:v>
      </x:c>
      <x:c r="E87" s="30" t="n">
        <x:f>(D87-D86)*H86</x:f>
        <x:v>0</x:v>
      </x:c>
      <x:c r="F87" s="30" t="n">
        <x:f>(1-D87-J86)*(H86-H87)+(J87-J86)*H87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MAX(0,1-D87-J87)</x:f>
        <x:v>0</x:v>
      </x:c>
      <x:c r="J87" s="2" t="n">
        <x:f>(1-$E$40)*INDEX('Assumptions'!$H$65:$H$101,MIN(C87,36)+1)</x:f>
        <x:v>0.8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$E$40*INDEX('Assumptions'!$E$65:$E$101,MIN(C88,36)+1)</x:f>
        <x:v>0.2</x:v>
      </x:c>
      <x:c r="E88" s="30" t="n">
        <x:f>(D88-D87)*H87</x:f>
        <x:v>0</x:v>
      </x:c>
      <x:c r="F88" s="30" t="n">
        <x:f>(1-D88-J87)*(H87-H88)+(J88-J87)*H88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MAX(0,1-D88-J88)</x:f>
        <x:v>0</x:v>
      </x:c>
      <x:c r="J88" s="2" t="n">
        <x:f>(1-$E$40)*INDEX('Assumptions'!$H$65:$H$101,MIN(C88,36)+1)</x:f>
        <x:v>0.8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$E$40*INDEX('Assumptions'!$E$65:$E$101,MIN(C89,36)+1)</x:f>
        <x:v>0.2</x:v>
      </x:c>
      <x:c r="E89" s="30" t="n">
        <x:f>(D89-D88)*H88</x:f>
        <x:v>0</x:v>
      </x:c>
      <x:c r="F89" s="30" t="n">
        <x:f>(1-D89-J88)*(H88-H89)+(J89-J88)*H89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MAX(0,1-D89-J89)</x:f>
        <x:v>0</x:v>
      </x:c>
      <x:c r="J89" s="2" t="n">
        <x:f>(1-$E$40)*INDEX('Assumptions'!$H$65:$H$101,MIN(C89,36)+1)</x:f>
        <x:v>0.8</x:v>
      </x:c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$E$40*INDEX('Assumptions'!$E$65:$E$101,MIN(C90,36)+1)</x:f>
        <x:v>0.2</x:v>
      </x:c>
      <x:c r="E90" s="30" t="n">
        <x:f>(D90-D89)*H89</x:f>
        <x:v>0</x:v>
      </x:c>
      <x:c r="F90" s="30" t="n">
        <x:f>(1-D90-J89)*(H89-H90)+(J90-J89)*H90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MAX(0,1-D90-J90)</x:f>
        <x:v>0</x:v>
      </x:c>
      <x:c r="J90" s="2" t="n">
        <x:f>(1-$E$40)*INDEX('Assumptions'!$H$65:$H$101,MIN(C90,36)+1)</x:f>
        <x:v>0.8</x:v>
      </x:c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$E$40*INDEX('Assumptions'!$E$65:$E$101,MIN(C91,36)+1)</x:f>
        <x:v>0.2</x:v>
      </x:c>
      <x:c r="E91" s="30" t="n">
        <x:f>(D91-D90)*H90</x:f>
        <x:v>0</x:v>
      </x:c>
      <x:c r="F91" s="30" t="n">
        <x:f>(1-D91-J90)*(H90-H91)+(J91-J90)*H91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MAX(0,1-D91-J91)</x:f>
        <x:v>0</x:v>
      </x:c>
      <x:c r="J91" s="2" t="n">
        <x:f>(1-$E$40)*INDEX('Assumptions'!$H$65:$H$101,MIN(C91,36)+1)</x:f>
        <x:v>0.8</x:v>
      </x:c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$E$40*INDEX('Assumptions'!$E$65:$E$101,MIN(C92,36)+1)</x:f>
        <x:v>0.2</x:v>
      </x:c>
      <x:c r="E92" s="30" t="n">
        <x:f>(D92-D91)*H91</x:f>
        <x:v>0</x:v>
      </x:c>
      <x:c r="F92" s="30" t="n">
        <x:f>(1-D92-J91)*(H91-H92)+(J92-J91)*H92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MAX(0,1-D92-J92)</x:f>
        <x:v>0</x:v>
      </x:c>
      <x:c r="J92" s="2" t="n">
        <x:f>(1-$E$40)*INDEX('Assumptions'!$H$65:$H$101,MIN(C92,36)+1)</x:f>
        <x:v>0.8</x:v>
      </x:c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$E$40*INDEX('Assumptions'!$E$65:$E$101,MIN(C93,36)+1)</x:f>
        <x:v>0.2</x:v>
      </x:c>
      <x:c r="E93" s="30" t="n">
        <x:f>(D93-D92)*H92</x:f>
        <x:v>0</x:v>
      </x:c>
      <x:c r="F93" s="30" t="n">
        <x:f>(1-D93-J92)*(H92-H93)+(J93-J92)*H93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MAX(0,1-D93-J93)</x:f>
        <x:v>0</x:v>
      </x:c>
      <x:c r="J93" s="2" t="n">
        <x:f>(1-$E$40)*INDEX('Assumptions'!$H$65:$H$101,MIN(C93,36)+1)</x:f>
        <x:v>0.8</x:v>
      </x:c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$E$40*INDEX('Assumptions'!$E$65:$E$101,MIN(C94,36)+1)</x:f>
        <x:v>0.2</x:v>
      </x:c>
      <x:c r="E94" s="30" t="n">
        <x:f>(D94-D93)*H93</x:f>
        <x:v>0</x:v>
      </x:c>
      <x:c r="F94" s="30" t="n">
        <x:f>(1-D94-J93)*(H93-H94)+(J94-J93)*H94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MAX(0,1-D94-J94)</x:f>
        <x:v>0</x:v>
      </x:c>
      <x:c r="J94" s="2" t="n">
        <x:f>(1-$E$40)*INDEX('Assumptions'!$H$65:$H$101,MIN(C94,36)+1)</x:f>
        <x:v>0.8</x:v>
      </x:c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$E$40*INDEX('Assumptions'!$E$65:$E$101,MIN(C95,36)+1)</x:f>
        <x:v>0.2</x:v>
      </x:c>
      <x:c r="E95" s="30" t="n">
        <x:f>(D95-D94)*H94</x:f>
        <x:v>0</x:v>
      </x:c>
      <x:c r="F95" s="30" t="n">
        <x:f>(1-D95-J94)*(H94-H95)+(J95-J94)*H95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MAX(0,1-D95-J95)</x:f>
        <x:v>0</x:v>
      </x:c>
      <x:c r="J95" s="2" t="n">
        <x:f>(1-$E$40)*INDEX('Assumptions'!$H$65:$H$101,MIN(C95,36)+1)</x:f>
        <x:v>0.8</x:v>
      </x:c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$E$40*INDEX('Assumptions'!$E$65:$E$101,MIN(C96,36)+1)</x:f>
        <x:v>0.2</x:v>
      </x:c>
      <x:c r="E96" s="30" t="n">
        <x:f>(D96-D95)*H95</x:f>
        <x:v>0</x:v>
      </x:c>
      <x:c r="F96" s="30" t="n">
        <x:f>(1-D96-J95)*(H95-H96)+(J96-J95)*H96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MAX(0,1-D96-J96)</x:f>
        <x:v>0</x:v>
      </x:c>
      <x:c r="J96" s="2" t="n">
        <x:f>(1-$E$40)*INDEX('Assumptions'!$H$65:$H$101,MIN(C96,36)+1)</x:f>
        <x:v>0.8</x:v>
      </x:c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$E$40*INDEX('Assumptions'!$E$65:$E$101,MIN(C97,36)+1)</x:f>
        <x:v>0.2</x:v>
      </x:c>
      <x:c r="E97" s="30" t="n">
        <x:f>(D97-D96)*H96</x:f>
        <x:v>0</x:v>
      </x:c>
      <x:c r="F97" s="30" t="n">
        <x:f>(1-D97-J96)*(H96-H97)+(J97-J96)*H97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MAX(0,1-D97-J97)</x:f>
        <x:v>0</x:v>
      </x:c>
      <x:c r="J97" s="2" t="n">
        <x:f>(1-$E$40)*INDEX('Assumptions'!$H$65:$H$101,MIN(C97,36)+1)</x:f>
        <x:v>0.8</x:v>
      </x:c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$E$40*INDEX('Assumptions'!$E$65:$E$101,MIN(C98,36)+1)</x:f>
        <x:v>0.2</x:v>
      </x:c>
      <x:c r="E98" s="30" t="n">
        <x:f>(D98-D97)*H97</x:f>
        <x:v>0</x:v>
      </x:c>
      <x:c r="F98" s="30" t="n">
        <x:f>(1-D98-J97)*(H97-H98)+(J98-J97)*H98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MAX(0,1-D98-J98)</x:f>
        <x:v>0</x:v>
      </x:c>
      <x:c r="J98" s="2" t="n">
        <x:f>(1-$E$40)*INDEX('Assumptions'!$H$65:$H$101,MIN(C98,36)+1)</x:f>
        <x:v>0.8</x:v>
      </x:c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$E$40*INDEX('Assumptions'!$E$65:$E$101,MIN(C99,36)+1)</x:f>
        <x:v>0.2</x:v>
      </x:c>
      <x:c r="E99" s="30" t="n">
        <x:f>(D99-D98)*H98</x:f>
        <x:v>0</x:v>
      </x:c>
      <x:c r="F99" s="30" t="n">
        <x:f>(1-D99-J98)*(H98-H99)+(J99-J98)*H99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MAX(0,1-D99-J99)</x:f>
        <x:v>0</x:v>
      </x:c>
      <x:c r="J99" s="2" t="n">
        <x:f>(1-$E$40)*INDEX('Assumptions'!$H$65:$H$101,MIN(C99,36)+1)</x:f>
        <x:v>0.8</x:v>
      </x:c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$E$40*INDEX('Assumptions'!$E$65:$E$101,MIN(C100,36)+1)</x:f>
        <x:v>0.2</x:v>
      </x:c>
      <x:c r="E100" s="30" t="n">
        <x:f>(D100-D99)*H99</x:f>
        <x:v>0</x:v>
      </x:c>
      <x:c r="F100" s="30" t="n">
        <x:f>(1-D100-J99)*(H99-H100)+(J100-J99)*H100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MAX(0,1-D100-J100)</x:f>
        <x:v>0</x:v>
      </x:c>
      <x:c r="J100" s="2" t="n">
        <x:f>(1-$E$40)*INDEX('Assumptions'!$H$65:$H$101,MIN(C100,36)+1)</x:f>
        <x:v>0.8</x:v>
      </x:c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$E$40*INDEX('Assumptions'!$E$65:$E$101,MIN(C101,36)+1)</x:f>
        <x:v>0.2</x:v>
      </x:c>
      <x:c r="E101" s="30" t="n">
        <x:f>(D101-D100)*H100</x:f>
        <x:v>0</x:v>
      </x:c>
      <x:c r="F101" s="30" t="n">
        <x:f>(1-D101-J100)*(H100-H101)+(J101-J100)*H101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MAX(0,1-D101-J101)</x:f>
        <x:v>0</x:v>
      </x:c>
      <x:c r="J101" s="2" t="n">
        <x:f>(1-$E$40)*INDEX('Assumptions'!$H$65:$H$101,MIN(C101,36)+1)</x:f>
        <x:v>0.8</x:v>
      </x:c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$E$40*INDEX('Assumptions'!$E$65:$E$101,MIN(C102,36)+1)</x:f>
        <x:v>0.2</x:v>
      </x:c>
      <x:c r="E102" s="30" t="n">
        <x:f>(D102-D101)*H101</x:f>
        <x:v>0</x:v>
      </x:c>
      <x:c r="F102" s="30" t="n">
        <x:f>(1-D102-J101)*(H101-H102)+(J102-J101)*H102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MAX(0,1-D102-J102)</x:f>
        <x:v>0</x:v>
      </x:c>
      <x:c r="J102" s="2" t="n">
        <x:f>(1-$E$40)*INDEX('Assumptions'!$H$65:$H$101,MIN(C102,36)+1)</x:f>
        <x:v>0.8</x:v>
      </x:c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$E$40*INDEX('Assumptions'!$E$65:$E$101,MIN(C103,36)+1)</x:f>
        <x:v>0.2</x:v>
      </x:c>
      <x:c r="E103" s="30" t="n">
        <x:f>(D103-D102)*H102</x:f>
        <x:v>0</x:v>
      </x:c>
      <x:c r="F103" s="30" t="n">
        <x:f>(1-D103-J102)*(H102-H103)+(J103-J102)*H103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MAX(0,1-D103-J103)</x:f>
        <x:v>0</x:v>
      </x:c>
      <x:c r="J103" s="2" t="n">
        <x:f>(1-$E$40)*INDEX('Assumptions'!$H$65:$H$101,MIN(C103,36)+1)</x:f>
        <x:v>0.8</x:v>
      </x:c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$E$40*INDEX('Assumptions'!$E$65:$E$101,MIN(C104,36)+1)</x:f>
        <x:v>0.2</x:v>
      </x:c>
      <x:c r="E104" s="30" t="n">
        <x:f>(D104-D103)*H103</x:f>
        <x:v>0</x:v>
      </x:c>
      <x:c r="F104" s="30" t="n">
        <x:f>(1-D104-J103)*(H103-H104)+(J104-J103)*H104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MAX(0,1-D104-J104)</x:f>
        <x:v>0</x:v>
      </x:c>
      <x:c r="J104" s="2" t="n">
        <x:f>(1-$E$40)*INDEX('Assumptions'!$H$65:$H$101,MIN(C104,36)+1)</x:f>
        <x:v>0.8</x:v>
      </x:c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$E$40*INDEX('Assumptions'!$E$65:$E$101,MIN(C105,36)+1)</x:f>
        <x:v>0.2</x:v>
      </x:c>
      <x:c r="E105" s="30" t="n">
        <x:f>(D105-D104)*H104</x:f>
        <x:v>0</x:v>
      </x:c>
      <x:c r="F105" s="30" t="n">
        <x:f>(1-D105-J104)*(H104-H105)+(J105-J104)*H105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MAX(0,1-D105-J105)</x:f>
        <x:v>0</x:v>
      </x:c>
      <x:c r="J105" s="2" t="n">
        <x:f>(1-$E$40)*INDEX('Assumptions'!$H$65:$H$101,MIN(C105,36)+1)</x:f>
        <x:v>0.8</x:v>
      </x:c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$E$40*INDEX('Assumptions'!$E$65:$E$101,MIN(C106,36)+1)</x:f>
        <x:v>0.2</x:v>
      </x:c>
      <x:c r="E106" s="30" t="n">
        <x:f>(D106-D105)*H105</x:f>
        <x:v>0</x:v>
      </x:c>
      <x:c r="F106" s="30" t="n">
        <x:f>(1-D106-J105)*(H105-H106)+(J106-J105)*H106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MAX(0,1-D106-J106)</x:f>
        <x:v>0</x:v>
      </x:c>
      <x:c r="J106" s="2" t="n">
        <x:f>(1-$E$40)*INDEX('Assumptions'!$H$65:$H$101,MIN(C106,36)+1)</x:f>
        <x:v>0.8</x:v>
      </x:c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$E$40*INDEX('Assumptions'!$E$65:$E$101,MIN(C107,36)+1)</x:f>
        <x:v>0.2</x:v>
      </x:c>
      <x:c r="E107" s="30" t="n">
        <x:f>(D107-D106)*H106</x:f>
        <x:v>0</x:v>
      </x:c>
      <x:c r="F107" s="30" t="n">
        <x:f>(1-D107-J106)*(H106-H107)+(J107-J106)*H107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MAX(0,1-D107-J107)</x:f>
        <x:v>0</x:v>
      </x:c>
      <x:c r="J107" s="2" t="n">
        <x:f>(1-$E$40)*INDEX('Assumptions'!$H$65:$H$101,MIN(C107,36)+1)</x:f>
        <x:v>0.8</x:v>
      </x:c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$E$40*INDEX('Assumptions'!$E$65:$E$101,MIN(C108,36)+1)</x:f>
        <x:v>0.2</x:v>
      </x:c>
      <x:c r="E108" s="30" t="n">
        <x:f>(D108-D107)*H107</x:f>
        <x:v>0</x:v>
      </x:c>
      <x:c r="F108" s="30" t="n">
        <x:f>(1-D108-J107)*(H107-H108)+(J108-J107)*H108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MAX(0,1-D108-J108)</x:f>
        <x:v>0</x:v>
      </x:c>
      <x:c r="J108" s="2" t="n">
        <x:f>(1-$E$40)*INDEX('Assumptions'!$H$65:$H$101,MIN(C108,36)+1)</x:f>
        <x:v>0.8</x:v>
      </x:c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$E$40*INDEX('Assumptions'!$E$65:$E$101,MIN(C109,36)+1)</x:f>
        <x:v>0.2</x:v>
      </x:c>
      <x:c r="E109" s="30" t="n">
        <x:f>(D109-D108)*H108</x:f>
        <x:v>0</x:v>
      </x:c>
      <x:c r="F109" s="30" t="n">
        <x:f>(1-D109-J108)*(H108-H109)+(J109-J108)*H109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MAX(0,1-D109-J109)</x:f>
        <x:v>0</x:v>
      </x:c>
      <x:c r="J109" s="2" t="n">
        <x:f>(1-$E$40)*INDEX('Assumptions'!$H$65:$H$101,MIN(C109,36)+1)</x:f>
        <x:v>0.8</x:v>
      </x:c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$E$40*INDEX('Assumptions'!$E$65:$E$101,MIN(C110,36)+1)</x:f>
        <x:v>0.2</x:v>
      </x:c>
      <x:c r="E110" s="30" t="n">
        <x:f>(D110-D109)*H109</x:f>
        <x:v>0</x:v>
      </x:c>
      <x:c r="F110" s="30" t="n">
        <x:f>(1-D110-J109)*(H109-H110)+(J110-J109)*H110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MAX(0,1-D110-J110)</x:f>
        <x:v>0</x:v>
      </x:c>
      <x:c r="J110" s="2" t="n">
        <x:f>(1-$E$40)*INDEX('Assumptions'!$H$65:$H$101,MIN(C110,36)+1)</x:f>
        <x:v>0.8</x:v>
      </x:c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$E$40*INDEX('Assumptions'!$E$65:$E$101,MIN(C111,36)+1)</x:f>
        <x:v>0.2</x:v>
      </x:c>
      <x:c r="E111" s="30" t="n">
        <x:f>(D111-D110)*H110</x:f>
        <x:v>0</x:v>
      </x:c>
      <x:c r="F111" s="30" t="n">
        <x:f>(1-D111-J110)*(H110-H111)+(J111-J110)*H111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MAX(0,1-D111-J111)</x:f>
        <x:v>0</x:v>
      </x:c>
      <x:c r="J111" s="2" t="n">
        <x:f>(1-$E$40)*INDEX('Assumptions'!$H$65:$H$101,MIN(C111,36)+1)</x:f>
        <x:v>0.8</x:v>
      </x:c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$E$40*INDEX('Assumptions'!$E$65:$E$101,MIN(C112,36)+1)</x:f>
        <x:v>0.2</x:v>
      </x:c>
      <x:c r="E112" s="30" t="n">
        <x:f>(D112-D111)*H111</x:f>
        <x:v>0</x:v>
      </x:c>
      <x:c r="F112" s="30" t="n">
        <x:f>(1-D112-J111)*(H111-H112)+(J112-J111)*H112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MAX(0,1-D112-J112)</x:f>
        <x:v>0</x:v>
      </x:c>
      <x:c r="J112" s="2" t="n">
        <x:f>(1-$E$40)*INDEX('Assumptions'!$H$65:$H$101,MIN(C112,36)+1)</x:f>
        <x:v>0.8</x:v>
      </x:c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$E$40*INDEX('Assumptions'!$E$65:$E$101,MIN(C113,36)+1)</x:f>
        <x:v>0.2</x:v>
      </x:c>
      <x:c r="E113" s="30" t="n">
        <x:f>(D113-D112)*H112</x:f>
        <x:v>0</x:v>
      </x:c>
      <x:c r="F113" s="30" t="n">
        <x:f>(1-D113-J112)*(H112-H113)+(J113-J112)*H113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MAX(0,1-D113-J113)</x:f>
        <x:v>0</x:v>
      </x:c>
      <x:c r="J113" s="2" t="n">
        <x:f>(1-$E$40)*INDEX('Assumptions'!$H$65:$H$101,MIN(C113,36)+1)</x:f>
        <x:v>0.8</x:v>
      </x:c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$E$40*INDEX('Assumptions'!$E$65:$E$101,MIN(C114,36)+1)</x:f>
        <x:v>0.2</x:v>
      </x:c>
      <x:c r="E114" s="30" t="n">
        <x:f>(D114-D113)*H113</x:f>
        <x:v>0</x:v>
      </x:c>
      <x:c r="F114" s="30" t="n">
        <x:f>(1-D114-J113)*(H113-H114)+(J114-J113)*H114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MAX(0,1-D114-J114)</x:f>
        <x:v>0</x:v>
      </x:c>
      <x:c r="J114" s="2" t="n">
        <x:f>(1-$E$40)*INDEX('Assumptions'!$H$65:$H$101,MIN(C114,36)+1)</x:f>
        <x:v>0.8</x:v>
      </x:c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$E$40*INDEX('Assumptions'!$E$65:$E$101,MIN(C115,36)+1)</x:f>
        <x:v>0.2</x:v>
      </x:c>
      <x:c r="E115" s="30" t="n">
        <x:f>(D115-D114)*H114</x:f>
        <x:v>0</x:v>
      </x:c>
      <x:c r="F115" s="30" t="n">
        <x:f>(1-D115-J114)*(H114-H115)+(J115-J114)*H115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MAX(0,1-D115-J115)</x:f>
        <x:v>0</x:v>
      </x:c>
      <x:c r="J115" s="2" t="n">
        <x:f>(1-$E$40)*INDEX('Assumptions'!$H$65:$H$101,MIN(C115,36)+1)</x:f>
        <x:v>0.8</x:v>
      </x:c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$E$40*INDEX('Assumptions'!$E$65:$E$101,MIN(C116,36)+1)</x:f>
        <x:v>0.2</x:v>
      </x:c>
      <x:c r="E116" s="30" t="n">
        <x:f>(D116-D115)*H115</x:f>
        <x:v>0</x:v>
      </x:c>
      <x:c r="F116" s="30" t="n">
        <x:f>(1-D116-J115)*(H115-H116)+(J116-J115)*H116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MAX(0,1-D116-J116)</x:f>
        <x:v>0</x:v>
      </x:c>
      <x:c r="J116" s="2" t="n">
        <x:f>(1-$E$40)*INDEX('Assumptions'!$H$65:$H$101,MIN(C116,36)+1)</x:f>
        <x:v>0.8</x:v>
      </x:c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$E$40*INDEX('Assumptions'!$E$65:$E$101,MIN(C117,36)+1)</x:f>
        <x:v>0.2</x:v>
      </x:c>
      <x:c r="E117" s="30" t="n">
        <x:f>(D117-D116)*H116</x:f>
        <x:v>0</x:v>
      </x:c>
      <x:c r="F117" s="30" t="n">
        <x:f>(1-D117-J116)*(H116-H117)+(J117-J116)*H117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MAX(0,1-D117-J117)</x:f>
        <x:v>0</x:v>
      </x:c>
      <x:c r="J117" s="2" t="n">
        <x:f>(1-$E$40)*INDEX('Assumptions'!$H$65:$H$101,MIN(C117,36)+1)</x:f>
        <x:v>0.8</x:v>
      </x:c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$E$40*INDEX('Assumptions'!$E$65:$E$101,MIN(C118,36)+1)</x:f>
        <x:v>0.2</x:v>
      </x:c>
      <x:c r="E118" s="30" t="n">
        <x:f>(D118-D117)*H117</x:f>
        <x:v>0</x:v>
      </x:c>
      <x:c r="F118" s="30" t="n">
        <x:f>(1-D118-J117)*(H117-H118)+(J118-J117)*H118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MAX(0,1-D118-J118)</x:f>
        <x:v>0</x:v>
      </x:c>
      <x:c r="J118" s="2" t="n">
        <x:f>(1-$E$40)*INDEX('Assumptions'!$H$65:$H$101,MIN(C118,36)+1)</x:f>
        <x:v>0.8</x:v>
      </x:c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$E$40*INDEX('Assumptions'!$E$65:$E$101,MIN(C119,36)+1)</x:f>
        <x:v>0.2</x:v>
      </x:c>
      <x:c r="E119" s="30" t="n">
        <x:f>(D119-D118)*H118</x:f>
        <x:v>0</x:v>
      </x:c>
      <x:c r="F119" s="30" t="n">
        <x:f>(1-D119-J118)*(H118-H119)+(J119-J118)*H119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MAX(0,1-D119-J119)</x:f>
        <x:v>0</x:v>
      </x:c>
      <x:c r="J119" s="2" t="n">
        <x:f>(1-$E$40)*INDEX('Assumptions'!$H$65:$H$101,MIN(C119,36)+1)</x:f>
        <x:v>0.8</x:v>
      </x:c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$E$40*INDEX('Assumptions'!$E$65:$E$101,MIN(C120,36)+1)</x:f>
        <x:v>0.2</x:v>
      </x:c>
      <x:c r="E120" s="30" t="n">
        <x:f>(D120-D119)*H119</x:f>
        <x:v>0</x:v>
      </x:c>
      <x:c r="F120" s="30" t="n">
        <x:f>(1-D120-J119)*(H119-H120)+(J120-J119)*H120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MAX(0,1-D120-J120)</x:f>
        <x:v>0</x:v>
      </x:c>
      <x:c r="J120" s="2" t="n">
        <x:f>(1-$E$40)*INDEX('Assumptions'!$H$65:$H$101,MIN(C120,36)+1)</x:f>
        <x:v>0.8</x:v>
      </x:c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$E$40*INDEX('Assumptions'!$E$65:$E$101,MIN(C121,36)+1)</x:f>
        <x:v>0.2</x:v>
      </x:c>
      <x:c r="E121" s="30" t="n">
        <x:f>(D121-D120)*H120</x:f>
        <x:v>0</x:v>
      </x:c>
      <x:c r="F121" s="30" t="n">
        <x:f>(1-D121-J120)*(H120-H121)+(J121-J120)*H121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MAX(0,1-D121-J121)</x:f>
        <x:v>0</x:v>
      </x:c>
      <x:c r="J121" s="2" t="n">
        <x:f>(1-$E$40)*INDEX('Assumptions'!$H$65:$H$101,MIN(C121,36)+1)</x:f>
        <x:v>0.8</x:v>
      </x:c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$E$40*INDEX('Assumptions'!$E$65:$E$101,MIN(C122,36)+1)</x:f>
        <x:v>0.2</x:v>
      </x:c>
      <x:c r="E122" s="30" t="n">
        <x:f>(D122-D121)*H121</x:f>
        <x:v>0</x:v>
      </x:c>
      <x:c r="F122" s="30" t="n">
        <x:f>(1-D122-J121)*(H121-H122)+(J122-J121)*H122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MAX(0,1-D122-J122)</x:f>
        <x:v>0</x:v>
      </x:c>
      <x:c r="J122" s="2" t="n">
        <x:f>(1-$E$40)*INDEX('Assumptions'!$H$65:$H$101,MIN(C122,36)+1)</x:f>
        <x:v>0.8</x:v>
      </x:c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$E$40*INDEX('Assumptions'!$E$65:$E$101,MIN(C123,36)+1)</x:f>
        <x:v>0.2</x:v>
      </x:c>
      <x:c r="E123" s="30" t="n">
        <x:f>(D123-D122)*H122</x:f>
        <x:v>0</x:v>
      </x:c>
      <x:c r="F123" s="30" t="n">
        <x:f>(1-D123-J122)*(H122-H123)+(J123-J122)*H123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MAX(0,1-D123-J123)</x:f>
        <x:v>0</x:v>
      </x:c>
      <x:c r="J123" s="2" t="n">
        <x:f>(1-$E$40)*INDEX('Assumptions'!$H$65:$H$101,MIN(C123,36)+1)</x:f>
        <x:v>0.8</x:v>
      </x:c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$E$40*INDEX('Assumptions'!$E$65:$E$101,MIN(C124,36)+1)</x:f>
        <x:v>0.2</x:v>
      </x:c>
      <x:c r="E124" s="30" t="n">
        <x:f>(D124-D123)*H123</x:f>
        <x:v>0</x:v>
      </x:c>
      <x:c r="F124" s="30" t="n">
        <x:f>(1-D124-J123)*(H123-H124)+(J124-J123)*H124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MAX(0,1-D124-J124)</x:f>
        <x:v>0</x:v>
      </x:c>
      <x:c r="J124" s="2" t="n">
        <x:f>(1-$E$40)*INDEX('Assumptions'!$H$65:$H$101,MIN(C124,36)+1)</x:f>
        <x:v>0.8</x:v>
      </x:c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$E$40*INDEX('Assumptions'!$E$65:$E$101,MIN(C125,36)+1)</x:f>
        <x:v>0.2</x:v>
      </x:c>
      <x:c r="E125" s="30" t="n">
        <x:f>(D125-D124)*H124</x:f>
        <x:v>0</x:v>
      </x:c>
      <x:c r="F125" s="30" t="n">
        <x:f>(1-D125-J124)*(H124-H125)+(J125-J124)*H125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MAX(0,1-D125-J125)</x:f>
        <x:v>0</x:v>
      </x:c>
      <x:c r="J125" s="2" t="n">
        <x:f>(1-$E$40)*INDEX('Assumptions'!$H$65:$H$101,MIN(C125,36)+1)</x:f>
        <x:v>0.8</x:v>
      </x:c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$E$40*INDEX('Assumptions'!$E$65:$E$101,MIN(C126,36)+1)</x:f>
        <x:v>0.2</x:v>
      </x:c>
      <x:c r="E126" s="30" t="n">
        <x:f>(D126-D125)*H125</x:f>
        <x:v>0</x:v>
      </x:c>
      <x:c r="F126" s="30" t="n">
        <x:f>(1-D126-J125)*(H125-H126)+(J126-J125)*H126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MAX(0,1-D126-J126)</x:f>
        <x:v>0</x:v>
      </x:c>
      <x:c r="J126" s="2" t="n">
        <x:f>(1-$E$40)*INDEX('Assumptions'!$H$65:$H$101,MIN(C126,36)+1)</x:f>
        <x:v>0.8</x:v>
      </x:c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$E$40*INDEX('Assumptions'!$E$65:$E$101,MIN(C127,36)+1)</x:f>
        <x:v>0.2</x:v>
      </x:c>
      <x:c r="E127" s="30" t="n">
        <x:f>(D127-D126)*H126</x:f>
        <x:v>0</x:v>
      </x:c>
      <x:c r="F127" s="30" t="n">
        <x:f>(1-D127-J126)*(H126-H127)+(J127-J126)*H127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MAX(0,1-D127-J127)</x:f>
        <x:v>0</x:v>
      </x:c>
      <x:c r="J127" s="2" t="n">
        <x:f>(1-$E$40)*INDEX('Assumptions'!$H$65:$H$101,MIN(C127,36)+1)</x:f>
        <x:v>0.8</x:v>
      </x:c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$E$40*INDEX('Assumptions'!$E$65:$E$101,MIN(C128,36)+1)</x:f>
        <x:v>0.2</x:v>
      </x:c>
      <x:c r="E128" s="30" t="n">
        <x:f>(D128-D127)*H127</x:f>
        <x:v>0</x:v>
      </x:c>
      <x:c r="F128" s="30" t="n">
        <x:f>(1-D128-J127)*(H127-H128)+(J128-J127)*H128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MAX(0,1-D128-J128)</x:f>
        <x:v>0</x:v>
      </x:c>
      <x:c r="J128" s="2" t="n">
        <x:f>(1-$E$40)*INDEX('Assumptions'!$H$65:$H$101,MIN(C128,36)+1)</x:f>
        <x:v>0.8</x:v>
      </x:c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$E$40*INDEX('Assumptions'!$E$65:$E$101,MIN(C129,36)+1)</x:f>
        <x:v>0.2</x:v>
      </x:c>
      <x:c r="E129" s="30" t="n">
        <x:f>(D129-D128)*H128</x:f>
        <x:v>0</x:v>
      </x:c>
      <x:c r="F129" s="30" t="n">
        <x:f>(1-D129-J128)*(H128-H129)+(J129-J128)*H129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MAX(0,1-D129-J129)</x:f>
        <x:v>0</x:v>
      </x:c>
      <x:c r="J129" s="2" t="n">
        <x:f>(1-$E$40)*INDEX('Assumptions'!$H$65:$H$101,MIN(C129,36)+1)</x:f>
        <x:v>0.8</x:v>
      </x:c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$E$40*INDEX('Assumptions'!$E$65:$E$101,MIN(C130,36)+1)</x:f>
        <x:v>0.2</x:v>
      </x:c>
      <x:c r="E130" s="30" t="n">
        <x:f>(D130-D129)*H129</x:f>
        <x:v>0</x:v>
      </x:c>
      <x:c r="F130" s="30" t="n">
        <x:f>(1-D130-J129)*(H129-H130)+(J130-J129)*H130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MAX(0,1-D130-J130)</x:f>
        <x:v>0</x:v>
      </x:c>
      <x:c r="J130" s="2" t="n">
        <x:f>(1-$E$40)*INDEX('Assumptions'!$H$65:$H$101,MIN(C130,36)+1)</x:f>
        <x:v>0.8</x:v>
      </x:c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$E$40*INDEX('Assumptions'!$E$65:$E$101,MIN(C131,36)+1)</x:f>
        <x:v>0.2</x:v>
      </x:c>
      <x:c r="E131" s="30" t="n">
        <x:f>(D131-D130)*H130</x:f>
        <x:v>0</x:v>
      </x:c>
      <x:c r="F131" s="30" t="n">
        <x:f>(1-D131-J130)*(H130-H131)+(J131-J130)*H131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MAX(0,1-D131-J131)</x:f>
        <x:v>0</x:v>
      </x:c>
      <x:c r="J131" s="2" t="n">
        <x:f>(1-$E$40)*INDEX('Assumptions'!$H$65:$H$101,MIN(C131,36)+1)</x:f>
        <x:v>0.8</x:v>
      </x:c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$E$40*INDEX('Assumptions'!$E$65:$E$101,MIN(C132,36)+1)</x:f>
        <x:v>0.2</x:v>
      </x:c>
      <x:c r="E132" s="30" t="n">
        <x:f>(D132-D131)*H131</x:f>
        <x:v>0</x:v>
      </x:c>
      <x:c r="F132" s="30" t="n">
        <x:f>(1-D132-J131)*(H131-H132)+(J132-J131)*H132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MAX(0,1-D132-J132)</x:f>
        <x:v>0</x:v>
      </x:c>
      <x:c r="J132" s="2" t="n">
        <x:f>(1-$E$40)*INDEX('Assumptions'!$H$65:$H$101,MIN(C132,36)+1)</x:f>
        <x:v>0.8</x:v>
      </x:c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$E$40*INDEX('Assumptions'!$E$65:$E$101,MIN(C133,36)+1)</x:f>
        <x:v>0.2</x:v>
      </x:c>
      <x:c r="E133" s="30" t="n">
        <x:f>(D133-D132)*H132</x:f>
        <x:v>0</x:v>
      </x:c>
      <x:c r="F133" s="30" t="n">
        <x:f>(1-D133-J132)*(H132-H133)+(J133-J132)*H133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MAX(0,1-D133-J133)</x:f>
        <x:v>0</x:v>
      </x:c>
      <x:c r="J133" s="2" t="n">
        <x:f>(1-$E$40)*INDEX('Assumptions'!$H$65:$H$101,MIN(C133,36)+1)</x:f>
        <x:v>0.8</x:v>
      </x:c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$E$40*INDEX('Assumptions'!$E$65:$E$101,MIN(C134,36)+1)</x:f>
        <x:v>0.2</x:v>
      </x:c>
      <x:c r="E134" s="30" t="n">
        <x:f>(D134-D133)*H133</x:f>
        <x:v>0</x:v>
      </x:c>
      <x:c r="F134" s="30" t="n">
        <x:f>(1-D134-J133)*(H133-H134)+(J134-J133)*H134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MAX(0,1-D134-J134)</x:f>
        <x:v>0</x:v>
      </x:c>
      <x:c r="J134" s="2" t="n">
        <x:f>(1-$E$40)*INDEX('Assumptions'!$H$65:$H$101,MIN(C134,36)+1)</x:f>
        <x:v>0.8</x:v>
      </x:c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$E$40*INDEX('Assumptions'!$E$65:$E$101,MIN(C135,36)+1)</x:f>
        <x:v>0.2</x:v>
      </x:c>
      <x:c r="E135" s="30" t="n">
        <x:f>(D135-D134)*H134</x:f>
        <x:v>0</x:v>
      </x:c>
      <x:c r="F135" s="30" t="n">
        <x:f>(1-D135-J134)*(H134-H135)+(J135-J134)*H135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MAX(0,1-D135-J135)</x:f>
        <x:v>0</x:v>
      </x:c>
      <x:c r="J135" s="2" t="n">
        <x:f>(1-$E$40)*INDEX('Assumptions'!$H$65:$H$101,MIN(C135,36)+1)</x:f>
        <x:v>0.8</x:v>
      </x:c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$E$40*INDEX('Assumptions'!$E$65:$E$101,MIN(C136,36)+1)</x:f>
        <x:v>0.2</x:v>
      </x:c>
      <x:c r="E136" s="30" t="n">
        <x:f>(D136-D135)*H135</x:f>
        <x:v>0</x:v>
      </x:c>
      <x:c r="F136" s="30" t="n">
        <x:f>(1-D136-J135)*(H135-H136)+(J136-J135)*H136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MAX(0,1-D136-J136)</x:f>
        <x:v>0</x:v>
      </x:c>
      <x:c r="J136" s="2" t="n">
        <x:f>(1-$E$40)*INDEX('Assumptions'!$H$65:$H$101,MIN(C136,36)+1)</x:f>
        <x:v>0.8</x:v>
      </x:c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$E$40*INDEX('Assumptions'!$E$65:$E$101,MIN(C137,36)+1)</x:f>
        <x:v>0.2</x:v>
      </x:c>
      <x:c r="E137" s="30" t="n">
        <x:f>(D137-D136)*H136</x:f>
        <x:v>0</x:v>
      </x:c>
      <x:c r="F137" s="30" t="n">
        <x:f>(1-D137-J136)*(H136-H137)+(J137-J136)*H137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MAX(0,1-D137-J137)</x:f>
        <x:v>0</x:v>
      </x:c>
      <x:c r="J137" s="2" t="n">
        <x:f>(1-$E$40)*INDEX('Assumptions'!$H$65:$H$101,MIN(C137,36)+1)</x:f>
        <x:v>0.8</x:v>
      </x:c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$E$40*INDEX('Assumptions'!$E$65:$E$101,MIN(C138,36)+1)</x:f>
        <x:v>0.2</x:v>
      </x:c>
      <x:c r="E138" s="30" t="n">
        <x:f>(D138-D137)*H137</x:f>
        <x:v>0</x:v>
      </x:c>
      <x:c r="F138" s="30" t="n">
        <x:f>(1-D138-J137)*(H137-H138)+(J138-J137)*H138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MAX(0,1-D138-J138)</x:f>
        <x:v>0</x:v>
      </x:c>
      <x:c r="J138" s="2" t="n">
        <x:f>(1-$E$40)*INDEX('Assumptions'!$H$65:$H$101,MIN(C138,36)+1)</x:f>
        <x:v>0.8</x:v>
      </x:c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$E$40*INDEX('Assumptions'!$E$65:$E$101,MIN(C139,36)+1)</x:f>
        <x:v>0.2</x:v>
      </x:c>
      <x:c r="E139" s="30" t="n">
        <x:f>(D139-D138)*H138</x:f>
        <x:v>0</x:v>
      </x:c>
      <x:c r="F139" s="30" t="n">
        <x:f>(1-D139-J138)*(H138-H139)+(J139-J138)*H139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MAX(0,1-D139-J139)</x:f>
        <x:v>0</x:v>
      </x:c>
      <x:c r="J139" s="2" t="n">
        <x:f>(1-$E$40)*INDEX('Assumptions'!$H$65:$H$101,MIN(C139,36)+1)</x:f>
        <x:v>0.8</x:v>
      </x:c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$E$40*INDEX('Assumptions'!$E$65:$E$101,MIN(C140,36)+1)</x:f>
        <x:v>0.2</x:v>
      </x:c>
      <x:c r="E140" s="30" t="n">
        <x:f>(D140-D139)*H139</x:f>
        <x:v>0</x:v>
      </x:c>
      <x:c r="F140" s="30" t="n">
        <x:f>(1-D140-J139)*(H139-H140)+(J140-J139)*H140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MAX(0,1-D140-J140)</x:f>
        <x:v>0</x:v>
      </x:c>
      <x:c r="J140" s="2" t="n">
        <x:f>(1-$E$40)*INDEX('Assumptions'!$H$65:$H$101,MIN(C140,36)+1)</x:f>
        <x:v>0.8</x:v>
      </x:c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$E$40*INDEX('Assumptions'!$E$65:$E$101,MIN(C141,36)+1)</x:f>
        <x:v>0.2</x:v>
      </x:c>
      <x:c r="E141" s="30" t="n">
        <x:f>(D141-D140)*H140</x:f>
        <x:v>0</x:v>
      </x:c>
      <x:c r="F141" s="30" t="n">
        <x:f>(1-D141-J140)*(H140-H141)+(J141-J140)*H141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MAX(0,1-D141-J141)</x:f>
        <x:v>0</x:v>
      </x:c>
      <x:c r="J141" s="2" t="n">
        <x:f>(1-$E$40)*INDEX('Assumptions'!$H$65:$H$101,MIN(C141,36)+1)</x:f>
        <x:v>0.8</x:v>
      </x:c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$E$40*INDEX('Assumptions'!$E$65:$E$101,MIN(C142,36)+1)</x:f>
        <x:v>0.2</x:v>
      </x:c>
      <x:c r="E142" s="30" t="n">
        <x:f>(D142-D141)*H141</x:f>
        <x:v>0</x:v>
      </x:c>
      <x:c r="F142" s="30" t="n">
        <x:f>(1-D142-J141)*(H141-H142)+(J142-J141)*H142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MAX(0,1-D142-J142)</x:f>
        <x:v>0</x:v>
      </x:c>
      <x:c r="J142" s="2" t="n">
        <x:f>(1-$E$40)*INDEX('Assumptions'!$H$65:$H$101,MIN(C142,36)+1)</x:f>
        <x:v>0.8</x:v>
      </x:c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$E$40*INDEX('Assumptions'!$E$65:$E$101,MIN(C143,36)+1)</x:f>
        <x:v>0.2</x:v>
      </x:c>
      <x:c r="E143" s="30" t="n">
        <x:f>(D143-D142)*H142</x:f>
        <x:v>0</x:v>
      </x:c>
      <x:c r="F143" s="30" t="n">
        <x:f>(1-D143-J142)*(H142-H143)+(J143-J142)*H143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MAX(0,1-D143-J143)</x:f>
        <x:v>0</x:v>
      </x:c>
      <x:c r="J143" s="2" t="n">
        <x:f>(1-$E$40)*INDEX('Assumptions'!$H$65:$H$101,MIN(C143,36)+1)</x:f>
        <x:v>0.8</x:v>
      </x:c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$E$40*INDEX('Assumptions'!$E$65:$E$101,MIN(C144,36)+1)</x:f>
        <x:v>0.2</x:v>
      </x:c>
      <x:c r="E144" s="30" t="n">
        <x:f>(D144-D143)*H143</x:f>
        <x:v>0</x:v>
      </x:c>
      <x:c r="F144" s="30" t="n">
        <x:f>(1-D144-J143)*(H143-H144)+(J144-J143)*H144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MAX(0,1-D144-J144)</x:f>
        <x:v>0</x:v>
      </x:c>
      <x:c r="J144" s="2" t="n">
        <x:f>(1-$E$40)*INDEX('Assumptions'!$H$65:$H$101,MIN(C144,36)+1)</x:f>
        <x:v>0.8</x:v>
      </x:c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$E$40*INDEX('Assumptions'!$E$65:$E$101,MIN(C145,36)+1)</x:f>
        <x:v>0.2</x:v>
      </x:c>
      <x:c r="E145" s="30" t="n">
        <x:f>(D145-D144)*H144</x:f>
        <x:v>0</x:v>
      </x:c>
      <x:c r="F145" s="30" t="n">
        <x:f>(1-D145-J144)*(H144-H145)+(J145-J144)*H145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MAX(0,1-D145-J145)</x:f>
        <x:v>0</x:v>
      </x:c>
      <x:c r="J145" s="2" t="n">
        <x:f>(1-$E$40)*INDEX('Assumptions'!$H$65:$H$101,MIN(C145,36)+1)</x:f>
        <x:v>0.8</x:v>
      </x:c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$E$40*INDEX('Assumptions'!$E$65:$E$101,MIN(C146,36)+1)</x:f>
        <x:v>0.2</x:v>
      </x:c>
      <x:c r="E146" s="30" t="n">
        <x:f>(D146-D145)*H145</x:f>
        <x:v>0</x:v>
      </x:c>
      <x:c r="F146" s="30" t="n">
        <x:f>(1-D146-J145)*(H145-H146)+(J146-J145)*H146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MAX(0,1-D146-J146)</x:f>
        <x:v>0</x:v>
      </x:c>
      <x:c r="J146" s="2" t="n">
        <x:f>(1-$E$40)*INDEX('Assumptions'!$H$65:$H$101,MIN(C146,36)+1)</x:f>
        <x:v>0.8</x:v>
      </x:c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$E$40*INDEX('Assumptions'!$E$65:$E$101,MIN(C147,36)+1)</x:f>
        <x:v>0.2</x:v>
      </x:c>
      <x:c r="E147" s="30" t="n">
        <x:f>(D147-D146)*H146</x:f>
        <x:v>0</x:v>
      </x:c>
      <x:c r="F147" s="30" t="n">
        <x:f>(1-D147-J146)*(H146-H147)+(J147-J146)*H147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MAX(0,1-D147-J147)</x:f>
        <x:v>0</x:v>
      </x:c>
      <x:c r="J147" s="2" t="n">
        <x:f>(1-$E$40)*INDEX('Assumptions'!$H$65:$H$101,MIN(C147,36)+1)</x:f>
        <x:v>0.8</x:v>
      </x:c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0</x:v>
      </x:c>
      <x:c r="CB150" s="30" t="n">
        <x:f>E74</x:f>
        <x:v>0</x:v>
      </x:c>
      <x:c r="CC150" s="30" t="n">
        <x:f>E73</x:f>
        <x:v>0</x:v>
      </x:c>
      <x:c r="CD150" s="30" t="n">
        <x:f>E72</x:f>
        <x:v>0</x:v>
      </x:c>
      <x:c r="CE150" s="30" t="n">
        <x:f>E71</x:f>
        <x:v>0</x:v>
      </x:c>
      <x:c r="CF150" s="30" t="n">
        <x:f>E70</x:f>
        <x:v>0</x:v>
      </x:c>
      <x:c r="CG150" s="30" t="n">
        <x:f>E69</x:f>
        <x:v>0</x:v>
      </x:c>
      <x:c r="CH150" s="30" t="n">
        <x:f>E68</x:f>
        <x:v>0</x:v>
      </x:c>
      <x:c r="CI150" s="30" t="n">
        <x:f>E67</x:f>
        <x:v>0</x:v>
      </x:c>
      <x:c r="CJ150" s="30" t="n">
        <x:f>E66</x:f>
        <x:v>0</x:v>
      </x:c>
      <x:c r="CK150" s="30" t="n">
        <x:f>E65</x:f>
        <x:v>0</x:v>
      </x:c>
      <x:c r="CL150" s="30" t="n">
        <x:f>E64</x:f>
        <x:v>0</x:v>
      </x:c>
      <x:c r="CM150" s="30" t="n">
        <x:f>E63</x:f>
        <x:v>0</x:v>
      </x:c>
      <x:c r="CN150" s="30" t="n">
        <x:f>E62</x:f>
        <x:v>0</x:v>
      </x:c>
      <x:c r="CO150" s="30" t="n">
        <x:f>E61</x:f>
        <x:v>0</x:v>
      </x:c>
      <x:c r="CP150" s="30" t="n">
        <x:f>E60</x:f>
        <x:v>0.005355461494924383</x:v>
      </x:c>
      <x:c r="CQ150" s="30" t="n">
        <x:f>E59</x:f>
        <x:v>0.007578363458828574</x:v>
      </x:c>
      <x:c r="CR150" s="30" t="n">
        <x:f>E58</x:f>
        <x:v>0.009055303986120151</x:v>
      </x:c>
      <x:c r="CS150" s="30" t="n">
        <x:f>E57</x:f>
        <x:v>0.012361477214466378</x:v>
      </x:c>
      <x:c r="CT150" s="30" t="n">
        <x:f>E56</x:f>
        <x:v>0.01761590349157746</x:v>
      </x:c>
      <x:c r="CU150" s="30" t="n">
        <x:f>E55</x:f>
        <x:v>0.022326682199652195</x:v>
      </x:c>
      <x:c r="CV150" s="30" t="n">
        <x:f>E54</x:f>
        <x:v>0.027661929075316442</x:v>
      </x:c>
      <x:c r="CW150" s="30" t="n">
        <x:f>E53</x:f>
        <x:v>0.03724957691653874</x:v>
      </x:c>
      <x:c r="CX150" s="30" t="n">
        <x:f>E52</x:f>
        <x:v>0.047793907633118346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</x:v>
      </x:c>
      <x:c r="CB151" s="30" t="n">
        <x:f>F74</x:f>
        <x:v>0</x:v>
      </x:c>
      <x:c r="CC151" s="30" t="n">
        <x:f>F73</x:f>
        <x:v>0</x:v>
      </x:c>
      <x:c r="CD151" s="30" t="n">
        <x:f>F72</x:f>
        <x:v>0</x:v>
      </x:c>
      <x:c r="CE151" s="30" t="n">
        <x:f>F71</x:f>
        <x:v>0</x:v>
      </x:c>
      <x:c r="CF151" s="30" t="n">
        <x:f>F70</x:f>
        <x:v>0</x:v>
      </x:c>
      <x:c r="CG151" s="30" t="n">
        <x:f>F69</x:f>
        <x:v>0</x:v>
      </x:c>
      <x:c r="CH151" s="30" t="n">
        <x:f>F68</x:f>
        <x:v>0</x:v>
      </x:c>
      <x:c r="CI151" s="30" t="n">
        <x:f>F67</x:f>
        <x:v>0</x:v>
      </x:c>
      <x:c r="CJ151" s="30" t="n">
        <x:f>F66</x:f>
        <x:v>0</x:v>
      </x:c>
      <x:c r="CK151" s="30" t="n">
        <x:f>F65</x:f>
        <x:v>0</x:v>
      </x:c>
      <x:c r="CL151" s="30" t="n">
        <x:f>F64</x:f>
        <x:v>0</x:v>
      </x:c>
      <x:c r="CM151" s="30" t="n">
        <x:f>F63</x:f>
        <x:v>0</x:v>
      </x:c>
      <x:c r="CN151" s="30" t="n">
        <x:f>F62</x:f>
        <x:v>0</x:v>
      </x:c>
      <x:c r="CO151" s="30" t="n">
        <x:f>F61</x:f>
        <x:v>0</x:v>
      </x:c>
      <x:c r="CP151" s="30" t="n">
        <x:f>F60</x:f>
        <x:v>0.01810760321497689</x:v>
      </x:c>
      <x:c r="CQ151" s="30" t="n">
        <x:f>F59</x:f>
        <x:v>0.025106863163643276</x:v>
      </x:c>
      <x:c r="CR151" s="30" t="n">
        <x:f>F58</x:f>
        <x:v>0.03526442888947929</x:v>
      </x:c>
      <x:c r="CS151" s="30" t="n">
        <x:f>F57</x:f>
        <x:v>0.04933315803614138</x:v>
      </x:c>
      <x:c r="CT151" s="30" t="n">
        <x:f>F56</x:f>
        <x:v>0.06659998429612093</x:v>
      </x:c>
      <x:c r="CU151" s="30" t="n">
        <x:f>F55</x:f>
        <x:v>0.09279945080156977</x:v>
      </x:c>
      <x:c r="CV151" s="30" t="n">
        <x:f>F54</x:f>
        <x:v>0.1269296836932008</x:v>
      </x:c>
      <x:c r="CW151" s="30" t="n">
        <x:f>F53</x:f>
        <x:v>0.17018339952310133</x:v>
      </x:c>
      <x:c r="CX151" s="30" t="n">
        <x:f>F52</x:f>
        <x:v>0.2286768229112237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IF(OR(C160&gt;=$E$43,INDEX($I$51:$I$147,C160+1)&lt;=0.0000000001),0,IF($E$46=0,$E$44/MIN($E$43,COUNTIF($I$51:$I$110,"&gt;0.0000000001")),IF(C160=$E$45,$E$44,0)))</x:f>
        <x:v>34080000</x:v>
      </x:c>
      <x:c r="E160" s="31" t="n">
        <x:f>IF(D160=0,0,D160/(INDEX($I$51:$I$147,C160+1)*INDEX($H$51:$H$147,C160+1)))</x:f>
        <x:v>34080000</x:v>
      </x:c>
      <x:c r="F160" s="31" t="n">
        <x:f>E160*INDEX($G$51:$G$147,C160+1)</x:f>
        <x:v>6372912.474436093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IF(OR(C161&gt;=$E$43,INDEX($I$51:$I$147,C161+1)&lt;=0.0000000001),0,IF($E$46=0,$E$44/MIN($E$43,COUNTIF($I$51:$I$110,"&gt;0.0000000001")),IF(C161=$E$45,$E$44,0)))</x:f>
        <x:v>34080000</x:v>
      </x:c>
      <x:c r="E161" s="31" t="n">
        <x:f>IF(D161=0,0,D161/(INDEX($I$51:$I$147,C161+1)*INDEX($H$51:$H$147,C161+1)))</x:f>
        <x:v>47102448.28884372</x:v>
      </x:c>
      <x:c r="F161" s="31" t="n">
        <x:f>E161*INDEX($G$51:$G$147,C161+1)</x:f>
        <x:v>6556882.081451394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IF(OR(C162&gt;=$E$43,INDEX($I$51:$I$147,C162+1)&lt;=0.0000000001),0,IF($E$46=0,$E$44/MIN($E$43,COUNTIF($I$51:$I$110,"&gt;0.0000000001")),IF(C162=$E$45,$E$44,0)))</x:f>
        <x:v>34080000</x:v>
      </x:c>
      <x:c r="E162" s="31" t="n">
        <x:f>IF(D162=0,0,D162/(INDEX($I$51:$I$147,C162+1)*INDEX($H$51:$H$147,C162+1)))</x:f>
        <x:v>66034188.69924392</x:v>
      </x:c>
      <x:c r="F162" s="31" t="n">
        <x:f>E162*INDEX($G$51:$G$147,C162+1)</x:f>
        <x:v>6732523.69374399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IF(OR(C163&gt;=$E$43,INDEX($I$51:$I$147,C163+1)&lt;=0.0000000001),0,IF($E$46=0,$E$44/MIN($E$43,COUNTIF($I$51:$I$110,"&gt;0.0000000001")),IF(C163=$E$45,$E$44,0)))</x:f>
        <x:v>34080000</x:v>
      </x:c>
      <x:c r="E163" s="31" t="n">
        <x:f>IF(D163=0,0,D163/(INDEX($I$51:$I$147,C163+1)*INDEX($H$51:$H$147,C163+1)))</x:f>
        <x:v>94272638.39756504</x:v>
      </x:c>
      <x:c r="F163" s="31" t="n">
        <x:f>E163*INDEX($G$51:$G$147,C163+1)</x:f>
        <x:v>7003815.210258268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IF(OR(C164&gt;=$E$43,INDEX($I$51:$I$147,C164+1)&lt;=0.0000000001),0,IF($E$46=0,$E$44/MIN($E$43,COUNTIF($I$51:$I$110,"&gt;0.0000000001")),IF(C164=$E$45,$E$44,0)))</x:f>
        <x:v>34080000</x:v>
      </x:c>
      <x:c r="E164" s="31" t="n">
        <x:f>IF(D164=0,0,D164/(INDEX($I$51:$I$147,C164+1)*INDEX($H$51:$H$147,C164+1)))</x:f>
        <x:v>138323731.43240353</x:v>
      </x:c>
      <x:c r="F164" s="31" t="n">
        <x:f>E164*INDEX($G$51:$G$147,C164+1)</x:f>
        <x:v>7188201.523741224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IF(OR(C165&gt;=$E$43,INDEX($I$51:$I$147,C165+1)&lt;=0.0000000001),0,IF($E$46=0,$E$44/MIN($E$43,COUNTIF($I$51:$I$110,"&gt;0.0000000001")),IF(C165=$E$45,$E$44,0)))</x:f>
        <x:v>34080000</x:v>
      </x:c>
      <x:c r="E165" s="31" t="n">
        <x:f>IF(D165=0,0,D165/(INDEX($I$51:$I$147,C165+1)*INDEX($H$51:$H$147,C165+1)))</x:f>
        <x:v>210159355.51244918</x:v>
      </x:c>
      <x:c r="F165" s="31" t="n">
        <x:f>E165*INDEX($G$51:$G$147,C165+1)</x:f>
        <x:v>7219101.250857957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IF(OR(C166&gt;=$E$43,INDEX($I$51:$I$147,C166+1)&lt;=0.0000000001),0,IF($E$46=0,$E$44/MIN($E$43,COUNTIF($I$51:$I$110,"&gt;0.0000000001")),IF(C166=$E$45,$E$44,0)))</x:f>
        <x:v>34080000</x:v>
      </x:c>
      <x:c r="E166" s="31" t="n">
        <x:f>IF(D166=0,0,D166/(INDEX($I$51:$I$147,C166+1)*INDEX($H$51:$H$147,C166+1)))</x:f>
        <x:v>339212403.8336133</x:v>
      </x:c>
      <x:c r="F166" s="31" t="n">
        <x:f>E166*INDEX($G$51:$G$147,C166+1)</x:f>
        <x:v>7458985.285901628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IF(OR(C167&gt;=$E$43,INDEX($I$51:$I$147,C167+1)&lt;=0.0000000001),0,IF($E$46=0,$E$44/MIN($E$43,COUNTIF($I$51:$I$110,"&gt;0.0000000001")),IF(C167=$E$45,$E$44,0)))</x:f>
        <x:v>34080000</x:v>
      </x:c>
      <x:c r="E167" s="31" t="n">
        <x:f>IF(D167=0,0,D167/(INDEX($I$51:$I$147,C167+1)*INDEX($H$51:$H$147,C167+1)))</x:f>
        <x:v>606964151.3801634</x:v>
      </x:c>
      <x:c r="F167" s="31" t="n">
        <x:f>E167*INDEX($G$51:$G$147,C167+1)</x:f>
        <x:v>7850368.087154246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IF(OR(C168&gt;=$E$43,INDEX($I$51:$I$147,C168+1)&lt;=0.0000000001),0,IF($E$46=0,$E$44/MIN($E$43,COUNTIF($I$51:$I$110,"&gt;0.0000000001")),IF(C168=$E$45,$E$44,0)))</x:f>
        <x:v>34080000</x:v>
      </x:c>
      <x:c r="E168" s="31" t="n">
        <x:f>IF(D168=0,0,D168/(INDEX($I$51:$I$147,C168+1)*INDEX($H$51:$H$147,C168+1)))</x:f>
        <x:v>1452495674.4298842</x:v>
      </x:c>
      <x:c r="F168" s="31" t="n">
        <x:f>E168*INDEX($G$51:$G$147,C168+1)</x:f>
        <x:v>7778784.655953468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IF(OR(C169&gt;=$E$43,INDEX($I$51:$I$147,C169+1)&lt;=0.0000000001),0,IF($E$46=0,$E$44/MIN($E$43,COUNTIF($I$51:$I$110,"&gt;0.0000000001")),IF(C169=$E$45,$E$44,0)))</x:f>
        <x:v>0</x:v>
      </x:c>
      <x:c r="E169" s="31" t="n">
        <x:f>IF(D169=0,0,D169/(INDEX($I$51:$I$147,C169+1)*INDEX($H$51:$H$147,C169+1)))</x:f>
        <x:v>0</x:v>
      </x:c>
      <x:c r="F169" s="31" t="n">
        <x:f>E169*INDEX($G$51:$G$147,C169+1)</x:f>
        <x:v>0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IF(OR(C170&gt;=$E$43,INDEX($I$51:$I$147,C170+1)&lt;=0.0000000001),0,IF($E$46=0,$E$44/MIN($E$43,COUNTIF($I$51:$I$110,"&gt;0.0000000001")),IF(C170=$E$45,$E$44,0)))</x:f>
        <x:v>0</x:v>
      </x:c>
      <x:c r="E170" s="31" t="n">
        <x:f>IF(D170=0,0,D170/(INDEX($I$51:$I$147,C170+1)*INDEX($H$51:$H$147,C170+1)))</x:f>
        <x:v>0</x:v>
      </x:c>
      <x:c r="F170" s="31" t="n">
        <x:f>E170*INDEX($G$51:$G$147,C170+1)</x:f>
        <x:v>0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IF(OR(C171&gt;=$E$43,INDEX($I$51:$I$147,C171+1)&lt;=0.0000000001),0,IF($E$46=0,$E$44/MIN($E$43,COUNTIF($I$51:$I$110,"&gt;0.0000000001")),IF(C171=$E$45,$E$44,0)))</x:f>
        <x:v>0</x:v>
      </x:c>
      <x:c r="E171" s="31" t="n">
        <x:f>IF(D171=0,0,D171/(INDEX($I$51:$I$147,C171+1)*INDEX($H$51:$H$147,C171+1)))</x:f>
        <x:v>0</x:v>
      </x:c>
      <x:c r="F171" s="31" t="n">
        <x:f>E171*INDEX($G$51:$G$147,C171+1)</x:f>
        <x:v>0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IF(OR(C172&gt;=$E$43,INDEX($I$51:$I$147,C172+1)&lt;=0.0000000001),0,IF($E$46=0,$E$44/MIN($E$43,COUNTIF($I$51:$I$110,"&gt;0.0000000001")),IF(C172=$E$45,$E$44,0)))</x:f>
        <x:v>0</x:v>
      </x:c>
      <x:c r="E172" s="31" t="n">
        <x:f>IF(D172=0,0,D172/(INDEX($I$51:$I$147,C172+1)*INDEX($H$51:$H$147,C172+1)))</x:f>
        <x:v>0</x:v>
      </x:c>
      <x:c r="F172" s="31" t="n">
        <x:f>E172*INDEX($G$51:$G$147,C172+1)</x:f>
        <x:v>0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IF(OR(C173&gt;=$E$43,INDEX($I$51:$I$147,C173+1)&lt;=0.0000000001),0,IF($E$46=0,$E$44/MIN($E$43,COUNTIF($I$51:$I$110,"&gt;0.0000000001")),IF(C173=$E$45,$E$44,0)))</x:f>
        <x:v>0</x:v>
      </x:c>
      <x:c r="E173" s="31" t="n">
        <x:f>IF(D173=0,0,D173/(INDEX($I$51:$I$147,C173+1)*INDEX($H$51:$H$147,C173+1)))</x:f>
        <x:v>0</x:v>
      </x:c>
      <x:c r="F173" s="31" t="n">
        <x:f>E173*INDEX($G$51:$G$147,C173+1)</x:f>
        <x:v>0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IF(OR(C174&gt;=$E$43,INDEX($I$51:$I$147,C174+1)&lt;=0.0000000001),0,IF($E$46=0,$E$44/MIN($E$43,COUNTIF($I$51:$I$110,"&gt;0.0000000001")),IF(C174=$E$45,$E$44,0)))</x:f>
        <x:v>0</x:v>
      </x:c>
      <x:c r="E174" s="31" t="n">
        <x:f>IF(D174=0,0,D174/(INDEX($I$51:$I$147,C174+1)*INDEX($H$51:$H$147,C174+1)))</x:f>
        <x:v>0</x:v>
      </x:c>
      <x:c r="F174" s="31" t="n">
        <x:f>E174*INDEX($G$51:$G$147,C174+1)</x:f>
        <x:v>0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IF(OR(C175&gt;=$E$43,INDEX($I$51:$I$147,C175+1)&lt;=0.0000000001),0,IF($E$46=0,$E$44/MIN($E$43,COUNTIF($I$51:$I$110,"&gt;0.0000000001")),IF(C175=$E$45,$E$44,0)))</x:f>
        <x:v>0</x:v>
      </x:c>
      <x:c r="E175" s="31" t="n">
        <x:f>IF(D175=0,0,D175/(INDEX($I$51:$I$147,C175+1)*INDEX($H$51:$H$147,C175+1)))</x:f>
        <x:v>0</x:v>
      </x:c>
      <x:c r="F175" s="31" t="n">
        <x:f>E175*INDEX($G$51:$G$147,C175+1)</x:f>
        <x:v>0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IF(OR(C176&gt;=$E$43,INDEX($I$51:$I$147,C176+1)&lt;=0.0000000001),0,IF($E$46=0,$E$44/MIN($E$43,COUNTIF($I$51:$I$110,"&gt;0.0000000001")),IF(C176=$E$45,$E$44,0)))</x:f>
        <x:v>0</x:v>
      </x:c>
      <x:c r="E176" s="31" t="n">
        <x:f>IF(D176=0,0,D176/(INDEX($I$51:$I$147,C176+1)*INDEX($H$51:$H$147,C176+1)))</x:f>
        <x:v>0</x:v>
      </x:c>
      <x:c r="F176" s="31" t="n">
        <x:f>E176*INDEX($G$51:$G$147,C176+1)</x:f>
        <x:v>0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IF(OR(C177&gt;=$E$43,INDEX($I$51:$I$147,C177+1)&lt;=0.0000000001),0,IF($E$46=0,$E$44/MIN($E$43,COUNTIF($I$51:$I$110,"&gt;0.0000000001")),IF(C177=$E$45,$E$44,0)))</x:f>
        <x:v>0</x:v>
      </x:c>
      <x:c r="E177" s="31" t="n">
        <x:f>IF(D177=0,0,D177/(INDEX($I$51:$I$147,C177+1)*INDEX($H$51:$H$147,C177+1)))</x:f>
        <x:v>0</x:v>
      </x:c>
      <x:c r="F177" s="31" t="n">
        <x:f>E177*INDEX($G$51:$G$147,C177+1)</x:f>
        <x:v>0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IF(OR(C178&gt;=$E$43,INDEX($I$51:$I$147,C178+1)&lt;=0.0000000001),0,IF($E$46=0,$E$44/MIN($E$43,COUNTIF($I$51:$I$110,"&gt;0.0000000001")),IF(C178=$E$45,$E$44,0)))</x:f>
        <x:v>0</x:v>
      </x:c>
      <x:c r="E178" s="31" t="n">
        <x:f>IF(D178=0,0,D178/(INDEX($I$51:$I$147,C178+1)*INDEX($H$51:$H$147,C178+1)))</x:f>
        <x:v>0</x:v>
      </x:c>
      <x:c r="F178" s="31" t="n">
        <x:f>E178*INDEX($G$51:$G$147,C178+1)</x:f>
        <x:v>0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IF(OR(C179&gt;=$E$43,INDEX($I$51:$I$147,C179+1)&lt;=0.0000000001),0,IF($E$46=0,$E$44/MIN($E$43,COUNTIF($I$51:$I$110,"&gt;0.0000000001")),IF(C179=$E$45,$E$44,0)))</x:f>
        <x:v>0</x:v>
      </x:c>
      <x:c r="E179" s="31" t="n">
        <x:f>IF(D179=0,0,D179/(INDEX($I$51:$I$147,C179+1)*INDEX($H$51:$H$147,C179+1)))</x:f>
        <x:v>0</x:v>
      </x:c>
      <x:c r="F179" s="31" t="n">
        <x:f>E179*INDEX($G$51:$G$147,C179+1)</x:f>
        <x:v>0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IF(OR(C180&gt;=$E$43,INDEX($I$51:$I$147,C180+1)&lt;=0.0000000001),0,IF($E$46=0,$E$44/MIN($E$43,COUNTIF($I$51:$I$110,"&gt;0.0000000001")),IF(C180=$E$45,$E$44,0)))</x:f>
        <x:v>0</x:v>
      </x:c>
      <x:c r="E180" s="31" t="n">
        <x:f>IF(D180=0,0,D180/(INDEX($I$51:$I$147,C180+1)*INDEX($H$51:$H$147,C180+1)))</x:f>
        <x:v>0</x:v>
      </x:c>
      <x:c r="F180" s="31" t="n">
        <x:f>E180*INDEX($G$51:$G$147,C180+1)</x:f>
        <x:v>0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IF(OR(C181&gt;=$E$43,INDEX($I$51:$I$147,C181+1)&lt;=0.0000000001),0,IF($E$46=0,$E$44/MIN($E$43,COUNTIF($I$51:$I$110,"&gt;0.0000000001")),IF(C181=$E$45,$E$44,0)))</x:f>
        <x:v>0</x:v>
      </x:c>
      <x:c r="E181" s="31" t="n">
        <x:f>IF(D181=0,0,D181/(INDEX($I$51:$I$147,C181+1)*INDEX($H$51:$H$147,C181+1)))</x:f>
        <x:v>0</x:v>
      </x:c>
      <x:c r="F181" s="31" t="n">
        <x:f>E181*INDEX($G$51:$G$147,C181+1)</x:f>
        <x:v>0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IF(OR(C182&gt;=$E$43,INDEX($I$51:$I$147,C182+1)&lt;=0.0000000001),0,IF($E$46=0,$E$44/MIN($E$43,COUNTIF($I$51:$I$110,"&gt;0.0000000001")),IF(C182=$E$45,$E$44,0)))</x:f>
        <x:v>0</x:v>
      </x:c>
      <x:c r="E182" s="31" t="n">
        <x:f>IF(D182=0,0,D182/(INDEX($I$51:$I$147,C182+1)*INDEX($H$51:$H$147,C182+1)))</x:f>
        <x:v>0</x:v>
      </x:c>
      <x:c r="F182" s="31" t="n">
        <x:f>E182*INDEX($G$51:$G$147,C182+1)</x:f>
        <x:v>0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IF(OR(C183&gt;=$E$43,INDEX($I$51:$I$147,C183+1)&lt;=0.0000000001),0,IF($E$46=0,$E$44/MIN($E$43,COUNTIF($I$51:$I$110,"&gt;0.0000000001")),IF(C183=$E$45,$E$44,0)))</x:f>
        <x:v>0</x:v>
      </x:c>
      <x:c r="E183" s="31" t="n">
        <x:f>IF(D183=0,0,D183/(INDEX($I$51:$I$147,C183+1)*INDEX($H$51:$H$147,C183+1)))</x:f>
        <x:v>0</x:v>
      </x:c>
      <x:c r="F183" s="31" t="n">
        <x:f>E183*INDEX($G$51:$G$147,C183+1)</x:f>
        <x:v>0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IF(OR(C184&gt;=$E$43,INDEX($I$51:$I$147,C184+1)&lt;=0.0000000001),0,IF($E$46=0,$E$44/MIN($E$43,COUNTIF($I$51:$I$110,"&gt;0.0000000001")),IF(C184=$E$45,$E$44,0)))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IF(OR(C185&gt;=$E$43,INDEX($I$51:$I$147,C185+1)&lt;=0.0000000001),0,IF($E$46=0,$E$44/MIN($E$43,COUNTIF($I$51:$I$110,"&gt;0.0000000001")),IF(C185=$E$45,$E$44,0)))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IF(OR(C186&gt;=$E$43,INDEX($I$51:$I$147,C186+1)&lt;=0.0000000001),0,IF($E$46=0,$E$44/MIN($E$43,COUNTIF($I$51:$I$110,"&gt;0.0000000001")),IF(C186=$E$45,$E$44,0)))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IF(OR(C187&gt;=$E$43,INDEX($I$51:$I$147,C187+1)&lt;=0.0000000001),0,IF($E$46=0,$E$44/MIN($E$43,COUNTIF($I$51:$I$110,"&gt;0.0000000001")),IF(C187=$E$45,$E$44,0)))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IF(OR(C188&gt;=$E$43,INDEX($I$51:$I$147,C188+1)&lt;=0.0000000001),0,IF($E$46=0,$E$44/MIN($E$43,COUNTIF($I$51:$I$110,"&gt;0.0000000001")),IF(C188=$E$45,$E$44,0)))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IF(OR(C189&gt;=$E$43,INDEX($I$51:$I$147,C189+1)&lt;=0.0000000001),0,IF($E$46=0,$E$44/MIN($E$43,COUNTIF($I$51:$I$110,"&gt;0.0000000001")),IF(C189=$E$45,$E$44,0)))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IF(OR(C190&gt;=$E$43,INDEX($I$51:$I$147,C190+1)&lt;=0.0000000001),0,IF($E$46=0,$E$44/MIN($E$43,COUNTIF($I$51:$I$110,"&gt;0.0000000001")),IF(C190=$E$45,$E$44,0)))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IF(OR(C191&gt;=$E$43,INDEX($I$51:$I$147,C191+1)&lt;=0.0000000001),0,IF($E$46=0,$E$44/MIN($E$43,COUNTIF($I$51:$I$110,"&gt;0.0000000001")),IF(C191=$E$45,$E$44,0)))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IF(OR(C192&gt;=$E$43,INDEX($I$51:$I$147,C192+1)&lt;=0.0000000001),0,IF($E$46=0,$E$44/MIN($E$43,COUNTIF($I$51:$I$110,"&gt;0.0000000001")),IF(C192=$E$45,$E$44,0)))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IF(OR(C193&gt;=$E$43,INDEX($I$51:$I$147,C193+1)&lt;=0.0000000001),0,IF($E$46=0,$E$44/MIN($E$43,COUNTIF($I$51:$I$110,"&gt;0.0000000001")),IF(C193=$E$45,$E$44,0)))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IF(OR(C194&gt;=$E$43,INDEX($I$51:$I$147,C194+1)&lt;=0.0000000001),0,IF($E$46=0,$E$44/MIN($E$43,COUNTIF($I$51:$I$110,"&gt;0.0000000001")),IF(C194=$E$45,$E$44,0)))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IF(OR(C195&gt;=$E$43,INDEX($I$51:$I$147,C195+1)&lt;=0.0000000001),0,IF($E$46=0,$E$44/MIN($E$43,COUNTIF($I$51:$I$110,"&gt;0.0000000001")),IF(C195=$E$45,$E$44,0)))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IF(OR(C196&gt;=$E$43,INDEX($I$51:$I$147,C196+1)&lt;=0.0000000001),0,IF($E$46=0,$E$44/MIN($E$43,COUNTIF($I$51:$I$110,"&gt;0.0000000001")),IF(C196=$E$45,$E$44,0)))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IF(OR(C197&gt;=$E$43,INDEX($I$51:$I$147,C197+1)&lt;=0.0000000001),0,IF($E$46=0,$E$44/MIN($E$43,COUNTIF($I$51:$I$110,"&gt;0.0000000001")),IF(C197=$E$45,$E$44,0)))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IF(OR(C198&gt;=$E$43,INDEX($I$51:$I$147,C198+1)&lt;=0.0000000001),0,IF($E$46=0,$E$44/MIN($E$43,COUNTIF($I$51:$I$110,"&gt;0.0000000001")),IF(C198=$E$45,$E$44,0)))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IF(OR(C199&gt;=$E$43,INDEX($I$51:$I$147,C199+1)&lt;=0.0000000001),0,IF($E$46=0,$E$44/MIN($E$43,COUNTIF($I$51:$I$110,"&gt;0.0000000001")),IF(C199=$E$45,$E$44,0)))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IF(OR(C200&gt;=$E$43,INDEX($I$51:$I$147,C200+1)&lt;=0.0000000001),0,IF($E$46=0,$E$44/MIN($E$43,COUNTIF($I$51:$I$110,"&gt;0.0000000001")),IF(C200=$E$45,$E$44,0)))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IF(OR(C201&gt;=$E$43,INDEX($I$51:$I$147,C201+1)&lt;=0.0000000001),0,IF($E$46=0,$E$44/MIN($E$43,COUNTIF($I$51:$I$110,"&gt;0.0000000001")),IF(C201=$E$45,$E$44,0)))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IF(OR(C202&gt;=$E$43,INDEX($I$51:$I$147,C202+1)&lt;=0.0000000001),0,IF($E$46=0,$E$44/MIN($E$43,COUNTIF($I$51:$I$110,"&gt;0.0000000001")),IF(C202=$E$45,$E$44,0)))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IF(OR(C203&gt;=$E$43,INDEX($I$51:$I$147,C203+1)&lt;=0.0000000001),0,IF($E$46=0,$E$44/MIN($E$43,COUNTIF($I$51:$I$110,"&gt;0.0000000001")),IF(C203=$E$45,$E$44,0)))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IF(OR(C204&gt;=$E$43,INDEX($I$51:$I$147,C204+1)&lt;=0.0000000001),0,IF($E$46=0,$E$44/MIN($E$43,COUNTIF($I$51:$I$110,"&gt;0.0000000001")),IF(C204=$E$45,$E$44,0)))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IF(OR(C205&gt;=$E$43,INDEX($I$51:$I$147,C205+1)&lt;=0.0000000001),0,IF($E$46=0,$E$44/MIN($E$43,COUNTIF($I$51:$I$110,"&gt;0.0000000001")),IF(C205=$E$45,$E$44,0)))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IF(OR(C206&gt;=$E$43,INDEX($I$51:$I$147,C206+1)&lt;=0.0000000001),0,IF($E$46=0,$E$44/MIN($E$43,COUNTIF($I$51:$I$110,"&gt;0.0000000001")),IF(C206=$E$45,$E$44,0)))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IF(OR(C207&gt;=$E$43,INDEX($I$51:$I$147,C207+1)&lt;=0.0000000001),0,IF($E$46=0,$E$44/MIN($E$43,COUNTIF($I$51:$I$110,"&gt;0.0000000001")),IF(C207=$E$45,$E$44,0)))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IF(OR(C208&gt;=$E$43,INDEX($I$51:$I$147,C208+1)&lt;=0.0000000001),0,IF($E$46=0,$E$44/MIN($E$43,COUNTIF($I$51:$I$110,"&gt;0.0000000001")),IF(C208=$E$45,$E$44,0)))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IF(OR(C209&gt;=$E$43,INDEX($I$51:$I$147,C209+1)&lt;=0.0000000001),0,IF($E$46=0,$E$44/MIN($E$43,COUNTIF($I$51:$I$110,"&gt;0.0000000001")),IF(C209=$E$45,$E$44,0)))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IF(OR(C210&gt;=$E$43,INDEX($I$51:$I$147,C210+1)&lt;=0.0000000001),0,IF($E$46=0,$E$44/MIN($E$43,COUNTIF($I$51:$I$110,"&gt;0.0000000001")),IF(C210=$E$45,$E$44,0)))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IF(OR(C211&gt;=$E$43,INDEX($I$51:$I$147,C211+1)&lt;=0.0000000001),0,IF($E$46=0,$E$44/MIN($E$43,COUNTIF($I$51:$I$110,"&gt;0.0000000001")),IF(C211=$E$45,$E$44,0)))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IF(OR(C212&gt;=$E$43,INDEX($I$51:$I$147,C212+1)&lt;=0.0000000001),0,IF($E$46=0,$E$44/MIN($E$43,COUNTIF($I$51:$I$110,"&gt;0.0000000001")),IF(C212=$E$45,$E$44,0)))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IF(OR(C213&gt;=$E$43,INDEX($I$51:$I$147,C213+1)&lt;=0.0000000001),0,IF($E$46=0,$E$44/MIN($E$43,COUNTIF($I$51:$I$110,"&gt;0.0000000001")),IF(C213=$E$45,$E$44,0)))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IF(OR(C214&gt;=$E$43,INDEX($I$51:$I$147,C214+1)&lt;=0.0000000001),0,IF($E$46=0,$E$44/MIN($E$43,COUNTIF($I$51:$I$110,"&gt;0.0000000001")),IF(C214=$E$45,$E$44,0)))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IF(OR(C215&gt;=$E$43,INDEX($I$51:$I$147,C215+1)&lt;=0.0000000001),0,IF($E$46=0,$E$44/MIN($E$43,COUNTIF($I$51:$I$110,"&gt;0.0000000001")),IF(C215=$E$45,$E$44,0)))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IF(OR(C216&gt;=$E$43,INDEX($I$51:$I$147,C216+1)&lt;=0.0000000001),0,IF($E$46=0,$E$44/MIN($E$43,COUNTIF($I$51:$I$110,"&gt;0.0000000001")),IF(C216=$E$45,$E$44,0)))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IF(OR(C217&gt;=$E$43,INDEX($I$51:$I$147,C217+1)&lt;=0.0000000001),0,IF($E$46=0,$E$44/MIN($E$43,COUNTIF($I$51:$I$110,"&gt;0.0000000001")),IF(C217=$E$45,$E$44,0)))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IF(OR(C218&gt;=$E$43,INDEX($I$51:$I$147,C218+1)&lt;=0.0000000001),0,IF($E$46=0,$E$44/MIN($E$43,COUNTIF($I$51:$I$110,"&gt;0.0000000001")),IF(C218=$E$45,$E$44,0)))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IF(OR(C219&gt;=$E$43,INDEX($I$51:$I$147,C219+1)&lt;=0.0000000001),0,IF($E$46=0,$E$44/MIN($E$43,COUNTIF($I$51:$I$110,"&gt;0.0000000001")),IF(C219=$E$45,$E$44,0)))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1" priority="1">
      <x:formula>ABS(G35)&gt;0.01</x:formula>
    </x:cfRule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MK Short-Term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143999.99999999997</x:v>
      </x:c>
      <x:c r="F8" s="2"/>
      <x:c r="G8" s="32" t="n">
        <x:f>'Assumptions'!$E$11*(1+'Assumptions'!$E$12)^(G$6-1)*INDEX('Assumptions'!$E$34:$E$45,MOD(G$6-1,12)+1)*'Assumptions'!$E$30</x:f>
        <x:v>5999.999999999999</x:v>
      </x:c>
      <x:c r="H8" s="32" t="n">
        <x:f>'Assumptions'!$E$11*(1+'Assumptions'!$E$12)^(H$6-1)*INDEX('Assumptions'!$E$34:$E$45,MOD(H$6-1,12)+1)*'Assumptions'!$E$30</x:f>
        <x:v>5999.999999999999</x:v>
      </x:c>
      <x:c r="I8" s="32" t="n">
        <x:f>'Assumptions'!$E$11*(1+'Assumptions'!$E$12)^(I$6-1)*INDEX('Assumptions'!$E$34:$E$45,MOD(I$6-1,12)+1)*'Assumptions'!$E$30</x:f>
        <x:v>5999.999999999999</x:v>
      </x:c>
      <x:c r="J8" s="32" t="n">
        <x:f>'Assumptions'!$E$11*(1+'Assumptions'!$E$12)^(J$6-1)*INDEX('Assumptions'!$E$34:$E$45,MOD(J$6-1,12)+1)*'Assumptions'!$E$30</x:f>
        <x:v>5999.999999999999</x:v>
      </x:c>
      <x:c r="K8" s="32" t="n">
        <x:f>'Assumptions'!$E$11*(1+'Assumptions'!$E$12)^(K$6-1)*INDEX('Assumptions'!$E$34:$E$45,MOD(K$6-1,12)+1)*'Assumptions'!$E$30</x:f>
        <x:v>5999.999999999999</x:v>
      </x:c>
      <x:c r="L8" s="32" t="n">
        <x:f>'Assumptions'!$E$11*(1+'Assumptions'!$E$12)^(L$6-1)*INDEX('Assumptions'!$E$34:$E$45,MOD(L$6-1,12)+1)*'Assumptions'!$E$30</x:f>
        <x:v>5999.999999999999</x:v>
      </x:c>
      <x:c r="M8" s="32" t="n">
        <x:f>'Assumptions'!$E$11*(1+'Assumptions'!$E$12)^(M$6-1)*INDEX('Assumptions'!$E$34:$E$45,MOD(M$6-1,12)+1)*'Assumptions'!$E$30</x:f>
        <x:v>5999.999999999999</x:v>
      </x:c>
      <x:c r="N8" s="32" t="n">
        <x:f>'Assumptions'!$E$11*(1+'Assumptions'!$E$12)^(N$6-1)*INDEX('Assumptions'!$E$34:$E$45,MOD(N$6-1,12)+1)*'Assumptions'!$E$30</x:f>
        <x:v>5999.999999999999</x:v>
      </x:c>
      <x:c r="O8" s="32" t="n">
        <x:f>'Assumptions'!$E$11*(1+'Assumptions'!$E$12)^(O$6-1)*INDEX('Assumptions'!$E$34:$E$45,MOD(O$6-1,12)+1)*'Assumptions'!$E$30</x:f>
        <x:v>5999.999999999999</x:v>
      </x:c>
      <x:c r="P8" s="32" t="n">
        <x:f>'Assumptions'!$E$11*(1+'Assumptions'!$E$12)^(P$6-1)*INDEX('Assumptions'!$E$34:$E$45,MOD(P$6-1,12)+1)*'Assumptions'!$E$30</x:f>
        <x:v>5999.999999999999</x:v>
      </x:c>
      <x:c r="Q8" s="32" t="n">
        <x:f>'Assumptions'!$E$11*(1+'Assumptions'!$E$12)^(Q$6-1)*INDEX('Assumptions'!$E$34:$E$45,MOD(Q$6-1,12)+1)*'Assumptions'!$E$30</x:f>
        <x:v>5999.999999999999</x:v>
      </x:c>
      <x:c r="R8" s="32" t="n">
        <x:f>'Assumptions'!$E$11*(1+'Assumptions'!$E$12)^(R$6-1)*INDEX('Assumptions'!$E$34:$E$45,MOD(R$6-1,12)+1)*'Assumptions'!$E$30</x:f>
        <x:v>5999.999999999999</x:v>
      </x:c>
      <x:c r="S8" s="32" t="n">
        <x:f>'Assumptions'!$E$11*(1+'Assumptions'!$E$12)^(S$6-1)*INDEX('Assumptions'!$E$34:$E$45,MOD(S$6-1,12)+1)*'Assumptions'!$E$30</x:f>
        <x:v>5999.999999999999</x:v>
      </x:c>
      <x:c r="T8" s="32" t="n">
        <x:f>'Assumptions'!$E$11*(1+'Assumptions'!$E$12)^(T$6-1)*INDEX('Assumptions'!$E$34:$E$45,MOD(T$6-1,12)+1)*'Assumptions'!$E$30</x:f>
        <x:v>5999.999999999999</x:v>
      </x:c>
      <x:c r="U8" s="32" t="n">
        <x:f>'Assumptions'!$E$11*(1+'Assumptions'!$E$12)^(U$6-1)*INDEX('Assumptions'!$E$34:$E$45,MOD(U$6-1,12)+1)*'Assumptions'!$E$30</x:f>
        <x:v>5999.999999999999</x:v>
      </x:c>
      <x:c r="V8" s="32" t="n">
        <x:f>'Assumptions'!$E$11*(1+'Assumptions'!$E$12)^(V$6-1)*INDEX('Assumptions'!$E$34:$E$45,MOD(V$6-1,12)+1)*'Assumptions'!$E$30</x:f>
        <x:v>5999.999999999999</x:v>
      </x:c>
      <x:c r="W8" s="32" t="n">
        <x:f>'Assumptions'!$E$11*(1+'Assumptions'!$E$12)^(W$6-1)*INDEX('Assumptions'!$E$34:$E$45,MOD(W$6-1,12)+1)*'Assumptions'!$E$30</x:f>
        <x:v>5999.999999999999</x:v>
      </x:c>
      <x:c r="X8" s="32" t="n">
        <x:f>'Assumptions'!$E$11*(1+'Assumptions'!$E$12)^(X$6-1)*INDEX('Assumptions'!$E$34:$E$45,MOD(X$6-1,12)+1)*'Assumptions'!$E$30</x:f>
        <x:v>5999.999999999999</x:v>
      </x:c>
      <x:c r="Y8" s="32" t="n">
        <x:f>'Assumptions'!$E$11*(1+'Assumptions'!$E$12)^(Y$6-1)*INDEX('Assumptions'!$E$34:$E$45,MOD(Y$6-1,12)+1)*'Assumptions'!$E$30</x:f>
        <x:v>5999.999999999999</x:v>
      </x:c>
      <x:c r="Z8" s="32" t="n">
        <x:f>'Assumptions'!$E$11*(1+'Assumptions'!$E$12)^(Z$6-1)*INDEX('Assumptions'!$E$34:$E$45,MOD(Z$6-1,12)+1)*'Assumptions'!$E$30</x:f>
        <x:v>5999.999999999999</x:v>
      </x:c>
      <x:c r="AA8" s="32" t="n">
        <x:f>'Assumptions'!$E$11*(1+'Assumptions'!$E$12)^(AA$6-1)*INDEX('Assumptions'!$E$34:$E$45,MOD(AA$6-1,12)+1)*'Assumptions'!$E$30</x:f>
        <x:v>5999.999999999999</x:v>
      </x:c>
      <x:c r="AB8" s="32" t="n">
        <x:f>'Assumptions'!$E$11*(1+'Assumptions'!$E$12)^(AB$6-1)*INDEX('Assumptions'!$E$34:$E$45,MOD(AB$6-1,12)+1)*'Assumptions'!$E$30</x:f>
        <x:v>5999.999999999999</x:v>
      </x:c>
      <x:c r="AC8" s="32" t="n">
        <x:f>'Assumptions'!$E$11*(1+'Assumptions'!$E$12)^(AC$6-1)*INDEX('Assumptions'!$E$34:$E$45,MOD(AC$6-1,12)+1)*'Assumptions'!$E$30</x:f>
        <x:v>5999.999999999999</x:v>
      </x:c>
      <x:c r="AD8" s="32" t="n">
        <x:f>'Assumptions'!$E$11*(1+'Assumptions'!$E$12)^(AD$6-1)*INDEX('Assumptions'!$E$34:$E$45,MOD(AD$6-1,12)+1)*'Assumptions'!$E$30</x:f>
        <x:v>5999.999999999999</x:v>
      </x:c>
      <x:c r="AE8" s="32" t="n">
        <x:f>'Assumptions'!$E$11*(1+'Assumptions'!$E$12)^(AE$6-1)*INDEX('Assumptions'!$E$34:$E$45,MOD(AE$6-1,12)+1)*'Assumptions'!$E$30</x:f>
        <x:v>5999.999999999999</x:v>
      </x:c>
      <x:c r="AF8" s="32" t="n">
        <x:f>'Assumptions'!$E$11*(1+'Assumptions'!$E$12)^(AF$6-1)*INDEX('Assumptions'!$E$34:$E$45,MOD(AF$6-1,12)+1)*'Assumptions'!$E$30</x:f>
        <x:v>5999.999999999999</x:v>
      </x:c>
      <x:c r="AG8" s="32" t="n">
        <x:f>'Assumptions'!$E$11*(1+'Assumptions'!$E$12)^(AG$6-1)*INDEX('Assumptions'!$E$34:$E$45,MOD(AG$6-1,12)+1)*'Assumptions'!$E$30</x:f>
        <x:v>5999.999999999999</x:v>
      </x:c>
      <x:c r="AH8" s="32" t="n">
        <x:f>'Assumptions'!$E$11*(1+'Assumptions'!$E$12)^(AH$6-1)*INDEX('Assumptions'!$E$34:$E$45,MOD(AH$6-1,12)+1)*'Assumptions'!$E$30</x:f>
        <x:v>5999.999999999999</x:v>
      </x:c>
      <x:c r="AI8" s="32" t="n">
        <x:f>'Assumptions'!$E$11*(1+'Assumptions'!$E$12)^(AI$6-1)*INDEX('Assumptions'!$E$34:$E$45,MOD(AI$6-1,12)+1)*'Assumptions'!$E$30</x:f>
        <x:v>5999.999999999999</x:v>
      </x:c>
      <x:c r="AJ8" s="32" t="n">
        <x:f>'Assumptions'!$E$11*(1+'Assumptions'!$E$12)^(AJ$6-1)*INDEX('Assumptions'!$E$34:$E$45,MOD(AJ$6-1,12)+1)*'Assumptions'!$E$30</x:f>
        <x:v>5999.999999999999</x:v>
      </x:c>
      <x:c r="AK8" s="32" t="n">
        <x:f>'Assumptions'!$E$11*(1+'Assumptions'!$E$12)^(AK$6-1)*INDEX('Assumptions'!$E$34:$E$45,MOD(AK$6-1,12)+1)*'Assumptions'!$E$30</x:f>
        <x:v>5999.999999999999</x:v>
      </x:c>
      <x:c r="AL8" s="32" t="n">
        <x:f>'Assumptions'!$E$11*(1+'Assumptions'!$E$12)^(AL$6-1)*INDEX('Assumptions'!$E$34:$E$45,MOD(AL$6-1,12)+1)*'Assumptions'!$E$30</x:f>
        <x:v>5999.999999999999</x:v>
      </x:c>
      <x:c r="AM8" s="32" t="n">
        <x:f>'Assumptions'!$E$11*(1+'Assumptions'!$E$12)^(AM$6-1)*INDEX('Assumptions'!$E$34:$E$45,MOD(AM$6-1,12)+1)*'Assumptions'!$E$30</x:f>
        <x:v>5999.999999999999</x:v>
      </x:c>
      <x:c r="AN8" s="32" t="n">
        <x:f>'Assumptions'!$E$11*(1+'Assumptions'!$E$12)^(AN$6-1)*INDEX('Assumptions'!$E$34:$E$45,MOD(AN$6-1,12)+1)*'Assumptions'!$E$30</x:f>
        <x:v>5999.999999999999</x:v>
      </x:c>
      <x:c r="AO8" s="32" t="n">
        <x:f>'Assumptions'!$E$11*(1+'Assumptions'!$E$12)^(AO$6-1)*INDEX('Assumptions'!$E$34:$E$45,MOD(AO$6-1,12)+1)*'Assumptions'!$E$30</x:f>
        <x:v>5999.999999999999</x:v>
      </x:c>
      <x:c r="AP8" s="32" t="n">
        <x:f>'Assumptions'!$E$11*(1+'Assumptions'!$E$12)^(AP$6-1)*INDEX('Assumptions'!$E$34:$E$45,MOD(AP$6-1,12)+1)*'Assumptions'!$E$30</x:f>
        <x:v>5999.999999999999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'Assumptions'!$E$13</x:f>
        <x:v>0.3</x:v>
      </x:c>
      <x:c r="H9" s="33" t="n">
        <x:f>'Assumptions'!$E$13</x:f>
        <x:v>0.3</x:v>
      </x:c>
      <x:c r="I9" s="33" t="n">
        <x:f>'Assumptions'!$E$13</x:f>
        <x:v>0.3</x:v>
      </x:c>
      <x:c r="J9" s="33" t="n">
        <x:f>'Assumptions'!$E$13</x:f>
        <x:v>0.3</x:v>
      </x:c>
      <x:c r="K9" s="33" t="n">
        <x:f>'Assumptions'!$E$13</x:f>
        <x:v>0.3</x:v>
      </x:c>
      <x:c r="L9" s="33" t="n">
        <x:f>'Assumptions'!$E$13</x:f>
        <x:v>0.3</x:v>
      </x:c>
      <x:c r="M9" s="33" t="n">
        <x:f>'Assumptions'!$E$13</x:f>
        <x:v>0.3</x:v>
      </x:c>
      <x:c r="N9" s="33" t="n">
        <x:f>'Assumptions'!$E$13</x:f>
        <x:v>0.3</x:v>
      </x:c>
      <x:c r="O9" s="33" t="n">
        <x:f>'Assumptions'!$E$13</x:f>
        <x:v>0.3</x:v>
      </x:c>
      <x:c r="P9" s="33" t="n">
        <x:f>'Assumptions'!$E$13</x:f>
        <x:v>0.3</x:v>
      </x:c>
      <x:c r="Q9" s="33" t="n">
        <x:f>'Assumptions'!$E$13</x:f>
        <x:v>0.3</x:v>
      </x:c>
      <x:c r="R9" s="33" t="n">
        <x:f>'Assumptions'!$E$13</x:f>
        <x:v>0.3</x:v>
      </x:c>
      <x:c r="S9" s="33" t="n">
        <x:f>'Assumptions'!$E$13</x:f>
        <x:v>0.3</x:v>
      </x:c>
      <x:c r="T9" s="33" t="n">
        <x:f>'Assumptions'!$E$13</x:f>
        <x:v>0.3</x:v>
      </x:c>
      <x:c r="U9" s="33" t="n">
        <x:f>'Assumptions'!$E$13</x:f>
        <x:v>0.3</x:v>
      </x:c>
      <x:c r="V9" s="33" t="n">
        <x:f>'Assumptions'!$E$13</x:f>
        <x:v>0.3</x:v>
      </x:c>
      <x:c r="W9" s="33" t="n">
        <x:f>'Assumptions'!$E$13</x:f>
        <x:v>0.3</x:v>
      </x:c>
      <x:c r="X9" s="33" t="n">
        <x:f>'Assumptions'!$E$13</x:f>
        <x:v>0.3</x:v>
      </x:c>
      <x:c r="Y9" s="33" t="n">
        <x:f>'Assumptions'!$E$13</x:f>
        <x:v>0.3</x:v>
      </x:c>
      <x:c r="Z9" s="33" t="n">
        <x:f>'Assumptions'!$E$13</x:f>
        <x:v>0.3</x:v>
      </x:c>
      <x:c r="AA9" s="33" t="n">
        <x:f>'Assumptions'!$E$13</x:f>
        <x:v>0.3</x:v>
      </x:c>
      <x:c r="AB9" s="33" t="n">
        <x:f>'Assumptions'!$E$13</x:f>
        <x:v>0.3</x:v>
      </x:c>
      <x:c r="AC9" s="33" t="n">
        <x:f>'Assumptions'!$E$13</x:f>
        <x:v>0.3</x:v>
      </x:c>
      <x:c r="AD9" s="33" t="n">
        <x:f>'Assumptions'!$E$13</x:f>
        <x:v>0.3</x:v>
      </x:c>
      <x:c r="AE9" s="33" t="n">
        <x:f>'Assumptions'!$E$13</x:f>
        <x:v>0.3</x:v>
      </x:c>
      <x:c r="AF9" s="33" t="n">
        <x:f>'Assumptions'!$E$13</x:f>
        <x:v>0.3</x:v>
      </x:c>
      <x:c r="AG9" s="33" t="n">
        <x:f>'Assumptions'!$E$13</x:f>
        <x:v>0.3</x:v>
      </x:c>
      <x:c r="AH9" s="33" t="n">
        <x:f>'Assumptions'!$E$13</x:f>
        <x:v>0.3</x:v>
      </x:c>
      <x:c r="AI9" s="33" t="n">
        <x:f>'Assumptions'!$E$13</x:f>
        <x:v>0.3</x:v>
      </x:c>
      <x:c r="AJ9" s="33" t="n">
        <x:f>'Assumptions'!$E$13</x:f>
        <x:v>0.3</x:v>
      </x:c>
      <x:c r="AK9" s="33" t="n">
        <x:f>'Assumptions'!$E$13</x:f>
        <x:v>0.3</x:v>
      </x:c>
      <x:c r="AL9" s="33" t="n">
        <x:f>'Assumptions'!$E$13</x:f>
        <x:v>0.3</x:v>
      </x:c>
      <x:c r="AM9" s="33" t="n">
        <x:f>'Assumptions'!$E$13</x:f>
        <x:v>0.3</x:v>
      </x:c>
      <x:c r="AN9" s="33" t="n">
        <x:f>'Assumptions'!$E$13</x:f>
        <x:v>0.3</x:v>
      </x:c>
      <x:c r="AO9" s="33" t="n">
        <x:f>'Assumptions'!$E$13</x:f>
        <x:v>0.3</x:v>
      </x:c>
      <x:c r="AP9" s="33" t="n">
        <x:f>'Assumptions'!$E$13</x:f>
        <x:v>0.3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'Assumptions'!$E$14</x:f>
        <x:v>1500</x:v>
      </x:c>
      <x:c r="H10" s="34" t="n">
        <x:f>'Assumptions'!$E$14</x:f>
        <x:v>1500</x:v>
      </x:c>
      <x:c r="I10" s="34" t="n">
        <x:f>'Assumptions'!$E$14</x:f>
        <x:v>1500</x:v>
      </x:c>
      <x:c r="J10" s="34" t="n">
        <x:f>'Assumptions'!$E$14</x:f>
        <x:v>1500</x:v>
      </x:c>
      <x:c r="K10" s="34" t="n">
        <x:f>'Assumptions'!$E$14</x:f>
        <x:v>1500</x:v>
      </x:c>
      <x:c r="L10" s="34" t="n">
        <x:f>'Assumptions'!$E$14</x:f>
        <x:v>1500</x:v>
      </x:c>
      <x:c r="M10" s="34" t="n">
        <x:f>'Assumptions'!$E$14</x:f>
        <x:v>1500</x:v>
      </x:c>
      <x:c r="N10" s="34" t="n">
        <x:f>'Assumptions'!$E$14</x:f>
        <x:v>1500</x:v>
      </x:c>
      <x:c r="O10" s="34" t="n">
        <x:f>'Assumptions'!$E$14</x:f>
        <x:v>1500</x:v>
      </x:c>
      <x:c r="P10" s="34" t="n">
        <x:f>'Assumptions'!$E$14</x:f>
        <x:v>1500</x:v>
      </x:c>
      <x:c r="Q10" s="34" t="n">
        <x:f>'Assumptions'!$E$14</x:f>
        <x:v>1500</x:v>
      </x:c>
      <x:c r="R10" s="34" t="n">
        <x:f>'Assumptions'!$E$14</x:f>
        <x:v>1500</x:v>
      </x:c>
      <x:c r="S10" s="34" t="n">
        <x:f>'Assumptions'!$E$14</x:f>
        <x:v>1500</x:v>
      </x:c>
      <x:c r="T10" s="34" t="n">
        <x:f>'Assumptions'!$E$14</x:f>
        <x:v>1500</x:v>
      </x:c>
      <x:c r="U10" s="34" t="n">
        <x:f>'Assumptions'!$E$14</x:f>
        <x:v>1500</x:v>
      </x:c>
      <x:c r="V10" s="34" t="n">
        <x:f>'Assumptions'!$E$14</x:f>
        <x:v>1500</x:v>
      </x:c>
      <x:c r="W10" s="34" t="n">
        <x:f>'Assumptions'!$E$14</x:f>
        <x:v>1500</x:v>
      </x:c>
      <x:c r="X10" s="34" t="n">
        <x:f>'Assumptions'!$E$14</x:f>
        <x:v>1500</x:v>
      </x:c>
      <x:c r="Y10" s="34" t="n">
        <x:f>'Assumptions'!$E$14</x:f>
        <x:v>1500</x:v>
      </x:c>
      <x:c r="Z10" s="34" t="n">
        <x:f>'Assumptions'!$E$14</x:f>
        <x:v>1500</x:v>
      </x:c>
      <x:c r="AA10" s="34" t="n">
        <x:f>'Assumptions'!$E$14</x:f>
        <x:v>1500</x:v>
      </x:c>
      <x:c r="AB10" s="34" t="n">
        <x:f>'Assumptions'!$E$14</x:f>
        <x:v>1500</x:v>
      </x:c>
      <x:c r="AC10" s="34" t="n">
        <x:f>'Assumptions'!$E$14</x:f>
        <x:v>1500</x:v>
      </x:c>
      <x:c r="AD10" s="34" t="n">
        <x:f>'Assumptions'!$E$14</x:f>
        <x:v>1500</x:v>
      </x:c>
      <x:c r="AE10" s="34" t="n">
        <x:f>'Assumptions'!$E$14</x:f>
        <x:v>1500</x:v>
      </x:c>
      <x:c r="AF10" s="34" t="n">
        <x:f>'Assumptions'!$E$14</x:f>
        <x:v>1500</x:v>
      </x:c>
      <x:c r="AG10" s="34" t="n">
        <x:f>'Assumptions'!$E$14</x:f>
        <x:v>1500</x:v>
      </x:c>
      <x:c r="AH10" s="34" t="n">
        <x:f>'Assumptions'!$E$14</x:f>
        <x:v>1500</x:v>
      </x:c>
      <x:c r="AI10" s="34" t="n">
        <x:f>'Assumptions'!$E$14</x:f>
        <x:v>1500</x:v>
      </x:c>
      <x:c r="AJ10" s="34" t="n">
        <x:f>'Assumptions'!$E$14</x:f>
        <x:v>1500</x:v>
      </x:c>
      <x:c r="AK10" s="34" t="n">
        <x:f>'Assumptions'!$E$14</x:f>
        <x:v>1500</x:v>
      </x:c>
      <x:c r="AL10" s="34" t="n">
        <x:f>'Assumptions'!$E$14</x:f>
        <x:v>1500</x:v>
      </x:c>
      <x:c r="AM10" s="34" t="n">
        <x:f>'Assumptions'!$E$14</x:f>
        <x:v>1500</x:v>
      </x:c>
      <x:c r="AN10" s="34" t="n">
        <x:f>'Assumptions'!$E$14</x:f>
        <x:v>1500</x:v>
      </x:c>
      <x:c r="AO10" s="34" t="n">
        <x:f>'Assumptions'!$E$14</x:f>
        <x:v>1500</x:v>
      </x:c>
      <x:c r="AP10" s="34" t="n">
        <x:f>'Assumptions'!$E$14</x:f>
        <x:v>1500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64799999.99999999</x:v>
      </x:c>
      <x:c r="F11" s="42"/>
      <x:c r="G11" s="43" t="n">
        <x:f>G8*G9*G10</x:f>
        <x:v>2699999.9999999995</x:v>
      </x:c>
      <x:c r="H11" s="43" t="n">
        <x:f>H8*H9*H10</x:f>
        <x:v>2699999.9999999995</x:v>
      </x:c>
      <x:c r="I11" s="43" t="n">
        <x:f>I8*I9*I10</x:f>
        <x:v>2699999.9999999995</x:v>
      </x:c>
      <x:c r="J11" s="43" t="n">
        <x:f>J8*J9*J10</x:f>
        <x:v>2699999.9999999995</x:v>
      </x:c>
      <x:c r="K11" s="43" t="n">
        <x:f>K8*K9*K10</x:f>
        <x:v>2699999.9999999995</x:v>
      </x:c>
      <x:c r="L11" s="43" t="n">
        <x:f>L8*L9*L10</x:f>
        <x:v>2699999.9999999995</x:v>
      </x:c>
      <x:c r="M11" s="43" t="n">
        <x:f>M8*M9*M10</x:f>
        <x:v>2699999.9999999995</x:v>
      </x:c>
      <x:c r="N11" s="43" t="n">
        <x:f>N8*N9*N10</x:f>
        <x:v>2699999.9999999995</x:v>
      </x:c>
      <x:c r="O11" s="43" t="n">
        <x:f>O8*O9*O10</x:f>
        <x:v>2699999.9999999995</x:v>
      </x:c>
      <x:c r="P11" s="43" t="n">
        <x:f>P8*P9*P10</x:f>
        <x:v>2699999.9999999995</x:v>
      </x:c>
      <x:c r="Q11" s="43" t="n">
        <x:f>Q8*Q9*Q10</x:f>
        <x:v>2699999.9999999995</x:v>
      </x:c>
      <x:c r="R11" s="43" t="n">
        <x:f>R8*R9*R10</x:f>
        <x:v>2699999.9999999995</x:v>
      </x:c>
      <x:c r="S11" s="43" t="n">
        <x:f>S8*S9*S10</x:f>
        <x:v>2699999.9999999995</x:v>
      </x:c>
      <x:c r="T11" s="43" t="n">
        <x:f>T8*T9*T10</x:f>
        <x:v>2699999.9999999995</x:v>
      </x:c>
      <x:c r="U11" s="43" t="n">
        <x:f>U8*U9*U10</x:f>
        <x:v>2699999.9999999995</x:v>
      </x:c>
      <x:c r="V11" s="43" t="n">
        <x:f>V8*V9*V10</x:f>
        <x:v>2699999.9999999995</x:v>
      </x:c>
      <x:c r="W11" s="43" t="n">
        <x:f>W8*W9*W10</x:f>
        <x:v>2699999.9999999995</x:v>
      </x:c>
      <x:c r="X11" s="43" t="n">
        <x:f>X8*X9*X10</x:f>
        <x:v>2699999.9999999995</x:v>
      </x:c>
      <x:c r="Y11" s="43" t="n">
        <x:f>Y8*Y9*Y10</x:f>
        <x:v>2699999.9999999995</x:v>
      </x:c>
      <x:c r="Z11" s="43" t="n">
        <x:f>Z8*Z9*Z10</x:f>
        <x:v>2699999.9999999995</x:v>
      </x:c>
      <x:c r="AA11" s="43" t="n">
        <x:f>AA8*AA9*AA10</x:f>
        <x:v>2699999.9999999995</x:v>
      </x:c>
      <x:c r="AB11" s="43" t="n">
        <x:f>AB8*AB9*AB10</x:f>
        <x:v>2699999.9999999995</x:v>
      </x:c>
      <x:c r="AC11" s="43" t="n">
        <x:f>AC8*AC9*AC10</x:f>
        <x:v>2699999.9999999995</x:v>
      </x:c>
      <x:c r="AD11" s="43" t="n">
        <x:f>AD8*AD9*AD10</x:f>
        <x:v>2699999.9999999995</x:v>
      </x:c>
      <x:c r="AE11" s="43" t="n">
        <x:f>AE8*AE9*AE10</x:f>
        <x:v>2699999.9999999995</x:v>
      </x:c>
      <x:c r="AF11" s="43" t="n">
        <x:f>AF8*AF9*AF10</x:f>
        <x:v>2699999.9999999995</x:v>
      </x:c>
      <x:c r="AG11" s="43" t="n">
        <x:f>AG8*AG9*AG10</x:f>
        <x:v>2699999.9999999995</x:v>
      </x:c>
      <x:c r="AH11" s="43" t="n">
        <x:f>AH8*AH9*AH10</x:f>
        <x:v>2699999.9999999995</x:v>
      </x:c>
      <x:c r="AI11" s="43" t="n">
        <x:f>AI8*AI9*AI10</x:f>
        <x:v>2699999.9999999995</x:v>
      </x:c>
      <x:c r="AJ11" s="43" t="n">
        <x:f>AJ8*AJ9*AJ10</x:f>
        <x:v>2699999.9999999995</x:v>
      </x:c>
      <x:c r="AK11" s="43" t="n">
        <x:f>AK8*AK9*AK10</x:f>
        <x:v>2699999.9999999995</x:v>
      </x:c>
      <x:c r="AL11" s="43" t="n">
        <x:f>AL8*AL9*AL10</x:f>
        <x:v>2699999.9999999995</x:v>
      </x:c>
      <x:c r="AM11" s="43" t="n">
        <x:f>AM8*AM9*AM10</x:f>
        <x:v>2699999.9999999995</x:v>
      </x:c>
      <x:c r="AN11" s="43" t="n">
        <x:f>AN8*AN9*AN10</x:f>
        <x:v>2699999.9999999995</x:v>
      </x:c>
      <x:c r="AO11" s="43" t="n">
        <x:f>AO8*AO9*AO10</x:f>
        <x:v>2699999.9999999995</x:v>
      </x:c>
      <x:c r="AP11" s="43" t="n">
        <x:f>AP8*AP9*AP10</x:f>
        <x:v>2699999.9999999995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51119999.999999985</x:v>
      </x:c>
      <x:c r="F13" s="2"/>
      <x:c r="G13" s="35" t="n">
        <x:f>$E$44</x:f>
        <x:v>51119999.999999985</x:v>
      </x:c>
      <x:c r="H13" s="35" t="n">
        <x:f>G16</x:f>
        <x:v>22066768.359046992</x:v>
      </x:c>
      <x:c r="I13" s="35" t="n">
        <x:f>H16</x:f>
        <x:v>11304550.31931281</x:v>
      </x:c>
      <x:c r="J13" s="35" t="n">
        <x:f>I16</x:f>
        <x:v>7216862.046772918</x:v>
      </x:c>
      <x:c r="K13" s="35" t="n">
        <x:f>J16</x:f>
        <x:v>5813273.155863315</x:v>
      </x:c>
      <x:c r="L13" s="35" t="n">
        <x:f>K16</x:f>
        <x:v>5454885.454701951</x:v>
      </x:c>
      <x:c r="M13" s="35" t="n">
        <x:f>L16</x:f>
        <x:v>5454885.454701951</x:v>
      </x:c>
      <x:c r="N13" s="35" t="n">
        <x:f>M16</x:f>
        <x:v>5454885.454701951</x:v>
      </x:c>
      <x:c r="O13" s="35" t="n">
        <x:f>N16</x:f>
        <x:v>5454885.454701951</x:v>
      </x:c>
      <x:c r="P13" s="35" t="n">
        <x:f>O16</x:f>
        <x:v>5454885.454701951</x:v>
      </x:c>
      <x:c r="Q13" s="35" t="n">
        <x:f>P16</x:f>
        <x:v>5454885.454701951</x:v>
      </x:c>
      <x:c r="R13" s="35" t="n">
        <x:f>Q16</x:f>
        <x:v>5454885.454701951</x:v>
      </x:c>
      <x:c r="S13" s="35" t="n">
        <x:f>R16</x:f>
        <x:v>5454885.454701951</x:v>
      </x:c>
      <x:c r="T13" s="35" t="n">
        <x:f>S16</x:f>
        <x:v>5454885.454701951</x:v>
      </x:c>
      <x:c r="U13" s="35" t="n">
        <x:f>T16</x:f>
        <x:v>5454885.454701951</x:v>
      </x:c>
      <x:c r="V13" s="35" t="n">
        <x:f>U16</x:f>
        <x:v>5454885.454701951</x:v>
      </x:c>
      <x:c r="W13" s="35" t="n">
        <x:f>V16</x:f>
        <x:v>5454885.454701951</x:v>
      </x:c>
      <x:c r="X13" s="35" t="n">
        <x:f>W16</x:f>
        <x:v>5454885.454701951</x:v>
      </x:c>
      <x:c r="Y13" s="35" t="n">
        <x:f>X16</x:f>
        <x:v>5454885.454701951</x:v>
      </x:c>
      <x:c r="Z13" s="35" t="n">
        <x:f>Y16</x:f>
        <x:v>5454885.454701951</x:v>
      </x:c>
      <x:c r="AA13" s="35" t="n">
        <x:f>Z16</x:f>
        <x:v>5454885.454701951</x:v>
      </x:c>
      <x:c r="AB13" s="35" t="n">
        <x:f>AA16</x:f>
        <x:v>5454885.454701951</x:v>
      </x:c>
      <x:c r="AC13" s="35" t="n">
        <x:f>AB16</x:f>
        <x:v>5454885.454701951</x:v>
      </x:c>
      <x:c r="AD13" s="35" t="n">
        <x:f>AC16</x:f>
        <x:v>5454885.454701951</x:v>
      </x:c>
      <x:c r="AE13" s="35" t="n">
        <x:f>AD16</x:f>
        <x:v>5454885.454701951</x:v>
      </x:c>
      <x:c r="AF13" s="35" t="n">
        <x:f>AE16</x:f>
        <x:v>5454885.454701951</x:v>
      </x:c>
      <x:c r="AG13" s="35" t="n">
        <x:f>AF16</x:f>
        <x:v>5454885.454701951</x:v>
      </x:c>
      <x:c r="AH13" s="35" t="n">
        <x:f>AG16</x:f>
        <x:v>5454885.454701951</x:v>
      </x:c>
      <x:c r="AI13" s="35" t="n">
        <x:f>AH16</x:f>
        <x:v>5454885.454701951</x:v>
      </x:c>
      <x:c r="AJ13" s="35" t="n">
        <x:f>AI16</x:f>
        <x:v>5454885.454701951</x:v>
      </x:c>
      <x:c r="AK13" s="35" t="n">
        <x:f>AJ16</x:f>
        <x:v>5454885.454701951</x:v>
      </x:c>
      <x:c r="AL13" s="35" t="n">
        <x:f>AK16</x:f>
        <x:v>5454885.454701951</x:v>
      </x:c>
      <x:c r="AM13" s="35" t="n">
        <x:f>AL16</x:f>
        <x:v>5454885.454701951</x:v>
      </x:c>
      <x:c r="AN13" s="35" t="n">
        <x:f>AM16</x:f>
        <x:v>5454885.454701951</x:v>
      </x:c>
      <x:c r="AO13" s="35" t="n">
        <x:f>AN16</x:f>
        <x:v>5454885.454701951</x:v>
      </x:c>
      <x:c r="AP13" s="35" t="n">
        <x:f>AO16</x:f>
        <x:v>5454885.454701951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72231641.57907844</x:v>
      </x:c>
      <x:c r="F14" s="2"/>
      <x:c r="G14" s="35" t="n">
        <x:f>SUM(G29:G30)</x:f>
        <x:v>20454113.450241525</x:v>
      </x:c>
      <x:c r="H14" s="35" t="n">
        <x:f>SUM(H29:H30)</x:f>
        <x:v>8682218.178936336</x:v>
      </x:c>
      <x:c r="I14" s="35" t="n">
        <x:f>SUM(I29:I30)</x:f>
        <x:v>4391555.515789839</x:v>
      </x:c>
      <x:c r="J14" s="35" t="n">
        <x:f>SUM(J29:J30)</x:f>
        <x:v>2676547.7500947043</x:v>
      </x:c>
      <x:c r="K14" s="35" t="n">
        <x:f>SUM(K29:K30)</x:f>
        <x:v>2010831.755172461</x:v>
      </x:c>
      <x:c r="L14" s="35" t="n">
        <x:f>SUM(L29:L30)</x:f>
        <x:v>1790335.522570717</x:v>
      </x:c>
      <x:c r="M14" s="35" t="n">
        <x:f>SUM(M29:M30)</x:f>
        <x:v>1790335.522570717</x:v>
      </x:c>
      <x:c r="N14" s="35" t="n">
        <x:f>SUM(N29:N30)</x:f>
        <x:v>1790335.522570717</x:v>
      </x:c>
      <x:c r="O14" s="35" t="n">
        <x:f>SUM(O29:O30)</x:f>
        <x:v>1790335.522570717</x:v>
      </x:c>
      <x:c r="P14" s="35" t="n">
        <x:f>SUM(P29:P30)</x:f>
        <x:v>1790335.522570717</x:v>
      </x:c>
      <x:c r="Q14" s="35" t="n">
        <x:f>SUM(Q29:Q30)</x:f>
        <x:v>1790335.522570717</x:v>
      </x:c>
      <x:c r="R14" s="35" t="n">
        <x:f>SUM(R29:R30)</x:f>
        <x:v>1790335.522570717</x:v>
      </x:c>
      <x:c r="S14" s="35" t="n">
        <x:f>SUM(S29:S30)</x:f>
        <x:v>1790335.522570717</x:v>
      </x:c>
      <x:c r="T14" s="35" t="n">
        <x:f>SUM(T29:T30)</x:f>
        <x:v>1790335.522570717</x:v>
      </x:c>
      <x:c r="U14" s="35" t="n">
        <x:f>SUM(U29:U30)</x:f>
        <x:v>1790335.522570717</x:v>
      </x:c>
      <x:c r="V14" s="35" t="n">
        <x:f>SUM(V29:V30)</x:f>
        <x:v>1790335.522570717</x:v>
      </x:c>
      <x:c r="W14" s="35" t="n">
        <x:f>SUM(W29:W30)</x:f>
        <x:v>1790335.522570717</x:v>
      </x:c>
      <x:c r="X14" s="35" t="n">
        <x:f>SUM(X29:X30)</x:f>
        <x:v>1790335.522570717</x:v>
      </x:c>
      <x:c r="Y14" s="35" t="n">
        <x:f>SUM(Y29:Y30)</x:f>
        <x:v>1790335.522570717</x:v>
      </x:c>
      <x:c r="Z14" s="35" t="n">
        <x:f>SUM(Z29:Z30)</x:f>
        <x:v>1790335.522570717</x:v>
      </x:c>
      <x:c r="AA14" s="35" t="n">
        <x:f>SUM(AA29:AA30)</x:f>
        <x:v>1790335.522570717</x:v>
      </x:c>
      <x:c r="AB14" s="35" t="n">
        <x:f>SUM(AB29:AB30)</x:f>
        <x:v>1790335.522570717</x:v>
      </x:c>
      <x:c r="AC14" s="35" t="n">
        <x:f>SUM(AC29:AC30)</x:f>
        <x:v>1790335.522570717</x:v>
      </x:c>
      <x:c r="AD14" s="35" t="n">
        <x:f>SUM(AD29:AD30)</x:f>
        <x:v>1790335.522570717</x:v>
      </x:c>
      <x:c r="AE14" s="35" t="n">
        <x:f>SUM(AE29:AE30)</x:f>
        <x:v>1790335.522570717</x:v>
      </x:c>
      <x:c r="AF14" s="35" t="n">
        <x:f>SUM(AF29:AF30)</x:f>
        <x:v>1790335.522570717</x:v>
      </x:c>
      <x:c r="AG14" s="35" t="n">
        <x:f>SUM(AG29:AG30)</x:f>
        <x:v>1790335.522570717</x:v>
      </x:c>
      <x:c r="AH14" s="35" t="n">
        <x:f>SUM(AH29:AH30)</x:f>
        <x:v>1790335.522570717</x:v>
      </x:c>
      <x:c r="AI14" s="35" t="n">
        <x:f>SUM(AI29:AI30)</x:f>
        <x:v>1790335.522570717</x:v>
      </x:c>
      <x:c r="AJ14" s="35" t="n">
        <x:f>SUM(AJ29:AJ30)</x:f>
        <x:v>1790335.522570717</x:v>
      </x:c>
      <x:c r="AK14" s="35" t="n">
        <x:f>SUM(AK29:AK30)</x:f>
        <x:v>1790335.522570717</x:v>
      </x:c>
      <x:c r="AL14" s="35" t="n">
        <x:f>SUM(AL29:AL30)</x:f>
        <x:v>1790335.522570717</x:v>
      </x:c>
      <x:c r="AM14" s="35" t="n">
        <x:f>SUM(AM29:AM30)</x:f>
        <x:v>1790335.522570717</x:v>
      </x:c>
      <x:c r="AN14" s="35" t="n">
        <x:f>SUM(AN29:AN30)</x:f>
        <x:v>1790335.522570717</x:v>
      </x:c>
      <x:c r="AO14" s="35" t="n">
        <x:f>SUM(AO29:AO30)</x:f>
        <x:v>1790335.522570717</x:v>
      </x:c>
      <x:c r="AP14" s="35" t="n">
        <x:f>SUM(AP29:AP30)</x:f>
        <x:v>1790335.522570717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38233472.96621955</x:v>
      </x:c>
      <x:c r="F15" s="2"/>
      <x:c r="G15" s="35" t="n">
        <x:f>SUM(G27:G28)</x:f>
        <x:v>11299118.190711468</x:v>
      </x:c>
      <x:c r="H15" s="35" t="n">
        <x:f>SUM(H27:H28)</x:f>
        <x:v>4779999.860797844</x:v>
      </x:c>
      <x:c r="I15" s="35" t="n">
        <x:f>SUM(I27:I28)</x:f>
        <x:v>2396132.7567500533</x:v>
      </x:c>
      <x:c r="J15" s="35" t="n">
        <x:f>SUM(J27:J28)</x:f>
        <x:v>1427041.1408148988</x:v>
      </x:c>
      <x:c r="K15" s="35" t="n">
        <x:f>SUM(K27:K28)</x:f>
        <x:v>1047555.9459889032</x:v>
      </x:c>
      <x:c r="L15" s="35" t="n">
        <x:f>SUM(L27:L28)</x:f>
        <x:v>909664.4774292824</x:v>
      </x:c>
      <x:c r="M15" s="35" t="n">
        <x:f>SUM(M27:M28)</x:f>
        <x:v>909664.4774292824</x:v>
      </x:c>
      <x:c r="N15" s="35" t="n">
        <x:f>SUM(N27:N28)</x:f>
        <x:v>909664.4774292824</x:v>
      </x:c>
      <x:c r="O15" s="35" t="n">
        <x:f>SUM(O27:O28)</x:f>
        <x:v>909664.4774292824</x:v>
      </x:c>
      <x:c r="P15" s="35" t="n">
        <x:f>SUM(P27:P28)</x:f>
        <x:v>909664.4774292824</x:v>
      </x:c>
      <x:c r="Q15" s="35" t="n">
        <x:f>SUM(Q27:Q28)</x:f>
        <x:v>909664.4774292824</x:v>
      </x:c>
      <x:c r="R15" s="35" t="n">
        <x:f>SUM(R27:R28)</x:f>
        <x:v>909664.4774292824</x:v>
      </x:c>
      <x:c r="S15" s="35" t="n">
        <x:f>SUM(S27:S28)</x:f>
        <x:v>909664.4774292824</x:v>
      </x:c>
      <x:c r="T15" s="35" t="n">
        <x:f>SUM(T27:T28)</x:f>
        <x:v>909664.4774292824</x:v>
      </x:c>
      <x:c r="U15" s="35" t="n">
        <x:f>SUM(U27:U28)</x:f>
        <x:v>909664.4774292824</x:v>
      </x:c>
      <x:c r="V15" s="35" t="n">
        <x:f>SUM(V27:V28)</x:f>
        <x:v>909664.4774292824</x:v>
      </x:c>
      <x:c r="W15" s="35" t="n">
        <x:f>SUM(W27:W28)</x:f>
        <x:v>909664.4774292824</x:v>
      </x:c>
      <x:c r="X15" s="35" t="n">
        <x:f>SUM(X27:X28)</x:f>
        <x:v>909664.4774292824</x:v>
      </x:c>
      <x:c r="Y15" s="35" t="n">
        <x:f>SUM(Y27:Y28)</x:f>
        <x:v>909664.4774292824</x:v>
      </x:c>
      <x:c r="Z15" s="35" t="n">
        <x:f>SUM(Z27:Z28)</x:f>
        <x:v>909664.4774292824</x:v>
      </x:c>
      <x:c r="AA15" s="35" t="n">
        <x:f>SUM(AA27:AA28)</x:f>
        <x:v>909664.4774292824</x:v>
      </x:c>
      <x:c r="AB15" s="35" t="n">
        <x:f>SUM(AB27:AB28)</x:f>
        <x:v>909664.4774292824</x:v>
      </x:c>
      <x:c r="AC15" s="35" t="n">
        <x:f>SUM(AC27:AC28)</x:f>
        <x:v>909664.4774292824</x:v>
      </x:c>
      <x:c r="AD15" s="35" t="n">
        <x:f>SUM(AD27:AD28)</x:f>
        <x:v>909664.4774292824</x:v>
      </x:c>
      <x:c r="AE15" s="35" t="n">
        <x:f>SUM(AE27:AE28)</x:f>
        <x:v>909664.4774292824</x:v>
      </x:c>
      <x:c r="AF15" s="35" t="n">
        <x:f>SUM(AF27:AF28)</x:f>
        <x:v>909664.4774292824</x:v>
      </x:c>
      <x:c r="AG15" s="35" t="n">
        <x:f>SUM(AG27:AG28)</x:f>
        <x:v>909664.4774292824</x:v>
      </x:c>
      <x:c r="AH15" s="35" t="n">
        <x:f>SUM(AH27:AH28)</x:f>
        <x:v>909664.4774292824</x:v>
      </x:c>
      <x:c r="AI15" s="35" t="n">
        <x:f>SUM(AI27:AI28)</x:f>
        <x:v>909664.4774292824</x:v>
      </x:c>
      <x:c r="AJ15" s="35" t="n">
        <x:f>SUM(AJ27:AJ28)</x:f>
        <x:v>909664.4774292824</x:v>
      </x:c>
      <x:c r="AK15" s="35" t="n">
        <x:f>SUM(AK27:AK28)</x:f>
        <x:v>909664.4774292824</x:v>
      </x:c>
      <x:c r="AL15" s="35" t="n">
        <x:f>SUM(AL27:AL28)</x:f>
        <x:v>909664.4774292824</x:v>
      </x:c>
      <x:c r="AM15" s="35" t="n">
        <x:f>SUM(AM27:AM28)</x:f>
        <x:v>909664.4774292824</x:v>
      </x:c>
      <x:c r="AN15" s="35" t="n">
        <x:f>SUM(AN27:AN28)</x:f>
        <x:v>909664.4774292824</x:v>
      </x:c>
      <x:c r="AO15" s="35" t="n">
        <x:f>SUM(AO27:AO28)</x:f>
        <x:v>909664.4774292824</x:v>
      </x:c>
      <x:c r="AP15" s="35" t="n">
        <x:f>SUM(AP27:AP28)</x:f>
        <x:v>909664.4774292824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5454885.454701951</x:v>
      </x:c>
      <x:c r="F16" s="42"/>
      <x:c r="G16" s="43" t="n">
        <x:f>G13+G11-G14-G15</x:f>
        <x:v>22066768.359046992</x:v>
      </x:c>
      <x:c r="H16" s="43" t="n">
        <x:f>H13+H11-H14-H15</x:f>
        <x:v>11304550.31931281</x:v>
      </x:c>
      <x:c r="I16" s="43" t="n">
        <x:f>I13+I11-I14-I15</x:f>
        <x:v>7216862.046772918</x:v>
      </x:c>
      <x:c r="J16" s="43" t="n">
        <x:f>J13+J11-J14-J15</x:f>
        <x:v>5813273.155863315</x:v>
      </x:c>
      <x:c r="K16" s="43" t="n">
        <x:f>K13+K11-K14-K15</x:f>
        <x:v>5454885.454701951</x:v>
      </x:c>
      <x:c r="L16" s="43" t="n">
        <x:f>L13+L11-L14-L15</x:f>
        <x:v>5454885.454701951</x:v>
      </x:c>
      <x:c r="M16" s="43" t="n">
        <x:f>M13+M11-M14-M15</x:f>
        <x:v>5454885.454701951</x:v>
      </x:c>
      <x:c r="N16" s="43" t="n">
        <x:f>N13+N11-N14-N15</x:f>
        <x:v>5454885.454701951</x:v>
      </x:c>
      <x:c r="O16" s="43" t="n">
        <x:f>O13+O11-O14-O15</x:f>
        <x:v>5454885.454701951</x:v>
      </x:c>
      <x:c r="P16" s="43" t="n">
        <x:f>P13+P11-P14-P15</x:f>
        <x:v>5454885.454701951</x:v>
      </x:c>
      <x:c r="Q16" s="43" t="n">
        <x:f>Q13+Q11-Q14-Q15</x:f>
        <x:v>5454885.454701951</x:v>
      </x:c>
      <x:c r="R16" s="43" t="n">
        <x:f>R13+R11-R14-R15</x:f>
        <x:v>5454885.454701951</x:v>
      </x:c>
      <x:c r="S16" s="43" t="n">
        <x:f>S13+S11-S14-S15</x:f>
        <x:v>5454885.454701951</x:v>
      </x:c>
      <x:c r="T16" s="43" t="n">
        <x:f>T13+T11-T14-T15</x:f>
        <x:v>5454885.454701951</x:v>
      </x:c>
      <x:c r="U16" s="43" t="n">
        <x:f>U13+U11-U14-U15</x:f>
        <x:v>5454885.454701951</x:v>
      </x:c>
      <x:c r="V16" s="43" t="n">
        <x:f>V13+V11-V14-V15</x:f>
        <x:v>5454885.454701951</x:v>
      </x:c>
      <x:c r="W16" s="43" t="n">
        <x:f>W13+W11-W14-W15</x:f>
        <x:v>5454885.454701951</x:v>
      </x:c>
      <x:c r="X16" s="43" t="n">
        <x:f>X13+X11-X14-X15</x:f>
        <x:v>5454885.454701951</x:v>
      </x:c>
      <x:c r="Y16" s="43" t="n">
        <x:f>Y13+Y11-Y14-Y15</x:f>
        <x:v>5454885.454701951</x:v>
      </x:c>
      <x:c r="Z16" s="43" t="n">
        <x:f>Z13+Z11-Z14-Z15</x:f>
        <x:v>5454885.454701951</x:v>
      </x:c>
      <x:c r="AA16" s="43" t="n">
        <x:f>AA13+AA11-AA14-AA15</x:f>
        <x:v>5454885.454701951</x:v>
      </x:c>
      <x:c r="AB16" s="43" t="n">
        <x:f>AB13+AB11-AB14-AB15</x:f>
        <x:v>5454885.454701951</x:v>
      </x:c>
      <x:c r="AC16" s="43" t="n">
        <x:f>AC13+AC11-AC14-AC15</x:f>
        <x:v>5454885.454701951</x:v>
      </x:c>
      <x:c r="AD16" s="43" t="n">
        <x:f>AD13+AD11-AD14-AD15</x:f>
        <x:v>5454885.454701951</x:v>
      </x:c>
      <x:c r="AE16" s="43" t="n">
        <x:f>AE13+AE11-AE14-AE15</x:f>
        <x:v>5454885.454701951</x:v>
      </x:c>
      <x:c r="AF16" s="43" t="n">
        <x:f>AF13+AF11-AF14-AF15</x:f>
        <x:v>5454885.454701951</x:v>
      </x:c>
      <x:c r="AG16" s="43" t="n">
        <x:f>AG13+AG11-AG14-AG15</x:f>
        <x:v>5454885.454701951</x:v>
      </x:c>
      <x:c r="AH16" s="43" t="n">
        <x:f>AH13+AH11-AH14-AH15</x:f>
        <x:v>5454885.454701951</x:v>
      </x:c>
      <x:c r="AI16" s="43" t="n">
        <x:f>AI13+AI11-AI14-AI15</x:f>
        <x:v>5454885.454701951</x:v>
      </x:c>
      <x:c r="AJ16" s="43" t="n">
        <x:f>AJ13+AJ11-AJ14-AJ15</x:f>
        <x:v>5454885.454701951</x:v>
      </x:c>
      <x:c r="AK16" s="43" t="n">
        <x:f>AK13+AK11-AK14-AK15</x:f>
        <x:v>5454885.454701951</x:v>
      </x:c>
      <x:c r="AL16" s="43" t="n">
        <x:f>AL13+AL11-AL14-AL15</x:f>
        <x:v>5454885.454701951</x:v>
      </x:c>
      <x:c r="AM16" s="43" t="n">
        <x:f>AM13+AM11-AM14-AM15</x:f>
        <x:v>5454885.454701951</x:v>
      </x:c>
      <x:c r="AN16" s="43" t="n">
        <x:f>AN13+AN11-AN14-AN15</x:f>
        <x:v>5454885.454701951</x:v>
      </x:c>
      <x:c r="AO16" s="43" t="n">
        <x:f>AO13+AO11-AO14-AO15</x:f>
        <x:v>5454885.454701951</x:v>
      </x:c>
      <x:c r="AP16" s="43" t="n">
        <x:f>AP13+AP11-AP14-AP15</x:f>
        <x:v>5454885.454701951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18286667.133780576</x:v>
      </x:c>
      <x:c r="F18" s="2"/>
      <x:c r="G18" s="35" t="n">
        <x:f>$E$48</x:f>
        <x:v>18286667.133780576</x:v>
      </x:c>
      <x:c r="H18" s="35" t="n">
        <x:f>G20</x:f>
        <x:v>7897213.42049839</x:v>
      </x:c>
      <x:c r="I18" s="35" t="n">
        <x:f>H20</x:f>
        <x:v>4026878.037129828</x:v>
      </x:c>
      <x:c r="J18" s="35" t="n">
        <x:f>I20</x:f>
        <x:v>2540409.7578090574</x:v>
      </x:c>
      <x:c r="K18" s="35" t="n">
        <x:f>J20</x:f>
        <x:v>2023033.094423441</x:v>
      </x:c>
      <x:c r="L18" s="35" t="n">
        <x:f>K20</x:f>
        <x:v>1885141.6258638203</x:v>
      </x:c>
      <x:c r="M18" s="35" t="n">
        <x:f>L20</x:f>
        <x:v>1885141.6258638203</x:v>
      </x:c>
      <x:c r="N18" s="35" t="n">
        <x:f>M20</x:f>
        <x:v>1885141.6258638203</x:v>
      </x:c>
      <x:c r="O18" s="35" t="n">
        <x:f>N20</x:f>
        <x:v>1885141.6258638203</x:v>
      </x:c>
      <x:c r="P18" s="35" t="n">
        <x:f>O20</x:f>
        <x:v>1885141.6258638203</x:v>
      </x:c>
      <x:c r="Q18" s="35" t="n">
        <x:f>P20</x:f>
        <x:v>1885141.6258638203</x:v>
      </x:c>
      <x:c r="R18" s="35" t="n">
        <x:f>Q20</x:f>
        <x:v>1885141.6258638203</x:v>
      </x:c>
      <x:c r="S18" s="35" t="n">
        <x:f>R20</x:f>
        <x:v>1885141.6258638203</x:v>
      </x:c>
      <x:c r="T18" s="35" t="n">
        <x:f>S20</x:f>
        <x:v>1885141.6258638203</x:v>
      </x:c>
      <x:c r="U18" s="35" t="n">
        <x:f>T20</x:f>
        <x:v>1885141.6258638203</x:v>
      </x:c>
      <x:c r="V18" s="35" t="n">
        <x:f>U20</x:f>
        <x:v>1885141.6258638203</x:v>
      </x:c>
      <x:c r="W18" s="35" t="n">
        <x:f>V20</x:f>
        <x:v>1885141.6258638203</x:v>
      </x:c>
      <x:c r="X18" s="35" t="n">
        <x:f>W20</x:f>
        <x:v>1885141.6258638203</x:v>
      </x:c>
      <x:c r="Y18" s="35" t="n">
        <x:f>X20</x:f>
        <x:v>1885141.6258638203</x:v>
      </x:c>
      <x:c r="Z18" s="35" t="n">
        <x:f>Y20</x:f>
        <x:v>1885141.6258638203</x:v>
      </x:c>
      <x:c r="AA18" s="35" t="n">
        <x:f>Z20</x:f>
        <x:v>1885141.6258638203</x:v>
      </x:c>
      <x:c r="AB18" s="35" t="n">
        <x:f>AA20</x:f>
        <x:v>1885141.6258638203</x:v>
      </x:c>
      <x:c r="AC18" s="35" t="n">
        <x:f>AB20</x:f>
        <x:v>1885141.6258638203</x:v>
      </x:c>
      <x:c r="AD18" s="35" t="n">
        <x:f>AC20</x:f>
        <x:v>1885141.6258638203</x:v>
      </x:c>
      <x:c r="AE18" s="35" t="n">
        <x:f>AD20</x:f>
        <x:v>1885141.6258638203</x:v>
      </x:c>
      <x:c r="AF18" s="35" t="n">
        <x:f>AE20</x:f>
        <x:v>1885141.6258638203</x:v>
      </x:c>
      <x:c r="AG18" s="35" t="n">
        <x:f>AF20</x:f>
        <x:v>1885141.6258638203</x:v>
      </x:c>
      <x:c r="AH18" s="35" t="n">
        <x:f>AG20</x:f>
        <x:v>1885141.6258638203</x:v>
      </x:c>
      <x:c r="AI18" s="35" t="n">
        <x:f>AH20</x:f>
        <x:v>1885141.6258638203</x:v>
      </x:c>
      <x:c r="AJ18" s="35" t="n">
        <x:f>AI20</x:f>
        <x:v>1885141.6258638203</x:v>
      </x:c>
      <x:c r="AK18" s="35" t="n">
        <x:f>AJ20</x:f>
        <x:v>1885141.6258638203</x:v>
      </x:c>
      <x:c r="AL18" s="35" t="n">
        <x:f>AK20</x:f>
        <x:v>1885141.6258638203</x:v>
      </x:c>
      <x:c r="AM18" s="35" t="n">
        <x:f>AL20</x:f>
        <x:v>1885141.6258638203</x:v>
      </x:c>
      <x:c r="AN18" s="35" t="n">
        <x:f>AM20</x:f>
        <x:v>1885141.6258638203</x:v>
      </x:c>
      <x:c r="AO18" s="35" t="n">
        <x:f>AN20</x:f>
        <x:v>1885141.6258638203</x:v>
      </x:c>
      <x:c r="AP18" s="35" t="n">
        <x:f>AO20</x:f>
        <x:v>1885141.6258638203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21831947.458302774</x:v>
      </x:c>
      <x:c r="F19" s="2"/>
      <x:c r="G19" s="35" t="n">
        <x:f>G11*$E$49</x:f>
        <x:v>909664.4774292825</x:v>
      </x:c>
      <x:c r="H19" s="35" t="n">
        <x:f>H11*$E$49</x:f>
        <x:v>909664.4774292825</x:v>
      </x:c>
      <x:c r="I19" s="35" t="n">
        <x:f>I11*$E$49</x:f>
        <x:v>909664.4774292825</x:v>
      </x:c>
      <x:c r="J19" s="35" t="n">
        <x:f>J11*$E$49</x:f>
        <x:v>909664.4774292825</x:v>
      </x:c>
      <x:c r="K19" s="35" t="n">
        <x:f>K11*$E$49</x:f>
        <x:v>909664.4774292825</x:v>
      </x:c>
      <x:c r="L19" s="35" t="n">
        <x:f>L11*$E$49</x:f>
        <x:v>909664.4774292825</x:v>
      </x:c>
      <x:c r="M19" s="35" t="n">
        <x:f>M11*$E$49</x:f>
        <x:v>909664.4774292825</x:v>
      </x:c>
      <x:c r="N19" s="35" t="n">
        <x:f>N11*$E$49</x:f>
        <x:v>909664.4774292825</x:v>
      </x:c>
      <x:c r="O19" s="35" t="n">
        <x:f>O11*$E$49</x:f>
        <x:v>909664.4774292825</x:v>
      </x:c>
      <x:c r="P19" s="35" t="n">
        <x:f>P11*$E$49</x:f>
        <x:v>909664.4774292825</x:v>
      </x:c>
      <x:c r="Q19" s="35" t="n">
        <x:f>Q11*$E$49</x:f>
        <x:v>909664.4774292825</x:v>
      </x:c>
      <x:c r="R19" s="35" t="n">
        <x:f>R11*$E$49</x:f>
        <x:v>909664.4774292825</x:v>
      </x:c>
      <x:c r="S19" s="35" t="n">
        <x:f>S11*$E$49</x:f>
        <x:v>909664.4774292825</x:v>
      </x:c>
      <x:c r="T19" s="35" t="n">
        <x:f>T11*$E$49</x:f>
        <x:v>909664.4774292825</x:v>
      </x:c>
      <x:c r="U19" s="35" t="n">
        <x:f>U11*$E$49</x:f>
        <x:v>909664.4774292825</x:v>
      </x:c>
      <x:c r="V19" s="35" t="n">
        <x:f>V11*$E$49</x:f>
        <x:v>909664.4774292825</x:v>
      </x:c>
      <x:c r="W19" s="35" t="n">
        <x:f>W11*$E$49</x:f>
        <x:v>909664.4774292825</x:v>
      </x:c>
      <x:c r="X19" s="35" t="n">
        <x:f>X11*$E$49</x:f>
        <x:v>909664.4774292825</x:v>
      </x:c>
      <x:c r="Y19" s="35" t="n">
        <x:f>Y11*$E$49</x:f>
        <x:v>909664.4774292825</x:v>
      </x:c>
      <x:c r="Z19" s="35" t="n">
        <x:f>Z11*$E$49</x:f>
        <x:v>909664.4774292825</x:v>
      </x:c>
      <x:c r="AA19" s="35" t="n">
        <x:f>AA11*$E$49</x:f>
        <x:v>909664.4774292825</x:v>
      </x:c>
      <x:c r="AB19" s="35" t="n">
        <x:f>AB11*$E$49</x:f>
        <x:v>909664.4774292825</x:v>
      </x:c>
      <x:c r="AC19" s="35" t="n">
        <x:f>AC11*$E$49</x:f>
        <x:v>909664.4774292825</x:v>
      </x:c>
      <x:c r="AD19" s="35" t="n">
        <x:f>AD11*$E$49</x:f>
        <x:v>909664.4774292825</x:v>
      </x:c>
      <x:c r="AE19" s="35" t="n">
        <x:f>AE11*$E$49</x:f>
        <x:v>909664.4774292825</x:v>
      </x:c>
      <x:c r="AF19" s="35" t="n">
        <x:f>AF11*$E$49</x:f>
        <x:v>909664.4774292825</x:v>
      </x:c>
      <x:c r="AG19" s="35" t="n">
        <x:f>AG11*$E$49</x:f>
        <x:v>909664.4774292825</x:v>
      </x:c>
      <x:c r="AH19" s="35" t="n">
        <x:f>AH11*$E$49</x:f>
        <x:v>909664.4774292825</x:v>
      </x:c>
      <x:c r="AI19" s="35" t="n">
        <x:f>AI11*$E$49</x:f>
        <x:v>909664.4774292825</x:v>
      </x:c>
      <x:c r="AJ19" s="35" t="n">
        <x:f>AJ11*$E$49</x:f>
        <x:v>909664.4774292825</x:v>
      </x:c>
      <x:c r="AK19" s="35" t="n">
        <x:f>AK11*$E$49</x:f>
        <x:v>909664.4774292825</x:v>
      </x:c>
      <x:c r="AL19" s="35" t="n">
        <x:f>AL11*$E$49</x:f>
        <x:v>909664.4774292825</x:v>
      </x:c>
      <x:c r="AM19" s="35" t="n">
        <x:f>AM11*$E$49</x:f>
        <x:v>909664.4774292825</x:v>
      </x:c>
      <x:c r="AN19" s="35" t="n">
        <x:f>AN11*$E$49</x:f>
        <x:v>909664.4774292825</x:v>
      </x:c>
      <x:c r="AO19" s="35" t="n">
        <x:f>AO11*$E$49</x:f>
        <x:v>909664.4774292825</x:v>
      </x:c>
      <x:c r="AP19" s="35" t="n">
        <x:f>AP11*$E$49</x:f>
        <x:v>909664.4774292825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1885141.6258638203</x:v>
      </x:c>
      <x:c r="F20" s="42"/>
      <x:c r="G20" s="43" t="n">
        <x:f>G18+G19-G15</x:f>
        <x:v>7897213.42049839</x:v>
      </x:c>
      <x:c r="H20" s="43" t="n">
        <x:f>H18+H19-H15</x:f>
        <x:v>4026878.037129828</x:v>
      </x:c>
      <x:c r="I20" s="43" t="n">
        <x:f>I18+I19-I15</x:f>
        <x:v>2540409.7578090574</x:v>
      </x:c>
      <x:c r="J20" s="43" t="n">
        <x:f>J18+J19-J15</x:f>
        <x:v>2023033.094423441</x:v>
      </x:c>
      <x:c r="K20" s="43" t="n">
        <x:f>K18+K19-K15</x:f>
        <x:v>1885141.6258638203</x:v>
      </x:c>
      <x:c r="L20" s="43" t="n">
        <x:f>L18+L19-L15</x:f>
        <x:v>1885141.6258638203</x:v>
      </x:c>
      <x:c r="M20" s="43" t="n">
        <x:f>M18+M19-M15</x:f>
        <x:v>1885141.6258638203</x:v>
      </x:c>
      <x:c r="N20" s="43" t="n">
        <x:f>N18+N19-N15</x:f>
        <x:v>1885141.6258638203</x:v>
      </x:c>
      <x:c r="O20" s="43" t="n">
        <x:f>O18+O19-O15</x:f>
        <x:v>1885141.6258638203</x:v>
      </x:c>
      <x:c r="P20" s="43" t="n">
        <x:f>P18+P19-P15</x:f>
        <x:v>1885141.6258638203</x:v>
      </x:c>
      <x:c r="Q20" s="43" t="n">
        <x:f>Q18+Q19-Q15</x:f>
        <x:v>1885141.6258638203</x:v>
      </x:c>
      <x:c r="R20" s="43" t="n">
        <x:f>R18+R19-R15</x:f>
        <x:v>1885141.6258638203</x:v>
      </x:c>
      <x:c r="S20" s="43" t="n">
        <x:f>S18+S19-S15</x:f>
        <x:v>1885141.6258638203</x:v>
      </x:c>
      <x:c r="T20" s="43" t="n">
        <x:f>T18+T19-T15</x:f>
        <x:v>1885141.6258638203</x:v>
      </x:c>
      <x:c r="U20" s="43" t="n">
        <x:f>U18+U19-U15</x:f>
        <x:v>1885141.6258638203</x:v>
      </x:c>
      <x:c r="V20" s="43" t="n">
        <x:f>V18+V19-V15</x:f>
        <x:v>1885141.6258638203</x:v>
      </x:c>
      <x:c r="W20" s="43" t="n">
        <x:f>W18+W19-W15</x:f>
        <x:v>1885141.6258638203</x:v>
      </x:c>
      <x:c r="X20" s="43" t="n">
        <x:f>X18+X19-X15</x:f>
        <x:v>1885141.6258638203</x:v>
      </x:c>
      <x:c r="Y20" s="43" t="n">
        <x:f>Y18+Y19-Y15</x:f>
        <x:v>1885141.6258638203</x:v>
      </x:c>
      <x:c r="Z20" s="43" t="n">
        <x:f>Z18+Z19-Z15</x:f>
        <x:v>1885141.6258638203</x:v>
      </x:c>
      <x:c r="AA20" s="43" t="n">
        <x:f>AA18+AA19-AA15</x:f>
        <x:v>1885141.6258638203</x:v>
      </x:c>
      <x:c r="AB20" s="43" t="n">
        <x:f>AB18+AB19-AB15</x:f>
        <x:v>1885141.6258638203</x:v>
      </x:c>
      <x:c r="AC20" s="43" t="n">
        <x:f>AC18+AC19-AC15</x:f>
        <x:v>1885141.6258638203</x:v>
      </x:c>
      <x:c r="AD20" s="43" t="n">
        <x:f>AD18+AD19-AD15</x:f>
        <x:v>1885141.6258638203</x:v>
      </x:c>
      <x:c r="AE20" s="43" t="n">
        <x:f>AE18+AE19-AE15</x:f>
        <x:v>1885141.6258638203</x:v>
      </x:c>
      <x:c r="AF20" s="43" t="n">
        <x:f>AF18+AF19-AF15</x:f>
        <x:v>1885141.6258638203</x:v>
      </x:c>
      <x:c r="AG20" s="43" t="n">
        <x:f>AG18+AG19-AG15</x:f>
        <x:v>1885141.6258638203</x:v>
      </x:c>
      <x:c r="AH20" s="43" t="n">
        <x:f>AH18+AH19-AH15</x:f>
        <x:v>1885141.6258638203</x:v>
      </x:c>
      <x:c r="AI20" s="43" t="n">
        <x:f>AI18+AI19-AI15</x:f>
        <x:v>1885141.6258638203</x:v>
      </x:c>
      <x:c r="AJ20" s="43" t="n">
        <x:f>AJ18+AJ19-AJ15</x:f>
        <x:v>1885141.6258638203</x:v>
      </x:c>
      <x:c r="AK20" s="43" t="n">
        <x:f>AK18+AK19-AK15</x:f>
        <x:v>1885141.6258638203</x:v>
      </x:c>
      <x:c r="AL20" s="43" t="n">
        <x:f>AL18+AL19-AL15</x:f>
        <x:v>1885141.6258638203</x:v>
      </x:c>
      <x:c r="AM20" s="43" t="n">
        <x:f>AM18+AM19-AM15</x:f>
        <x:v>1885141.6258638203</x:v>
      </x:c>
      <x:c r="AN20" s="43" t="n">
        <x:f>AN18+AN19-AN15</x:f>
        <x:v>1885141.6258638203</x:v>
      </x:c>
      <x:c r="AO20" s="43" t="n">
        <x:f>AO18+AO19-AO15</x:f>
        <x:v>1885141.6258638203</x:v>
      </x:c>
      <x:c r="AP20" s="43" t="n">
        <x:f>AP18+AP19-AP15</x:f>
        <x:v>1885141.6258638203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3569743.8288381305</x:v>
      </x:c>
      <x:c r="F21" s="42"/>
      <x:c r="G21" s="43" t="n">
        <x:f>G16-G20</x:f>
        <x:v>14169554.938548602</x:v>
      </x:c>
      <x:c r="H21" s="43" t="n">
        <x:f>H16-H20</x:f>
        <x:v>7277672.282182983</x:v>
      </x:c>
      <x:c r="I21" s="43" t="n">
        <x:f>I16-I20</x:f>
        <x:v>4676452.28896386</x:v>
      </x:c>
      <x:c r="J21" s="43" t="n">
        <x:f>J16-J20</x:f>
        <x:v>3790240.0614398737</x:v>
      </x:c>
      <x:c r="K21" s="43" t="n">
        <x:f>K16-K20</x:f>
        <x:v>3569743.8288381305</x:v>
      </x:c>
      <x:c r="L21" s="43" t="n">
        <x:f>L16-L20</x:f>
        <x:v>3569743.8288381305</x:v>
      </x:c>
      <x:c r="M21" s="43" t="n">
        <x:f>M16-M20</x:f>
        <x:v>3569743.8288381305</x:v>
      </x:c>
      <x:c r="N21" s="43" t="n">
        <x:f>N16-N20</x:f>
        <x:v>3569743.8288381305</x:v>
      </x:c>
      <x:c r="O21" s="43" t="n">
        <x:f>O16-O20</x:f>
        <x:v>3569743.8288381305</x:v>
      </x:c>
      <x:c r="P21" s="43" t="n">
        <x:f>P16-P20</x:f>
        <x:v>3569743.8288381305</x:v>
      </x:c>
      <x:c r="Q21" s="43" t="n">
        <x:f>Q16-Q20</x:f>
        <x:v>3569743.8288381305</x:v>
      </x:c>
      <x:c r="R21" s="43" t="n">
        <x:f>R16-R20</x:f>
        <x:v>3569743.8288381305</x:v>
      </x:c>
      <x:c r="S21" s="43" t="n">
        <x:f>S16-S20</x:f>
        <x:v>3569743.8288381305</x:v>
      </x:c>
      <x:c r="T21" s="43" t="n">
        <x:f>T16-T20</x:f>
        <x:v>3569743.8288381305</x:v>
      </x:c>
      <x:c r="U21" s="43" t="n">
        <x:f>U16-U20</x:f>
        <x:v>3569743.8288381305</x:v>
      </x:c>
      <x:c r="V21" s="43" t="n">
        <x:f>V16-V20</x:f>
        <x:v>3569743.8288381305</x:v>
      </x:c>
      <x:c r="W21" s="43" t="n">
        <x:f>W16-W20</x:f>
        <x:v>3569743.8288381305</x:v>
      </x:c>
      <x:c r="X21" s="43" t="n">
        <x:f>X16-X20</x:f>
        <x:v>3569743.8288381305</x:v>
      </x:c>
      <x:c r="Y21" s="43" t="n">
        <x:f>Y16-Y20</x:f>
        <x:v>3569743.8288381305</x:v>
      </x:c>
      <x:c r="Z21" s="43" t="n">
        <x:f>Z16-Z20</x:f>
        <x:v>3569743.8288381305</x:v>
      </x:c>
      <x:c r="AA21" s="43" t="n">
        <x:f>AA16-AA20</x:f>
        <x:v>3569743.8288381305</x:v>
      </x:c>
      <x:c r="AB21" s="43" t="n">
        <x:f>AB16-AB20</x:f>
        <x:v>3569743.8288381305</x:v>
      </x:c>
      <x:c r="AC21" s="43" t="n">
        <x:f>AC16-AC20</x:f>
        <x:v>3569743.8288381305</x:v>
      </x:c>
      <x:c r="AD21" s="43" t="n">
        <x:f>AD16-AD20</x:f>
        <x:v>3569743.8288381305</x:v>
      </x:c>
      <x:c r="AE21" s="43" t="n">
        <x:f>AE16-AE20</x:f>
        <x:v>3569743.8288381305</x:v>
      </x:c>
      <x:c r="AF21" s="43" t="n">
        <x:f>AF16-AF20</x:f>
        <x:v>3569743.8288381305</x:v>
      </x:c>
      <x:c r="AG21" s="43" t="n">
        <x:f>AG16-AG20</x:f>
        <x:v>3569743.8288381305</x:v>
      </x:c>
      <x:c r="AH21" s="43" t="n">
        <x:f>AH16-AH20</x:f>
        <x:v>3569743.8288381305</x:v>
      </x:c>
      <x:c r="AI21" s="43" t="n">
        <x:f>AI16-AI20</x:f>
        <x:v>3569743.8288381305</x:v>
      </x:c>
      <x:c r="AJ21" s="43" t="n">
        <x:f>AJ16-AJ20</x:f>
        <x:v>3569743.8288381305</x:v>
      </x:c>
      <x:c r="AK21" s="43" t="n">
        <x:f>AK16-AK20</x:f>
        <x:v>3569743.8288381305</x:v>
      </x:c>
      <x:c r="AL21" s="43" t="n">
        <x:f>AL16-AL20</x:f>
        <x:v>3569743.8288381305</x:v>
      </x:c>
      <x:c r="AM21" s="43" t="n">
        <x:f>AM16-AM20</x:f>
        <x:v>3569743.8288381305</x:v>
      </x:c>
      <x:c r="AN21" s="43" t="n">
        <x:f>AN16-AN20</x:f>
        <x:v>3569743.8288381305</x:v>
      </x:c>
      <x:c r="AO21" s="43" t="n">
        <x:f>AO16-AO20</x:f>
        <x:v>3569743.8288381305</x:v>
      </x:c>
      <x:c r="AP21" s="43" t="n">
        <x:f>AP16-AP20</x:f>
        <x:v>3569743.8288381305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'Assumptions'!$E$15</x:f>
        <x:v>1</x:v>
      </x:c>
      <x:c r="H23" s="33" t="n">
        <x:f>'Assumptions'!$E$15</x:f>
        <x:v>1</x:v>
      </x:c>
      <x:c r="I23" s="33" t="n">
        <x:f>'Assumptions'!$E$15</x:f>
        <x:v>1</x:v>
      </x:c>
      <x:c r="J23" s="33" t="n">
        <x:f>'Assumptions'!$E$15</x:f>
        <x:v>1</x:v>
      </x:c>
      <x:c r="K23" s="33" t="n">
        <x:f>'Assumptions'!$E$15</x:f>
        <x:v>1</x:v>
      </x:c>
      <x:c r="L23" s="33" t="n">
        <x:f>'Assumptions'!$E$15</x:f>
        <x:v>1</x:v>
      </x:c>
      <x:c r="M23" s="33" t="n">
        <x:f>'Assumptions'!$E$15</x:f>
        <x:v>1</x:v>
      </x:c>
      <x:c r="N23" s="33" t="n">
        <x:f>'Assumptions'!$E$15</x:f>
        <x:v>1</x:v>
      </x:c>
      <x:c r="O23" s="33" t="n">
        <x:f>'Assumptions'!$E$15</x:f>
        <x:v>1</x:v>
      </x:c>
      <x:c r="P23" s="33" t="n">
        <x:f>'Assumptions'!$E$15</x:f>
        <x:v>1</x:v>
      </x:c>
      <x:c r="Q23" s="33" t="n">
        <x:f>'Assumptions'!$E$15</x:f>
        <x:v>1</x:v>
      </x:c>
      <x:c r="R23" s="33" t="n">
        <x:f>'Assumptions'!$E$15</x:f>
        <x:v>1</x:v>
      </x:c>
      <x:c r="S23" s="33" t="n">
        <x:f>'Assumptions'!$E$15</x:f>
        <x:v>1</x:v>
      </x:c>
      <x:c r="T23" s="33" t="n">
        <x:f>'Assumptions'!$E$15</x:f>
        <x:v>1</x:v>
      </x:c>
      <x:c r="U23" s="33" t="n">
        <x:f>'Assumptions'!$E$15</x:f>
        <x:v>1</x:v>
      </x:c>
      <x:c r="V23" s="33" t="n">
        <x:f>'Assumptions'!$E$15</x:f>
        <x:v>1</x:v>
      </x:c>
      <x:c r="W23" s="33" t="n">
        <x:f>'Assumptions'!$E$15</x:f>
        <x:v>1</x:v>
      </x:c>
      <x:c r="X23" s="33" t="n">
        <x:f>'Assumptions'!$E$15</x:f>
        <x:v>1</x:v>
      </x:c>
      <x:c r="Y23" s="33" t="n">
        <x:f>'Assumptions'!$E$15</x:f>
        <x:v>1</x:v>
      </x:c>
      <x:c r="Z23" s="33" t="n">
        <x:f>'Assumptions'!$E$15</x:f>
        <x:v>1</x:v>
      </x:c>
      <x:c r="AA23" s="33" t="n">
        <x:f>'Assumptions'!$E$15</x:f>
        <x:v>1</x:v>
      </x:c>
      <x:c r="AB23" s="33" t="n">
        <x:f>'Assumptions'!$E$15</x:f>
        <x:v>1</x:v>
      </x:c>
      <x:c r="AC23" s="33" t="n">
        <x:f>'Assumptions'!$E$15</x:f>
        <x:v>1</x:v>
      </x:c>
      <x:c r="AD23" s="33" t="n">
        <x:f>'Assumptions'!$E$15</x:f>
        <x:v>1</x:v>
      </x:c>
      <x:c r="AE23" s="33" t="n">
        <x:f>'Assumptions'!$E$15</x:f>
        <x:v>1</x:v>
      </x:c>
      <x:c r="AF23" s="33" t="n">
        <x:f>'Assumptions'!$E$15</x:f>
        <x:v>1</x:v>
      </x:c>
      <x:c r="AG23" s="33" t="n">
        <x:f>'Assumptions'!$E$15</x:f>
        <x:v>1</x:v>
      </x:c>
      <x:c r="AH23" s="33" t="n">
        <x:f>'Assumptions'!$E$15</x:f>
        <x:v>1</x:v>
      </x:c>
      <x:c r="AI23" s="33" t="n">
        <x:f>'Assumptions'!$E$15</x:f>
        <x:v>1</x:v>
      </x:c>
      <x:c r="AJ23" s="33" t="n">
        <x:f>'Assumptions'!$E$15</x:f>
        <x:v>1</x:v>
      </x:c>
      <x:c r="AK23" s="33" t="n">
        <x:f>'Assumptions'!$E$15</x:f>
        <x:v>1</x:v>
      </x:c>
      <x:c r="AL23" s="33" t="n">
        <x:f>'Assumptions'!$E$15</x:f>
        <x:v>1</x:v>
      </x:c>
      <x:c r="AM23" s="33" t="n">
        <x:f>'Assumptions'!$E$15</x:f>
        <x:v>1</x:v>
      </x:c>
      <x:c r="AN23" s="33" t="n">
        <x:f>'Assumptions'!$E$15</x:f>
        <x:v>1</x:v>
      </x:c>
      <x:c r="AO23" s="33" t="n">
        <x:f>'Assumptions'!$E$15</x:f>
        <x:v>1</x:v>
      </x:c>
      <x:c r="AP23" s="33" t="n">
        <x:f>'Assumptions'!$E$15</x:f>
        <x:v>1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13577567.04617614</x:v>
      </x:c>
      <x:c r="F24" s="42"/>
      <x:c r="G24" s="43" t="n">
        <x:f>(G13-G15)*G23/12</x:f>
        <x:v>3318406.8174407096</x:v>
      </x:c>
      <x:c r="H24" s="43" t="n">
        <x:f>(H13-H15)*H23/12</x:f>
        <x:v>1440564.0415207623</x:v>
      </x:c>
      <x:c r="I24" s="43" t="n">
        <x:f>(I13-I15)*I23/12</x:f>
        <x:v>742368.1302135632</x:v>
      </x:c>
      <x:c r="J24" s="43" t="n">
        <x:f>(J13-J15)*J23/12</x:f>
        <x:v>482485.0754965016</x:v>
      </x:c>
      <x:c r="K24" s="43" t="n">
        <x:f>(K13-K15)*K23/12</x:f>
        <x:v>397143.10082286765</x:v>
      </x:c>
      <x:c r="L24" s="43" t="n">
        <x:f>(L13-L15)*L23/12</x:f>
        <x:v>378768.4147727224</x:v>
      </x:c>
      <x:c r="M24" s="43" t="n">
        <x:f>(M13-M15)*M23/12</x:f>
        <x:v>378768.4147727224</x:v>
      </x:c>
      <x:c r="N24" s="43" t="n">
        <x:f>(N13-N15)*N23/12</x:f>
        <x:v>378768.4147727224</x:v>
      </x:c>
      <x:c r="O24" s="43" t="n">
        <x:f>(O13-O15)*O23/12</x:f>
        <x:v>378768.4147727224</x:v>
      </x:c>
      <x:c r="P24" s="43" t="n">
        <x:f>(P13-P15)*P23/12</x:f>
        <x:v>378768.4147727224</x:v>
      </x:c>
      <x:c r="Q24" s="43" t="n">
        <x:f>(Q13-Q15)*Q23/12</x:f>
        <x:v>378768.4147727224</x:v>
      </x:c>
      <x:c r="R24" s="43" t="n">
        <x:f>(R13-R15)*R23/12</x:f>
        <x:v>378768.4147727224</x:v>
      </x:c>
      <x:c r="S24" s="43" t="n">
        <x:f>(S13-S15)*S23/12</x:f>
        <x:v>378768.4147727224</x:v>
      </x:c>
      <x:c r="T24" s="43" t="n">
        <x:f>(T13-T15)*T23/12</x:f>
        <x:v>378768.4147727224</x:v>
      </x:c>
      <x:c r="U24" s="43" t="n">
        <x:f>(U13-U15)*U23/12</x:f>
        <x:v>378768.4147727224</x:v>
      </x:c>
      <x:c r="V24" s="43" t="n">
        <x:f>(V13-V15)*V23/12</x:f>
        <x:v>378768.4147727224</x:v>
      </x:c>
      <x:c r="W24" s="43" t="n">
        <x:f>(W13-W15)*W23/12</x:f>
        <x:v>378768.4147727224</x:v>
      </x:c>
      <x:c r="X24" s="43" t="n">
        <x:f>(X13-X15)*X23/12</x:f>
        <x:v>378768.4147727224</x:v>
      </x:c>
      <x:c r="Y24" s="43" t="n">
        <x:f>(Y13-Y15)*Y23/12</x:f>
        <x:v>378768.4147727224</x:v>
      </x:c>
      <x:c r="Z24" s="43" t="n">
        <x:f>(Z13-Z15)*Z23/12</x:f>
        <x:v>378768.4147727224</x:v>
      </x:c>
      <x:c r="AA24" s="43" t="n">
        <x:f>(AA13-AA15)*AA23/12</x:f>
        <x:v>378768.4147727224</x:v>
      </x:c>
      <x:c r="AB24" s="43" t="n">
        <x:f>(AB13-AB15)*AB23/12</x:f>
        <x:v>378768.4147727224</x:v>
      </x:c>
      <x:c r="AC24" s="43" t="n">
        <x:f>(AC13-AC15)*AC23/12</x:f>
        <x:v>378768.4147727224</x:v>
      </x:c>
      <x:c r="AD24" s="43" t="n">
        <x:f>(AD13-AD15)*AD23/12</x:f>
        <x:v>378768.4147727224</x:v>
      </x:c>
      <x:c r="AE24" s="43" t="n">
        <x:f>(AE13-AE15)*AE23/12</x:f>
        <x:v>378768.4147727224</x:v>
      </x:c>
      <x:c r="AF24" s="43" t="n">
        <x:f>(AF13-AF15)*AF23/12</x:f>
        <x:v>378768.4147727224</x:v>
      </x:c>
      <x:c r="AG24" s="43" t="n">
        <x:f>(AG13-AG15)*AG23/12</x:f>
        <x:v>378768.4147727224</x:v>
      </x:c>
      <x:c r="AH24" s="43" t="n">
        <x:f>(AH13-AH15)*AH23/12</x:f>
        <x:v>378768.4147727224</x:v>
      </x:c>
      <x:c r="AI24" s="43" t="n">
        <x:f>(AI13-AI15)*AI23/12</x:f>
        <x:v>378768.4147727224</x:v>
      </x:c>
      <x:c r="AJ24" s="43" t="n">
        <x:f>(AJ13-AJ15)*AJ23/12</x:f>
        <x:v>378768.4147727224</x:v>
      </x:c>
      <x:c r="AK24" s="43" t="n">
        <x:f>(AK13-AK15)*AK23/12</x:f>
        <x:v>378768.4147727224</x:v>
      </x:c>
      <x:c r="AL24" s="43" t="n">
        <x:f>(AL13-AL15)*AL23/12</x:f>
        <x:v>378768.4147727224</x:v>
      </x:c>
      <x:c r="AM24" s="43" t="n">
        <x:f>(AM13-AM15)*AM23/12</x:f>
        <x:v>378768.4147727224</x:v>
      </x:c>
      <x:c r="AN24" s="43" t="n">
        <x:f>(AN13-AN15)*AN23/12</x:f>
        <x:v>378768.4147727224</x:v>
      </x:c>
      <x:c r="AO24" s="43" t="n">
        <x:f>(AO13-AO15)*AO23/12</x:f>
        <x:v>378768.4147727224</x:v>
      </x:c>
      <x:c r="AP24" s="43" t="n">
        <x:f>(AP13-AP15)*AP23/12</x:f>
        <x:v>378768.4147727224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-8254380.412126648</x:v>
      </x:c>
      <x:c r="F25" s="46"/>
      <x:c r="G25" s="47" t="n">
        <x:f>G24-G19</x:f>
        <x:v>2408742.340011427</x:v>
      </x:c>
      <x:c r="H25" s="47" t="n">
        <x:f>H24-H19</x:f>
        <x:v>530899.5640914798</x:v>
      </x:c>
      <x:c r="I25" s="47" t="n">
        <x:f>I24-I19</x:f>
        <x:v>-167296.3472157193</x:v>
      </x:c>
      <x:c r="J25" s="47" t="n">
        <x:f>J24-J19</x:f>
        <x:v>-427179.4019327809</x:v>
      </x:c>
      <x:c r="K25" s="47" t="n">
        <x:f>K24-K19</x:f>
        <x:v>-512521.37660641485</x:v>
      </x:c>
      <x:c r="L25" s="47" t="n">
        <x:f>L24-L19</x:f>
        <x:v>-530896.0626565601</x:v>
      </x:c>
      <x:c r="M25" s="47" t="n">
        <x:f>M24-M19</x:f>
        <x:v>-530896.0626565601</x:v>
      </x:c>
      <x:c r="N25" s="47" t="n">
        <x:f>N24-N19</x:f>
        <x:v>-530896.0626565601</x:v>
      </x:c>
      <x:c r="O25" s="47" t="n">
        <x:f>O24-O19</x:f>
        <x:v>-530896.0626565601</x:v>
      </x:c>
      <x:c r="P25" s="47" t="n">
        <x:f>P24-P19</x:f>
        <x:v>-530896.0626565601</x:v>
      </x:c>
      <x:c r="Q25" s="47" t="n">
        <x:f>Q24-Q19</x:f>
        <x:v>-530896.0626565601</x:v>
      </x:c>
      <x:c r="R25" s="47" t="n">
        <x:f>R24-R19</x:f>
        <x:v>-530896.0626565601</x:v>
      </x:c>
      <x:c r="S25" s="47" t="n">
        <x:f>S24-S19</x:f>
        <x:v>-530896.0626565601</x:v>
      </x:c>
      <x:c r="T25" s="47" t="n">
        <x:f>T24-T19</x:f>
        <x:v>-530896.0626565601</x:v>
      </x:c>
      <x:c r="U25" s="47" t="n">
        <x:f>U24-U19</x:f>
        <x:v>-530896.0626565601</x:v>
      </x:c>
      <x:c r="V25" s="47" t="n">
        <x:f>V24-V19</x:f>
        <x:v>-530896.0626565601</x:v>
      </x:c>
      <x:c r="W25" s="47" t="n">
        <x:f>W24-W19</x:f>
        <x:v>-530896.0626565601</x:v>
      </x:c>
      <x:c r="X25" s="47" t="n">
        <x:f>X24-X19</x:f>
        <x:v>-530896.0626565601</x:v>
      </x:c>
      <x:c r="Y25" s="47" t="n">
        <x:f>Y24-Y19</x:f>
        <x:v>-530896.0626565601</x:v>
      </x:c>
      <x:c r="Z25" s="47" t="n">
        <x:f>Z24-Z19</x:f>
        <x:v>-530896.0626565601</x:v>
      </x:c>
      <x:c r="AA25" s="47" t="n">
        <x:f>AA24-AA19</x:f>
        <x:v>-530896.0626565601</x:v>
      </x:c>
      <x:c r="AB25" s="47" t="n">
        <x:f>AB24-AB19</x:f>
        <x:v>-530896.0626565601</x:v>
      </x:c>
      <x:c r="AC25" s="47" t="n">
        <x:f>AC24-AC19</x:f>
        <x:v>-530896.0626565601</x:v>
      </x:c>
      <x:c r="AD25" s="47" t="n">
        <x:f>AD24-AD19</x:f>
        <x:v>-530896.0626565601</x:v>
      </x:c>
      <x:c r="AE25" s="47" t="n">
        <x:f>AE24-AE19</x:f>
        <x:v>-530896.0626565601</x:v>
      </x:c>
      <x:c r="AF25" s="47" t="n">
        <x:f>AF24-AF19</x:f>
        <x:v>-530896.0626565601</x:v>
      </x:c>
      <x:c r="AG25" s="47" t="n">
        <x:f>AG24-AG19</x:f>
        <x:v>-530896.0626565601</x:v>
      </x:c>
      <x:c r="AH25" s="47" t="n">
        <x:f>AH24-AH19</x:f>
        <x:v>-530896.0626565601</x:v>
      </x:c>
      <x:c r="AI25" s="47" t="n">
        <x:f>AI24-AI19</x:f>
        <x:v>-530896.0626565601</x:v>
      </x:c>
      <x:c r="AJ25" s="47" t="n">
        <x:f>AJ24-AJ19</x:f>
        <x:v>-530896.0626565601</x:v>
      </x:c>
      <x:c r="AK25" s="47" t="n">
        <x:f>AK24-AK19</x:f>
        <x:v>-530896.0626565601</x:v>
      </x:c>
      <x:c r="AL25" s="47" t="n">
        <x:f>AL24-AL19</x:f>
        <x:v>-530896.0626565601</x:v>
      </x:c>
      <x:c r="AM25" s="47" t="n">
        <x:f>AM24-AM19</x:f>
        <x:v>-530896.0626565601</x:v>
      </x:c>
      <x:c r="AN25" s="47" t="n">
        <x:f>AN24-AN19</x:f>
        <x:v>-530896.0626565601</x:v>
      </x:c>
      <x:c r="AO25" s="47" t="n">
        <x:f>AO24-AO19</x:f>
        <x:v>-530896.0626565601</x:v>
      </x:c>
      <x:c r="AP25" s="47" t="n">
        <x:f>AP24-AP19</x:f>
        <x:v>-530896.0626565601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18286667.133780576</x:v>
      </x:c>
      <x:c r="F27" s="2"/>
      <x:c r="G27" s="35" t="n">
        <x:f>SUMPRODUCT($E$160:$E$219,$E$52:$E$111)</x:f>
        <x:v>11299118.190711468</x:v>
      </x:c>
      <x:c r="H27" s="35" t="n">
        <x:f>SUMPRODUCT($E$160:$E$219,$E$53:$E$112)</x:f>
        <x:v>4388671.377240998</x:v>
      </x:c>
      <x:c r="I27" s="35" t="n">
        <x:f>SUMPRODUCT($E$160:$E$219,$E$54:$E$113)</x:f>
        <x:v>1763191.335193011</x:v>
      </x:c>
      <x:c r="J27" s="35" t="n">
        <x:f>SUMPRODUCT($E$160:$E$219,$E$55:$E$114)</x:f>
        <x:v>648312.1776641319</x:v>
      </x:c>
      <x:c r="K27" s="35" t="n">
        <x:f>SUMPRODUCT($E$160:$E$219,$E$56:$E$115)</x:f>
        <x:v>187374.05297096787</x:v>
      </x:c>
      <x:c r="L27" s="35" t="n">
        <x:f>SUMPRODUCT($E$160:$E$219,$E$57:$E$116)</x:f>
        <x:v>0</x:v>
      </x:c>
      <x:c r="M27" s="35" t="n">
        <x:f>SUMPRODUCT($E$160:$E$219,$E$58:$E$117)</x:f>
        <x:v>0</x:v>
      </x:c>
      <x:c r="N27" s="35" t="n">
        <x:f>SUMPRODUCT($E$160:$E$219,$E$59:$E$118)</x:f>
        <x:v>0</x:v>
      </x:c>
      <x:c r="O27" s="35" t="n">
        <x:f>SUMPRODUCT($E$160:$E$219,$E$60:$E$119)</x:f>
        <x:v>0</x:v>
      </x:c>
      <x:c r="P27" s="35" t="n">
        <x:f>SUMPRODUCT($E$160:$E$219,$E$61:$E$120)</x:f>
        <x:v>0</x:v>
      </x:c>
      <x:c r="Q27" s="35" t="n">
        <x:f>SUMPRODUCT($E$160:$E$219,$E$62:$E$121)</x:f>
        <x:v>0</x:v>
      </x:c>
      <x:c r="R27" s="35" t="n">
        <x:f>SUMPRODUCT($E$160:$E$219,$E$63:$E$122)</x:f>
        <x:v>0</x:v>
      </x:c>
      <x:c r="S27" s="35" t="n">
        <x:f>SUMPRODUCT($E$160:$E$219,$E$64:$E$123)</x:f>
        <x:v>0</x:v>
      </x:c>
      <x:c r="T27" s="35" t="n">
        <x:f>SUMPRODUCT($E$160:$E$219,$E$65:$E$124)</x:f>
        <x:v>0</x:v>
      </x:c>
      <x:c r="U27" s="35" t="n">
        <x:f>SUMPRODUCT($E$160:$E$219,$E$66:$E$125)</x:f>
        <x:v>0</x:v>
      </x:c>
      <x:c r="V27" s="35" t="n">
        <x:f>SUMPRODUCT($E$160:$E$219,$E$67:$E$126)</x:f>
        <x:v>0</x:v>
      </x:c>
      <x:c r="W27" s="35" t="n">
        <x:f>SUMPRODUCT($E$160:$E$219,$E$68:$E$127)</x:f>
        <x:v>0</x:v>
      </x:c>
      <x:c r="X27" s="35" t="n">
        <x:f>SUMPRODUCT($E$160:$E$219,$E$69:$E$128)</x:f>
        <x:v>0</x:v>
      </x:c>
      <x:c r="Y27" s="35" t="n">
        <x:f>SUMPRODUCT($E$160:$E$219,$E$70:$E$129)</x:f>
        <x:v>0</x:v>
      </x:c>
      <x:c r="Z27" s="35" t="n">
        <x:f>SUMPRODUCT($E$160:$E$219,$E$71:$E$130)</x:f>
        <x:v>0</x:v>
      </x:c>
      <x:c r="AA27" s="35" t="n">
        <x:f>SUMPRODUCT($E$160:$E$219,$E$72:$E$131)</x:f>
        <x:v>0</x:v>
      </x:c>
      <x:c r="AB27" s="35" t="n">
        <x:f>SUMPRODUCT($E$160:$E$219,$E$73:$E$132)</x:f>
        <x:v>0</x:v>
      </x:c>
      <x:c r="AC27" s="35" t="n">
        <x:f>SUMPRODUCT($E$160:$E$219,$E$74:$E$133)</x:f>
        <x:v>0</x:v>
      </x:c>
      <x:c r="AD27" s="35" t="n">
        <x:f>SUMPRODUCT($E$160:$E$219,$E$75:$E$134)</x:f>
        <x:v>0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19946805.83243895</x:v>
      </x:c>
      <x:c r="F28" s="2"/>
      <x:c r="G28" s="35" t="n">
        <x:f>SUMPRODUCT($G$11:G11,$CY$150:$CY$150)</x:f>
        <x:v>0</x:v>
      </x:c>
      <x:c r="H28" s="35" t="n">
        <x:f>SUMPRODUCT($G$11:H11,$CX$150:$CY$150)</x:f>
        <x:v>391328.483556846</x:v>
      </x:c>
      <x:c r="I28" s="35" t="n">
        <x:f>SUMPRODUCT($G$11:I11,$CW$150:$CY$150)</x:f>
        <x:v>632941.4215570424</x:v>
      </x:c>
      <x:c r="J28" s="35" t="n">
        <x:f>SUMPRODUCT($G$11:J11,$CV$150:$CY$150)</x:f>
        <x:v>778728.9631507669</x:v>
      </x:c>
      <x:c r="K28" s="35" t="n">
        <x:f>SUMPRODUCT($G$11:K11,$CU$150:$CY$150)</x:f>
        <x:v>860181.8930179353</x:v>
      </x:c>
      <x:c r="L28" s="35" t="n">
        <x:f>SUMPRODUCT($G$11:L11,$CT$150:$CY$150)</x:f>
        <x:v>909664.4774292824</x:v>
      </x:c>
      <x:c r="M28" s="35" t="n">
        <x:f>SUMPRODUCT($G$11:M11,$CS$150:$CY$150)</x:f>
        <x:v>909664.4774292824</x:v>
      </x:c>
      <x:c r="N28" s="35" t="n">
        <x:f>SUMPRODUCT($G$11:N11,$CR$150:$CY$150)</x:f>
        <x:v>909664.4774292824</x:v>
      </x:c>
      <x:c r="O28" s="35" t="n">
        <x:f>SUMPRODUCT($G$11:O11,$CQ$150:$CY$150)</x:f>
        <x:v>909664.4774292824</x:v>
      </x:c>
      <x:c r="P28" s="35" t="n">
        <x:f>SUMPRODUCT($G$11:P11,$CP$150:$CY$150)</x:f>
        <x:v>909664.4774292824</x:v>
      </x:c>
      <x:c r="Q28" s="35" t="n">
        <x:f>SUMPRODUCT($G$11:Q11,$CO$150:$CY$150)</x:f>
        <x:v>909664.4774292824</x:v>
      </x:c>
      <x:c r="R28" s="35" t="n">
        <x:f>SUMPRODUCT($G$11:R11,$CN$150:$CY$150)</x:f>
        <x:v>909664.4774292824</x:v>
      </x:c>
      <x:c r="S28" s="35" t="n">
        <x:f>SUMPRODUCT($G$11:S11,$CM$150:$CY$150)</x:f>
        <x:v>909664.4774292824</x:v>
      </x:c>
      <x:c r="T28" s="35" t="n">
        <x:f>SUMPRODUCT($G$11:T11,$CL$150:$CY$150)</x:f>
        <x:v>909664.4774292824</x:v>
      </x:c>
      <x:c r="U28" s="35" t="n">
        <x:f>SUMPRODUCT($G$11:U11,$CK$150:$CY$150)</x:f>
        <x:v>909664.4774292824</x:v>
      </x:c>
      <x:c r="V28" s="35" t="n">
        <x:f>SUMPRODUCT($G$11:V11,$CJ$150:$CY$150)</x:f>
        <x:v>909664.4774292824</x:v>
      </x:c>
      <x:c r="W28" s="35" t="n">
        <x:f>SUMPRODUCT($G$11:W11,$CI$150:$CY$150)</x:f>
        <x:v>909664.4774292824</x:v>
      </x:c>
      <x:c r="X28" s="35" t="n">
        <x:f>SUMPRODUCT($G$11:X11,$CH$150:$CY$150)</x:f>
        <x:v>909664.4774292824</x:v>
      </x:c>
      <x:c r="Y28" s="35" t="n">
        <x:f>SUMPRODUCT($G$11:Y11,$CG$150:$CY$150)</x:f>
        <x:v>909664.4774292824</x:v>
      </x:c>
      <x:c r="Z28" s="35" t="n">
        <x:f>SUMPRODUCT($G$11:Z11,$CF$150:$CY$150)</x:f>
        <x:v>909664.4774292824</x:v>
      </x:c>
      <x:c r="AA28" s="35" t="n">
        <x:f>SUMPRODUCT($G$11:AA11,$CE$150:$CY$150)</x:f>
        <x:v>909664.4774292824</x:v>
      </x:c>
      <x:c r="AB28" s="35" t="n">
        <x:f>SUMPRODUCT($G$11:AB11,$CD$150:$CY$150)</x:f>
        <x:v>909664.4774292824</x:v>
      </x:c>
      <x:c r="AC28" s="35" t="n">
        <x:f>SUMPRODUCT($G$11:AC11,$CC$150:$CY$150)</x:f>
        <x:v>909664.4774292824</x:v>
      </x:c>
      <x:c r="AD28" s="35" t="n">
        <x:f>SUMPRODUCT($G$11:AD11,$CB$150:$CY$150)</x:f>
        <x:v>909664.4774292824</x:v>
      </x:c>
      <x:c r="AE28" s="35" t="n">
        <x:f>SUMPRODUCT($G$11:AE11,$CA$150:$CY$150)</x:f>
        <x:v>909664.4774292824</x:v>
      </x:c>
      <x:c r="AF28" s="35" t="n">
        <x:f>SUMPRODUCT($G$11:AF11,$BZ$150:$CY$150)</x:f>
        <x:v>909664.4774292824</x:v>
      </x:c>
      <x:c r="AG28" s="35" t="n">
        <x:f>SUMPRODUCT($G$11:AG11,$BY$150:$CY$150)</x:f>
        <x:v>909664.4774292824</x:v>
      </x:c>
      <x:c r="AH28" s="35" t="n">
        <x:f>SUMPRODUCT($G$11:AH11,$BX$150:$CY$150)</x:f>
        <x:v>909664.4774292824</x:v>
      </x:c>
      <x:c r="AI28" s="35" t="n">
        <x:f>SUMPRODUCT($G$11:AI11,$BW$150:$CY$150)</x:f>
        <x:v>909664.4774292824</x:v>
      </x:c>
      <x:c r="AJ28" s="35" t="n">
        <x:f>SUMPRODUCT($G$11:AJ11,$BV$150:$CY$150)</x:f>
        <x:v>909664.4774292824</x:v>
      </x:c>
      <x:c r="AK28" s="35" t="n">
        <x:f>SUMPRODUCT($G$11:AK11,$BU$150:$CY$150)</x:f>
        <x:v>909664.4774292824</x:v>
      </x:c>
      <x:c r="AL28" s="35" t="n">
        <x:f>SUMPRODUCT($G$11:AL11,$BT$150:$CY$150)</x:f>
        <x:v>909664.4774292824</x:v>
      </x:c>
      <x:c r="AM28" s="35" t="n">
        <x:f>SUMPRODUCT($G$11:AM11,$BS$150:$CY$150)</x:f>
        <x:v>909664.4774292824</x:v>
      </x:c>
      <x:c r="AN28" s="35" t="n">
        <x:f>SUMPRODUCT($G$11:AN11,$BR$150:$CY$150)</x:f>
        <x:v>909664.4774292824</x:v>
      </x:c>
      <x:c r="AO28" s="35" t="n">
        <x:f>SUMPRODUCT($G$11:AO11,$BQ$150:$CY$150)</x:f>
        <x:v>909664.4774292824</x:v>
      </x:c>
      <x:c r="AP28" s="35" t="n">
        <x:f>SUMPRODUCT($G$11:AP11,$BP$150:$CY$150)</x:f>
        <x:v>909664.4774292824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32833332.866219405</x:v>
      </x:c>
      <x:c r="F29" s="2"/>
      <x:c r="G29" s="35" t="n">
        <x:f>SUMPRODUCT($E$160:$E$219,$F$52:$F$111)</x:f>
        <x:v>20454113.450241525</x:v>
      </x:c>
      <x:c r="H29" s="35" t="n">
        <x:f>SUMPRODUCT($E$160:$E$219,$F$53:$F$112)</x:f>
        <x:v>7862055.208606657</x:v>
      </x:c>
      <x:c r="I29" s="35" t="n">
        <x:f>SUMPRODUCT($E$160:$E$219,$F$54:$F$113)</x:f>
        <x:v>3100821.4709697706</x:v>
      </x:c>
      <x:c r="J29" s="35" t="n">
        <x:f>SUMPRODUCT($E$160:$E$219,$F$55:$F$114)</x:f>
        <x:v>1116721.0614785089</x:v>
      </x:c>
      <x:c r="K29" s="35" t="n">
        <x:f>SUMPRODUCT($E$160:$E$219,$F$56:$F$115)</x:f>
        <x:v>299621.6749229443</x:v>
      </x:c>
      <x:c r="L29" s="35" t="n">
        <x:f>SUMPRODUCT($E$160:$E$219,$F$57:$F$116)</x:f>
        <x:v>0</x:v>
      </x:c>
      <x:c r="M29" s="35" t="n">
        <x:f>SUMPRODUCT($E$160:$E$219,$F$58:$F$117)</x:f>
        <x:v>0</x:v>
      </x:c>
      <x:c r="N29" s="35" t="n">
        <x:f>SUMPRODUCT($E$160:$E$219,$F$59:$F$118)</x:f>
        <x:v>0</x:v>
      </x:c>
      <x:c r="O29" s="35" t="n">
        <x:f>SUMPRODUCT($E$160:$E$219,$F$60:$F$119)</x:f>
        <x:v>0</x:v>
      </x:c>
      <x:c r="P29" s="35" t="n">
        <x:f>SUMPRODUCT($E$160:$E$219,$F$61:$F$120)</x:f>
        <x:v>0</x:v>
      </x:c>
      <x:c r="Q29" s="35" t="n">
        <x:f>SUMPRODUCT($E$160:$E$219,$F$62:$F$121)</x:f>
        <x:v>0</x:v>
      </x:c>
      <x:c r="R29" s="35" t="n">
        <x:f>SUMPRODUCT($E$160:$E$219,$F$63:$F$122)</x:f>
        <x:v>0</x:v>
      </x:c>
      <x:c r="S29" s="35" t="n">
        <x:f>SUMPRODUCT($E$160:$E$219,$F$64:$F$123)</x:f>
        <x:v>0</x:v>
      </x:c>
      <x:c r="T29" s="35" t="n">
        <x:f>SUMPRODUCT($E$160:$E$219,$F$65:$F$124)</x:f>
        <x:v>0</x:v>
      </x:c>
      <x:c r="U29" s="35" t="n">
        <x:f>SUMPRODUCT($E$160:$E$219,$F$66:$F$125)</x:f>
        <x:v>0</x:v>
      </x:c>
      <x:c r="V29" s="35" t="n">
        <x:f>SUMPRODUCT($E$160:$E$219,$F$67:$F$126)</x:f>
        <x:v>0</x:v>
      </x:c>
      <x:c r="W29" s="35" t="n">
        <x:f>SUMPRODUCT($E$160:$E$219,$F$68:$F$127)</x:f>
        <x:v>0</x:v>
      </x:c>
      <x:c r="X29" s="35" t="n">
        <x:f>SUMPRODUCT($E$160:$E$219,$F$69:$F$128)</x:f>
        <x:v>0</x:v>
      </x:c>
      <x:c r="Y29" s="35" t="n">
        <x:f>SUMPRODUCT($E$160:$E$219,$F$70:$F$129)</x:f>
        <x:v>0</x:v>
      </x:c>
      <x:c r="Z29" s="35" t="n">
        <x:f>SUMPRODUCT($E$160:$E$219,$F$71:$F$130)</x:f>
        <x:v>0</x:v>
      </x:c>
      <x:c r="AA29" s="35" t="n">
        <x:f>SUMPRODUCT($E$160:$E$219,$F$72:$F$131)</x:f>
        <x:v>0</x:v>
      </x:c>
      <x:c r="AB29" s="35" t="n">
        <x:f>SUMPRODUCT($E$160:$E$219,$F$73:$F$132)</x:f>
        <x:v>0</x:v>
      </x:c>
      <x:c r="AC29" s="35" t="n">
        <x:f>SUMPRODUCT($E$160:$E$219,$F$74:$F$133)</x:f>
        <x:v>0</x:v>
      </x:c>
      <x:c r="AD29" s="35" t="n">
        <x:f>SUMPRODUCT($E$160:$E$219,$F$75:$F$134)</x:f>
        <x:v>0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39398308.71285908</x:v>
      </x:c>
      <x:c r="F30" s="2"/>
      <x:c r="G30" s="35" t="n">
        <x:f>SUMPRODUCT($G$11:G11,$CY$151:$CY$151)</x:f>
        <x:v>0</x:v>
      </x:c>
      <x:c r="H30" s="35" t="n">
        <x:f>SUMPRODUCT($G$11:H11,$CX$151:$CY$151)</x:f>
        <x:v>820162.9703296791</x:v>
      </x:c>
      <x:c r="I30" s="35" t="n">
        <x:f>SUMPRODUCT($G$11:I11,$CW$151:$CY$151)</x:f>
        <x:v>1290734.0448200686</x:v>
      </x:c>
      <x:c r="J30" s="35" t="n">
        <x:f>SUMPRODUCT($G$11:J11,$CV$151:$CY$151)</x:f>
        <x:v>1559826.6886161955</x:v>
      </x:c>
      <x:c r="K30" s="35" t="n">
        <x:f>SUMPRODUCT($G$11:K11,$CU$151:$CY$151)</x:f>
        <x:v>1711210.0802495168</x:v>
      </x:c>
      <x:c r="L30" s="35" t="n">
        <x:f>SUMPRODUCT($G$11:L11,$CT$151:$CY$151)</x:f>
        <x:v>1790335.522570717</x:v>
      </x:c>
      <x:c r="M30" s="35" t="n">
        <x:f>SUMPRODUCT($G$11:M11,$CS$151:$CY$151)</x:f>
        <x:v>1790335.522570717</x:v>
      </x:c>
      <x:c r="N30" s="35" t="n">
        <x:f>SUMPRODUCT($G$11:N11,$CR$151:$CY$151)</x:f>
        <x:v>1790335.522570717</x:v>
      </x:c>
      <x:c r="O30" s="35" t="n">
        <x:f>SUMPRODUCT($G$11:O11,$CQ$151:$CY$151)</x:f>
        <x:v>1790335.522570717</x:v>
      </x:c>
      <x:c r="P30" s="35" t="n">
        <x:f>SUMPRODUCT($G$11:P11,$CP$151:$CY$151)</x:f>
        <x:v>1790335.522570717</x:v>
      </x:c>
      <x:c r="Q30" s="35" t="n">
        <x:f>SUMPRODUCT($G$11:Q11,$CO$151:$CY$151)</x:f>
        <x:v>1790335.522570717</x:v>
      </x:c>
      <x:c r="R30" s="35" t="n">
        <x:f>SUMPRODUCT($G$11:R11,$CN$151:$CY$151)</x:f>
        <x:v>1790335.522570717</x:v>
      </x:c>
      <x:c r="S30" s="35" t="n">
        <x:f>SUMPRODUCT($G$11:S11,$CM$151:$CY$151)</x:f>
        <x:v>1790335.522570717</x:v>
      </x:c>
      <x:c r="T30" s="35" t="n">
        <x:f>SUMPRODUCT($G$11:T11,$CL$151:$CY$151)</x:f>
        <x:v>1790335.522570717</x:v>
      </x:c>
      <x:c r="U30" s="35" t="n">
        <x:f>SUMPRODUCT($G$11:U11,$CK$151:$CY$151)</x:f>
        <x:v>1790335.522570717</x:v>
      </x:c>
      <x:c r="V30" s="35" t="n">
        <x:f>SUMPRODUCT($G$11:V11,$CJ$151:$CY$151)</x:f>
        <x:v>1790335.522570717</x:v>
      </x:c>
      <x:c r="W30" s="35" t="n">
        <x:f>SUMPRODUCT($G$11:W11,$CI$151:$CY$151)</x:f>
        <x:v>1790335.522570717</x:v>
      </x:c>
      <x:c r="X30" s="35" t="n">
        <x:f>SUMPRODUCT($G$11:X11,$CH$151:$CY$151)</x:f>
        <x:v>1790335.522570717</x:v>
      </x:c>
      <x:c r="Y30" s="35" t="n">
        <x:f>SUMPRODUCT($G$11:Y11,$CG$151:$CY$151)</x:f>
        <x:v>1790335.522570717</x:v>
      </x:c>
      <x:c r="Z30" s="35" t="n">
        <x:f>SUMPRODUCT($G$11:Z11,$CF$151:$CY$151)</x:f>
        <x:v>1790335.522570717</x:v>
      </x:c>
      <x:c r="AA30" s="35" t="n">
        <x:f>SUMPRODUCT($G$11:AA11,$CE$151:$CY$151)</x:f>
        <x:v>1790335.522570717</x:v>
      </x:c>
      <x:c r="AB30" s="35" t="n">
        <x:f>SUMPRODUCT($G$11:AB11,$CD$151:$CY$151)</x:f>
        <x:v>1790335.522570717</x:v>
      </x:c>
      <x:c r="AC30" s="35" t="n">
        <x:f>SUMPRODUCT($G$11:AC11,$CC$151:$CY$151)</x:f>
        <x:v>1790335.522570717</x:v>
      </x:c>
      <x:c r="AD30" s="35" t="n">
        <x:f>SUMPRODUCT($G$11:AD11,$CB$151:$CY$151)</x:f>
        <x:v>1790335.522570717</x:v>
      </x:c>
      <x:c r="AE30" s="35" t="n">
        <x:f>SUMPRODUCT($G$11:AE11,$CA$151:$CY$151)</x:f>
        <x:v>1790335.522570717</x:v>
      </x:c>
      <x:c r="AF30" s="35" t="n">
        <x:f>SUMPRODUCT($G$11:AF11,$BZ$151:$CY$151)</x:f>
        <x:v>1790335.522570717</x:v>
      </x:c>
      <x:c r="AG30" s="35" t="n">
        <x:f>SUMPRODUCT($G$11:AG11,$BY$151:$CY$151)</x:f>
        <x:v>1790335.522570717</x:v>
      </x:c>
      <x:c r="AH30" s="35" t="n">
        <x:f>SUMPRODUCT($G$11:AH11,$BX$151:$CY$151)</x:f>
        <x:v>1790335.522570717</x:v>
      </x:c>
      <x:c r="AI30" s="35" t="n">
        <x:f>SUMPRODUCT($G$11:AI11,$BW$151:$CY$151)</x:f>
        <x:v>1790335.522570717</x:v>
      </x:c>
      <x:c r="AJ30" s="35" t="n">
        <x:f>SUMPRODUCT($G$11:AJ11,$BV$151:$CY$151)</x:f>
        <x:v>1790335.522570717</x:v>
      </x:c>
      <x:c r="AK30" s="35" t="n">
        <x:f>SUMPRODUCT($G$11:AK11,$BU$151:$CY$151)</x:f>
        <x:v>1790335.522570717</x:v>
      </x:c>
      <x:c r="AL30" s="35" t="n">
        <x:f>SUMPRODUCT($G$11:AL11,$BT$151:$CY$151)</x:f>
        <x:v>1790335.522570717</x:v>
      </x:c>
      <x:c r="AM30" s="35" t="n">
        <x:f>SUMPRODUCT($G$11:AM11,$BS$151:$CY$151)</x:f>
        <x:v>1790335.522570717</x:v>
      </x:c>
      <x:c r="AN30" s="35" t="n">
        <x:f>SUMPRODUCT($G$11:AN11,$BR$151:$CY$151)</x:f>
        <x:v>1790335.522570717</x:v>
      </x:c>
      <x:c r="AO30" s="35" t="n">
        <x:f>SUMPRODUCT($G$11:AO11,$BQ$151:$CY$151)</x:f>
        <x:v>1790335.522570717</x:v>
      </x:c>
      <x:c r="AP30" s="35" t="n">
        <x:f>SUMPRODUCT($G$11:AP11,$BP$151:$CY$151)</x:f>
        <x:v>1790335.522570717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5171263.974449684</x:v>
      </x:c>
      <x:c r="F32" s="2"/>
      <x:c r="G32" s="35" t="n">
        <x:f>($E$44-G27)*G23/12</x:f>
        <x:v>3318406.8174407096</x:v>
      </x:c>
      <x:c r="H32" s="35" t="n">
        <x:f>(G34-H27)*H23/12</x:f>
        <x:v>1248174.748483833</x:v>
      </x:c>
      <x:c r="I32" s="35" t="n">
        <x:f>(H34-I27)*I23/12</x:f>
        <x:v>446070.8698338606</x:v>
      </x:c>
      <x:c r="J32" s="35" t="n">
        <x:f>(I34-J27)*J23/12</x:f>
        <x:v>133643.06578103543</x:v>
      </x:c>
      <x:c r="K32" s="35" t="n">
        <x:f>(J34-K27)*K23/12</x:f>
        <x:v>24968.472910245695</x:v>
      </x:c>
      <x:c r="L32" s="35" t="n">
        <x:f>(K34-L27)*L23/12</x:f>
        <x:v>3.395446886618932e-10</x:v>
      </x:c>
      <x:c r="M32" s="35" t="n">
        <x:f>(L34-M27)*M23/12</x:f>
        <x:v>3.395446886618932e-10</x:v>
      </x:c>
      <x:c r="N32" s="35" t="n">
        <x:f>(M34-N27)*N23/12</x:f>
        <x:v>3.395446886618932e-10</x:v>
      </x:c>
      <x:c r="O32" s="35" t="n">
        <x:f>(N34-O27)*O23/12</x:f>
        <x:v>3.395446886618932e-10</x:v>
      </x:c>
      <x:c r="P32" s="35" t="n">
        <x:f>(O34-P27)*P23/12</x:f>
        <x:v>3.395446886618932e-10</x:v>
      </x:c>
      <x:c r="Q32" s="35" t="n">
        <x:f>(P34-Q27)*Q23/12</x:f>
        <x:v>3.395446886618932e-10</x:v>
      </x:c>
      <x:c r="R32" s="35" t="n">
        <x:f>(Q34-R27)*R23/12</x:f>
        <x:v>3.395446886618932e-10</x:v>
      </x:c>
      <x:c r="S32" s="35" t="n">
        <x:f>(R34-S27)*S23/12</x:f>
        <x:v>3.395446886618932e-10</x:v>
      </x:c>
      <x:c r="T32" s="35" t="n">
        <x:f>(S34-T27)*T23/12</x:f>
        <x:v>3.395446886618932e-10</x:v>
      </x:c>
      <x:c r="U32" s="35" t="n">
        <x:f>(T34-U27)*U23/12</x:f>
        <x:v>3.395446886618932e-10</x:v>
      </x:c>
      <x:c r="V32" s="35" t="n">
        <x:f>(U34-V27)*V23/12</x:f>
        <x:v>3.395446886618932e-10</x:v>
      </x:c>
      <x:c r="W32" s="35" t="n">
        <x:f>(V34-W27)*W23/12</x:f>
        <x:v>3.395446886618932e-10</x:v>
      </x:c>
      <x:c r="X32" s="35" t="n">
        <x:f>(W34-X27)*X23/12</x:f>
        <x:v>3.395446886618932e-10</x:v>
      </x:c>
      <x:c r="Y32" s="35" t="n">
        <x:f>(X34-Y27)*Y23/12</x:f>
        <x:v>3.395446886618932e-10</x:v>
      </x:c>
      <x:c r="Z32" s="35" t="n">
        <x:f>(Y34-Z27)*Z23/12</x:f>
        <x:v>3.395446886618932e-10</x:v>
      </x:c>
      <x:c r="AA32" s="35" t="n">
        <x:f>(Z34-AA27)*AA23/12</x:f>
        <x:v>3.395446886618932e-10</x:v>
      </x:c>
      <x:c r="AB32" s="35" t="n">
        <x:f>(AA34-AB27)*AB23/12</x:f>
        <x:v>3.395446886618932e-10</x:v>
      </x:c>
      <x:c r="AC32" s="35" t="n">
        <x:f>(AB34-AC27)*AC23/12</x:f>
        <x:v>3.395446886618932e-10</x:v>
      </x:c>
      <x:c r="AD32" s="35" t="n">
        <x:f>(AC34-AD27)*AD23/12</x:f>
        <x:v>3.395446886618932e-10</x:v>
      </x:c>
      <x:c r="AE32" s="35" t="n">
        <x:f>(AD34-AE27)*AE23/12</x:f>
        <x:v>3.395446886618932e-10</x:v>
      </x:c>
      <x:c r="AF32" s="35" t="n">
        <x:f>(AE34-AF27)*AF23/12</x:f>
        <x:v>3.395446886618932e-10</x:v>
      </x:c>
      <x:c r="AG32" s="35" t="n">
        <x:f>(AF34-AG27)*AG23/12</x:f>
        <x:v>3.395446886618932e-10</x:v>
      </x:c>
      <x:c r="AH32" s="35" t="n">
        <x:f>(AG34-AH27)*AH23/12</x:f>
        <x:v>3.395446886618932e-10</x:v>
      </x:c>
      <x:c r="AI32" s="35" t="n">
        <x:f>(AH34-AI27)*AI23/12</x:f>
        <x:v>3.395446886618932e-10</x:v>
      </x:c>
      <x:c r="AJ32" s="35" t="n">
        <x:f>(AI34-AJ27)*AJ23/12</x:f>
        <x:v>3.395446886618932e-10</x:v>
      </x:c>
      <x:c r="AK32" s="35" t="n">
        <x:f>(AJ34-AK27)*AK23/12</x:f>
        <x:v>3.395446886618932e-10</x:v>
      </x:c>
      <x:c r="AL32" s="35" t="n">
        <x:f>(AK34-AL27)*AL23/12</x:f>
        <x:v>3.395446886618932e-10</x:v>
      </x:c>
      <x:c r="AM32" s="35" t="n">
        <x:f>(AL34-AM27)*AM23/12</x:f>
        <x:v>3.395446886618932e-10</x:v>
      </x:c>
      <x:c r="AN32" s="35" t="n">
        <x:f>(AM34-AN27)*AN23/12</x:f>
        <x:v>3.395446886618932e-10</x:v>
      </x:c>
      <x:c r="AO32" s="35" t="n">
        <x:f>(AN34-AO27)*AO23/12</x:f>
        <x:v>3.395446886618932e-10</x:v>
      </x:c>
      <x:c r="AP32" s="35" t="n">
        <x:f>(AO34-AP27)*AP23/12</x:f>
        <x:v>3.395446886618932e-10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8406303.071726438</x:v>
      </x:c>
      <x:c r="F33" s="2"/>
      <x:c r="G33" s="35" t="n">
        <x:f>G24-G32</x:f>
        <x:v>0</x:v>
      </x:c>
      <x:c r="H33" s="35" t="n">
        <x:f>H24-H32</x:f>
        <x:v>192389.29303692933</x:v>
      </x:c>
      <x:c r="I33" s="35" t="n">
        <x:f>I24-I32</x:f>
        <x:v>296297.2603797026</x:v>
      </x:c>
      <x:c r="J33" s="35" t="n">
        <x:f>J24-J32</x:f>
        <x:v>348842.0097154662</x:v>
      </x:c>
      <x:c r="K33" s="35" t="n">
        <x:f>K24-K32</x:f>
        <x:v>372174.62791262195</x:v>
      </x:c>
      <x:c r="L33" s="35" t="n">
        <x:f>L24-L32</x:f>
        <x:v>378768.41477272206</x:v>
      </x:c>
      <x:c r="M33" s="35" t="n">
        <x:f>M24-M32</x:f>
        <x:v>378768.41477272206</x:v>
      </x:c>
      <x:c r="N33" s="35" t="n">
        <x:f>N24-N32</x:f>
        <x:v>378768.41477272206</x:v>
      </x:c>
      <x:c r="O33" s="35" t="n">
        <x:f>O24-O32</x:f>
        <x:v>378768.41477272206</x:v>
      </x:c>
      <x:c r="P33" s="35" t="n">
        <x:f>P24-P32</x:f>
        <x:v>378768.41477272206</x:v>
      </x:c>
      <x:c r="Q33" s="35" t="n">
        <x:f>Q24-Q32</x:f>
        <x:v>378768.41477272206</x:v>
      </x:c>
      <x:c r="R33" s="35" t="n">
        <x:f>R24-R32</x:f>
        <x:v>378768.41477272206</x:v>
      </x:c>
      <x:c r="S33" s="35" t="n">
        <x:f>S24-S32</x:f>
        <x:v>378768.41477272206</x:v>
      </x:c>
      <x:c r="T33" s="35" t="n">
        <x:f>T24-T32</x:f>
        <x:v>378768.41477272206</x:v>
      </x:c>
      <x:c r="U33" s="35" t="n">
        <x:f>U24-U32</x:f>
        <x:v>378768.41477272206</x:v>
      </x:c>
      <x:c r="V33" s="35" t="n">
        <x:f>V24-V32</x:f>
        <x:v>378768.41477272206</x:v>
      </x:c>
      <x:c r="W33" s="35" t="n">
        <x:f>W24-W32</x:f>
        <x:v>378768.41477272206</x:v>
      </x:c>
      <x:c r="X33" s="35" t="n">
        <x:f>X24-X32</x:f>
        <x:v>378768.41477272206</x:v>
      </x:c>
      <x:c r="Y33" s="35" t="n">
        <x:f>Y24-Y32</x:f>
        <x:v>378768.41477272206</x:v>
      </x:c>
      <x:c r="Z33" s="35" t="n">
        <x:f>Z24-Z32</x:f>
        <x:v>378768.41477272206</x:v>
      </x:c>
      <x:c r="AA33" s="35" t="n">
        <x:f>AA24-AA32</x:f>
        <x:v>378768.41477272206</x:v>
      </x:c>
      <x:c r="AB33" s="35" t="n">
        <x:f>AB24-AB32</x:f>
        <x:v>378768.41477272206</x:v>
      </x:c>
      <x:c r="AC33" s="35" t="n">
        <x:f>AC24-AC32</x:f>
        <x:v>378768.41477272206</x:v>
      </x:c>
      <x:c r="AD33" s="35" t="n">
        <x:f>AD24-AD32</x:f>
        <x:v>378768.41477272206</x:v>
      </x:c>
      <x:c r="AE33" s="35" t="n">
        <x:f>AE24-AE32</x:f>
        <x:v>378768.41477272206</x:v>
      </x:c>
      <x:c r="AF33" s="35" t="n">
        <x:f>AF24-AF32</x:f>
        <x:v>378768.41477272206</x:v>
      </x:c>
      <x:c r="AG33" s="35" t="n">
        <x:f>AG24-AG32</x:f>
        <x:v>378768.41477272206</x:v>
      </x:c>
      <x:c r="AH33" s="35" t="n">
        <x:f>AH24-AH32</x:f>
        <x:v>378768.41477272206</x:v>
      </x:c>
      <x:c r="AI33" s="35" t="n">
        <x:f>AI24-AI32</x:f>
        <x:v>378768.41477272206</x:v>
      </x:c>
      <x:c r="AJ33" s="35" t="n">
        <x:f>AJ24-AJ32</x:f>
        <x:v>378768.41477272206</x:v>
      </x:c>
      <x:c r="AK33" s="35" t="n">
        <x:f>AK24-AK32</x:f>
        <x:v>378768.41477272206</x:v>
      </x:c>
      <x:c r="AL33" s="35" t="n">
        <x:f>AL24-AL32</x:f>
        <x:v>378768.41477272206</x:v>
      </x:c>
      <x:c r="AM33" s="35" t="n">
        <x:f>AM24-AM32</x:f>
        <x:v>378768.41477272206</x:v>
      </x:c>
      <x:c r="AN33" s="35" t="n">
        <x:f>AN24-AN32</x:f>
        <x:v>378768.41477272206</x:v>
      </x:c>
      <x:c r="AO33" s="35" t="n">
        <x:f>AO24-AO32</x:f>
        <x:v>378768.41477272206</x:v>
      </x:c>
      <x:c r="AP33" s="35" t="n">
        <x:f>AP24-AP32</x:f>
        <x:v>378768.41477272206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4.0745362639427185e-9</x:v>
      </x:c>
      <x:c r="F34" s="2"/>
      <x:c r="G34" s="35" t="n">
        <x:f>$E$44-G27-G29</x:f>
        <x:v>19366768.359046992</x:v>
      </x:c>
      <x:c r="H34" s="35" t="n">
        <x:f>G34-H27-H29</x:f>
        <x:v>7116041.7731993385</x:v>
      </x:c>
      <x:c r="I34" s="35" t="n">
        <x:f>H34-I27-I29</x:f>
        <x:v>2252028.967036557</x:v>
      </x:c>
      <x:c r="J34" s="35" t="n">
        <x:f>I34-J27-J29</x:f>
        <x:v>486995.7278939162</x:v>
      </x:c>
      <x:c r="K34" s="35" t="n">
        <x:f>J34-K27-K29</x:f>
        <x:v>4.0745362639427185e-9</x:v>
      </x:c>
      <x:c r="L34" s="35" t="n">
        <x:f>K34-L27-L29</x:f>
        <x:v>4.0745362639427185e-9</x:v>
      </x:c>
      <x:c r="M34" s="35" t="n">
        <x:f>L34-M27-M29</x:f>
        <x:v>4.0745362639427185e-9</x:v>
      </x:c>
      <x:c r="N34" s="35" t="n">
        <x:f>M34-N27-N29</x:f>
        <x:v>4.0745362639427185e-9</x:v>
      </x:c>
      <x:c r="O34" s="35" t="n">
        <x:f>N34-O27-O29</x:f>
        <x:v>4.0745362639427185e-9</x:v>
      </x:c>
      <x:c r="P34" s="35" t="n">
        <x:f>O34-P27-P29</x:f>
        <x:v>4.0745362639427185e-9</x:v>
      </x:c>
      <x:c r="Q34" s="35" t="n">
        <x:f>P34-Q27-Q29</x:f>
        <x:v>4.0745362639427185e-9</x:v>
      </x:c>
      <x:c r="R34" s="35" t="n">
        <x:f>Q34-R27-R29</x:f>
        <x:v>4.0745362639427185e-9</x:v>
      </x:c>
      <x:c r="S34" s="35" t="n">
        <x:f>R34-S27-S29</x:f>
        <x:v>4.0745362639427185e-9</x:v>
      </x:c>
      <x:c r="T34" s="35" t="n">
        <x:f>S34-T27-T29</x:f>
        <x:v>4.0745362639427185e-9</x:v>
      </x:c>
      <x:c r="U34" s="35" t="n">
        <x:f>T34-U27-U29</x:f>
        <x:v>4.0745362639427185e-9</x:v>
      </x:c>
      <x:c r="V34" s="35" t="n">
        <x:f>U34-V27-V29</x:f>
        <x:v>4.0745362639427185e-9</x:v>
      </x:c>
      <x:c r="W34" s="35" t="n">
        <x:f>V34-W27-W29</x:f>
        <x:v>4.0745362639427185e-9</x:v>
      </x:c>
      <x:c r="X34" s="35" t="n">
        <x:f>W34-X27-X29</x:f>
        <x:v>4.0745362639427185e-9</x:v>
      </x:c>
      <x:c r="Y34" s="35" t="n">
        <x:f>X34-Y27-Y29</x:f>
        <x:v>4.0745362639427185e-9</x:v>
      </x:c>
      <x:c r="Z34" s="35" t="n">
        <x:f>Y34-Z27-Z29</x:f>
        <x:v>4.0745362639427185e-9</x:v>
      </x:c>
      <x:c r="AA34" s="35" t="n">
        <x:f>Z34-AA27-AA29</x:f>
        <x:v>4.0745362639427185e-9</x:v>
      </x:c>
      <x:c r="AB34" s="35" t="n">
        <x:f>AA34-AB27-AB29</x:f>
        <x:v>4.0745362639427185e-9</x:v>
      </x:c>
      <x:c r="AC34" s="35" t="n">
        <x:f>AB34-AC27-AC29</x:f>
        <x:v>4.0745362639427185e-9</x:v>
      </x:c>
      <x:c r="AD34" s="35" t="n">
        <x:f>AC34-AD27-AD29</x:f>
        <x:v>4.0745362639427185e-9</x:v>
      </x:c>
      <x:c r="AE34" s="35" t="n">
        <x:f>AD34-AE27-AE29</x:f>
        <x:v>4.0745362639427185e-9</x:v>
      </x:c>
      <x:c r="AF34" s="35" t="n">
        <x:f>AE34-AF27-AF29</x:f>
        <x:v>4.0745362639427185e-9</x:v>
      </x:c>
      <x:c r="AG34" s="35" t="n">
        <x:f>AF34-AG27-AG29</x:f>
        <x:v>4.0745362639427185e-9</x:v>
      </x:c>
      <x:c r="AH34" s="35" t="n">
        <x:f>AG34-AH27-AH29</x:f>
        <x:v>4.0745362639427185e-9</x:v>
      </x:c>
      <x:c r="AI34" s="35" t="n">
        <x:f>AH34-AI27-AI29</x:f>
        <x:v>4.0745362639427185e-9</x:v>
      </x:c>
      <x:c r="AJ34" s="35" t="n">
        <x:f>AI34-AJ27-AJ29</x:f>
        <x:v>4.0745362639427185e-9</x:v>
      </x:c>
      <x:c r="AK34" s="35" t="n">
        <x:f>AJ34-AK27-AK29</x:f>
        <x:v>4.0745362639427185e-9</x:v>
      </x:c>
      <x:c r="AL34" s="35" t="n">
        <x:f>AK34-AL27-AL29</x:f>
        <x:v>4.0745362639427185e-9</x:v>
      </x:c>
      <x:c r="AM34" s="35" t="n">
        <x:f>AL34-AM27-AM29</x:f>
        <x:v>4.0745362639427185e-9</x:v>
      </x:c>
      <x:c r="AN34" s="35" t="n">
        <x:f>AM34-AN27-AN29</x:f>
        <x:v>4.0745362639427185e-9</x:v>
      </x:c>
      <x:c r="AO34" s="35" t="n">
        <x:f>AN34-AO27-AO29</x:f>
        <x:v>4.0745362639427185e-9</x:v>
      </x:c>
      <x:c r="AP34" s="35" t="n">
        <x:f>AO34-AP27-AP29</x:f>
        <x:v>4.0745362639427185e-9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'Assumptions'!F58</x:f>
        <x:v>0.36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'Assumptions'!F59</x:f>
        <x:v>5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'Assumptions'!E15/12</x:f>
        <x:v>0.08333333333333333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'Assumptions'!E16</x:f>
        <x:v>12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'Assumptions'!E17*'Assumptions'!$E$30</x:f>
        <x:v>51119999.999999985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'Assumptions'!E19</x:f>
        <x:v>3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'Assumptions'!E18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'Assumptions'!E27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18286667.133780576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0.3369127694182528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$E$40*INDEX('Assumptions'!$F$65:$F$101,MIN(C51,36)+1)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0.3369127694182528</x:v>
      </x:c>
      <x:c r="H51" s="30" t="n">
        <x:f>IF($E$42=0,1-MIN(C51,$E$43)/$E$43,((1+$E$42)^$E$43-(1+$E$42)^MIN(C51,$E$43))/((1+$E$42)^$E$43-1))</x:f>
        <x:v>1</x:v>
      </x:c>
      <x:c r="I51" s="30" t="n">
        <x:f>MAX(0,1-D51-J51)</x:f>
        <x:v>1</x:v>
      </x:c>
      <x:c r="J51" s="2" t="n">
        <x:f>(1-$E$40)*INDEX('Assumptions'!$I$65:$I$101,MIN(C51,36)+1)</x:f>
        <x:v>0</x:v>
      </x:c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$E$40*INDEX('Assumptions'!$F$65:$F$101,MIN(C52,36)+1)</x:f>
        <x:v>0.14493647539142446</x:v>
      </x:c>
      <x:c r="E52" s="30" t="n">
        <x:f>(D52-D51)*H51</x:f>
        <x:v>0.14493647539142446</x:v>
      </x:c>
      <x:c r="F52" s="30" t="n">
        <x:f>(1-D52-J51)*(H51-H52)+(J52-J51)*H52</x:f>
        <x:v>0.30376406308506637</x:v>
      </x:c>
      <x:c r="G52" s="30" t="n">
        <x:f>SUM(E53:E147)</x:f>
        <x:v>0.1919762940268284</x:v>
      </x:c>
      <x:c r="H52" s="30" t="n">
        <x:f>IF($E$42=0,1-MIN(C52,$E$43)/$E$43,((1+$E$42)^$E$43-(1+$E$42)^MIN(C52,$E$43))/((1+$E$42)^$E$43-1))</x:f>
        <x:v>0.9483375634505021</x:v>
      </x:c>
      <x:c r="I52" s="30" t="n">
        <x:f>MAX(0,1-D52-J52)</x:f>
        <x:v>0.5813325157316558</x:v>
      </x:c>
      <x:c r="J52" s="2" t="n">
        <x:f>(1-$E$40)*INDEX('Assumptions'!$I$65:$I$101,MIN(C52,36)+1)</x:f>
        <x:v>0.27373100887691976</x:v>
      </x:c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$E$40*INDEX('Assumptions'!$F$65:$F$101,MIN(C53,36)+1)</x:f>
        <x:v>0.2392976783873414</x:v>
      </x:c>
      <x:c r="E53" s="30" t="n">
        <x:f>(D53-D52)*H52</x:f>
        <x:v>0.08948627333340609</x:v>
      </x:c>
      <x:c r="F53" s="30" t="n">
        <x:f>(1-D53-J52)*(H52-H53)+(J53-J52)*H53</x:f>
        <x:v>0.17428558314458875</x:v>
      </x:c>
      <x:c r="G53" s="30" t="n">
        <x:f>SUM(E54:E147)</x:f>
        <x:v>0.10249002069342227</x:v>
      </x:c>
      <x:c r="H53" s="30" t="n">
        <x:f>IF($E$42=0,1-MIN(C53,$E$43)/$E$43,((1+$E$42)^$E$43-(1+$E$42)^MIN(C53,$E$43))/((1+$E$42)^$E$43-1))</x:f>
        <x:v>0.8923699238552127</x:v>
      </x:c>
      <x:c r="I53" s="30" t="n">
        <x:f>MAX(0,1-D53-J53)</x:f>
        <x:v>0.32220674112742254</x:v>
      </x:c>
      <x:c r="J53" s="2" t="n">
        <x:f>(1-$E$40)*INDEX('Assumptions'!$I$65:$I$101,MIN(C53,36)+1)</x:f>
        <x:v>0.43849558048523607</x:v>
      </x:c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$E$40*INDEX('Assumptions'!$F$65:$F$101,MIN(C54,36)+1)</x:f>
        <x:v>0.2998055286992198</x:v>
      </x:c>
      <x:c r="E54" s="30" t="n">
        <x:f>(D54-D53)*H53</x:f>
        <x:v>0.05399538577545353</x:v>
      </x:c>
      <x:c r="F54" s="30" t="n">
        <x:f>(1-D54-J53)*(H53-H54)+(J54-J53)*H54</x:f>
        <x:v>0.09966394214671363</x:v>
      </x:c>
      <x:c r="G54" s="30" t="n">
        <x:f>SUM(E55:E147)</x:f>
        <x:v>0.04849463491796875</x:v>
      </x:c>
      <x:c r="H54" s="30" t="n">
        <x:f>IF($E$42=0,1-MIN(C54,$E$43)/$E$43,((1+$E$42)^$E$43-(1+$E$42)^MIN(C54,$E$43))/((1+$E$42)^$E$43-1))</x:f>
        <x:v>0.8317383142936492</x:v>
      </x:c>
      <x:c r="I54" s="30" t="n">
        <x:f>MAX(0,1-D54-J54)</x:f>
        <x:v>0.16094999451484238</x:v>
      </x:c>
      <x:c r="J54" s="2" t="n">
        <x:f>(1-$E$40)*INDEX('Assumptions'!$I$65:$I$101,MIN(C54,36)+1)</x:f>
        <x:v>0.5392444767859378</x:v>
      </x:c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$E$40*INDEX('Assumptions'!$F$65:$F$101,MIN(C55,36)+1)</x:f>
        <x:v>0.3360762538590615</x:v>
      </x:c>
      <x:c r="E55" s="30" t="n">
        <x:f>(D55-D54)*H54</x:f>
        <x:v>0.030167751802654984</x:v>
      </x:c>
      <x:c r="F55" s="30" t="n">
        <x:f>(1-D55-J54)*(H54-H55)+(J55-J54)*H55</x:f>
        <x:v>0.056067922827156114</x:v>
      </x:c>
      <x:c r="G55" s="30" t="n">
        <x:f>SUM(E56:E147)</x:f>
        <x:v>0.018326883115313764</x:v>
      </x:c>
      <x:c r="H55" s="30" t="n">
        <x:f>IF($E$42=0,1-MIN(C55,$E$43)/$E$43,((1+$E$42)^$E$43-(1+$E$42)^MIN(C55,$E$43))/((1+$E$42)^$E$43-1))</x:f>
        <x:v>0.7660540706019554</x:v>
      </x:c>
      <x:c r="I55" s="30" t="n">
        <x:f>MAX(0,1-D55-J55)</x:f>
        <x:v>0.062179165050460394</x:v>
      </x:c>
      <x:c r="J55" s="2" t="n">
        <x:f>(1-$E$40)*INDEX('Assumptions'!$I$65:$I$101,MIN(C55,36)+1)</x:f>
        <x:v>0.6017445810904781</x:v>
      </x:c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$E$40*INDEX('Assumptions'!$F$65:$F$101,MIN(C56,36)+1)</x:f>
        <x:v>0.36</x:v>
      </x:c>
      <x:c r="E56" s="30" t="n">
        <x:f>(D56-D55)*H55</x:f>
        <x:v>0.018326883115313764</x:v>
      </x:c>
      <x:c r="F56" s="30" t="n">
        <x:f>(1-D56-J55)*(H55-H56)+(J56-J55)*H56</x:f>
        <x:v>0.02930571937822226</x:v>
      </x:c>
      <x:c r="G56" s="30" t="n">
        <x:f>SUM(E57:E147)</x:f>
        <x:v>0</x:v>
      </x:c>
      <x:c r="H56" s="30" t="n">
        <x:f>IF($E$42=0,1-MIN(C56,$E$43)/$E$43,((1+$E$42)^$E$43-(1+$E$42)^MIN(C56,$E$43))/((1+$E$42)^$E$43-1))</x:f>
        <x:v>0.6948961399359538</x:v>
      </x:c>
      <x:c r="I56" s="30" t="n">
        <x:f>MAX(0,1-D56-J56)</x:f>
        <x:v>0</x:v>
      </x:c>
      <x:c r="J56" s="2" t="n">
        <x:f>(1-$E$40)*INDEX('Assumptions'!$I$65:$I$101,MIN(C56,36)+1)</x:f>
        <x:v>0.64</x:v>
      </x:c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$E$40*INDEX('Assumptions'!$F$65:$F$101,MIN(C57,36)+1)</x:f>
        <x:v>0.36</x:v>
      </x:c>
      <x:c r="E57" s="30" t="n">
        <x:f>(D57-D56)*H56</x:f>
        <x:v>0</x:v>
      </x:c>
      <x:c r="F57" s="30" t="n">
        <x:f>(1-D57-J56)*(H56-H57)+(J57-J56)*H57</x:f>
        <x:v>0</x:v>
      </x:c>
      <x:c r="G57" s="30" t="n">
        <x:f>SUM(E58:E147)</x:f>
        <x:v>0</x:v>
      </x:c>
      <x:c r="H57" s="30" t="n">
        <x:f>IF($E$42=0,1-MIN(C57,$E$43)/$E$43,((1+$E$42)^$E$43-(1+$E$42)^MIN(C57,$E$43))/((1+$E$42)^$E$43-1))</x:f>
        <x:v>0.617808381714452</x:v>
      </x:c>
      <x:c r="I57" s="30" t="n">
        <x:f>MAX(0,1-D57-J57)</x:f>
        <x:v>0</x:v>
      </x:c>
      <x:c r="J57" s="2" t="n">
        <x:f>(1-$E$40)*INDEX('Assumptions'!$I$65:$I$101,MIN(C57,36)+1)</x:f>
        <x:v>0.64</x:v>
      </x:c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$E$40*INDEX('Assumptions'!$F$65:$F$101,MIN(C58,36)+1)</x:f>
        <x:v>0.36</x:v>
      </x:c>
      <x:c r="E58" s="30" t="n">
        <x:f>(D58-D57)*H57</x:f>
        <x:v>0</x:v>
      </x:c>
      <x:c r="F58" s="30" t="n">
        <x:f>(1-D58-J57)*(H57-H58)+(J58-J57)*H58</x:f>
        <x:v>0</x:v>
      </x:c>
      <x:c r="G58" s="30" t="n">
        <x:f>SUM(E59:E147)</x:f>
        <x:v>0</x:v>
      </x:c>
      <x:c r="H58" s="30" t="n">
        <x:f>IF($E$42=0,1-MIN(C58,$E$43)/$E$43,((1+$E$42)^$E$43-(1+$E$42)^MIN(C58,$E$43))/((1+$E$42)^$E$43-1))</x:f>
        <x:v>0.5342966436411585</x:v>
      </x:c>
      <x:c r="I58" s="30" t="n">
        <x:f>MAX(0,1-D58-J58)</x:f>
        <x:v>0</x:v>
      </x:c>
      <x:c r="J58" s="2" t="n">
        <x:f>(1-$E$40)*INDEX('Assumptions'!$I$65:$I$101,MIN(C58,36)+1)</x:f>
        <x:v>0.64</x:v>
      </x:c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$E$40*INDEX('Assumptions'!$F$65:$F$101,MIN(C59,36)+1)</x:f>
        <x:v>0.36</x:v>
      </x:c>
      <x:c r="E59" s="30" t="n">
        <x:f>(D59-D58)*H58</x:f>
        <x:v>0</x:v>
      </x:c>
      <x:c r="F59" s="30" t="n">
        <x:f>(1-D59-J58)*(H58-H59)+(J59-J58)*H59</x:f>
        <x:v>0</x:v>
      </x:c>
      <x:c r="G59" s="30" t="n">
        <x:f>SUM(E60:E147)</x:f>
        <x:v>0</x:v>
      </x:c>
      <x:c r="H59" s="30" t="n">
        <x:f>IF($E$42=0,1-MIN(C59,$E$43)/$E$43,((1+$E$42)^$E$43-(1+$E$42)^MIN(C59,$E$43))/((1+$E$42)^$E$43-1))</x:f>
        <x:v>0.44382559406175714</x:v>
      </x:c>
      <x:c r="I59" s="30" t="n">
        <x:f>MAX(0,1-D59-J59)</x:f>
        <x:v>0</x:v>
      </x:c>
      <x:c r="J59" s="2" t="n">
        <x:f>(1-$E$40)*INDEX('Assumptions'!$I$65:$I$101,MIN(C59,36)+1)</x:f>
        <x:v>0.64</x:v>
      </x:c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$E$40*INDEX('Assumptions'!$F$65:$F$101,MIN(C60,36)+1)</x:f>
        <x:v>0.36</x:v>
      </x:c>
      <x:c r="E60" s="30" t="n">
        <x:f>(D60-D59)*H59</x:f>
        <x:v>0</x:v>
      </x:c>
      <x:c r="F60" s="30" t="n">
        <x:f>(1-D60-J59)*(H59-H60)+(J60-J59)*H60</x:f>
        <x:v>0</x:v>
      </x:c>
      <x:c r="G60" s="30" t="n">
        <x:f>SUM(E61:E147)</x:f>
        <x:v>0</x:v>
      </x:c>
      <x:c r="H60" s="30" t="n">
        <x:f>IF($E$42=0,1-MIN(C60,$E$43)/$E$43,((1+$E$42)^$E$43-(1+$E$42)^MIN(C60,$E$43))/((1+$E$42)^$E$43-1))</x:f>
        <x:v>0.34581529035073894</x:v>
      </x:c>
      <x:c r="I60" s="30" t="n">
        <x:f>MAX(0,1-D60-J60)</x:f>
        <x:v>0</x:v>
      </x:c>
      <x:c r="J60" s="2" t="n">
        <x:f>(1-$E$40)*INDEX('Assumptions'!$I$65:$I$101,MIN(C60,36)+1)</x:f>
        <x:v>0.64</x:v>
      </x:c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$E$40*INDEX('Assumptions'!$F$65:$F$101,MIN(C61,36)+1)</x:f>
        <x:v>0.36</x:v>
      </x:c>
      <x:c r="E61" s="30" t="n">
        <x:f>(D61-D60)*H60</x:f>
        <x:v>0</x:v>
      </x:c>
      <x:c r="F61" s="30" t="n">
        <x:f>(1-D61-J60)*(H60-H61)+(J61-J60)*H61</x:f>
        <x:v>0</x:v>
      </x:c>
      <x:c r="G61" s="30" t="n">
        <x:f>SUM(E62:E147)</x:f>
        <x:v>0</x:v>
      </x:c>
      <x:c r="H61" s="30" t="n">
        <x:f>IF($E$42=0,1-MIN(C61,$E$43)/$E$43,((1+$E$42)^$E$43-(1+$E$42)^MIN(C61,$E$43))/((1+$E$42)^$E$43-1))</x:f>
        <x:v>0.23963746133046956</x:v>
      </x:c>
      <x:c r="I61" s="30" t="n">
        <x:f>MAX(0,1-D61-J61)</x:f>
        <x:v>0</x:v>
      </x:c>
      <x:c r="J61" s="2" t="n">
        <x:f>(1-$E$40)*INDEX('Assumptions'!$I$65:$I$101,MIN(C61,36)+1)</x:f>
        <x:v>0.64</x:v>
      </x:c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$E$40*INDEX('Assumptions'!$F$65:$F$101,MIN(C62,36)+1)</x:f>
        <x:v>0.36</x:v>
      </x:c>
      <x:c r="E62" s="30" t="n">
        <x:f>(D62-D61)*H61</x:f>
        <x:v>0</x:v>
      </x:c>
      <x:c r="F62" s="30" t="n">
        <x:f>(1-D62-J61)*(H61-H62)+(J62-J61)*H62</x:f>
        <x:v>0</x:v>
      </x:c>
      <x:c r="G62" s="30" t="n">
        <x:f>SUM(E63:E147)</x:f>
        <x:v>0</x:v>
      </x:c>
      <x:c r="H62" s="30" t="n">
        <x:f>IF($E$42=0,1-MIN(C62,$E$43)/$E$43,((1+$E$42)^$E$43-(1+$E$42)^MIN(C62,$E$43))/((1+$E$42)^$E$43-1))</x:f>
        <x:v>0.12461147989184414</x:v>
      </x:c>
      <x:c r="I62" s="30" t="n">
        <x:f>MAX(0,1-D62-J62)</x:f>
        <x:v>0</x:v>
      </x:c>
      <x:c r="J62" s="2" t="n">
        <x:f>(1-$E$40)*INDEX('Assumptions'!$I$65:$I$101,MIN(C62,36)+1)</x:f>
        <x:v>0.64</x:v>
      </x:c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$E$40*INDEX('Assumptions'!$F$65:$F$101,MIN(C63,36)+1)</x:f>
        <x:v>0.36</x:v>
      </x:c>
      <x:c r="E63" s="30" t="n">
        <x:f>(D63-D62)*H62</x:f>
        <x:v>0</x:v>
      </x:c>
      <x:c r="F63" s="30" t="n">
        <x:f>(1-D63-J62)*(H62-H63)+(J63-J62)*H63</x:f>
        <x:v>0</x:v>
      </x:c>
      <x:c r="G63" s="30" t="n">
        <x:f>SUM(E64:E147)</x:f>
        <x:v>0</x:v>
      </x:c>
      <x:c r="H63" s="30" t="n">
        <x:f>IF($E$42=0,1-MIN(C63,$E$43)/$E$43,((1+$E$42)^$E$43-(1+$E$42)^MIN(C63,$E$43))/((1+$E$42)^$E$43-1))</x:f>
        <x:v>0</x:v>
      </x:c>
      <x:c r="I63" s="30" t="n">
        <x:f>MAX(0,1-D63-J63)</x:f>
        <x:v>0</x:v>
      </x:c>
      <x:c r="J63" s="2" t="n">
        <x:f>(1-$E$40)*INDEX('Assumptions'!$I$65:$I$101,MIN(C63,36)+1)</x:f>
        <x:v>0.64</x:v>
      </x:c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$E$40*INDEX('Assumptions'!$F$65:$F$101,MIN(C64,36)+1)</x:f>
        <x:v>0.36</x:v>
      </x:c>
      <x:c r="E64" s="30" t="n">
        <x:f>(D64-D63)*H63</x:f>
        <x:v>0</x:v>
      </x:c>
      <x:c r="F64" s="30" t="n">
        <x:f>(1-D64-J63)*(H63-H64)+(J64-J63)*H64</x:f>
        <x:v>0</x:v>
      </x:c>
      <x:c r="G64" s="30" t="n">
        <x:f>SUM(E65:E147)</x:f>
        <x:v>0</x:v>
      </x:c>
      <x:c r="H64" s="30" t="n">
        <x:f>IF($E$42=0,1-MIN(C64,$E$43)/$E$43,((1+$E$42)^$E$43-(1+$E$42)^MIN(C64,$E$43))/((1+$E$42)^$E$43-1))</x:f>
        <x:v>0</x:v>
      </x:c>
      <x:c r="I64" s="30" t="n">
        <x:f>MAX(0,1-D64-J64)</x:f>
        <x:v>0</x:v>
      </x:c>
      <x:c r="J64" s="2" t="n">
        <x:f>(1-$E$40)*INDEX('Assumptions'!$I$65:$I$101,MIN(C64,36)+1)</x:f>
        <x:v>0.64</x:v>
      </x:c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$E$40*INDEX('Assumptions'!$F$65:$F$101,MIN(C65,36)+1)</x:f>
        <x:v>0.36</x:v>
      </x:c>
      <x:c r="E65" s="30" t="n">
        <x:f>(D65-D64)*H64</x:f>
        <x:v>0</x:v>
      </x:c>
      <x:c r="F65" s="30" t="n">
        <x:f>(1-D65-J64)*(H64-H65)+(J65-J64)*H65</x:f>
        <x:v>0</x:v>
      </x:c>
      <x:c r="G65" s="30" t="n">
        <x:f>SUM(E66:E147)</x:f>
        <x:v>0</x:v>
      </x:c>
      <x:c r="H65" s="30" t="n">
        <x:f>IF($E$42=0,1-MIN(C65,$E$43)/$E$43,((1+$E$42)^$E$43-(1+$E$42)^MIN(C65,$E$43))/((1+$E$42)^$E$43-1))</x:f>
        <x:v>0</x:v>
      </x:c>
      <x:c r="I65" s="30" t="n">
        <x:f>MAX(0,1-D65-J65)</x:f>
        <x:v>0</x:v>
      </x:c>
      <x:c r="J65" s="2" t="n">
        <x:f>(1-$E$40)*INDEX('Assumptions'!$I$65:$I$101,MIN(C65,36)+1)</x:f>
        <x:v>0.64</x:v>
      </x:c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$E$40*INDEX('Assumptions'!$F$65:$F$101,MIN(C66,36)+1)</x:f>
        <x:v>0.36</x:v>
      </x:c>
      <x:c r="E66" s="30" t="n">
        <x:f>(D66-D65)*H65</x:f>
        <x:v>0</x:v>
      </x:c>
      <x:c r="F66" s="30" t="n">
        <x:f>(1-D66-J65)*(H65-H66)+(J66-J65)*H66</x:f>
        <x:v>0</x:v>
      </x:c>
      <x:c r="G66" s="30" t="n">
        <x:f>SUM(E67:E147)</x:f>
        <x:v>0</x:v>
      </x:c>
      <x:c r="H66" s="30" t="n">
        <x:f>IF($E$42=0,1-MIN(C66,$E$43)/$E$43,((1+$E$42)^$E$43-(1+$E$42)^MIN(C66,$E$43))/((1+$E$42)^$E$43-1))</x:f>
        <x:v>0</x:v>
      </x:c>
      <x:c r="I66" s="30" t="n">
        <x:f>MAX(0,1-D66-J66)</x:f>
        <x:v>0</x:v>
      </x:c>
      <x:c r="J66" s="2" t="n">
        <x:f>(1-$E$40)*INDEX('Assumptions'!$I$65:$I$101,MIN(C66,36)+1)</x:f>
        <x:v>0.64</x:v>
      </x:c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$E$40*INDEX('Assumptions'!$F$65:$F$101,MIN(C67,36)+1)</x:f>
        <x:v>0.36</x:v>
      </x:c>
      <x:c r="E67" s="30" t="n">
        <x:f>(D67-D66)*H66</x:f>
        <x:v>0</x:v>
      </x:c>
      <x:c r="F67" s="30" t="n">
        <x:f>(1-D67-J66)*(H66-H67)+(J67-J66)*H67</x:f>
        <x:v>0</x:v>
      </x:c>
      <x:c r="G67" s="30" t="n">
        <x:f>SUM(E68:E147)</x:f>
        <x:v>0</x:v>
      </x:c>
      <x:c r="H67" s="30" t="n">
        <x:f>IF($E$42=0,1-MIN(C67,$E$43)/$E$43,((1+$E$42)^$E$43-(1+$E$42)^MIN(C67,$E$43))/((1+$E$42)^$E$43-1))</x:f>
        <x:v>0</x:v>
      </x:c>
      <x:c r="I67" s="30" t="n">
        <x:f>MAX(0,1-D67-J67)</x:f>
        <x:v>0</x:v>
      </x:c>
      <x:c r="J67" s="2" t="n">
        <x:f>(1-$E$40)*INDEX('Assumptions'!$I$65:$I$101,MIN(C67,36)+1)</x:f>
        <x:v>0.64</x:v>
      </x:c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$E$40*INDEX('Assumptions'!$F$65:$F$101,MIN(C68,36)+1)</x:f>
        <x:v>0.36</x:v>
      </x:c>
      <x:c r="E68" s="30" t="n">
        <x:f>(D68-D67)*H67</x:f>
        <x:v>0</x:v>
      </x:c>
      <x:c r="F68" s="30" t="n">
        <x:f>(1-D68-J67)*(H67-H68)+(J68-J67)*H68</x:f>
        <x:v>0</x:v>
      </x:c>
      <x:c r="G68" s="30" t="n">
        <x:f>SUM(E69:E147)</x:f>
        <x:v>0</x:v>
      </x:c>
      <x:c r="H68" s="30" t="n">
        <x:f>IF($E$42=0,1-MIN(C68,$E$43)/$E$43,((1+$E$42)^$E$43-(1+$E$42)^MIN(C68,$E$43))/((1+$E$42)^$E$43-1))</x:f>
        <x:v>0</x:v>
      </x:c>
      <x:c r="I68" s="30" t="n">
        <x:f>MAX(0,1-D68-J68)</x:f>
        <x:v>0</x:v>
      </x:c>
      <x:c r="J68" s="2" t="n">
        <x:f>(1-$E$40)*INDEX('Assumptions'!$I$65:$I$101,MIN(C68,36)+1)</x:f>
        <x:v>0.64</x:v>
      </x:c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$E$40*INDEX('Assumptions'!$F$65:$F$101,MIN(C69,36)+1)</x:f>
        <x:v>0.36</x:v>
      </x:c>
      <x:c r="E69" s="30" t="n">
        <x:f>(D69-D68)*H68</x:f>
        <x:v>0</x:v>
      </x:c>
      <x:c r="F69" s="30" t="n">
        <x:f>(1-D69-J68)*(H68-H69)+(J69-J68)*H69</x:f>
        <x:v>0</x:v>
      </x:c>
      <x:c r="G69" s="30" t="n">
        <x:f>SUM(E70:E147)</x:f>
        <x:v>0</x:v>
      </x:c>
      <x:c r="H69" s="30" t="n">
        <x:f>IF($E$42=0,1-MIN(C69,$E$43)/$E$43,((1+$E$42)^$E$43-(1+$E$42)^MIN(C69,$E$43))/((1+$E$42)^$E$43-1))</x:f>
        <x:v>0</x:v>
      </x:c>
      <x:c r="I69" s="30" t="n">
        <x:f>MAX(0,1-D69-J69)</x:f>
        <x:v>0</x:v>
      </x:c>
      <x:c r="J69" s="2" t="n">
        <x:f>(1-$E$40)*INDEX('Assumptions'!$I$65:$I$101,MIN(C69,36)+1)</x:f>
        <x:v>0.64</x:v>
      </x:c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$E$40*INDEX('Assumptions'!$F$65:$F$101,MIN(C70,36)+1)</x:f>
        <x:v>0.36</x:v>
      </x:c>
      <x:c r="E70" s="30" t="n">
        <x:f>(D70-D69)*H69</x:f>
        <x:v>0</x:v>
      </x:c>
      <x:c r="F70" s="30" t="n">
        <x:f>(1-D70-J69)*(H69-H70)+(J70-J69)*H70</x:f>
        <x:v>0</x:v>
      </x:c>
      <x:c r="G70" s="30" t="n">
        <x:f>SUM(E71:E147)</x:f>
        <x:v>0</x:v>
      </x:c>
      <x:c r="H70" s="30" t="n">
        <x:f>IF($E$42=0,1-MIN(C70,$E$43)/$E$43,((1+$E$42)^$E$43-(1+$E$42)^MIN(C70,$E$43))/((1+$E$42)^$E$43-1))</x:f>
        <x:v>0</x:v>
      </x:c>
      <x:c r="I70" s="30" t="n">
        <x:f>MAX(0,1-D70-J70)</x:f>
        <x:v>0</x:v>
      </x:c>
      <x:c r="J70" s="2" t="n">
        <x:f>(1-$E$40)*INDEX('Assumptions'!$I$65:$I$101,MIN(C70,36)+1)</x:f>
        <x:v>0.64</x:v>
      </x:c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$E$40*INDEX('Assumptions'!$F$65:$F$101,MIN(C71,36)+1)</x:f>
        <x:v>0.36</x:v>
      </x:c>
      <x:c r="E71" s="30" t="n">
        <x:f>(D71-D70)*H70</x:f>
        <x:v>0</x:v>
      </x:c>
      <x:c r="F71" s="30" t="n">
        <x:f>(1-D71-J70)*(H70-H71)+(J71-J70)*H71</x:f>
        <x:v>0</x:v>
      </x:c>
      <x:c r="G71" s="30" t="n">
        <x:f>SUM(E72:E147)</x:f>
        <x:v>0</x:v>
      </x:c>
      <x:c r="H71" s="30" t="n">
        <x:f>IF($E$42=0,1-MIN(C71,$E$43)/$E$43,((1+$E$42)^$E$43-(1+$E$42)^MIN(C71,$E$43))/((1+$E$42)^$E$43-1))</x:f>
        <x:v>0</x:v>
      </x:c>
      <x:c r="I71" s="30" t="n">
        <x:f>MAX(0,1-D71-J71)</x:f>
        <x:v>0</x:v>
      </x:c>
      <x:c r="J71" s="2" t="n">
        <x:f>(1-$E$40)*INDEX('Assumptions'!$I$65:$I$101,MIN(C71,36)+1)</x:f>
        <x:v>0.64</x:v>
      </x:c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$E$40*INDEX('Assumptions'!$F$65:$F$101,MIN(C72,36)+1)</x:f>
        <x:v>0.36</x:v>
      </x:c>
      <x:c r="E72" s="30" t="n">
        <x:f>(D72-D71)*H71</x:f>
        <x:v>0</x:v>
      </x:c>
      <x:c r="F72" s="30" t="n">
        <x:f>(1-D72-J71)*(H71-H72)+(J72-J71)*H72</x:f>
        <x:v>0</x:v>
      </x:c>
      <x:c r="G72" s="30" t="n">
        <x:f>SUM(E73:E147)</x:f>
        <x:v>0</x:v>
      </x:c>
      <x:c r="H72" s="30" t="n">
        <x:f>IF($E$42=0,1-MIN(C72,$E$43)/$E$43,((1+$E$42)^$E$43-(1+$E$42)^MIN(C72,$E$43))/((1+$E$42)^$E$43-1))</x:f>
        <x:v>0</x:v>
      </x:c>
      <x:c r="I72" s="30" t="n">
        <x:f>MAX(0,1-D72-J72)</x:f>
        <x:v>0</x:v>
      </x:c>
      <x:c r="J72" s="2" t="n">
        <x:f>(1-$E$40)*INDEX('Assumptions'!$I$65:$I$101,MIN(C72,36)+1)</x:f>
        <x:v>0.64</x:v>
      </x:c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$E$40*INDEX('Assumptions'!$F$65:$F$101,MIN(C73,36)+1)</x:f>
        <x:v>0.36</x:v>
      </x:c>
      <x:c r="E73" s="30" t="n">
        <x:f>(D73-D72)*H72</x:f>
        <x:v>0</x:v>
      </x:c>
      <x:c r="F73" s="30" t="n">
        <x:f>(1-D73-J72)*(H72-H73)+(J73-J72)*H73</x:f>
        <x:v>0</x:v>
      </x:c>
      <x:c r="G73" s="30" t="n">
        <x:f>SUM(E74:E147)</x:f>
        <x:v>0</x:v>
      </x:c>
      <x:c r="H73" s="30" t="n">
        <x:f>IF($E$42=0,1-MIN(C73,$E$43)/$E$43,((1+$E$42)^$E$43-(1+$E$42)^MIN(C73,$E$43))/((1+$E$42)^$E$43-1))</x:f>
        <x:v>0</x:v>
      </x:c>
      <x:c r="I73" s="30" t="n">
        <x:f>MAX(0,1-D73-J73)</x:f>
        <x:v>0</x:v>
      </x:c>
      <x:c r="J73" s="2" t="n">
        <x:f>(1-$E$40)*INDEX('Assumptions'!$I$65:$I$101,MIN(C73,36)+1)</x:f>
        <x:v>0.64</x:v>
      </x:c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$E$40*INDEX('Assumptions'!$F$65:$F$101,MIN(C74,36)+1)</x:f>
        <x:v>0.36</x:v>
      </x:c>
      <x:c r="E74" s="30" t="n">
        <x:f>(D74-D73)*H73</x:f>
        <x:v>0</x:v>
      </x:c>
      <x:c r="F74" s="30" t="n">
        <x:f>(1-D74-J73)*(H73-H74)+(J74-J73)*H74</x:f>
        <x:v>0</x:v>
      </x:c>
      <x:c r="G74" s="30" t="n">
        <x:f>SUM(E75:E147)</x:f>
        <x:v>0</x:v>
      </x:c>
      <x:c r="H74" s="30" t="n">
        <x:f>IF($E$42=0,1-MIN(C74,$E$43)/$E$43,((1+$E$42)^$E$43-(1+$E$42)^MIN(C74,$E$43))/((1+$E$42)^$E$43-1))</x:f>
        <x:v>0</x:v>
      </x:c>
      <x:c r="I74" s="30" t="n">
        <x:f>MAX(0,1-D74-J74)</x:f>
        <x:v>0</x:v>
      </x:c>
      <x:c r="J74" s="2" t="n">
        <x:f>(1-$E$40)*INDEX('Assumptions'!$I$65:$I$101,MIN(C74,36)+1)</x:f>
        <x:v>0.64</x:v>
      </x:c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$E$40*INDEX('Assumptions'!$F$65:$F$101,MIN(C75,36)+1)</x:f>
        <x:v>0.36</x:v>
      </x:c>
      <x:c r="E75" s="30" t="n">
        <x:f>(D75-D74)*H74</x:f>
        <x:v>0</x:v>
      </x:c>
      <x:c r="F75" s="30" t="n">
        <x:f>(1-D75-J74)*(H74-H75)+(J75-J74)*H75</x:f>
        <x:v>0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MAX(0,1-D75-J75)</x:f>
        <x:v>0</x:v>
      </x:c>
      <x:c r="J75" s="2" t="n">
        <x:f>(1-$E$40)*INDEX('Assumptions'!$I$65:$I$101,MIN(C75,36)+1)</x:f>
        <x:v>0.64</x:v>
      </x:c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$E$40*INDEX('Assumptions'!$F$65:$F$101,MIN(C76,36)+1)</x:f>
        <x:v>0.36</x:v>
      </x:c>
      <x:c r="E76" s="30" t="n">
        <x:f>(D76-D75)*H75</x:f>
        <x:v>0</x:v>
      </x:c>
      <x:c r="F76" s="30" t="n">
        <x:f>(1-D76-J75)*(H75-H76)+(J76-J75)*H76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MAX(0,1-D76-J76)</x:f>
        <x:v>0</x:v>
      </x:c>
      <x:c r="J76" s="2" t="n">
        <x:f>(1-$E$40)*INDEX('Assumptions'!$I$65:$I$101,MIN(C76,36)+1)</x:f>
        <x:v>0.64</x:v>
      </x:c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$E$40*INDEX('Assumptions'!$F$65:$F$101,MIN(C77,36)+1)</x:f>
        <x:v>0.36</x:v>
      </x:c>
      <x:c r="E77" s="30" t="n">
        <x:f>(D77-D76)*H76</x:f>
        <x:v>0</x:v>
      </x:c>
      <x:c r="F77" s="30" t="n">
        <x:f>(1-D77-J76)*(H76-H77)+(J77-J76)*H77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MAX(0,1-D77-J77)</x:f>
        <x:v>0</x:v>
      </x:c>
      <x:c r="J77" s="2" t="n">
        <x:f>(1-$E$40)*INDEX('Assumptions'!$I$65:$I$101,MIN(C77,36)+1)</x:f>
        <x:v>0.64</x:v>
      </x:c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$E$40*INDEX('Assumptions'!$F$65:$F$101,MIN(C78,36)+1)</x:f>
        <x:v>0.36</x:v>
      </x:c>
      <x:c r="E78" s="30" t="n">
        <x:f>(D78-D77)*H77</x:f>
        <x:v>0</x:v>
      </x:c>
      <x:c r="F78" s="30" t="n">
        <x:f>(1-D78-J77)*(H77-H78)+(J78-J77)*H78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MAX(0,1-D78-J78)</x:f>
        <x:v>0</x:v>
      </x:c>
      <x:c r="J78" s="2" t="n">
        <x:f>(1-$E$40)*INDEX('Assumptions'!$I$65:$I$101,MIN(C78,36)+1)</x:f>
        <x:v>0.64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$E$40*INDEX('Assumptions'!$F$65:$F$101,MIN(C79,36)+1)</x:f>
        <x:v>0.36</x:v>
      </x:c>
      <x:c r="E79" s="30" t="n">
        <x:f>(D79-D78)*H78</x:f>
        <x:v>0</x:v>
      </x:c>
      <x:c r="F79" s="30" t="n">
        <x:f>(1-D79-J78)*(H78-H79)+(J79-J78)*H79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MAX(0,1-D79-J79)</x:f>
        <x:v>0</x:v>
      </x:c>
      <x:c r="J79" s="2" t="n">
        <x:f>(1-$E$40)*INDEX('Assumptions'!$I$65:$I$101,MIN(C79,36)+1)</x:f>
        <x:v>0.64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$E$40*INDEX('Assumptions'!$F$65:$F$101,MIN(C80,36)+1)</x:f>
        <x:v>0.36</x:v>
      </x:c>
      <x:c r="E80" s="30" t="n">
        <x:f>(D80-D79)*H79</x:f>
        <x:v>0</x:v>
      </x:c>
      <x:c r="F80" s="30" t="n">
        <x:f>(1-D80-J79)*(H79-H80)+(J80-J79)*H80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MAX(0,1-D80-J80)</x:f>
        <x:v>0</x:v>
      </x:c>
      <x:c r="J80" s="2" t="n">
        <x:f>(1-$E$40)*INDEX('Assumptions'!$I$65:$I$101,MIN(C80,36)+1)</x:f>
        <x:v>0.64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$E$40*INDEX('Assumptions'!$F$65:$F$101,MIN(C81,36)+1)</x:f>
        <x:v>0.36</x:v>
      </x:c>
      <x:c r="E81" s="30" t="n">
        <x:f>(D81-D80)*H80</x:f>
        <x:v>0</x:v>
      </x:c>
      <x:c r="F81" s="30" t="n">
        <x:f>(1-D81-J80)*(H80-H81)+(J81-J80)*H81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MAX(0,1-D81-J81)</x:f>
        <x:v>0</x:v>
      </x:c>
      <x:c r="J81" s="2" t="n">
        <x:f>(1-$E$40)*INDEX('Assumptions'!$I$65:$I$101,MIN(C81,36)+1)</x:f>
        <x:v>0.64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$E$40*INDEX('Assumptions'!$F$65:$F$101,MIN(C82,36)+1)</x:f>
        <x:v>0.36</x:v>
      </x:c>
      <x:c r="E82" s="30" t="n">
        <x:f>(D82-D81)*H81</x:f>
        <x:v>0</x:v>
      </x:c>
      <x:c r="F82" s="30" t="n">
        <x:f>(1-D82-J81)*(H81-H82)+(J82-J81)*H82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MAX(0,1-D82-J82)</x:f>
        <x:v>0</x:v>
      </x:c>
      <x:c r="J82" s="2" t="n">
        <x:f>(1-$E$40)*INDEX('Assumptions'!$I$65:$I$101,MIN(C82,36)+1)</x:f>
        <x:v>0.64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$E$40*INDEX('Assumptions'!$F$65:$F$101,MIN(C83,36)+1)</x:f>
        <x:v>0.36</x:v>
      </x:c>
      <x:c r="E83" s="30" t="n">
        <x:f>(D83-D82)*H82</x:f>
        <x:v>0</x:v>
      </x:c>
      <x:c r="F83" s="30" t="n">
        <x:f>(1-D83-J82)*(H82-H83)+(J83-J82)*H83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MAX(0,1-D83-J83)</x:f>
        <x:v>0</x:v>
      </x:c>
      <x:c r="J83" s="2" t="n">
        <x:f>(1-$E$40)*INDEX('Assumptions'!$I$65:$I$101,MIN(C83,36)+1)</x:f>
        <x:v>0.64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$E$40*INDEX('Assumptions'!$F$65:$F$101,MIN(C84,36)+1)</x:f>
        <x:v>0.36</x:v>
      </x:c>
      <x:c r="E84" s="30" t="n">
        <x:f>(D84-D83)*H83</x:f>
        <x:v>0</x:v>
      </x:c>
      <x:c r="F84" s="30" t="n">
        <x:f>(1-D84-J83)*(H83-H84)+(J84-J83)*H84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MAX(0,1-D84-J84)</x:f>
        <x:v>0</x:v>
      </x:c>
      <x:c r="J84" s="2" t="n">
        <x:f>(1-$E$40)*INDEX('Assumptions'!$I$65:$I$101,MIN(C84,36)+1)</x:f>
        <x:v>0.64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$E$40*INDEX('Assumptions'!$F$65:$F$101,MIN(C85,36)+1)</x:f>
        <x:v>0.36</x:v>
      </x:c>
      <x:c r="E85" s="30" t="n">
        <x:f>(D85-D84)*H84</x:f>
        <x:v>0</x:v>
      </x:c>
      <x:c r="F85" s="30" t="n">
        <x:f>(1-D85-J84)*(H84-H85)+(J85-J84)*H85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MAX(0,1-D85-J85)</x:f>
        <x:v>0</x:v>
      </x:c>
      <x:c r="J85" s="2" t="n">
        <x:f>(1-$E$40)*INDEX('Assumptions'!$I$65:$I$101,MIN(C85,36)+1)</x:f>
        <x:v>0.64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$E$40*INDEX('Assumptions'!$F$65:$F$101,MIN(C86,36)+1)</x:f>
        <x:v>0.36</x:v>
      </x:c>
      <x:c r="E86" s="30" t="n">
        <x:f>(D86-D85)*H85</x:f>
        <x:v>0</x:v>
      </x:c>
      <x:c r="F86" s="30" t="n">
        <x:f>(1-D86-J85)*(H85-H86)+(J86-J85)*H86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MAX(0,1-D86-J86)</x:f>
        <x:v>0</x:v>
      </x:c>
      <x:c r="J86" s="2" t="n">
        <x:f>(1-$E$40)*INDEX('Assumptions'!$I$65:$I$101,MIN(C86,36)+1)</x:f>
        <x:v>0.64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$E$40*INDEX('Assumptions'!$F$65:$F$101,MIN(C87,36)+1)</x:f>
        <x:v>0.36</x:v>
      </x:c>
      <x:c r="E87" s="30" t="n">
        <x:f>(D87-D86)*H86</x:f>
        <x:v>0</x:v>
      </x:c>
      <x:c r="F87" s="30" t="n">
        <x:f>(1-D87-J86)*(H86-H87)+(J87-J86)*H87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MAX(0,1-D87-J87)</x:f>
        <x:v>0</x:v>
      </x:c>
      <x:c r="J87" s="2" t="n">
        <x:f>(1-$E$40)*INDEX('Assumptions'!$I$65:$I$101,MIN(C87,36)+1)</x:f>
        <x:v>0.64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$E$40*INDEX('Assumptions'!$F$65:$F$101,MIN(C88,36)+1)</x:f>
        <x:v>0.36</x:v>
      </x:c>
      <x:c r="E88" s="30" t="n">
        <x:f>(D88-D87)*H87</x:f>
        <x:v>0</x:v>
      </x:c>
      <x:c r="F88" s="30" t="n">
        <x:f>(1-D88-J87)*(H87-H88)+(J88-J87)*H88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MAX(0,1-D88-J88)</x:f>
        <x:v>0</x:v>
      </x:c>
      <x:c r="J88" s="2" t="n">
        <x:f>(1-$E$40)*INDEX('Assumptions'!$I$65:$I$101,MIN(C88,36)+1)</x:f>
        <x:v>0.64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$E$40*INDEX('Assumptions'!$F$65:$F$101,MIN(C89,36)+1)</x:f>
        <x:v>0.36</x:v>
      </x:c>
      <x:c r="E89" s="30" t="n">
        <x:f>(D89-D88)*H88</x:f>
        <x:v>0</x:v>
      </x:c>
      <x:c r="F89" s="30" t="n">
        <x:f>(1-D89-J88)*(H88-H89)+(J89-J88)*H89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MAX(0,1-D89-J89)</x:f>
        <x:v>0</x:v>
      </x:c>
      <x:c r="J89" s="2" t="n">
        <x:f>(1-$E$40)*INDEX('Assumptions'!$I$65:$I$101,MIN(C89,36)+1)</x:f>
        <x:v>0.64</x:v>
      </x:c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$E$40*INDEX('Assumptions'!$F$65:$F$101,MIN(C90,36)+1)</x:f>
        <x:v>0.36</x:v>
      </x:c>
      <x:c r="E90" s="30" t="n">
        <x:f>(D90-D89)*H89</x:f>
        <x:v>0</x:v>
      </x:c>
      <x:c r="F90" s="30" t="n">
        <x:f>(1-D90-J89)*(H89-H90)+(J90-J89)*H90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MAX(0,1-D90-J90)</x:f>
        <x:v>0</x:v>
      </x:c>
      <x:c r="J90" s="2" t="n">
        <x:f>(1-$E$40)*INDEX('Assumptions'!$I$65:$I$101,MIN(C90,36)+1)</x:f>
        <x:v>0.64</x:v>
      </x:c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$E$40*INDEX('Assumptions'!$F$65:$F$101,MIN(C91,36)+1)</x:f>
        <x:v>0.36</x:v>
      </x:c>
      <x:c r="E91" s="30" t="n">
        <x:f>(D91-D90)*H90</x:f>
        <x:v>0</x:v>
      </x:c>
      <x:c r="F91" s="30" t="n">
        <x:f>(1-D91-J90)*(H90-H91)+(J91-J90)*H91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MAX(0,1-D91-J91)</x:f>
        <x:v>0</x:v>
      </x:c>
      <x:c r="J91" s="2" t="n">
        <x:f>(1-$E$40)*INDEX('Assumptions'!$I$65:$I$101,MIN(C91,36)+1)</x:f>
        <x:v>0.64</x:v>
      </x:c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$E$40*INDEX('Assumptions'!$F$65:$F$101,MIN(C92,36)+1)</x:f>
        <x:v>0.36</x:v>
      </x:c>
      <x:c r="E92" s="30" t="n">
        <x:f>(D92-D91)*H91</x:f>
        <x:v>0</x:v>
      </x:c>
      <x:c r="F92" s="30" t="n">
        <x:f>(1-D92-J91)*(H91-H92)+(J92-J91)*H92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MAX(0,1-D92-J92)</x:f>
        <x:v>0</x:v>
      </x:c>
      <x:c r="J92" s="2" t="n">
        <x:f>(1-$E$40)*INDEX('Assumptions'!$I$65:$I$101,MIN(C92,36)+1)</x:f>
        <x:v>0.64</x:v>
      </x:c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$E$40*INDEX('Assumptions'!$F$65:$F$101,MIN(C93,36)+1)</x:f>
        <x:v>0.36</x:v>
      </x:c>
      <x:c r="E93" s="30" t="n">
        <x:f>(D93-D92)*H92</x:f>
        <x:v>0</x:v>
      </x:c>
      <x:c r="F93" s="30" t="n">
        <x:f>(1-D93-J92)*(H92-H93)+(J93-J92)*H93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MAX(0,1-D93-J93)</x:f>
        <x:v>0</x:v>
      </x:c>
      <x:c r="J93" s="2" t="n">
        <x:f>(1-$E$40)*INDEX('Assumptions'!$I$65:$I$101,MIN(C93,36)+1)</x:f>
        <x:v>0.64</x:v>
      </x:c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$E$40*INDEX('Assumptions'!$F$65:$F$101,MIN(C94,36)+1)</x:f>
        <x:v>0.36</x:v>
      </x:c>
      <x:c r="E94" s="30" t="n">
        <x:f>(D94-D93)*H93</x:f>
        <x:v>0</x:v>
      </x:c>
      <x:c r="F94" s="30" t="n">
        <x:f>(1-D94-J93)*(H93-H94)+(J94-J93)*H94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MAX(0,1-D94-J94)</x:f>
        <x:v>0</x:v>
      </x:c>
      <x:c r="J94" s="2" t="n">
        <x:f>(1-$E$40)*INDEX('Assumptions'!$I$65:$I$101,MIN(C94,36)+1)</x:f>
        <x:v>0.64</x:v>
      </x:c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$E$40*INDEX('Assumptions'!$F$65:$F$101,MIN(C95,36)+1)</x:f>
        <x:v>0.36</x:v>
      </x:c>
      <x:c r="E95" s="30" t="n">
        <x:f>(D95-D94)*H94</x:f>
        <x:v>0</x:v>
      </x:c>
      <x:c r="F95" s="30" t="n">
        <x:f>(1-D95-J94)*(H94-H95)+(J95-J94)*H95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MAX(0,1-D95-J95)</x:f>
        <x:v>0</x:v>
      </x:c>
      <x:c r="J95" s="2" t="n">
        <x:f>(1-$E$40)*INDEX('Assumptions'!$I$65:$I$101,MIN(C95,36)+1)</x:f>
        <x:v>0.64</x:v>
      </x:c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$E$40*INDEX('Assumptions'!$F$65:$F$101,MIN(C96,36)+1)</x:f>
        <x:v>0.36</x:v>
      </x:c>
      <x:c r="E96" s="30" t="n">
        <x:f>(D96-D95)*H95</x:f>
        <x:v>0</x:v>
      </x:c>
      <x:c r="F96" s="30" t="n">
        <x:f>(1-D96-J95)*(H95-H96)+(J96-J95)*H96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MAX(0,1-D96-J96)</x:f>
        <x:v>0</x:v>
      </x:c>
      <x:c r="J96" s="2" t="n">
        <x:f>(1-$E$40)*INDEX('Assumptions'!$I$65:$I$101,MIN(C96,36)+1)</x:f>
        <x:v>0.64</x:v>
      </x:c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$E$40*INDEX('Assumptions'!$F$65:$F$101,MIN(C97,36)+1)</x:f>
        <x:v>0.36</x:v>
      </x:c>
      <x:c r="E97" s="30" t="n">
        <x:f>(D97-D96)*H96</x:f>
        <x:v>0</x:v>
      </x:c>
      <x:c r="F97" s="30" t="n">
        <x:f>(1-D97-J96)*(H96-H97)+(J97-J96)*H97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MAX(0,1-D97-J97)</x:f>
        <x:v>0</x:v>
      </x:c>
      <x:c r="J97" s="2" t="n">
        <x:f>(1-$E$40)*INDEX('Assumptions'!$I$65:$I$101,MIN(C97,36)+1)</x:f>
        <x:v>0.64</x:v>
      </x:c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$E$40*INDEX('Assumptions'!$F$65:$F$101,MIN(C98,36)+1)</x:f>
        <x:v>0.36</x:v>
      </x:c>
      <x:c r="E98" s="30" t="n">
        <x:f>(D98-D97)*H97</x:f>
        <x:v>0</x:v>
      </x:c>
      <x:c r="F98" s="30" t="n">
        <x:f>(1-D98-J97)*(H97-H98)+(J98-J97)*H98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MAX(0,1-D98-J98)</x:f>
        <x:v>0</x:v>
      </x:c>
      <x:c r="J98" s="2" t="n">
        <x:f>(1-$E$40)*INDEX('Assumptions'!$I$65:$I$101,MIN(C98,36)+1)</x:f>
        <x:v>0.64</x:v>
      </x:c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$E$40*INDEX('Assumptions'!$F$65:$F$101,MIN(C99,36)+1)</x:f>
        <x:v>0.36</x:v>
      </x:c>
      <x:c r="E99" s="30" t="n">
        <x:f>(D99-D98)*H98</x:f>
        <x:v>0</x:v>
      </x:c>
      <x:c r="F99" s="30" t="n">
        <x:f>(1-D99-J98)*(H98-H99)+(J99-J98)*H99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MAX(0,1-D99-J99)</x:f>
        <x:v>0</x:v>
      </x:c>
      <x:c r="J99" s="2" t="n">
        <x:f>(1-$E$40)*INDEX('Assumptions'!$I$65:$I$101,MIN(C99,36)+1)</x:f>
        <x:v>0.64</x:v>
      </x:c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$E$40*INDEX('Assumptions'!$F$65:$F$101,MIN(C100,36)+1)</x:f>
        <x:v>0.36</x:v>
      </x:c>
      <x:c r="E100" s="30" t="n">
        <x:f>(D100-D99)*H99</x:f>
        <x:v>0</x:v>
      </x:c>
      <x:c r="F100" s="30" t="n">
        <x:f>(1-D100-J99)*(H99-H100)+(J100-J99)*H100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MAX(0,1-D100-J100)</x:f>
        <x:v>0</x:v>
      </x:c>
      <x:c r="J100" s="2" t="n">
        <x:f>(1-$E$40)*INDEX('Assumptions'!$I$65:$I$101,MIN(C100,36)+1)</x:f>
        <x:v>0.64</x:v>
      </x:c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$E$40*INDEX('Assumptions'!$F$65:$F$101,MIN(C101,36)+1)</x:f>
        <x:v>0.36</x:v>
      </x:c>
      <x:c r="E101" s="30" t="n">
        <x:f>(D101-D100)*H100</x:f>
        <x:v>0</x:v>
      </x:c>
      <x:c r="F101" s="30" t="n">
        <x:f>(1-D101-J100)*(H100-H101)+(J101-J100)*H101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MAX(0,1-D101-J101)</x:f>
        <x:v>0</x:v>
      </x:c>
      <x:c r="J101" s="2" t="n">
        <x:f>(1-$E$40)*INDEX('Assumptions'!$I$65:$I$101,MIN(C101,36)+1)</x:f>
        <x:v>0.64</x:v>
      </x:c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$E$40*INDEX('Assumptions'!$F$65:$F$101,MIN(C102,36)+1)</x:f>
        <x:v>0.36</x:v>
      </x:c>
      <x:c r="E102" s="30" t="n">
        <x:f>(D102-D101)*H101</x:f>
        <x:v>0</x:v>
      </x:c>
      <x:c r="F102" s="30" t="n">
        <x:f>(1-D102-J101)*(H101-H102)+(J102-J101)*H102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MAX(0,1-D102-J102)</x:f>
        <x:v>0</x:v>
      </x:c>
      <x:c r="J102" s="2" t="n">
        <x:f>(1-$E$40)*INDEX('Assumptions'!$I$65:$I$101,MIN(C102,36)+1)</x:f>
        <x:v>0.64</x:v>
      </x:c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$E$40*INDEX('Assumptions'!$F$65:$F$101,MIN(C103,36)+1)</x:f>
        <x:v>0.36</x:v>
      </x:c>
      <x:c r="E103" s="30" t="n">
        <x:f>(D103-D102)*H102</x:f>
        <x:v>0</x:v>
      </x:c>
      <x:c r="F103" s="30" t="n">
        <x:f>(1-D103-J102)*(H102-H103)+(J103-J102)*H103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MAX(0,1-D103-J103)</x:f>
        <x:v>0</x:v>
      </x:c>
      <x:c r="J103" s="2" t="n">
        <x:f>(1-$E$40)*INDEX('Assumptions'!$I$65:$I$101,MIN(C103,36)+1)</x:f>
        <x:v>0.64</x:v>
      </x:c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$E$40*INDEX('Assumptions'!$F$65:$F$101,MIN(C104,36)+1)</x:f>
        <x:v>0.36</x:v>
      </x:c>
      <x:c r="E104" s="30" t="n">
        <x:f>(D104-D103)*H103</x:f>
        <x:v>0</x:v>
      </x:c>
      <x:c r="F104" s="30" t="n">
        <x:f>(1-D104-J103)*(H103-H104)+(J104-J103)*H104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MAX(0,1-D104-J104)</x:f>
        <x:v>0</x:v>
      </x:c>
      <x:c r="J104" s="2" t="n">
        <x:f>(1-$E$40)*INDEX('Assumptions'!$I$65:$I$101,MIN(C104,36)+1)</x:f>
        <x:v>0.64</x:v>
      </x:c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$E$40*INDEX('Assumptions'!$F$65:$F$101,MIN(C105,36)+1)</x:f>
        <x:v>0.36</x:v>
      </x:c>
      <x:c r="E105" s="30" t="n">
        <x:f>(D105-D104)*H104</x:f>
        <x:v>0</x:v>
      </x:c>
      <x:c r="F105" s="30" t="n">
        <x:f>(1-D105-J104)*(H104-H105)+(J105-J104)*H105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MAX(0,1-D105-J105)</x:f>
        <x:v>0</x:v>
      </x:c>
      <x:c r="J105" s="2" t="n">
        <x:f>(1-$E$40)*INDEX('Assumptions'!$I$65:$I$101,MIN(C105,36)+1)</x:f>
        <x:v>0.64</x:v>
      </x:c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$E$40*INDEX('Assumptions'!$F$65:$F$101,MIN(C106,36)+1)</x:f>
        <x:v>0.36</x:v>
      </x:c>
      <x:c r="E106" s="30" t="n">
        <x:f>(D106-D105)*H105</x:f>
        <x:v>0</x:v>
      </x:c>
      <x:c r="F106" s="30" t="n">
        <x:f>(1-D106-J105)*(H105-H106)+(J106-J105)*H106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MAX(0,1-D106-J106)</x:f>
        <x:v>0</x:v>
      </x:c>
      <x:c r="J106" s="2" t="n">
        <x:f>(1-$E$40)*INDEX('Assumptions'!$I$65:$I$101,MIN(C106,36)+1)</x:f>
        <x:v>0.64</x:v>
      </x:c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$E$40*INDEX('Assumptions'!$F$65:$F$101,MIN(C107,36)+1)</x:f>
        <x:v>0.36</x:v>
      </x:c>
      <x:c r="E107" s="30" t="n">
        <x:f>(D107-D106)*H106</x:f>
        <x:v>0</x:v>
      </x:c>
      <x:c r="F107" s="30" t="n">
        <x:f>(1-D107-J106)*(H106-H107)+(J107-J106)*H107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MAX(0,1-D107-J107)</x:f>
        <x:v>0</x:v>
      </x:c>
      <x:c r="J107" s="2" t="n">
        <x:f>(1-$E$40)*INDEX('Assumptions'!$I$65:$I$101,MIN(C107,36)+1)</x:f>
        <x:v>0.64</x:v>
      </x:c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$E$40*INDEX('Assumptions'!$F$65:$F$101,MIN(C108,36)+1)</x:f>
        <x:v>0.36</x:v>
      </x:c>
      <x:c r="E108" s="30" t="n">
        <x:f>(D108-D107)*H107</x:f>
        <x:v>0</x:v>
      </x:c>
      <x:c r="F108" s="30" t="n">
        <x:f>(1-D108-J107)*(H107-H108)+(J108-J107)*H108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MAX(0,1-D108-J108)</x:f>
        <x:v>0</x:v>
      </x:c>
      <x:c r="J108" s="2" t="n">
        <x:f>(1-$E$40)*INDEX('Assumptions'!$I$65:$I$101,MIN(C108,36)+1)</x:f>
        <x:v>0.64</x:v>
      </x:c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$E$40*INDEX('Assumptions'!$F$65:$F$101,MIN(C109,36)+1)</x:f>
        <x:v>0.36</x:v>
      </x:c>
      <x:c r="E109" s="30" t="n">
        <x:f>(D109-D108)*H108</x:f>
        <x:v>0</x:v>
      </x:c>
      <x:c r="F109" s="30" t="n">
        <x:f>(1-D109-J108)*(H108-H109)+(J109-J108)*H109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MAX(0,1-D109-J109)</x:f>
        <x:v>0</x:v>
      </x:c>
      <x:c r="J109" s="2" t="n">
        <x:f>(1-$E$40)*INDEX('Assumptions'!$I$65:$I$101,MIN(C109,36)+1)</x:f>
        <x:v>0.64</x:v>
      </x:c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$E$40*INDEX('Assumptions'!$F$65:$F$101,MIN(C110,36)+1)</x:f>
        <x:v>0.36</x:v>
      </x:c>
      <x:c r="E110" s="30" t="n">
        <x:f>(D110-D109)*H109</x:f>
        <x:v>0</x:v>
      </x:c>
      <x:c r="F110" s="30" t="n">
        <x:f>(1-D110-J109)*(H109-H110)+(J110-J109)*H110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MAX(0,1-D110-J110)</x:f>
        <x:v>0</x:v>
      </x:c>
      <x:c r="J110" s="2" t="n">
        <x:f>(1-$E$40)*INDEX('Assumptions'!$I$65:$I$101,MIN(C110,36)+1)</x:f>
        <x:v>0.64</x:v>
      </x:c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$E$40*INDEX('Assumptions'!$F$65:$F$101,MIN(C111,36)+1)</x:f>
        <x:v>0.36</x:v>
      </x:c>
      <x:c r="E111" s="30" t="n">
        <x:f>(D111-D110)*H110</x:f>
        <x:v>0</x:v>
      </x:c>
      <x:c r="F111" s="30" t="n">
        <x:f>(1-D111-J110)*(H110-H111)+(J111-J110)*H111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MAX(0,1-D111-J111)</x:f>
        <x:v>0</x:v>
      </x:c>
      <x:c r="J111" s="2" t="n">
        <x:f>(1-$E$40)*INDEX('Assumptions'!$I$65:$I$101,MIN(C111,36)+1)</x:f>
        <x:v>0.64</x:v>
      </x:c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$E$40*INDEX('Assumptions'!$F$65:$F$101,MIN(C112,36)+1)</x:f>
        <x:v>0.36</x:v>
      </x:c>
      <x:c r="E112" s="30" t="n">
        <x:f>(D112-D111)*H111</x:f>
        <x:v>0</x:v>
      </x:c>
      <x:c r="F112" s="30" t="n">
        <x:f>(1-D112-J111)*(H111-H112)+(J112-J111)*H112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MAX(0,1-D112-J112)</x:f>
        <x:v>0</x:v>
      </x:c>
      <x:c r="J112" s="2" t="n">
        <x:f>(1-$E$40)*INDEX('Assumptions'!$I$65:$I$101,MIN(C112,36)+1)</x:f>
        <x:v>0.64</x:v>
      </x:c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$E$40*INDEX('Assumptions'!$F$65:$F$101,MIN(C113,36)+1)</x:f>
        <x:v>0.36</x:v>
      </x:c>
      <x:c r="E113" s="30" t="n">
        <x:f>(D113-D112)*H112</x:f>
        <x:v>0</x:v>
      </x:c>
      <x:c r="F113" s="30" t="n">
        <x:f>(1-D113-J112)*(H112-H113)+(J113-J112)*H113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MAX(0,1-D113-J113)</x:f>
        <x:v>0</x:v>
      </x:c>
      <x:c r="J113" s="2" t="n">
        <x:f>(1-$E$40)*INDEX('Assumptions'!$I$65:$I$101,MIN(C113,36)+1)</x:f>
        <x:v>0.64</x:v>
      </x:c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$E$40*INDEX('Assumptions'!$F$65:$F$101,MIN(C114,36)+1)</x:f>
        <x:v>0.36</x:v>
      </x:c>
      <x:c r="E114" s="30" t="n">
        <x:f>(D114-D113)*H113</x:f>
        <x:v>0</x:v>
      </x:c>
      <x:c r="F114" s="30" t="n">
        <x:f>(1-D114-J113)*(H113-H114)+(J114-J113)*H114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MAX(0,1-D114-J114)</x:f>
        <x:v>0</x:v>
      </x:c>
      <x:c r="J114" s="2" t="n">
        <x:f>(1-$E$40)*INDEX('Assumptions'!$I$65:$I$101,MIN(C114,36)+1)</x:f>
        <x:v>0.64</x:v>
      </x:c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$E$40*INDEX('Assumptions'!$F$65:$F$101,MIN(C115,36)+1)</x:f>
        <x:v>0.36</x:v>
      </x:c>
      <x:c r="E115" s="30" t="n">
        <x:f>(D115-D114)*H114</x:f>
        <x:v>0</x:v>
      </x:c>
      <x:c r="F115" s="30" t="n">
        <x:f>(1-D115-J114)*(H114-H115)+(J115-J114)*H115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MAX(0,1-D115-J115)</x:f>
        <x:v>0</x:v>
      </x:c>
      <x:c r="J115" s="2" t="n">
        <x:f>(1-$E$40)*INDEX('Assumptions'!$I$65:$I$101,MIN(C115,36)+1)</x:f>
        <x:v>0.64</x:v>
      </x:c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$E$40*INDEX('Assumptions'!$F$65:$F$101,MIN(C116,36)+1)</x:f>
        <x:v>0.36</x:v>
      </x:c>
      <x:c r="E116" s="30" t="n">
        <x:f>(D116-D115)*H115</x:f>
        <x:v>0</x:v>
      </x:c>
      <x:c r="F116" s="30" t="n">
        <x:f>(1-D116-J115)*(H115-H116)+(J116-J115)*H116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MAX(0,1-D116-J116)</x:f>
        <x:v>0</x:v>
      </x:c>
      <x:c r="J116" s="2" t="n">
        <x:f>(1-$E$40)*INDEX('Assumptions'!$I$65:$I$101,MIN(C116,36)+1)</x:f>
        <x:v>0.64</x:v>
      </x:c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$E$40*INDEX('Assumptions'!$F$65:$F$101,MIN(C117,36)+1)</x:f>
        <x:v>0.36</x:v>
      </x:c>
      <x:c r="E117" s="30" t="n">
        <x:f>(D117-D116)*H116</x:f>
        <x:v>0</x:v>
      </x:c>
      <x:c r="F117" s="30" t="n">
        <x:f>(1-D117-J116)*(H116-H117)+(J117-J116)*H117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MAX(0,1-D117-J117)</x:f>
        <x:v>0</x:v>
      </x:c>
      <x:c r="J117" s="2" t="n">
        <x:f>(1-$E$40)*INDEX('Assumptions'!$I$65:$I$101,MIN(C117,36)+1)</x:f>
        <x:v>0.64</x:v>
      </x:c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$E$40*INDEX('Assumptions'!$F$65:$F$101,MIN(C118,36)+1)</x:f>
        <x:v>0.36</x:v>
      </x:c>
      <x:c r="E118" s="30" t="n">
        <x:f>(D118-D117)*H117</x:f>
        <x:v>0</x:v>
      </x:c>
      <x:c r="F118" s="30" t="n">
        <x:f>(1-D118-J117)*(H117-H118)+(J118-J117)*H118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MAX(0,1-D118-J118)</x:f>
        <x:v>0</x:v>
      </x:c>
      <x:c r="J118" s="2" t="n">
        <x:f>(1-$E$40)*INDEX('Assumptions'!$I$65:$I$101,MIN(C118,36)+1)</x:f>
        <x:v>0.64</x:v>
      </x:c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$E$40*INDEX('Assumptions'!$F$65:$F$101,MIN(C119,36)+1)</x:f>
        <x:v>0.36</x:v>
      </x:c>
      <x:c r="E119" s="30" t="n">
        <x:f>(D119-D118)*H118</x:f>
        <x:v>0</x:v>
      </x:c>
      <x:c r="F119" s="30" t="n">
        <x:f>(1-D119-J118)*(H118-H119)+(J119-J118)*H119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MAX(0,1-D119-J119)</x:f>
        <x:v>0</x:v>
      </x:c>
      <x:c r="J119" s="2" t="n">
        <x:f>(1-$E$40)*INDEX('Assumptions'!$I$65:$I$101,MIN(C119,36)+1)</x:f>
        <x:v>0.64</x:v>
      </x:c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$E$40*INDEX('Assumptions'!$F$65:$F$101,MIN(C120,36)+1)</x:f>
        <x:v>0.36</x:v>
      </x:c>
      <x:c r="E120" s="30" t="n">
        <x:f>(D120-D119)*H119</x:f>
        <x:v>0</x:v>
      </x:c>
      <x:c r="F120" s="30" t="n">
        <x:f>(1-D120-J119)*(H119-H120)+(J120-J119)*H120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MAX(0,1-D120-J120)</x:f>
        <x:v>0</x:v>
      </x:c>
      <x:c r="J120" s="2" t="n">
        <x:f>(1-$E$40)*INDEX('Assumptions'!$I$65:$I$101,MIN(C120,36)+1)</x:f>
        <x:v>0.64</x:v>
      </x:c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$E$40*INDEX('Assumptions'!$F$65:$F$101,MIN(C121,36)+1)</x:f>
        <x:v>0.36</x:v>
      </x:c>
      <x:c r="E121" s="30" t="n">
        <x:f>(D121-D120)*H120</x:f>
        <x:v>0</x:v>
      </x:c>
      <x:c r="F121" s="30" t="n">
        <x:f>(1-D121-J120)*(H120-H121)+(J121-J120)*H121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MAX(0,1-D121-J121)</x:f>
        <x:v>0</x:v>
      </x:c>
      <x:c r="J121" s="2" t="n">
        <x:f>(1-$E$40)*INDEX('Assumptions'!$I$65:$I$101,MIN(C121,36)+1)</x:f>
        <x:v>0.64</x:v>
      </x:c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$E$40*INDEX('Assumptions'!$F$65:$F$101,MIN(C122,36)+1)</x:f>
        <x:v>0.36</x:v>
      </x:c>
      <x:c r="E122" s="30" t="n">
        <x:f>(D122-D121)*H121</x:f>
        <x:v>0</x:v>
      </x:c>
      <x:c r="F122" s="30" t="n">
        <x:f>(1-D122-J121)*(H121-H122)+(J122-J121)*H122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MAX(0,1-D122-J122)</x:f>
        <x:v>0</x:v>
      </x:c>
      <x:c r="J122" s="2" t="n">
        <x:f>(1-$E$40)*INDEX('Assumptions'!$I$65:$I$101,MIN(C122,36)+1)</x:f>
        <x:v>0.64</x:v>
      </x:c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$E$40*INDEX('Assumptions'!$F$65:$F$101,MIN(C123,36)+1)</x:f>
        <x:v>0.36</x:v>
      </x:c>
      <x:c r="E123" s="30" t="n">
        <x:f>(D123-D122)*H122</x:f>
        <x:v>0</x:v>
      </x:c>
      <x:c r="F123" s="30" t="n">
        <x:f>(1-D123-J122)*(H122-H123)+(J123-J122)*H123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MAX(0,1-D123-J123)</x:f>
        <x:v>0</x:v>
      </x:c>
      <x:c r="J123" s="2" t="n">
        <x:f>(1-$E$40)*INDEX('Assumptions'!$I$65:$I$101,MIN(C123,36)+1)</x:f>
        <x:v>0.64</x:v>
      </x:c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$E$40*INDEX('Assumptions'!$F$65:$F$101,MIN(C124,36)+1)</x:f>
        <x:v>0.36</x:v>
      </x:c>
      <x:c r="E124" s="30" t="n">
        <x:f>(D124-D123)*H123</x:f>
        <x:v>0</x:v>
      </x:c>
      <x:c r="F124" s="30" t="n">
        <x:f>(1-D124-J123)*(H123-H124)+(J124-J123)*H124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MAX(0,1-D124-J124)</x:f>
        <x:v>0</x:v>
      </x:c>
      <x:c r="J124" s="2" t="n">
        <x:f>(1-$E$40)*INDEX('Assumptions'!$I$65:$I$101,MIN(C124,36)+1)</x:f>
        <x:v>0.64</x:v>
      </x:c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$E$40*INDEX('Assumptions'!$F$65:$F$101,MIN(C125,36)+1)</x:f>
        <x:v>0.36</x:v>
      </x:c>
      <x:c r="E125" s="30" t="n">
        <x:f>(D125-D124)*H124</x:f>
        <x:v>0</x:v>
      </x:c>
      <x:c r="F125" s="30" t="n">
        <x:f>(1-D125-J124)*(H124-H125)+(J125-J124)*H125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MAX(0,1-D125-J125)</x:f>
        <x:v>0</x:v>
      </x:c>
      <x:c r="J125" s="2" t="n">
        <x:f>(1-$E$40)*INDEX('Assumptions'!$I$65:$I$101,MIN(C125,36)+1)</x:f>
        <x:v>0.64</x:v>
      </x:c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$E$40*INDEX('Assumptions'!$F$65:$F$101,MIN(C126,36)+1)</x:f>
        <x:v>0.36</x:v>
      </x:c>
      <x:c r="E126" s="30" t="n">
        <x:f>(D126-D125)*H125</x:f>
        <x:v>0</x:v>
      </x:c>
      <x:c r="F126" s="30" t="n">
        <x:f>(1-D126-J125)*(H125-H126)+(J126-J125)*H126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MAX(0,1-D126-J126)</x:f>
        <x:v>0</x:v>
      </x:c>
      <x:c r="J126" s="2" t="n">
        <x:f>(1-$E$40)*INDEX('Assumptions'!$I$65:$I$101,MIN(C126,36)+1)</x:f>
        <x:v>0.64</x:v>
      </x:c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$E$40*INDEX('Assumptions'!$F$65:$F$101,MIN(C127,36)+1)</x:f>
        <x:v>0.36</x:v>
      </x:c>
      <x:c r="E127" s="30" t="n">
        <x:f>(D127-D126)*H126</x:f>
        <x:v>0</x:v>
      </x:c>
      <x:c r="F127" s="30" t="n">
        <x:f>(1-D127-J126)*(H126-H127)+(J127-J126)*H127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MAX(0,1-D127-J127)</x:f>
        <x:v>0</x:v>
      </x:c>
      <x:c r="J127" s="2" t="n">
        <x:f>(1-$E$40)*INDEX('Assumptions'!$I$65:$I$101,MIN(C127,36)+1)</x:f>
        <x:v>0.64</x:v>
      </x:c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$E$40*INDEX('Assumptions'!$F$65:$F$101,MIN(C128,36)+1)</x:f>
        <x:v>0.36</x:v>
      </x:c>
      <x:c r="E128" s="30" t="n">
        <x:f>(D128-D127)*H127</x:f>
        <x:v>0</x:v>
      </x:c>
      <x:c r="F128" s="30" t="n">
        <x:f>(1-D128-J127)*(H127-H128)+(J128-J127)*H128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MAX(0,1-D128-J128)</x:f>
        <x:v>0</x:v>
      </x:c>
      <x:c r="J128" s="2" t="n">
        <x:f>(1-$E$40)*INDEX('Assumptions'!$I$65:$I$101,MIN(C128,36)+1)</x:f>
        <x:v>0.64</x:v>
      </x:c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$E$40*INDEX('Assumptions'!$F$65:$F$101,MIN(C129,36)+1)</x:f>
        <x:v>0.36</x:v>
      </x:c>
      <x:c r="E129" s="30" t="n">
        <x:f>(D129-D128)*H128</x:f>
        <x:v>0</x:v>
      </x:c>
      <x:c r="F129" s="30" t="n">
        <x:f>(1-D129-J128)*(H128-H129)+(J129-J128)*H129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MAX(0,1-D129-J129)</x:f>
        <x:v>0</x:v>
      </x:c>
      <x:c r="J129" s="2" t="n">
        <x:f>(1-$E$40)*INDEX('Assumptions'!$I$65:$I$101,MIN(C129,36)+1)</x:f>
        <x:v>0.64</x:v>
      </x:c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$E$40*INDEX('Assumptions'!$F$65:$F$101,MIN(C130,36)+1)</x:f>
        <x:v>0.36</x:v>
      </x:c>
      <x:c r="E130" s="30" t="n">
        <x:f>(D130-D129)*H129</x:f>
        <x:v>0</x:v>
      </x:c>
      <x:c r="F130" s="30" t="n">
        <x:f>(1-D130-J129)*(H129-H130)+(J130-J129)*H130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MAX(0,1-D130-J130)</x:f>
        <x:v>0</x:v>
      </x:c>
      <x:c r="J130" s="2" t="n">
        <x:f>(1-$E$40)*INDEX('Assumptions'!$I$65:$I$101,MIN(C130,36)+1)</x:f>
        <x:v>0.64</x:v>
      </x:c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$E$40*INDEX('Assumptions'!$F$65:$F$101,MIN(C131,36)+1)</x:f>
        <x:v>0.36</x:v>
      </x:c>
      <x:c r="E131" s="30" t="n">
        <x:f>(D131-D130)*H130</x:f>
        <x:v>0</x:v>
      </x:c>
      <x:c r="F131" s="30" t="n">
        <x:f>(1-D131-J130)*(H130-H131)+(J131-J130)*H131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MAX(0,1-D131-J131)</x:f>
        <x:v>0</x:v>
      </x:c>
      <x:c r="J131" s="2" t="n">
        <x:f>(1-$E$40)*INDEX('Assumptions'!$I$65:$I$101,MIN(C131,36)+1)</x:f>
        <x:v>0.64</x:v>
      </x:c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$E$40*INDEX('Assumptions'!$F$65:$F$101,MIN(C132,36)+1)</x:f>
        <x:v>0.36</x:v>
      </x:c>
      <x:c r="E132" s="30" t="n">
        <x:f>(D132-D131)*H131</x:f>
        <x:v>0</x:v>
      </x:c>
      <x:c r="F132" s="30" t="n">
        <x:f>(1-D132-J131)*(H131-H132)+(J132-J131)*H132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MAX(0,1-D132-J132)</x:f>
        <x:v>0</x:v>
      </x:c>
      <x:c r="J132" s="2" t="n">
        <x:f>(1-$E$40)*INDEX('Assumptions'!$I$65:$I$101,MIN(C132,36)+1)</x:f>
        <x:v>0.64</x:v>
      </x:c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$E$40*INDEX('Assumptions'!$F$65:$F$101,MIN(C133,36)+1)</x:f>
        <x:v>0.36</x:v>
      </x:c>
      <x:c r="E133" s="30" t="n">
        <x:f>(D133-D132)*H132</x:f>
        <x:v>0</x:v>
      </x:c>
      <x:c r="F133" s="30" t="n">
        <x:f>(1-D133-J132)*(H132-H133)+(J133-J132)*H133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MAX(0,1-D133-J133)</x:f>
        <x:v>0</x:v>
      </x:c>
      <x:c r="J133" s="2" t="n">
        <x:f>(1-$E$40)*INDEX('Assumptions'!$I$65:$I$101,MIN(C133,36)+1)</x:f>
        <x:v>0.64</x:v>
      </x:c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$E$40*INDEX('Assumptions'!$F$65:$F$101,MIN(C134,36)+1)</x:f>
        <x:v>0.36</x:v>
      </x:c>
      <x:c r="E134" s="30" t="n">
        <x:f>(D134-D133)*H133</x:f>
        <x:v>0</x:v>
      </x:c>
      <x:c r="F134" s="30" t="n">
        <x:f>(1-D134-J133)*(H133-H134)+(J134-J133)*H134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MAX(0,1-D134-J134)</x:f>
        <x:v>0</x:v>
      </x:c>
      <x:c r="J134" s="2" t="n">
        <x:f>(1-$E$40)*INDEX('Assumptions'!$I$65:$I$101,MIN(C134,36)+1)</x:f>
        <x:v>0.64</x:v>
      </x:c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$E$40*INDEX('Assumptions'!$F$65:$F$101,MIN(C135,36)+1)</x:f>
        <x:v>0.36</x:v>
      </x:c>
      <x:c r="E135" s="30" t="n">
        <x:f>(D135-D134)*H134</x:f>
        <x:v>0</x:v>
      </x:c>
      <x:c r="F135" s="30" t="n">
        <x:f>(1-D135-J134)*(H134-H135)+(J135-J134)*H135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MAX(0,1-D135-J135)</x:f>
        <x:v>0</x:v>
      </x:c>
      <x:c r="J135" s="2" t="n">
        <x:f>(1-$E$40)*INDEX('Assumptions'!$I$65:$I$101,MIN(C135,36)+1)</x:f>
        <x:v>0.64</x:v>
      </x:c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$E$40*INDEX('Assumptions'!$F$65:$F$101,MIN(C136,36)+1)</x:f>
        <x:v>0.36</x:v>
      </x:c>
      <x:c r="E136" s="30" t="n">
        <x:f>(D136-D135)*H135</x:f>
        <x:v>0</x:v>
      </x:c>
      <x:c r="F136" s="30" t="n">
        <x:f>(1-D136-J135)*(H135-H136)+(J136-J135)*H136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MAX(0,1-D136-J136)</x:f>
        <x:v>0</x:v>
      </x:c>
      <x:c r="J136" s="2" t="n">
        <x:f>(1-$E$40)*INDEX('Assumptions'!$I$65:$I$101,MIN(C136,36)+1)</x:f>
        <x:v>0.64</x:v>
      </x:c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$E$40*INDEX('Assumptions'!$F$65:$F$101,MIN(C137,36)+1)</x:f>
        <x:v>0.36</x:v>
      </x:c>
      <x:c r="E137" s="30" t="n">
        <x:f>(D137-D136)*H136</x:f>
        <x:v>0</x:v>
      </x:c>
      <x:c r="F137" s="30" t="n">
        <x:f>(1-D137-J136)*(H136-H137)+(J137-J136)*H137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MAX(0,1-D137-J137)</x:f>
        <x:v>0</x:v>
      </x:c>
      <x:c r="J137" s="2" t="n">
        <x:f>(1-$E$40)*INDEX('Assumptions'!$I$65:$I$101,MIN(C137,36)+1)</x:f>
        <x:v>0.64</x:v>
      </x:c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$E$40*INDEX('Assumptions'!$F$65:$F$101,MIN(C138,36)+1)</x:f>
        <x:v>0.36</x:v>
      </x:c>
      <x:c r="E138" s="30" t="n">
        <x:f>(D138-D137)*H137</x:f>
        <x:v>0</x:v>
      </x:c>
      <x:c r="F138" s="30" t="n">
        <x:f>(1-D138-J137)*(H137-H138)+(J138-J137)*H138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MAX(0,1-D138-J138)</x:f>
        <x:v>0</x:v>
      </x:c>
      <x:c r="J138" s="2" t="n">
        <x:f>(1-$E$40)*INDEX('Assumptions'!$I$65:$I$101,MIN(C138,36)+1)</x:f>
        <x:v>0.64</x:v>
      </x:c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$E$40*INDEX('Assumptions'!$F$65:$F$101,MIN(C139,36)+1)</x:f>
        <x:v>0.36</x:v>
      </x:c>
      <x:c r="E139" s="30" t="n">
        <x:f>(D139-D138)*H138</x:f>
        <x:v>0</x:v>
      </x:c>
      <x:c r="F139" s="30" t="n">
        <x:f>(1-D139-J138)*(H138-H139)+(J139-J138)*H139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MAX(0,1-D139-J139)</x:f>
        <x:v>0</x:v>
      </x:c>
      <x:c r="J139" s="2" t="n">
        <x:f>(1-$E$40)*INDEX('Assumptions'!$I$65:$I$101,MIN(C139,36)+1)</x:f>
        <x:v>0.64</x:v>
      </x:c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$E$40*INDEX('Assumptions'!$F$65:$F$101,MIN(C140,36)+1)</x:f>
        <x:v>0.36</x:v>
      </x:c>
      <x:c r="E140" s="30" t="n">
        <x:f>(D140-D139)*H139</x:f>
        <x:v>0</x:v>
      </x:c>
      <x:c r="F140" s="30" t="n">
        <x:f>(1-D140-J139)*(H139-H140)+(J140-J139)*H140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MAX(0,1-D140-J140)</x:f>
        <x:v>0</x:v>
      </x:c>
      <x:c r="J140" s="2" t="n">
        <x:f>(1-$E$40)*INDEX('Assumptions'!$I$65:$I$101,MIN(C140,36)+1)</x:f>
        <x:v>0.64</x:v>
      </x:c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$E$40*INDEX('Assumptions'!$F$65:$F$101,MIN(C141,36)+1)</x:f>
        <x:v>0.36</x:v>
      </x:c>
      <x:c r="E141" s="30" t="n">
        <x:f>(D141-D140)*H140</x:f>
        <x:v>0</x:v>
      </x:c>
      <x:c r="F141" s="30" t="n">
        <x:f>(1-D141-J140)*(H140-H141)+(J141-J140)*H141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MAX(0,1-D141-J141)</x:f>
        <x:v>0</x:v>
      </x:c>
      <x:c r="J141" s="2" t="n">
        <x:f>(1-$E$40)*INDEX('Assumptions'!$I$65:$I$101,MIN(C141,36)+1)</x:f>
        <x:v>0.64</x:v>
      </x:c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$E$40*INDEX('Assumptions'!$F$65:$F$101,MIN(C142,36)+1)</x:f>
        <x:v>0.36</x:v>
      </x:c>
      <x:c r="E142" s="30" t="n">
        <x:f>(D142-D141)*H141</x:f>
        <x:v>0</x:v>
      </x:c>
      <x:c r="F142" s="30" t="n">
        <x:f>(1-D142-J141)*(H141-H142)+(J142-J141)*H142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MAX(0,1-D142-J142)</x:f>
        <x:v>0</x:v>
      </x:c>
      <x:c r="J142" s="2" t="n">
        <x:f>(1-$E$40)*INDEX('Assumptions'!$I$65:$I$101,MIN(C142,36)+1)</x:f>
        <x:v>0.64</x:v>
      </x:c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$E$40*INDEX('Assumptions'!$F$65:$F$101,MIN(C143,36)+1)</x:f>
        <x:v>0.36</x:v>
      </x:c>
      <x:c r="E143" s="30" t="n">
        <x:f>(D143-D142)*H142</x:f>
        <x:v>0</x:v>
      </x:c>
      <x:c r="F143" s="30" t="n">
        <x:f>(1-D143-J142)*(H142-H143)+(J143-J142)*H143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MAX(0,1-D143-J143)</x:f>
        <x:v>0</x:v>
      </x:c>
      <x:c r="J143" s="2" t="n">
        <x:f>(1-$E$40)*INDEX('Assumptions'!$I$65:$I$101,MIN(C143,36)+1)</x:f>
        <x:v>0.64</x:v>
      </x:c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$E$40*INDEX('Assumptions'!$F$65:$F$101,MIN(C144,36)+1)</x:f>
        <x:v>0.36</x:v>
      </x:c>
      <x:c r="E144" s="30" t="n">
        <x:f>(D144-D143)*H143</x:f>
        <x:v>0</x:v>
      </x:c>
      <x:c r="F144" s="30" t="n">
        <x:f>(1-D144-J143)*(H143-H144)+(J144-J143)*H144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MAX(0,1-D144-J144)</x:f>
        <x:v>0</x:v>
      </x:c>
      <x:c r="J144" s="2" t="n">
        <x:f>(1-$E$40)*INDEX('Assumptions'!$I$65:$I$101,MIN(C144,36)+1)</x:f>
        <x:v>0.64</x:v>
      </x:c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$E$40*INDEX('Assumptions'!$F$65:$F$101,MIN(C145,36)+1)</x:f>
        <x:v>0.36</x:v>
      </x:c>
      <x:c r="E145" s="30" t="n">
        <x:f>(D145-D144)*H144</x:f>
        <x:v>0</x:v>
      </x:c>
      <x:c r="F145" s="30" t="n">
        <x:f>(1-D145-J144)*(H144-H145)+(J145-J144)*H145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MAX(0,1-D145-J145)</x:f>
        <x:v>0</x:v>
      </x:c>
      <x:c r="J145" s="2" t="n">
        <x:f>(1-$E$40)*INDEX('Assumptions'!$I$65:$I$101,MIN(C145,36)+1)</x:f>
        <x:v>0.64</x:v>
      </x:c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$E$40*INDEX('Assumptions'!$F$65:$F$101,MIN(C146,36)+1)</x:f>
        <x:v>0.36</x:v>
      </x:c>
      <x:c r="E146" s="30" t="n">
        <x:f>(D146-D145)*H145</x:f>
        <x:v>0</x:v>
      </x:c>
      <x:c r="F146" s="30" t="n">
        <x:f>(1-D146-J145)*(H145-H146)+(J146-J145)*H146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MAX(0,1-D146-J146)</x:f>
        <x:v>0</x:v>
      </x:c>
      <x:c r="J146" s="2" t="n">
        <x:f>(1-$E$40)*INDEX('Assumptions'!$I$65:$I$101,MIN(C146,36)+1)</x:f>
        <x:v>0.64</x:v>
      </x:c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$E$40*INDEX('Assumptions'!$F$65:$F$101,MIN(C147,36)+1)</x:f>
        <x:v>0.36</x:v>
      </x:c>
      <x:c r="E147" s="30" t="n">
        <x:f>(D147-D146)*H146</x:f>
        <x:v>0</x:v>
      </x:c>
      <x:c r="F147" s="30" t="n">
        <x:f>(1-D147-J146)*(H146-H147)+(J147-J146)*H147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MAX(0,1-D147-J147)</x:f>
        <x:v>0</x:v>
      </x:c>
      <x:c r="J147" s="2" t="n">
        <x:f>(1-$E$40)*INDEX('Assumptions'!$I$65:$I$101,MIN(C147,36)+1)</x:f>
        <x:v>0.64</x:v>
      </x:c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0</x:v>
      </x:c>
      <x:c r="CB150" s="30" t="n">
        <x:f>E74</x:f>
        <x:v>0</x:v>
      </x:c>
      <x:c r="CC150" s="30" t="n">
        <x:f>E73</x:f>
        <x:v>0</x:v>
      </x:c>
      <x:c r="CD150" s="30" t="n">
        <x:f>E72</x:f>
        <x:v>0</x:v>
      </x:c>
      <x:c r="CE150" s="30" t="n">
        <x:f>E71</x:f>
        <x:v>0</x:v>
      </x:c>
      <x:c r="CF150" s="30" t="n">
        <x:f>E70</x:f>
        <x:v>0</x:v>
      </x:c>
      <x:c r="CG150" s="30" t="n">
        <x:f>E69</x:f>
        <x:v>0</x:v>
      </x:c>
      <x:c r="CH150" s="30" t="n">
        <x:f>E68</x:f>
        <x:v>0</x:v>
      </x:c>
      <x:c r="CI150" s="30" t="n">
        <x:f>E67</x:f>
        <x:v>0</x:v>
      </x:c>
      <x:c r="CJ150" s="30" t="n">
        <x:f>E66</x:f>
        <x:v>0</x:v>
      </x:c>
      <x:c r="CK150" s="30" t="n">
        <x:f>E65</x:f>
        <x:v>0</x:v>
      </x:c>
      <x:c r="CL150" s="30" t="n">
        <x:f>E64</x:f>
        <x:v>0</x:v>
      </x:c>
      <x:c r="CM150" s="30" t="n">
        <x:f>E63</x:f>
        <x:v>0</x:v>
      </x:c>
      <x:c r="CN150" s="30" t="n">
        <x:f>E62</x:f>
        <x:v>0</x:v>
      </x:c>
      <x:c r="CO150" s="30" t="n">
        <x:f>E61</x:f>
        <x:v>0</x:v>
      </x:c>
      <x:c r="CP150" s="30" t="n">
        <x:f>E60</x:f>
        <x:v>0</x:v>
      </x:c>
      <x:c r="CQ150" s="30" t="n">
        <x:f>E59</x:f>
        <x:v>0</x:v>
      </x:c>
      <x:c r="CR150" s="30" t="n">
        <x:f>E58</x:f>
        <x:v>0</x:v>
      </x:c>
      <x:c r="CS150" s="30" t="n">
        <x:f>E57</x:f>
        <x:v>0</x:v>
      </x:c>
      <x:c r="CT150" s="30" t="n">
        <x:f>E56</x:f>
        <x:v>0.018326883115313764</x:v>
      </x:c>
      <x:c r="CU150" s="30" t="n">
        <x:f>E55</x:f>
        <x:v>0.030167751802654984</x:v>
      </x:c>
      <x:c r="CV150" s="30" t="n">
        <x:f>E54</x:f>
        <x:v>0.05399538577545353</x:v>
      </x:c>
      <x:c r="CW150" s="30" t="n">
        <x:f>E53</x:f>
        <x:v>0.08948627333340609</x:v>
      </x:c>
      <x:c r="CX150" s="30" t="n">
        <x:f>E52</x:f>
        <x:v>0.14493647539142446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</x:v>
      </x:c>
      <x:c r="CB151" s="30" t="n">
        <x:f>F74</x:f>
        <x:v>0</x:v>
      </x:c>
      <x:c r="CC151" s="30" t="n">
        <x:f>F73</x:f>
        <x:v>0</x:v>
      </x:c>
      <x:c r="CD151" s="30" t="n">
        <x:f>F72</x:f>
        <x:v>0</x:v>
      </x:c>
      <x:c r="CE151" s="30" t="n">
        <x:f>F71</x:f>
        <x:v>0</x:v>
      </x:c>
      <x:c r="CF151" s="30" t="n">
        <x:f>F70</x:f>
        <x:v>0</x:v>
      </x:c>
      <x:c r="CG151" s="30" t="n">
        <x:f>F69</x:f>
        <x:v>0</x:v>
      </x:c>
      <x:c r="CH151" s="30" t="n">
        <x:f>F68</x:f>
        <x:v>0</x:v>
      </x:c>
      <x:c r="CI151" s="30" t="n">
        <x:f>F67</x:f>
        <x:v>0</x:v>
      </x:c>
      <x:c r="CJ151" s="30" t="n">
        <x:f>F66</x:f>
        <x:v>0</x:v>
      </x:c>
      <x:c r="CK151" s="30" t="n">
        <x:f>F65</x:f>
        <x:v>0</x:v>
      </x:c>
      <x:c r="CL151" s="30" t="n">
        <x:f>F64</x:f>
        <x:v>0</x:v>
      </x:c>
      <x:c r="CM151" s="30" t="n">
        <x:f>F63</x:f>
        <x:v>0</x:v>
      </x:c>
      <x:c r="CN151" s="30" t="n">
        <x:f>F62</x:f>
        <x:v>0</x:v>
      </x:c>
      <x:c r="CO151" s="30" t="n">
        <x:f>F61</x:f>
        <x:v>0</x:v>
      </x:c>
      <x:c r="CP151" s="30" t="n">
        <x:f>F60</x:f>
        <x:v>0</x:v>
      </x:c>
      <x:c r="CQ151" s="30" t="n">
        <x:f>F59</x:f>
        <x:v>0</x:v>
      </x:c>
      <x:c r="CR151" s="30" t="n">
        <x:f>F58</x:f>
        <x:v>0</x:v>
      </x:c>
      <x:c r="CS151" s="30" t="n">
        <x:f>F57</x:f>
        <x:v>0</x:v>
      </x:c>
      <x:c r="CT151" s="30" t="n">
        <x:f>F56</x:f>
        <x:v>0.02930571937822226</x:v>
      </x:c>
      <x:c r="CU151" s="30" t="n">
        <x:f>F55</x:f>
        <x:v>0.056067922827156114</x:v>
      </x:c>
      <x:c r="CV151" s="30" t="n">
        <x:f>F54</x:f>
        <x:v>0.09966394214671363</x:v>
      </x:c>
      <x:c r="CW151" s="30" t="n">
        <x:f>F53</x:f>
        <x:v>0.17428558314458875</x:v>
      </x:c>
      <x:c r="CX151" s="30" t="n">
        <x:f>F52</x:f>
        <x:v>0.30376406308506637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IF(OR(C160&gt;=$E$43,INDEX($I$51:$I$147,C160+1)&lt;=0.0000000001),0,IF($E$46=0,$E$44/MIN($E$43,COUNTIF($I$51:$I$110,"&gt;0.0000000001")),IF(C160=$E$45,$E$44,0)))</x:f>
        <x:v>10223999.999999996</x:v>
      </x:c>
      <x:c r="E160" s="31" t="n">
        <x:f>IF(D160=0,0,D160/(INDEX($I$51:$I$147,C160+1)*INDEX($H$51:$H$147,C160+1)))</x:f>
        <x:v>10223999.999999996</x:v>
      </x:c>
      <x:c r="F160" s="31" t="n">
        <x:f>E160*INDEX($G$51:$G$147,C160+1)</x:f>
        <x:v>3444596.1545322156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IF(OR(C161&gt;=$E$43,INDEX($I$51:$I$147,C161+1)&lt;=0.0000000001),0,IF($E$46=0,$E$44/MIN($E$43,COUNTIF($I$51:$I$110,"&gt;0.0000000001")),IF(C161=$E$45,$E$44,0)))</x:f>
        <x:v>10223999.999999996</x:v>
      </x:c>
      <x:c r="E161" s="31" t="n">
        <x:f>IF(D161=0,0,D161/(INDEX($I$51:$I$147,C161+1)*INDEX($H$51:$H$147,C161+1)))</x:f>
        <x:v>18545274.779964596</x:v>
      </x:c>
      <x:c r="F161" s="31" t="n">
        <x:f>E161*INDEX($G$51:$G$147,C161+1)</x:f>
        <x:v>3560253.1239668084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IF(OR(C162&gt;=$E$43,INDEX($I$51:$I$147,C162+1)&lt;=0.0000000001),0,IF($E$46=0,$E$44/MIN($E$43,COUNTIF($I$51:$I$110,"&gt;0.0000000001")),IF(C162=$E$45,$E$44,0)))</x:f>
        <x:v>10223999.999999996</x:v>
      </x:c>
      <x:c r="E162" s="31" t="n">
        <x:f>IF(D162=0,0,D162/(INDEX($I$51:$I$147,C162+1)*INDEX($H$51:$H$147,C162+1)))</x:f>
        <x:v>35558324.90720877</x:v>
      </x:c>
      <x:c r="F162" s="31" t="n">
        <x:f>E162*INDEX($G$51:$G$147,C162+1)</x:f>
        <x:v>3644373.4555632593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IF(OR(C163&gt;=$E$43,INDEX($I$51:$I$147,C163+1)&lt;=0.0000000001),0,IF($E$46=0,$E$44/MIN($E$43,COUNTIF($I$51:$I$110,"&gt;0.0000000001")),IF(C163=$E$45,$E$44,0)))</x:f>
        <x:v>10223999.999999996</x:v>
      </x:c>
      <x:c r="E163" s="31" t="n">
        <x:f>IF(D163=0,0,D163/(INDEX($I$51:$I$147,C163+1)*INDEX($H$51:$H$147,C163+1)))</x:f>
        <x:v>76373583.19461703</x:v>
      </x:c>
      <x:c r="F163" s="31" t="n">
        <x:f>E163*INDEX($G$51:$G$147,C163+1)</x:f>
        <x:v>3703709.0344000664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IF(OR(C164&gt;=$E$43,INDEX($I$51:$I$147,C164+1)&lt;=0.0000000001),0,IF($E$46=0,$E$44/MIN($E$43,COUNTIF($I$51:$I$110,"&gt;0.0000000001")),IF(C164=$E$45,$E$44,0)))</x:f>
        <x:v>10223999.999999996</x:v>
      </x:c>
      <x:c r="E164" s="31" t="n">
        <x:f>IF(D164=0,0,D164/(INDEX($I$51:$I$147,C164+1)*INDEX($H$51:$H$147,C164+1)))</x:f>
        <x:v>214642901.3906482</x:v>
      </x:c>
      <x:c r="F164" s="31" t="n">
        <x:f>E164*INDEX($G$51:$G$147,C164+1)</x:f>
        <x:v>3933735.3653182276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IF(OR(C165&gt;=$E$43,INDEX($I$51:$I$147,C165+1)&lt;=0.0000000001),0,IF($E$46=0,$E$44/MIN($E$43,COUNTIF($I$51:$I$110,"&gt;0.0000000001")),IF(C165=$E$45,$E$44,0)))</x:f>
        <x:v>0</x:v>
      </x:c>
      <x:c r="E165" s="31" t="n">
        <x:f>IF(D165=0,0,D165/(INDEX($I$51:$I$147,C165+1)*INDEX($H$51:$H$147,C165+1)))</x:f>
        <x:v>0</x:v>
      </x:c>
      <x:c r="F165" s="31" t="n">
        <x:f>E165*INDEX($G$51:$G$147,C165+1)</x:f>
        <x:v>0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IF(OR(C166&gt;=$E$43,INDEX($I$51:$I$147,C166+1)&lt;=0.0000000001),0,IF($E$46=0,$E$44/MIN($E$43,COUNTIF($I$51:$I$110,"&gt;0.0000000001")),IF(C166=$E$45,$E$44,0)))</x:f>
        <x:v>0</x:v>
      </x:c>
      <x:c r="E166" s="31" t="n">
        <x:f>IF(D166=0,0,D166/(INDEX($I$51:$I$147,C166+1)*INDEX($H$51:$H$147,C166+1)))</x:f>
        <x:v>0</x:v>
      </x:c>
      <x:c r="F166" s="31" t="n">
        <x:f>E166*INDEX($G$51:$G$147,C166+1)</x:f>
        <x:v>0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IF(OR(C167&gt;=$E$43,INDEX($I$51:$I$147,C167+1)&lt;=0.0000000001),0,IF($E$46=0,$E$44/MIN($E$43,COUNTIF($I$51:$I$110,"&gt;0.0000000001")),IF(C167=$E$45,$E$44,0)))</x:f>
        <x:v>0</x:v>
      </x:c>
      <x:c r="E167" s="31" t="n">
        <x:f>IF(D167=0,0,D167/(INDEX($I$51:$I$147,C167+1)*INDEX($H$51:$H$147,C167+1)))</x:f>
        <x:v>0</x:v>
      </x:c>
      <x:c r="F167" s="31" t="n">
        <x:f>E167*INDEX($G$51:$G$147,C167+1)</x:f>
        <x:v>0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IF(OR(C168&gt;=$E$43,INDEX($I$51:$I$147,C168+1)&lt;=0.0000000001),0,IF($E$46=0,$E$44/MIN($E$43,COUNTIF($I$51:$I$110,"&gt;0.0000000001")),IF(C168=$E$45,$E$44,0)))</x:f>
        <x:v>0</x:v>
      </x:c>
      <x:c r="E168" s="31" t="n">
        <x:f>IF(D168=0,0,D168/(INDEX($I$51:$I$147,C168+1)*INDEX($H$51:$H$147,C168+1)))</x:f>
        <x:v>0</x:v>
      </x:c>
      <x:c r="F168" s="31" t="n">
        <x:f>E168*INDEX($G$51:$G$147,C168+1)</x:f>
        <x:v>0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IF(OR(C169&gt;=$E$43,INDEX($I$51:$I$147,C169+1)&lt;=0.0000000001),0,IF($E$46=0,$E$44/MIN($E$43,COUNTIF($I$51:$I$110,"&gt;0.0000000001")),IF(C169=$E$45,$E$44,0)))</x:f>
        <x:v>0</x:v>
      </x:c>
      <x:c r="E169" s="31" t="n">
        <x:f>IF(D169=0,0,D169/(INDEX($I$51:$I$147,C169+1)*INDEX($H$51:$H$147,C169+1)))</x:f>
        <x:v>0</x:v>
      </x:c>
      <x:c r="F169" s="31" t="n">
        <x:f>E169*INDEX($G$51:$G$147,C169+1)</x:f>
        <x:v>0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IF(OR(C170&gt;=$E$43,INDEX($I$51:$I$147,C170+1)&lt;=0.0000000001),0,IF($E$46=0,$E$44/MIN($E$43,COUNTIF($I$51:$I$110,"&gt;0.0000000001")),IF(C170=$E$45,$E$44,0)))</x:f>
        <x:v>0</x:v>
      </x:c>
      <x:c r="E170" s="31" t="n">
        <x:f>IF(D170=0,0,D170/(INDEX($I$51:$I$147,C170+1)*INDEX($H$51:$H$147,C170+1)))</x:f>
        <x:v>0</x:v>
      </x:c>
      <x:c r="F170" s="31" t="n">
        <x:f>E170*INDEX($G$51:$G$147,C170+1)</x:f>
        <x:v>0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IF(OR(C171&gt;=$E$43,INDEX($I$51:$I$147,C171+1)&lt;=0.0000000001),0,IF($E$46=0,$E$44/MIN($E$43,COUNTIF($I$51:$I$110,"&gt;0.0000000001")),IF(C171=$E$45,$E$44,0)))</x:f>
        <x:v>0</x:v>
      </x:c>
      <x:c r="E171" s="31" t="n">
        <x:f>IF(D171=0,0,D171/(INDEX($I$51:$I$147,C171+1)*INDEX($H$51:$H$147,C171+1)))</x:f>
        <x:v>0</x:v>
      </x:c>
      <x:c r="F171" s="31" t="n">
        <x:f>E171*INDEX($G$51:$G$147,C171+1)</x:f>
        <x:v>0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IF(OR(C172&gt;=$E$43,INDEX($I$51:$I$147,C172+1)&lt;=0.0000000001),0,IF($E$46=0,$E$44/MIN($E$43,COUNTIF($I$51:$I$110,"&gt;0.0000000001")),IF(C172=$E$45,$E$44,0)))</x:f>
        <x:v>0</x:v>
      </x:c>
      <x:c r="E172" s="31" t="n">
        <x:f>IF(D172=0,0,D172/(INDEX($I$51:$I$147,C172+1)*INDEX($H$51:$H$147,C172+1)))</x:f>
        <x:v>0</x:v>
      </x:c>
      <x:c r="F172" s="31" t="n">
        <x:f>E172*INDEX($G$51:$G$147,C172+1)</x:f>
        <x:v>0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IF(OR(C173&gt;=$E$43,INDEX($I$51:$I$147,C173+1)&lt;=0.0000000001),0,IF($E$46=0,$E$44/MIN($E$43,COUNTIF($I$51:$I$110,"&gt;0.0000000001")),IF(C173=$E$45,$E$44,0)))</x:f>
        <x:v>0</x:v>
      </x:c>
      <x:c r="E173" s="31" t="n">
        <x:f>IF(D173=0,0,D173/(INDEX($I$51:$I$147,C173+1)*INDEX($H$51:$H$147,C173+1)))</x:f>
        <x:v>0</x:v>
      </x:c>
      <x:c r="F173" s="31" t="n">
        <x:f>E173*INDEX($G$51:$G$147,C173+1)</x:f>
        <x:v>0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IF(OR(C174&gt;=$E$43,INDEX($I$51:$I$147,C174+1)&lt;=0.0000000001),0,IF($E$46=0,$E$44/MIN($E$43,COUNTIF($I$51:$I$110,"&gt;0.0000000001")),IF(C174=$E$45,$E$44,0)))</x:f>
        <x:v>0</x:v>
      </x:c>
      <x:c r="E174" s="31" t="n">
        <x:f>IF(D174=0,0,D174/(INDEX($I$51:$I$147,C174+1)*INDEX($H$51:$H$147,C174+1)))</x:f>
        <x:v>0</x:v>
      </x:c>
      <x:c r="F174" s="31" t="n">
        <x:f>E174*INDEX($G$51:$G$147,C174+1)</x:f>
        <x:v>0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IF(OR(C175&gt;=$E$43,INDEX($I$51:$I$147,C175+1)&lt;=0.0000000001),0,IF($E$46=0,$E$44/MIN($E$43,COUNTIF($I$51:$I$110,"&gt;0.0000000001")),IF(C175=$E$45,$E$44,0)))</x:f>
        <x:v>0</x:v>
      </x:c>
      <x:c r="E175" s="31" t="n">
        <x:f>IF(D175=0,0,D175/(INDEX($I$51:$I$147,C175+1)*INDEX($H$51:$H$147,C175+1)))</x:f>
        <x:v>0</x:v>
      </x:c>
      <x:c r="F175" s="31" t="n">
        <x:f>E175*INDEX($G$51:$G$147,C175+1)</x:f>
        <x:v>0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IF(OR(C176&gt;=$E$43,INDEX($I$51:$I$147,C176+1)&lt;=0.0000000001),0,IF($E$46=0,$E$44/MIN($E$43,COUNTIF($I$51:$I$110,"&gt;0.0000000001")),IF(C176=$E$45,$E$44,0)))</x:f>
        <x:v>0</x:v>
      </x:c>
      <x:c r="E176" s="31" t="n">
        <x:f>IF(D176=0,0,D176/(INDEX($I$51:$I$147,C176+1)*INDEX($H$51:$H$147,C176+1)))</x:f>
        <x:v>0</x:v>
      </x:c>
      <x:c r="F176" s="31" t="n">
        <x:f>E176*INDEX($G$51:$G$147,C176+1)</x:f>
        <x:v>0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IF(OR(C177&gt;=$E$43,INDEX($I$51:$I$147,C177+1)&lt;=0.0000000001),0,IF($E$46=0,$E$44/MIN($E$43,COUNTIF($I$51:$I$110,"&gt;0.0000000001")),IF(C177=$E$45,$E$44,0)))</x:f>
        <x:v>0</x:v>
      </x:c>
      <x:c r="E177" s="31" t="n">
        <x:f>IF(D177=0,0,D177/(INDEX($I$51:$I$147,C177+1)*INDEX($H$51:$H$147,C177+1)))</x:f>
        <x:v>0</x:v>
      </x:c>
      <x:c r="F177" s="31" t="n">
        <x:f>E177*INDEX($G$51:$G$147,C177+1)</x:f>
        <x:v>0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IF(OR(C178&gt;=$E$43,INDEX($I$51:$I$147,C178+1)&lt;=0.0000000001),0,IF($E$46=0,$E$44/MIN($E$43,COUNTIF($I$51:$I$110,"&gt;0.0000000001")),IF(C178=$E$45,$E$44,0)))</x:f>
        <x:v>0</x:v>
      </x:c>
      <x:c r="E178" s="31" t="n">
        <x:f>IF(D178=0,0,D178/(INDEX($I$51:$I$147,C178+1)*INDEX($H$51:$H$147,C178+1)))</x:f>
        <x:v>0</x:v>
      </x:c>
      <x:c r="F178" s="31" t="n">
        <x:f>E178*INDEX($G$51:$G$147,C178+1)</x:f>
        <x:v>0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IF(OR(C179&gt;=$E$43,INDEX($I$51:$I$147,C179+1)&lt;=0.0000000001),0,IF($E$46=0,$E$44/MIN($E$43,COUNTIF($I$51:$I$110,"&gt;0.0000000001")),IF(C179=$E$45,$E$44,0)))</x:f>
        <x:v>0</x:v>
      </x:c>
      <x:c r="E179" s="31" t="n">
        <x:f>IF(D179=0,0,D179/(INDEX($I$51:$I$147,C179+1)*INDEX($H$51:$H$147,C179+1)))</x:f>
        <x:v>0</x:v>
      </x:c>
      <x:c r="F179" s="31" t="n">
        <x:f>E179*INDEX($G$51:$G$147,C179+1)</x:f>
        <x:v>0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IF(OR(C180&gt;=$E$43,INDEX($I$51:$I$147,C180+1)&lt;=0.0000000001),0,IF($E$46=0,$E$44/MIN($E$43,COUNTIF($I$51:$I$110,"&gt;0.0000000001")),IF(C180=$E$45,$E$44,0)))</x:f>
        <x:v>0</x:v>
      </x:c>
      <x:c r="E180" s="31" t="n">
        <x:f>IF(D180=0,0,D180/(INDEX($I$51:$I$147,C180+1)*INDEX($H$51:$H$147,C180+1)))</x:f>
        <x:v>0</x:v>
      </x:c>
      <x:c r="F180" s="31" t="n">
        <x:f>E180*INDEX($G$51:$G$147,C180+1)</x:f>
        <x:v>0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IF(OR(C181&gt;=$E$43,INDEX($I$51:$I$147,C181+1)&lt;=0.0000000001),0,IF($E$46=0,$E$44/MIN($E$43,COUNTIF($I$51:$I$110,"&gt;0.0000000001")),IF(C181=$E$45,$E$44,0)))</x:f>
        <x:v>0</x:v>
      </x:c>
      <x:c r="E181" s="31" t="n">
        <x:f>IF(D181=0,0,D181/(INDEX($I$51:$I$147,C181+1)*INDEX($H$51:$H$147,C181+1)))</x:f>
        <x:v>0</x:v>
      </x:c>
      <x:c r="F181" s="31" t="n">
        <x:f>E181*INDEX($G$51:$G$147,C181+1)</x:f>
        <x:v>0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IF(OR(C182&gt;=$E$43,INDEX($I$51:$I$147,C182+1)&lt;=0.0000000001),0,IF($E$46=0,$E$44/MIN($E$43,COUNTIF($I$51:$I$110,"&gt;0.0000000001")),IF(C182=$E$45,$E$44,0)))</x:f>
        <x:v>0</x:v>
      </x:c>
      <x:c r="E182" s="31" t="n">
        <x:f>IF(D182=0,0,D182/(INDEX($I$51:$I$147,C182+1)*INDEX($H$51:$H$147,C182+1)))</x:f>
        <x:v>0</x:v>
      </x:c>
      <x:c r="F182" s="31" t="n">
        <x:f>E182*INDEX($G$51:$G$147,C182+1)</x:f>
        <x:v>0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IF(OR(C183&gt;=$E$43,INDEX($I$51:$I$147,C183+1)&lt;=0.0000000001),0,IF($E$46=0,$E$44/MIN($E$43,COUNTIF($I$51:$I$110,"&gt;0.0000000001")),IF(C183=$E$45,$E$44,0)))</x:f>
        <x:v>0</x:v>
      </x:c>
      <x:c r="E183" s="31" t="n">
        <x:f>IF(D183=0,0,D183/(INDEX($I$51:$I$147,C183+1)*INDEX($H$51:$H$147,C183+1)))</x:f>
        <x:v>0</x:v>
      </x:c>
      <x:c r="F183" s="31" t="n">
        <x:f>E183*INDEX($G$51:$G$147,C183+1)</x:f>
        <x:v>0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IF(OR(C184&gt;=$E$43,INDEX($I$51:$I$147,C184+1)&lt;=0.0000000001),0,IF($E$46=0,$E$44/MIN($E$43,COUNTIF($I$51:$I$110,"&gt;0.0000000001")),IF(C184=$E$45,$E$44,0)))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IF(OR(C185&gt;=$E$43,INDEX($I$51:$I$147,C185+1)&lt;=0.0000000001),0,IF($E$46=0,$E$44/MIN($E$43,COUNTIF($I$51:$I$110,"&gt;0.0000000001")),IF(C185=$E$45,$E$44,0)))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IF(OR(C186&gt;=$E$43,INDEX($I$51:$I$147,C186+1)&lt;=0.0000000001),0,IF($E$46=0,$E$44/MIN($E$43,COUNTIF($I$51:$I$110,"&gt;0.0000000001")),IF(C186=$E$45,$E$44,0)))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IF(OR(C187&gt;=$E$43,INDEX($I$51:$I$147,C187+1)&lt;=0.0000000001),0,IF($E$46=0,$E$44/MIN($E$43,COUNTIF($I$51:$I$110,"&gt;0.0000000001")),IF(C187=$E$45,$E$44,0)))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IF(OR(C188&gt;=$E$43,INDEX($I$51:$I$147,C188+1)&lt;=0.0000000001),0,IF($E$46=0,$E$44/MIN($E$43,COUNTIF($I$51:$I$110,"&gt;0.0000000001")),IF(C188=$E$45,$E$44,0)))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IF(OR(C189&gt;=$E$43,INDEX($I$51:$I$147,C189+1)&lt;=0.0000000001),0,IF($E$46=0,$E$44/MIN($E$43,COUNTIF($I$51:$I$110,"&gt;0.0000000001")),IF(C189=$E$45,$E$44,0)))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IF(OR(C190&gt;=$E$43,INDEX($I$51:$I$147,C190+1)&lt;=0.0000000001),0,IF($E$46=0,$E$44/MIN($E$43,COUNTIF($I$51:$I$110,"&gt;0.0000000001")),IF(C190=$E$45,$E$44,0)))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IF(OR(C191&gt;=$E$43,INDEX($I$51:$I$147,C191+1)&lt;=0.0000000001),0,IF($E$46=0,$E$44/MIN($E$43,COUNTIF($I$51:$I$110,"&gt;0.0000000001")),IF(C191=$E$45,$E$44,0)))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IF(OR(C192&gt;=$E$43,INDEX($I$51:$I$147,C192+1)&lt;=0.0000000001),0,IF($E$46=0,$E$44/MIN($E$43,COUNTIF($I$51:$I$110,"&gt;0.0000000001")),IF(C192=$E$45,$E$44,0)))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IF(OR(C193&gt;=$E$43,INDEX($I$51:$I$147,C193+1)&lt;=0.0000000001),0,IF($E$46=0,$E$44/MIN($E$43,COUNTIF($I$51:$I$110,"&gt;0.0000000001")),IF(C193=$E$45,$E$44,0)))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IF(OR(C194&gt;=$E$43,INDEX($I$51:$I$147,C194+1)&lt;=0.0000000001),0,IF($E$46=0,$E$44/MIN($E$43,COUNTIF($I$51:$I$110,"&gt;0.0000000001")),IF(C194=$E$45,$E$44,0)))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IF(OR(C195&gt;=$E$43,INDEX($I$51:$I$147,C195+1)&lt;=0.0000000001),0,IF($E$46=0,$E$44/MIN($E$43,COUNTIF($I$51:$I$110,"&gt;0.0000000001")),IF(C195=$E$45,$E$44,0)))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IF(OR(C196&gt;=$E$43,INDEX($I$51:$I$147,C196+1)&lt;=0.0000000001),0,IF($E$46=0,$E$44/MIN($E$43,COUNTIF($I$51:$I$110,"&gt;0.0000000001")),IF(C196=$E$45,$E$44,0)))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IF(OR(C197&gt;=$E$43,INDEX($I$51:$I$147,C197+1)&lt;=0.0000000001),0,IF($E$46=0,$E$44/MIN($E$43,COUNTIF($I$51:$I$110,"&gt;0.0000000001")),IF(C197=$E$45,$E$44,0)))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IF(OR(C198&gt;=$E$43,INDEX($I$51:$I$147,C198+1)&lt;=0.0000000001),0,IF($E$46=0,$E$44/MIN($E$43,COUNTIF($I$51:$I$110,"&gt;0.0000000001")),IF(C198=$E$45,$E$44,0)))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IF(OR(C199&gt;=$E$43,INDEX($I$51:$I$147,C199+1)&lt;=0.0000000001),0,IF($E$46=0,$E$44/MIN($E$43,COUNTIF($I$51:$I$110,"&gt;0.0000000001")),IF(C199=$E$45,$E$44,0)))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IF(OR(C200&gt;=$E$43,INDEX($I$51:$I$147,C200+1)&lt;=0.0000000001),0,IF($E$46=0,$E$44/MIN($E$43,COUNTIF($I$51:$I$110,"&gt;0.0000000001")),IF(C200=$E$45,$E$44,0)))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IF(OR(C201&gt;=$E$43,INDEX($I$51:$I$147,C201+1)&lt;=0.0000000001),0,IF($E$46=0,$E$44/MIN($E$43,COUNTIF($I$51:$I$110,"&gt;0.0000000001")),IF(C201=$E$45,$E$44,0)))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IF(OR(C202&gt;=$E$43,INDEX($I$51:$I$147,C202+1)&lt;=0.0000000001),0,IF($E$46=0,$E$44/MIN($E$43,COUNTIF($I$51:$I$110,"&gt;0.0000000001")),IF(C202=$E$45,$E$44,0)))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IF(OR(C203&gt;=$E$43,INDEX($I$51:$I$147,C203+1)&lt;=0.0000000001),0,IF($E$46=0,$E$44/MIN($E$43,COUNTIF($I$51:$I$110,"&gt;0.0000000001")),IF(C203=$E$45,$E$44,0)))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IF(OR(C204&gt;=$E$43,INDEX($I$51:$I$147,C204+1)&lt;=0.0000000001),0,IF($E$46=0,$E$44/MIN($E$43,COUNTIF($I$51:$I$110,"&gt;0.0000000001")),IF(C204=$E$45,$E$44,0)))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IF(OR(C205&gt;=$E$43,INDEX($I$51:$I$147,C205+1)&lt;=0.0000000001),0,IF($E$46=0,$E$44/MIN($E$43,COUNTIF($I$51:$I$110,"&gt;0.0000000001")),IF(C205=$E$45,$E$44,0)))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IF(OR(C206&gt;=$E$43,INDEX($I$51:$I$147,C206+1)&lt;=0.0000000001),0,IF($E$46=0,$E$44/MIN($E$43,COUNTIF($I$51:$I$110,"&gt;0.0000000001")),IF(C206=$E$45,$E$44,0)))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IF(OR(C207&gt;=$E$43,INDEX($I$51:$I$147,C207+1)&lt;=0.0000000001),0,IF($E$46=0,$E$44/MIN($E$43,COUNTIF($I$51:$I$110,"&gt;0.0000000001")),IF(C207=$E$45,$E$44,0)))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IF(OR(C208&gt;=$E$43,INDEX($I$51:$I$147,C208+1)&lt;=0.0000000001),0,IF($E$46=0,$E$44/MIN($E$43,COUNTIF($I$51:$I$110,"&gt;0.0000000001")),IF(C208=$E$45,$E$44,0)))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IF(OR(C209&gt;=$E$43,INDEX($I$51:$I$147,C209+1)&lt;=0.0000000001),0,IF($E$46=0,$E$44/MIN($E$43,COUNTIF($I$51:$I$110,"&gt;0.0000000001")),IF(C209=$E$45,$E$44,0)))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IF(OR(C210&gt;=$E$43,INDEX($I$51:$I$147,C210+1)&lt;=0.0000000001),0,IF($E$46=0,$E$44/MIN($E$43,COUNTIF($I$51:$I$110,"&gt;0.0000000001")),IF(C210=$E$45,$E$44,0)))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IF(OR(C211&gt;=$E$43,INDEX($I$51:$I$147,C211+1)&lt;=0.0000000001),0,IF($E$46=0,$E$44/MIN($E$43,COUNTIF($I$51:$I$110,"&gt;0.0000000001")),IF(C211=$E$45,$E$44,0)))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IF(OR(C212&gt;=$E$43,INDEX($I$51:$I$147,C212+1)&lt;=0.0000000001),0,IF($E$46=0,$E$44/MIN($E$43,COUNTIF($I$51:$I$110,"&gt;0.0000000001")),IF(C212=$E$45,$E$44,0)))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IF(OR(C213&gt;=$E$43,INDEX($I$51:$I$147,C213+1)&lt;=0.0000000001),0,IF($E$46=0,$E$44/MIN($E$43,COUNTIF($I$51:$I$110,"&gt;0.0000000001")),IF(C213=$E$45,$E$44,0)))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IF(OR(C214&gt;=$E$43,INDEX($I$51:$I$147,C214+1)&lt;=0.0000000001),0,IF($E$46=0,$E$44/MIN($E$43,COUNTIF($I$51:$I$110,"&gt;0.0000000001")),IF(C214=$E$45,$E$44,0)))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IF(OR(C215&gt;=$E$43,INDEX($I$51:$I$147,C215+1)&lt;=0.0000000001),0,IF($E$46=0,$E$44/MIN($E$43,COUNTIF($I$51:$I$110,"&gt;0.0000000001")),IF(C215=$E$45,$E$44,0)))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IF(OR(C216&gt;=$E$43,INDEX($I$51:$I$147,C216+1)&lt;=0.0000000001),0,IF($E$46=0,$E$44/MIN($E$43,COUNTIF($I$51:$I$110,"&gt;0.0000000001")),IF(C216=$E$45,$E$44,0)))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IF(OR(C217&gt;=$E$43,INDEX($I$51:$I$147,C217+1)&lt;=0.0000000001),0,IF($E$46=0,$E$44/MIN($E$43,COUNTIF($I$51:$I$110,"&gt;0.0000000001")),IF(C217=$E$45,$E$44,0)))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IF(OR(C218&gt;=$E$43,INDEX($I$51:$I$147,C218+1)&lt;=0.0000000001),0,IF($E$46=0,$E$44/MIN($E$43,COUNTIF($I$51:$I$110,"&gt;0.0000000001")),IF(C218=$E$45,$E$44,0)))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IF(OR(C219&gt;=$E$43,INDEX($I$51:$I$147,C219+1)&lt;=0.0000000001),0,IF($E$46=0,$E$44/MIN($E$43,COUNTIF($I$51:$I$110,"&gt;0.0000000001")),IF(C219=$E$45,$E$44,0)))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2" priority="1">
      <x:formula>ABS(G35)&gt;0.01</x:formula>
    </x:cfRule>
  </x:conditionalFormatting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>
      <x:pane xSplit="6" ySplit="6" topLeftCell="G7" activePane="bottomRight" state="frozen"/>
    </x:sheetView>
  </x:sheetViews>
  <x:sheetFormatPr defaultRowHeight="15"/>
  <x:cols>
    <x:col min="1" max="1" width="2.5" hidden="0" customWidth="1"/>
    <x:col min="2" max="2" width="2.5" hidden="0" customWidth="1"/>
    <x:col min="3" max="3" width="34" hidden="0" customWidth="1"/>
    <x:col min="4" max="4" width="22" hidden="0" customWidth="1"/>
    <x:col min="5" max="5" width="22" hidden="0" customWidth="1"/>
    <x:col min="6" max="6" width="22" hidden="0" customWidth="1"/>
    <x:col min="7" max="7" width="18" hidden="0" customWidth="1"/>
    <x:col min="8" max="8" width="18" hidden="0" customWidth="1"/>
    <x:col min="9" max="9" width="18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4" hidden="0" customWidth="1"/>
    <x:col min="22" max="22" width="14" hidden="0" customWidth="1"/>
    <x:col min="23" max="23" width="14" hidden="0" customWidth="1"/>
    <x:col min="24" max="24" width="14" hidden="0" customWidth="1"/>
    <x:col min="25" max="25" width="14" hidden="0" customWidth="1"/>
    <x:col min="26" max="26" width="14" hidden="0" customWidth="1"/>
    <x:col min="27" max="27" width="14" hidden="0" customWidth="1"/>
    <x:col min="28" max="28" width="14" hidden="0" customWidth="1"/>
    <x:col min="29" max="29" width="14" hidden="0" customWidth="1"/>
    <x:col min="30" max="30" width="14" hidden="0" customWidth="1"/>
    <x:col min="31" max="31" width="14" hidden="0" customWidth="1"/>
    <x:col min="32" max="32" width="14" hidden="0" customWidth="1"/>
    <x:col min="33" max="33" width="14" hidden="0" customWidth="1"/>
    <x:col min="34" max="34" width="14" hidden="0" customWidth="1"/>
    <x:col min="35" max="35" width="14" hidden="0" customWidth="1"/>
    <x:col min="36" max="36" width="14" hidden="0" customWidth="1"/>
    <x:col min="37" max="37" width="14" hidden="0" customWidth="1"/>
    <x:col min="38" max="38" width="14" hidden="0" customWidth="1"/>
    <x:col min="39" max="39" width="14" hidden="0" customWidth="1"/>
    <x:col min="40" max="40" width="14" hidden="0" customWidth="1"/>
    <x:col min="41" max="41" width="14" hidden="0" customWidth="1"/>
    <x:col min="42" max="42" width="14" hidden="0" customWidth="1"/>
    <x:col min="43" max="43" width="14" hidden="0" customWidth="1"/>
    <x:col min="44" max="44" width="14" hidden="0" customWidth="1"/>
    <x:col min="45" max="45" width="14" hidden="0" customWidth="1"/>
    <x:col min="46" max="46" width="14" hidden="0" customWidth="1"/>
    <x:col min="47" max="47" width="14" hidden="0" customWidth="1"/>
    <x:col min="48" max="48" width="14" hidden="0" customWidth="1"/>
    <x:col min="49" max="49" width="14" hidden="0" customWidth="1"/>
    <x:col min="50" max="50" width="14" hidden="0" customWidth="1"/>
    <x:col min="51" max="51" width="14" hidden="0" customWidth="1"/>
    <x:col min="52" max="52" width="14" hidden="0" customWidth="1"/>
    <x:col min="53" max="53" width="14" hidden="0" customWidth="1"/>
    <x:col min="54" max="54" width="14" hidden="0" customWidth="1"/>
    <x:col min="55" max="55" width="14" hidden="0" customWidth="1"/>
    <x:col min="56" max="56" width="14" hidden="0" customWidth="1"/>
    <x:col min="57" max="57" width="14" hidden="0" customWidth="1"/>
    <x:col min="58" max="58" width="14" hidden="0" customWidth="1"/>
    <x:col min="59" max="59" width="14" hidden="0" customWidth="1"/>
    <x:col min="60" max="60" width="14" hidden="0" customWidth="1"/>
    <x:col min="61" max="61" width="14" hidden="0" customWidth="1"/>
    <x:col min="62" max="62" width="14" hidden="0" customWidth="1"/>
    <x:col min="63" max="63" width="14" hidden="0" customWidth="1"/>
    <x:col min="64" max="64" width="14" hidden="0" customWidth="1"/>
    <x:col min="65" max="65" width="14" hidden="0" customWidth="1"/>
    <x:col min="66" max="66" width="14" hidden="0" customWidth="1"/>
    <x:col min="67" max="67" width="14" hidden="0" customWidth="1"/>
    <x:col min="68" max="68" width="14" hidden="0" customWidth="1"/>
    <x:col min="69" max="69" width="14" hidden="0" customWidth="1"/>
    <x:col min="70" max="70" width="14" hidden="0" customWidth="1"/>
    <x:col min="71" max="71" width="14" hidden="0" customWidth="1"/>
    <x:col min="72" max="72" width="14" hidden="0" customWidth="1"/>
    <x:col min="73" max="73" width="14" hidden="0" customWidth="1"/>
    <x:col min="74" max="74" width="14" hidden="0" customWidth="1"/>
    <x:col min="75" max="75" width="14" hidden="0" customWidth="1"/>
    <x:col min="76" max="76" width="14" hidden="0" customWidth="1"/>
    <x:col min="77" max="77" width="14" hidden="0" customWidth="1"/>
    <x:col min="78" max="78" width="14" hidden="0" customWidth="1"/>
    <x:col min="79" max="79" width="14" hidden="0" customWidth="1"/>
    <x:col min="80" max="80" width="14" hidden="0" customWidth="1"/>
    <x:col min="81" max="81" width="14" hidden="0" customWidth="1"/>
    <x:col min="82" max="82" width="14" hidden="0" customWidth="1"/>
    <x:col min="83" max="83" width="14" hidden="0" customWidth="1"/>
    <x:col min="84" max="84" width="14" hidden="0" customWidth="1"/>
    <x:col min="85" max="85" width="14" hidden="0" customWidth="1"/>
    <x:col min="86" max="86" width="14" hidden="0" customWidth="1"/>
    <x:col min="87" max="87" width="14" hidden="0" customWidth="1"/>
    <x:col min="88" max="88" width="14" hidden="0" customWidth="1"/>
    <x:col min="89" max="89" width="14" hidden="0" customWidth="1"/>
    <x:col min="90" max="90" width="14" hidden="0" customWidth="1"/>
    <x:col min="91" max="91" width="14" hidden="0" customWidth="1"/>
    <x:col min="92" max="92" width="14" hidden="0" customWidth="1"/>
    <x:col min="93" max="93" width="14" hidden="0" customWidth="1"/>
    <x:col min="94" max="94" width="14" hidden="0" customWidth="1"/>
    <x:col min="95" max="95" width="14" hidden="0" customWidth="1"/>
    <x:col min="96" max="96" width="14" hidden="0" customWidth="1"/>
    <x:col min="97" max="97" width="14" hidden="0" customWidth="1"/>
    <x:col min="98" max="98" width="14" hidden="0" customWidth="1"/>
    <x:col min="99" max="99" width="14" hidden="0" customWidth="1"/>
    <x:col min="100" max="100" width="14" hidden="0" customWidth="1"/>
    <x:col min="101" max="101" width="14" hidden="0" customWidth="1"/>
    <x:col min="102" max="102" width="14" hidden="0" customWidth="1"/>
    <x:col min="103" max="103" width="14" hidden="0" customWidth="1"/>
  </x:cols>
  <x:sheetData>
    <x:row r="1" ht="19" customHeight="1">
      <x:c r="A1" s="1"/>
      <x:c r="B1" s="1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  <x:c r="AA1" s="2"/>
      <x:c r="AB1" s="2"/>
      <x:c r="AC1" s="2"/>
      <x:c r="AD1" s="2"/>
      <x:c r="AE1" s="2"/>
      <x:c r="AF1" s="2"/>
      <x:c r="AG1" s="2"/>
      <x:c r="AH1" s="2"/>
      <x:c r="AI1" s="2"/>
      <x:c r="AJ1" s="2"/>
      <x:c r="AK1" s="2"/>
      <x:c r="AL1" s="2"/>
      <x:c r="AM1" s="2"/>
      <x:c r="AN1" s="2"/>
      <x:c r="AO1" s="2"/>
      <x:c r="AP1" s="2"/>
      <x:c r="AQ1" s="2"/>
      <x:c r="AR1" s="2"/>
      <x:c r="AS1" s="2"/>
      <x:c r="AT1" s="2"/>
      <x:c r="AU1" s="2"/>
      <x:c r="AV1" s="2"/>
      <x:c r="AW1" s="2"/>
      <x:c r="AX1" s="2"/>
      <x:c r="AY1" s="2"/>
      <x:c r="AZ1" s="2"/>
      <x:c r="BA1" s="2"/>
      <x:c r="BB1" s="2"/>
      <x:c r="BC1" s="2"/>
      <x:c r="BD1" s="2"/>
      <x:c r="BE1" s="2"/>
      <x:c r="BF1" s="2"/>
      <x:c r="BG1" s="2"/>
      <x:c r="BH1" s="2"/>
      <x:c r="BI1" s="2"/>
      <x:c r="BJ1" s="2"/>
      <x:c r="BK1" s="2"/>
      <x:c r="BL1" s="2"/>
      <x:c r="BM1" s="2"/>
      <x:c r="BN1" s="2"/>
      <x:c r="BO1" s="2"/>
      <x:c r="BP1" s="2"/>
      <x:c r="BQ1" s="2"/>
      <x:c r="BR1" s="2"/>
      <x:c r="BS1" s="2"/>
      <x:c r="BT1" s="2"/>
      <x:c r="BU1" s="2"/>
      <x:c r="BV1" s="2"/>
      <x:c r="BW1" s="2"/>
      <x:c r="BX1" s="2"/>
      <x:c r="BY1" s="2"/>
      <x:c r="BZ1" s="2"/>
      <x:c r="CA1" s="2"/>
      <x:c r="CB1" s="2"/>
      <x:c r="CC1" s="2"/>
      <x:c r="CD1" s="2"/>
      <x:c r="CE1" s="2"/>
      <x:c r="CF1" s="2"/>
      <x:c r="CG1" s="2"/>
      <x:c r="CH1" s="2"/>
      <x:c r="CI1" s="2"/>
      <x:c r="CJ1" s="2"/>
      <x:c r="CK1" s="2"/>
      <x:c r="CL1" s="2"/>
      <x:c r="CM1" s="2"/>
      <x:c r="CN1" s="2"/>
      <x:c r="CO1" s="2"/>
      <x:c r="CP1" s="2"/>
      <x:c r="CQ1" s="2"/>
      <x:c r="CR1" s="2"/>
      <x:c r="CS1" s="2"/>
      <x:c r="CT1" s="2"/>
      <x:c r="CU1" s="2"/>
      <x:c r="CV1" s="2"/>
      <x:c r="CW1" s="2"/>
      <x:c r="CX1" s="2"/>
      <x:c r="CY1" s="2"/>
    </x:row>
    <x:row r="2" ht="19" customHeight="1">
      <x:c r="A2" s="1"/>
      <x:c r="B2" s="1"/>
      <x:c r="C2" s="3" t="str">
        <x:v>MK Installment</x:v>
      </x:c>
      <x:c r="D2" s="3"/>
      <x:c r="E2" s="3"/>
      <x:c r="F2" s="3"/>
      <x:c r="G2" s="3"/>
      <x:c r="H2" s="3"/>
      <x:c r="I2" s="3"/>
      <x:c r="J2" s="3"/>
      <x:c r="K2" s="3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  <x:c r="AA2" s="2"/>
      <x:c r="AB2" s="2"/>
      <x:c r="AC2" s="2"/>
      <x:c r="AD2" s="2"/>
      <x:c r="AE2" s="2"/>
      <x:c r="AF2" s="2"/>
      <x:c r="AG2" s="2"/>
      <x:c r="AH2" s="2"/>
      <x:c r="AI2" s="2"/>
      <x:c r="AJ2" s="2"/>
      <x:c r="AK2" s="2"/>
      <x:c r="AL2" s="2"/>
      <x:c r="AM2" s="2"/>
      <x:c r="AN2" s="2"/>
      <x:c r="AO2" s="2"/>
      <x:c r="AP2" s="2"/>
      <x:c r="AQ2" s="2"/>
      <x:c r="AR2" s="2"/>
      <x:c r="AS2" s="2"/>
      <x:c r="AT2" s="2"/>
      <x:c r="AU2" s="2"/>
      <x:c r="AV2" s="2"/>
      <x:c r="AW2" s="2"/>
      <x:c r="AX2" s="2"/>
      <x:c r="AY2" s="2"/>
      <x:c r="AZ2" s="2"/>
      <x:c r="BA2" s="2"/>
      <x:c r="BB2" s="2"/>
      <x:c r="BC2" s="2"/>
      <x:c r="BD2" s="2"/>
      <x:c r="BE2" s="2"/>
      <x:c r="BF2" s="2"/>
      <x:c r="BG2" s="2"/>
      <x:c r="BH2" s="2"/>
      <x:c r="BI2" s="2"/>
      <x:c r="BJ2" s="2"/>
      <x:c r="BK2" s="2"/>
      <x:c r="BL2" s="2"/>
      <x:c r="BM2" s="2"/>
      <x:c r="BN2" s="2"/>
      <x:c r="BO2" s="2"/>
      <x:c r="BP2" s="2"/>
      <x:c r="BQ2" s="2"/>
      <x:c r="BR2" s="2"/>
      <x:c r="BS2" s="2"/>
      <x:c r="BT2" s="2"/>
      <x:c r="BU2" s="2"/>
      <x:c r="BV2" s="2"/>
      <x:c r="BW2" s="2"/>
      <x:c r="BX2" s="2"/>
      <x:c r="BY2" s="2"/>
      <x:c r="BZ2" s="2"/>
      <x:c r="CA2" s="2"/>
      <x:c r="CB2" s="2"/>
      <x:c r="CC2" s="2"/>
      <x:c r="CD2" s="2"/>
      <x:c r="CE2" s="2"/>
      <x:c r="CF2" s="2"/>
      <x:c r="CG2" s="2"/>
      <x:c r="CH2" s="2"/>
      <x:c r="CI2" s="2"/>
      <x:c r="CJ2" s="2"/>
      <x:c r="CK2" s="2"/>
      <x:c r="CL2" s="2"/>
      <x:c r="CM2" s="2"/>
      <x:c r="CN2" s="2"/>
      <x:c r="CO2" s="2"/>
      <x:c r="CP2" s="2"/>
      <x:c r="CQ2" s="2"/>
      <x:c r="CR2" s="2"/>
      <x:c r="CS2" s="2"/>
      <x:c r="CT2" s="2"/>
      <x:c r="CU2" s="2"/>
      <x:c r="CV2" s="2"/>
      <x:c r="CW2" s="2"/>
      <x:c r="CX2" s="2"/>
      <x:c r="CY2" s="2"/>
    </x:row>
    <x:row r="3" ht="19" customHeight="1">
      <x:c r="A3" s="1"/>
      <x:c r="B3" s="1"/>
      <x:c r="C3" s="2" t="str">
        <x:v>Exported scenario</x:v>
      </x:c>
      <x:c r="D3" s="2"/>
      <x:c r="E3" s="4" t="str">
        <x:f>'Assumptions'!$E$8</x:f>
        <x:v>Base</x:v>
      </x:c>
      <x:c r="F3" s="2"/>
      <x:c r="G3" s="2"/>
      <x:c r="H3" s="2"/>
      <x:c r="I3" s="2"/>
      <x:c r="J3" s="2"/>
      <x:c r="K3" s="2"/>
      <x:c r="L3" s="2"/>
      <x:c r="M3" s="2"/>
      <x:c r="N3" s="2"/>
      <x:c r="O3" s="2"/>
      <x:c r="P3" s="2"/>
      <x:c r="Q3" s="2"/>
      <x:c r="R3" s="2"/>
      <x:c r="S3" s="2"/>
      <x:c r="T3" s="2"/>
      <x:c r="U3" s="2"/>
      <x:c r="V3" s="2"/>
      <x:c r="W3" s="2"/>
      <x:c r="X3" s="2"/>
      <x:c r="Y3" s="2"/>
      <x:c r="Z3" s="2"/>
      <x:c r="AA3" s="2"/>
      <x:c r="AB3" s="2"/>
      <x:c r="AC3" s="2"/>
      <x:c r="AD3" s="2"/>
      <x:c r="AE3" s="2"/>
      <x:c r="AF3" s="2"/>
      <x:c r="AG3" s="2"/>
      <x:c r="AH3" s="2"/>
      <x:c r="AI3" s="2"/>
      <x:c r="AJ3" s="2"/>
      <x:c r="AK3" s="2"/>
      <x:c r="AL3" s="2"/>
      <x:c r="AM3" s="2"/>
      <x:c r="AN3" s="2"/>
      <x:c r="AO3" s="2"/>
      <x:c r="AP3" s="2"/>
      <x:c r="AQ3" s="2"/>
      <x:c r="AR3" s="2"/>
      <x:c r="AS3" s="2"/>
      <x:c r="AT3" s="2"/>
      <x:c r="AU3" s="2"/>
      <x:c r="AV3" s="2"/>
      <x:c r="AW3" s="2"/>
      <x:c r="AX3" s="2"/>
      <x:c r="AY3" s="2"/>
      <x:c r="AZ3" s="2"/>
      <x:c r="BA3" s="2"/>
      <x:c r="BB3" s="2"/>
      <x:c r="BC3" s="2"/>
      <x:c r="BD3" s="2"/>
      <x:c r="BE3" s="2"/>
      <x:c r="BF3" s="2"/>
      <x:c r="BG3" s="2"/>
      <x:c r="BH3" s="2"/>
      <x:c r="BI3" s="2"/>
      <x:c r="BJ3" s="2"/>
      <x:c r="BK3" s="2"/>
      <x:c r="BL3" s="2"/>
      <x:c r="BM3" s="2"/>
      <x:c r="BN3" s="2"/>
      <x:c r="BO3" s="2"/>
      <x:c r="BP3" s="2"/>
      <x:c r="BQ3" s="2"/>
      <x:c r="BR3" s="2"/>
      <x:c r="BS3" s="2"/>
      <x:c r="BT3" s="2"/>
      <x:c r="BU3" s="2"/>
      <x:c r="BV3" s="2"/>
      <x:c r="BW3" s="2"/>
      <x:c r="BX3" s="2"/>
      <x:c r="BY3" s="2"/>
      <x:c r="BZ3" s="2"/>
      <x:c r="CA3" s="2"/>
      <x:c r="CB3" s="2"/>
      <x:c r="CC3" s="2"/>
      <x:c r="CD3" s="2"/>
      <x:c r="CE3" s="2"/>
      <x:c r="CF3" s="2"/>
      <x:c r="CG3" s="2"/>
      <x:c r="CH3" s="2"/>
      <x:c r="CI3" s="2"/>
      <x:c r="CJ3" s="2"/>
      <x:c r="CK3" s="2"/>
      <x:c r="CL3" s="2"/>
      <x:c r="CM3" s="2"/>
      <x:c r="CN3" s="2"/>
      <x:c r="CO3" s="2"/>
      <x:c r="CP3" s="2"/>
      <x:c r="CQ3" s="2"/>
      <x:c r="CR3" s="2"/>
      <x:c r="CS3" s="2"/>
      <x:c r="CT3" s="2"/>
      <x:c r="CU3" s="2"/>
      <x:c r="CV3" s="2"/>
      <x:c r="CW3" s="2"/>
      <x:c r="CX3" s="2"/>
      <x:c r="CY3" s="2"/>
    </x:row>
    <x:row r="4" ht="19" customHeight="1">
      <x:c r="A4" s="1"/>
      <x:c r="B4" s="1"/>
      <x:c r="C4" s="2" t="str">
        <x:v>USD thousands unless noted. Months run left to right. Detailed curve and opening cohorts below.</x:v>
      </x:c>
      <x:c r="D4" s="2"/>
      <x:c r="E4" s="2"/>
      <x:c r="F4" s="2"/>
      <x:c r="G4" s="2"/>
      <x:c r="H4" s="2"/>
      <x:c r="I4" s="2"/>
      <x:c r="J4" s="2"/>
      <x:c r="K4" s="2"/>
      <x:c r="L4" s="2"/>
      <x:c r="M4" s="2"/>
      <x:c r="N4" s="2"/>
      <x:c r="O4" s="2"/>
      <x:c r="P4" s="2"/>
      <x:c r="Q4" s="2"/>
      <x:c r="R4" s="2"/>
      <x:c r="S4" s="2"/>
      <x:c r="T4" s="2"/>
      <x:c r="U4" s="2"/>
      <x:c r="V4" s="2"/>
      <x:c r="W4" s="2"/>
      <x:c r="X4" s="2"/>
      <x:c r="Y4" s="2"/>
      <x:c r="Z4" s="2"/>
      <x:c r="AA4" s="2"/>
      <x:c r="AB4" s="2"/>
      <x:c r="AC4" s="2"/>
      <x:c r="AD4" s="2"/>
      <x:c r="AE4" s="2"/>
      <x:c r="AF4" s="2"/>
      <x:c r="AG4" s="2"/>
      <x:c r="AH4" s="2"/>
      <x:c r="AI4" s="2"/>
      <x:c r="AJ4" s="2"/>
      <x:c r="AK4" s="2"/>
      <x:c r="AL4" s="2"/>
      <x:c r="AM4" s="2"/>
      <x:c r="AN4" s="2"/>
      <x:c r="AO4" s="2"/>
      <x:c r="AP4" s="2"/>
      <x:c r="AQ4" s="2"/>
      <x:c r="AR4" s="2"/>
      <x:c r="AS4" s="2"/>
      <x:c r="AT4" s="2"/>
      <x:c r="AU4" s="2"/>
      <x:c r="AV4" s="2"/>
      <x:c r="AW4" s="2"/>
      <x:c r="AX4" s="2"/>
      <x:c r="AY4" s="2"/>
      <x:c r="AZ4" s="2"/>
      <x:c r="BA4" s="2"/>
      <x:c r="BB4" s="2"/>
      <x:c r="BC4" s="2"/>
      <x:c r="BD4" s="2"/>
      <x:c r="BE4" s="2"/>
      <x:c r="BF4" s="2"/>
      <x:c r="BG4" s="2"/>
      <x:c r="BH4" s="2"/>
      <x:c r="BI4" s="2"/>
      <x:c r="BJ4" s="2"/>
      <x:c r="BK4" s="2"/>
      <x:c r="BL4" s="2"/>
      <x:c r="BM4" s="2"/>
      <x:c r="BN4" s="2"/>
      <x:c r="BO4" s="2"/>
      <x:c r="BP4" s="2"/>
      <x:c r="BQ4" s="2"/>
      <x:c r="BR4" s="2"/>
      <x:c r="BS4" s="2"/>
      <x:c r="BT4" s="2"/>
      <x:c r="BU4" s="2"/>
      <x:c r="BV4" s="2"/>
      <x:c r="BW4" s="2"/>
      <x:c r="BX4" s="2"/>
      <x:c r="BY4" s="2"/>
      <x:c r="BZ4" s="2"/>
      <x:c r="CA4" s="2"/>
      <x:c r="CB4" s="2"/>
      <x:c r="CC4" s="2"/>
      <x:c r="CD4" s="2"/>
      <x:c r="CE4" s="2"/>
      <x:c r="CF4" s="2"/>
      <x:c r="CG4" s="2"/>
      <x:c r="CH4" s="2"/>
      <x:c r="CI4" s="2"/>
      <x:c r="CJ4" s="2"/>
      <x:c r="CK4" s="2"/>
      <x:c r="CL4" s="2"/>
      <x:c r="CM4" s="2"/>
      <x:c r="CN4" s="2"/>
      <x:c r="CO4" s="2"/>
      <x:c r="CP4" s="2"/>
      <x:c r="CQ4" s="2"/>
      <x:c r="CR4" s="2"/>
      <x:c r="CS4" s="2"/>
      <x:c r="CT4" s="2"/>
      <x:c r="CU4" s="2"/>
      <x:c r="CV4" s="2"/>
      <x:c r="CW4" s="2"/>
      <x:c r="CX4" s="2"/>
      <x:c r="CY4" s="2"/>
    </x:row>
    <x:row r="5" ht="19" customHeight="1">
      <x:c r="A5" s="1"/>
      <x:c r="B5" s="1"/>
      <x:c r="C5" s="2"/>
      <x:c r="D5" s="2"/>
      <x:c r="E5" s="2"/>
      <x:c r="F5" s="2"/>
      <x:c r="G5" s="2"/>
      <x:c r="H5" s="2"/>
      <x:c r="I5" s="2"/>
      <x:c r="J5" s="2"/>
      <x:c r="K5" s="2"/>
      <x:c r="L5" s="2"/>
      <x:c r="M5" s="2"/>
      <x:c r="N5" s="2"/>
      <x:c r="O5" s="2"/>
      <x:c r="P5" s="2"/>
      <x:c r="Q5" s="2"/>
      <x:c r="R5" s="2"/>
      <x:c r="S5" s="2"/>
      <x:c r="T5" s="2"/>
      <x:c r="U5" s="2"/>
      <x:c r="V5" s="2"/>
      <x:c r="W5" s="2"/>
      <x:c r="X5" s="2"/>
      <x:c r="Y5" s="2"/>
      <x:c r="Z5" s="2"/>
      <x:c r="AA5" s="2"/>
      <x:c r="AB5" s="2"/>
      <x:c r="AC5" s="2"/>
      <x:c r="AD5" s="2"/>
      <x:c r="AE5" s="2"/>
      <x:c r="AF5" s="2"/>
      <x:c r="AG5" s="2"/>
      <x:c r="AH5" s="2"/>
      <x:c r="AI5" s="2"/>
      <x:c r="AJ5" s="2"/>
      <x:c r="AK5" s="2"/>
      <x:c r="AL5" s="2"/>
      <x:c r="AM5" s="2"/>
      <x:c r="AN5" s="2"/>
      <x:c r="AO5" s="2"/>
      <x:c r="AP5" s="2"/>
      <x:c r="AQ5" s="2"/>
      <x:c r="AR5" s="2"/>
      <x:c r="AS5" s="2"/>
      <x:c r="AT5" s="2"/>
      <x:c r="AU5" s="2"/>
      <x:c r="AV5" s="2"/>
      <x:c r="AW5" s="2"/>
      <x:c r="AX5" s="2"/>
      <x:c r="AY5" s="2"/>
      <x:c r="AZ5" s="2"/>
      <x:c r="BA5" s="2"/>
      <x:c r="BB5" s="2"/>
      <x:c r="BC5" s="2"/>
      <x:c r="BD5" s="2"/>
      <x:c r="BE5" s="2"/>
      <x:c r="BF5" s="2"/>
      <x:c r="BG5" s="2"/>
      <x:c r="BH5" s="2"/>
      <x:c r="BI5" s="2"/>
      <x:c r="BJ5" s="2"/>
      <x:c r="BK5" s="2"/>
      <x:c r="BL5" s="2"/>
      <x:c r="BM5" s="2"/>
      <x:c r="BN5" s="2"/>
      <x:c r="BO5" s="2"/>
      <x:c r="BP5" s="2"/>
      <x:c r="BQ5" s="2"/>
      <x:c r="BR5" s="2"/>
      <x:c r="BS5" s="2"/>
      <x:c r="BT5" s="2"/>
      <x:c r="BU5" s="2"/>
      <x:c r="BV5" s="2"/>
      <x:c r="BW5" s="2"/>
      <x:c r="BX5" s="2"/>
      <x:c r="BY5" s="2"/>
      <x:c r="BZ5" s="2"/>
      <x:c r="CA5" s="2"/>
      <x:c r="CB5" s="2"/>
      <x:c r="CC5" s="2"/>
      <x:c r="CD5" s="2"/>
      <x:c r="CE5" s="2"/>
      <x:c r="CF5" s="2"/>
      <x:c r="CG5" s="2"/>
      <x:c r="CH5" s="2"/>
      <x:c r="CI5" s="2"/>
      <x:c r="CJ5" s="2"/>
      <x:c r="CK5" s="2"/>
      <x:c r="CL5" s="2"/>
      <x:c r="CM5" s="2"/>
      <x:c r="CN5" s="2"/>
      <x:c r="CO5" s="2"/>
      <x:c r="CP5" s="2"/>
      <x:c r="CQ5" s="2"/>
      <x:c r="CR5" s="2"/>
      <x:c r="CS5" s="2"/>
      <x:c r="CT5" s="2"/>
      <x:c r="CU5" s="2"/>
      <x:c r="CV5" s="2"/>
      <x:c r="CW5" s="2"/>
      <x:c r="CX5" s="2"/>
      <x:c r="CY5" s="2"/>
    </x:row>
    <x:row r="6" ht="19" customHeight="1">
      <x:c r="A6" s="1"/>
      <x:c r="B6" s="1"/>
      <x:c r="C6" s="6"/>
      <x:c r="D6" s="6"/>
      <x:c r="E6" s="6" t="str">
        <x:v>Horizon total / end</x:v>
      </x:c>
      <x:c r="F6" s="6"/>
      <x:c r="G6" s="21" t="n">
        <x:v>1</x:v>
      </x:c>
      <x:c r="H6" s="21" t="n">
        <x:v>2</x:v>
      </x:c>
      <x:c r="I6" s="21" t="n">
        <x:v>3</x:v>
      </x:c>
      <x:c r="J6" s="21" t="n">
        <x:v>4</x:v>
      </x:c>
      <x:c r="K6" s="21" t="n">
        <x:v>5</x:v>
      </x:c>
      <x:c r="L6" s="21" t="n">
        <x:v>6</x:v>
      </x:c>
      <x:c r="M6" s="21" t="n">
        <x:v>7</x:v>
      </x:c>
      <x:c r="N6" s="21" t="n">
        <x:v>8</x:v>
      </x:c>
      <x:c r="O6" s="21" t="n">
        <x:v>9</x:v>
      </x:c>
      <x:c r="P6" s="21" t="n">
        <x:v>10</x:v>
      </x:c>
      <x:c r="Q6" s="21" t="n">
        <x:v>11</x:v>
      </x:c>
      <x:c r="R6" s="21" t="n">
        <x:v>12</x:v>
      </x:c>
      <x:c r="S6" s="21" t="n">
        <x:v>13</x:v>
      </x:c>
      <x:c r="T6" s="21" t="n">
        <x:v>14</x:v>
      </x:c>
      <x:c r="U6" s="21" t="n">
        <x:v>15</x:v>
      </x:c>
      <x:c r="V6" s="21" t="n">
        <x:v>16</x:v>
      </x:c>
      <x:c r="W6" s="21" t="n">
        <x:v>17</x:v>
      </x:c>
      <x:c r="X6" s="21" t="n">
        <x:v>18</x:v>
      </x:c>
      <x:c r="Y6" s="21" t="n">
        <x:v>19</x:v>
      </x:c>
      <x:c r="Z6" s="21" t="n">
        <x:v>20</x:v>
      </x:c>
      <x:c r="AA6" s="21" t="n">
        <x:v>21</x:v>
      </x:c>
      <x:c r="AB6" s="21" t="n">
        <x:v>22</x:v>
      </x:c>
      <x:c r="AC6" s="21" t="n">
        <x:v>23</x:v>
      </x:c>
      <x:c r="AD6" s="21" t="n">
        <x:v>24</x:v>
      </x:c>
      <x:c r="AE6" s="21" t="n">
        <x:v>25</x:v>
      </x:c>
      <x:c r="AF6" s="21" t="n">
        <x:v>26</x:v>
      </x:c>
      <x:c r="AG6" s="21" t="n">
        <x:v>27</x:v>
      </x:c>
      <x:c r="AH6" s="21" t="n">
        <x:v>28</x:v>
      </x:c>
      <x:c r="AI6" s="21" t="n">
        <x:v>29</x:v>
      </x:c>
      <x:c r="AJ6" s="21" t="n">
        <x:v>30</x:v>
      </x:c>
      <x:c r="AK6" s="21" t="n">
        <x:v>31</x:v>
      </x:c>
      <x:c r="AL6" s="21" t="n">
        <x:v>32</x:v>
      </x:c>
      <x:c r="AM6" s="21" t="n">
        <x:v>33</x:v>
      </x:c>
      <x:c r="AN6" s="21" t="n">
        <x:v>34</x:v>
      </x:c>
      <x:c r="AO6" s="21" t="n">
        <x:v>35</x:v>
      </x:c>
      <x:c r="AP6" s="21" t="n">
        <x:v>36</x:v>
      </x:c>
      <x:c r="AQ6" s="2"/>
      <x:c r="AR6" s="2"/>
      <x:c r="AS6" s="2"/>
      <x:c r="AT6" s="2"/>
      <x:c r="AU6" s="2"/>
      <x:c r="AV6" s="2"/>
      <x:c r="AW6" s="2"/>
      <x:c r="AX6" s="2"/>
      <x:c r="AY6" s="2"/>
      <x:c r="AZ6" s="2"/>
      <x:c r="BA6" s="2"/>
      <x:c r="BB6" s="2"/>
      <x:c r="BC6" s="2"/>
      <x:c r="BD6" s="2"/>
      <x:c r="BE6" s="2"/>
      <x:c r="BF6" s="2"/>
      <x:c r="BG6" s="2"/>
      <x:c r="BH6" s="2"/>
      <x:c r="BI6" s="2"/>
      <x:c r="BJ6" s="2"/>
      <x:c r="BK6" s="2"/>
      <x:c r="BL6" s="2"/>
      <x:c r="BM6" s="2"/>
      <x:c r="BN6" s="2"/>
      <x:c r="BO6" s="2"/>
      <x:c r="BP6" s="2"/>
      <x:c r="BQ6" s="2"/>
      <x:c r="BR6" s="2"/>
      <x:c r="BS6" s="2"/>
      <x:c r="BT6" s="2"/>
      <x:c r="BU6" s="2"/>
      <x:c r="BV6" s="2"/>
      <x:c r="BW6" s="2"/>
      <x:c r="BX6" s="2"/>
      <x:c r="BY6" s="2"/>
      <x:c r="BZ6" s="2"/>
      <x:c r="CA6" s="2"/>
      <x:c r="CB6" s="2"/>
      <x:c r="CC6" s="2"/>
      <x:c r="CD6" s="2"/>
      <x:c r="CE6" s="2"/>
      <x:c r="CF6" s="2"/>
      <x:c r="CG6" s="2"/>
      <x:c r="CH6" s="2"/>
      <x:c r="CI6" s="2"/>
      <x:c r="CJ6" s="2"/>
      <x:c r="CK6" s="2"/>
      <x:c r="CL6" s="2"/>
      <x:c r="CM6" s="2"/>
      <x:c r="CN6" s="2"/>
      <x:c r="CO6" s="2"/>
      <x:c r="CP6" s="2"/>
      <x:c r="CQ6" s="2"/>
      <x:c r="CR6" s="2"/>
      <x:c r="CS6" s="2"/>
      <x:c r="CT6" s="2"/>
      <x:c r="CU6" s="2"/>
      <x:c r="CV6" s="2"/>
      <x:c r="CW6" s="2"/>
      <x:c r="CX6" s="2"/>
      <x:c r="CY6" s="2"/>
    </x:row>
    <x:row r="7" ht="19" customHeight="1">
      <x:c r="A7" s="1"/>
      <x:c r="B7" s="1"/>
      <x:c r="C7" s="2"/>
      <x:c r="D7" s="2"/>
      <x:c r="E7" s="2"/>
      <x:c r="F7" s="2"/>
      <x:c r="G7" s="2"/>
      <x:c r="H7" s="2"/>
      <x:c r="I7" s="2"/>
      <x:c r="J7" s="2"/>
      <x:c r="K7" s="2"/>
      <x:c r="L7" s="2"/>
      <x:c r="M7" s="2"/>
      <x:c r="N7" s="2"/>
      <x:c r="O7" s="2"/>
      <x:c r="P7" s="2"/>
      <x:c r="Q7" s="2"/>
      <x:c r="R7" s="2"/>
      <x:c r="S7" s="2"/>
      <x:c r="T7" s="2"/>
      <x:c r="U7" s="2"/>
      <x:c r="V7" s="2"/>
      <x:c r="W7" s="2"/>
      <x:c r="X7" s="2"/>
      <x:c r="Y7" s="2"/>
      <x:c r="Z7" s="2"/>
      <x:c r="AA7" s="2"/>
      <x:c r="AB7" s="2"/>
      <x:c r="AC7" s="2"/>
      <x:c r="AD7" s="2"/>
      <x:c r="AE7" s="2"/>
      <x:c r="AF7" s="2"/>
      <x:c r="AG7" s="2"/>
      <x:c r="AH7" s="2"/>
      <x:c r="AI7" s="2"/>
      <x:c r="AJ7" s="2"/>
      <x:c r="AK7" s="2"/>
      <x:c r="AL7" s="2"/>
      <x:c r="AM7" s="2"/>
      <x:c r="AN7" s="2"/>
      <x:c r="AO7" s="2"/>
      <x:c r="AP7" s="2"/>
      <x:c r="AQ7" s="2"/>
      <x:c r="AR7" s="2"/>
      <x:c r="AS7" s="2"/>
      <x:c r="AT7" s="2"/>
      <x:c r="AU7" s="2"/>
      <x:c r="AV7" s="2"/>
      <x:c r="AW7" s="2"/>
      <x:c r="AX7" s="2"/>
      <x:c r="AY7" s="2"/>
      <x:c r="AZ7" s="2"/>
      <x:c r="BA7" s="2"/>
      <x:c r="BB7" s="2"/>
      <x:c r="BC7" s="2"/>
      <x:c r="BD7" s="2"/>
      <x:c r="BE7" s="2"/>
      <x:c r="BF7" s="2"/>
      <x:c r="BG7" s="2"/>
      <x:c r="BH7" s="2"/>
      <x:c r="BI7" s="2"/>
      <x:c r="BJ7" s="2"/>
      <x:c r="BK7" s="2"/>
      <x:c r="BL7" s="2"/>
      <x:c r="BM7" s="2"/>
      <x:c r="BN7" s="2"/>
      <x:c r="BO7" s="2"/>
      <x:c r="BP7" s="2"/>
      <x:c r="BQ7" s="2"/>
      <x:c r="BR7" s="2"/>
      <x:c r="BS7" s="2"/>
      <x:c r="BT7" s="2"/>
      <x:c r="BU7" s="2"/>
      <x:c r="BV7" s="2"/>
      <x:c r="BW7" s="2"/>
      <x:c r="BX7" s="2"/>
      <x:c r="BY7" s="2"/>
      <x:c r="BZ7" s="2"/>
      <x:c r="CA7" s="2"/>
      <x:c r="CB7" s="2"/>
      <x:c r="CC7" s="2"/>
      <x:c r="CD7" s="2"/>
      <x:c r="CE7" s="2"/>
      <x:c r="CF7" s="2"/>
      <x:c r="CG7" s="2"/>
      <x:c r="CH7" s="2"/>
      <x:c r="CI7" s="2"/>
      <x:c r="CJ7" s="2"/>
      <x:c r="CK7" s="2"/>
      <x:c r="CL7" s="2"/>
      <x:c r="CM7" s="2"/>
      <x:c r="CN7" s="2"/>
      <x:c r="CO7" s="2"/>
      <x:c r="CP7" s="2"/>
      <x:c r="CQ7" s="2"/>
      <x:c r="CR7" s="2"/>
      <x:c r="CS7" s="2"/>
      <x:c r="CT7" s="2"/>
      <x:c r="CU7" s="2"/>
      <x:c r="CV7" s="2"/>
      <x:c r="CW7" s="2"/>
      <x:c r="CX7" s="2"/>
      <x:c r="CY7" s="2"/>
    </x:row>
    <x:row r="8" ht="19" customHeight="1">
      <x:c r="A8" s="1"/>
      <x:c r="B8" s="1"/>
      <x:c r="C8" s="2" t="str">
        <x:v>Applications</x:v>
      </x:c>
      <x:c r="D8" s="2"/>
      <x:c r="E8" s="37" t="n">
        <x:f>SUMIFS(G8:AP8,$G$6:$AP$6,"&lt;="&amp;'Assumptions'!$E$7)</x:f>
        <x:v>57599.99999999999</x:v>
      </x:c>
      <x:c r="F8" s="2"/>
      <x:c r="G8" s="32" t="n">
        <x:f>'Assumptions'!$F$11*(1+'Assumptions'!$F$12)^(G$6-1)*INDEX('Assumptions'!$F$34:$F$45,MOD(G$6-1,12)+1)*'Assumptions'!$E$30</x:f>
        <x:v>2399.9999999999995</x:v>
      </x:c>
      <x:c r="H8" s="32" t="n">
        <x:f>'Assumptions'!$F$11*(1+'Assumptions'!$F$12)^(H$6-1)*INDEX('Assumptions'!$F$34:$F$45,MOD(H$6-1,12)+1)*'Assumptions'!$E$30</x:f>
        <x:v>2399.9999999999995</x:v>
      </x:c>
      <x:c r="I8" s="32" t="n">
        <x:f>'Assumptions'!$F$11*(1+'Assumptions'!$F$12)^(I$6-1)*INDEX('Assumptions'!$F$34:$F$45,MOD(I$6-1,12)+1)*'Assumptions'!$E$30</x:f>
        <x:v>2399.9999999999995</x:v>
      </x:c>
      <x:c r="J8" s="32" t="n">
        <x:f>'Assumptions'!$F$11*(1+'Assumptions'!$F$12)^(J$6-1)*INDEX('Assumptions'!$F$34:$F$45,MOD(J$6-1,12)+1)*'Assumptions'!$E$30</x:f>
        <x:v>2399.9999999999995</x:v>
      </x:c>
      <x:c r="K8" s="32" t="n">
        <x:f>'Assumptions'!$F$11*(1+'Assumptions'!$F$12)^(K$6-1)*INDEX('Assumptions'!$F$34:$F$45,MOD(K$6-1,12)+1)*'Assumptions'!$E$30</x:f>
        <x:v>2399.9999999999995</x:v>
      </x:c>
      <x:c r="L8" s="32" t="n">
        <x:f>'Assumptions'!$F$11*(1+'Assumptions'!$F$12)^(L$6-1)*INDEX('Assumptions'!$F$34:$F$45,MOD(L$6-1,12)+1)*'Assumptions'!$E$30</x:f>
        <x:v>2399.9999999999995</x:v>
      </x:c>
      <x:c r="M8" s="32" t="n">
        <x:f>'Assumptions'!$F$11*(1+'Assumptions'!$F$12)^(M$6-1)*INDEX('Assumptions'!$F$34:$F$45,MOD(M$6-1,12)+1)*'Assumptions'!$E$30</x:f>
        <x:v>2399.9999999999995</x:v>
      </x:c>
      <x:c r="N8" s="32" t="n">
        <x:f>'Assumptions'!$F$11*(1+'Assumptions'!$F$12)^(N$6-1)*INDEX('Assumptions'!$F$34:$F$45,MOD(N$6-1,12)+1)*'Assumptions'!$E$30</x:f>
        <x:v>2399.9999999999995</x:v>
      </x:c>
      <x:c r="O8" s="32" t="n">
        <x:f>'Assumptions'!$F$11*(1+'Assumptions'!$F$12)^(O$6-1)*INDEX('Assumptions'!$F$34:$F$45,MOD(O$6-1,12)+1)*'Assumptions'!$E$30</x:f>
        <x:v>2399.9999999999995</x:v>
      </x:c>
      <x:c r="P8" s="32" t="n">
        <x:f>'Assumptions'!$F$11*(1+'Assumptions'!$F$12)^(P$6-1)*INDEX('Assumptions'!$F$34:$F$45,MOD(P$6-1,12)+1)*'Assumptions'!$E$30</x:f>
        <x:v>2399.9999999999995</x:v>
      </x:c>
      <x:c r="Q8" s="32" t="n">
        <x:f>'Assumptions'!$F$11*(1+'Assumptions'!$F$12)^(Q$6-1)*INDEX('Assumptions'!$F$34:$F$45,MOD(Q$6-1,12)+1)*'Assumptions'!$E$30</x:f>
        <x:v>2399.9999999999995</x:v>
      </x:c>
      <x:c r="R8" s="32" t="n">
        <x:f>'Assumptions'!$F$11*(1+'Assumptions'!$F$12)^(R$6-1)*INDEX('Assumptions'!$F$34:$F$45,MOD(R$6-1,12)+1)*'Assumptions'!$E$30</x:f>
        <x:v>2399.9999999999995</x:v>
      </x:c>
      <x:c r="S8" s="32" t="n">
        <x:f>'Assumptions'!$F$11*(1+'Assumptions'!$F$12)^(S$6-1)*INDEX('Assumptions'!$F$34:$F$45,MOD(S$6-1,12)+1)*'Assumptions'!$E$30</x:f>
        <x:v>2399.9999999999995</x:v>
      </x:c>
      <x:c r="T8" s="32" t="n">
        <x:f>'Assumptions'!$F$11*(1+'Assumptions'!$F$12)^(T$6-1)*INDEX('Assumptions'!$F$34:$F$45,MOD(T$6-1,12)+1)*'Assumptions'!$E$30</x:f>
        <x:v>2399.9999999999995</x:v>
      </x:c>
      <x:c r="U8" s="32" t="n">
        <x:f>'Assumptions'!$F$11*(1+'Assumptions'!$F$12)^(U$6-1)*INDEX('Assumptions'!$F$34:$F$45,MOD(U$6-1,12)+1)*'Assumptions'!$E$30</x:f>
        <x:v>2399.9999999999995</x:v>
      </x:c>
      <x:c r="V8" s="32" t="n">
        <x:f>'Assumptions'!$F$11*(1+'Assumptions'!$F$12)^(V$6-1)*INDEX('Assumptions'!$F$34:$F$45,MOD(V$6-1,12)+1)*'Assumptions'!$E$30</x:f>
        <x:v>2399.9999999999995</x:v>
      </x:c>
      <x:c r="W8" s="32" t="n">
        <x:f>'Assumptions'!$F$11*(1+'Assumptions'!$F$12)^(W$6-1)*INDEX('Assumptions'!$F$34:$F$45,MOD(W$6-1,12)+1)*'Assumptions'!$E$30</x:f>
        <x:v>2399.9999999999995</x:v>
      </x:c>
      <x:c r="X8" s="32" t="n">
        <x:f>'Assumptions'!$F$11*(1+'Assumptions'!$F$12)^(X$6-1)*INDEX('Assumptions'!$F$34:$F$45,MOD(X$6-1,12)+1)*'Assumptions'!$E$30</x:f>
        <x:v>2399.9999999999995</x:v>
      </x:c>
      <x:c r="Y8" s="32" t="n">
        <x:f>'Assumptions'!$F$11*(1+'Assumptions'!$F$12)^(Y$6-1)*INDEX('Assumptions'!$F$34:$F$45,MOD(Y$6-1,12)+1)*'Assumptions'!$E$30</x:f>
        <x:v>2399.9999999999995</x:v>
      </x:c>
      <x:c r="Z8" s="32" t="n">
        <x:f>'Assumptions'!$F$11*(1+'Assumptions'!$F$12)^(Z$6-1)*INDEX('Assumptions'!$F$34:$F$45,MOD(Z$6-1,12)+1)*'Assumptions'!$E$30</x:f>
        <x:v>2399.9999999999995</x:v>
      </x:c>
      <x:c r="AA8" s="32" t="n">
        <x:f>'Assumptions'!$F$11*(1+'Assumptions'!$F$12)^(AA$6-1)*INDEX('Assumptions'!$F$34:$F$45,MOD(AA$6-1,12)+1)*'Assumptions'!$E$30</x:f>
        <x:v>2399.9999999999995</x:v>
      </x:c>
      <x:c r="AB8" s="32" t="n">
        <x:f>'Assumptions'!$F$11*(1+'Assumptions'!$F$12)^(AB$6-1)*INDEX('Assumptions'!$F$34:$F$45,MOD(AB$6-1,12)+1)*'Assumptions'!$E$30</x:f>
        <x:v>2399.9999999999995</x:v>
      </x:c>
      <x:c r="AC8" s="32" t="n">
        <x:f>'Assumptions'!$F$11*(1+'Assumptions'!$F$12)^(AC$6-1)*INDEX('Assumptions'!$F$34:$F$45,MOD(AC$6-1,12)+1)*'Assumptions'!$E$30</x:f>
        <x:v>2399.9999999999995</x:v>
      </x:c>
      <x:c r="AD8" s="32" t="n">
        <x:f>'Assumptions'!$F$11*(1+'Assumptions'!$F$12)^(AD$6-1)*INDEX('Assumptions'!$F$34:$F$45,MOD(AD$6-1,12)+1)*'Assumptions'!$E$30</x:f>
        <x:v>2399.9999999999995</x:v>
      </x:c>
      <x:c r="AE8" s="32" t="n">
        <x:f>'Assumptions'!$F$11*(1+'Assumptions'!$F$12)^(AE$6-1)*INDEX('Assumptions'!$F$34:$F$45,MOD(AE$6-1,12)+1)*'Assumptions'!$E$30</x:f>
        <x:v>2399.9999999999995</x:v>
      </x:c>
      <x:c r="AF8" s="32" t="n">
        <x:f>'Assumptions'!$F$11*(1+'Assumptions'!$F$12)^(AF$6-1)*INDEX('Assumptions'!$F$34:$F$45,MOD(AF$6-1,12)+1)*'Assumptions'!$E$30</x:f>
        <x:v>2399.9999999999995</x:v>
      </x:c>
      <x:c r="AG8" s="32" t="n">
        <x:f>'Assumptions'!$F$11*(1+'Assumptions'!$F$12)^(AG$6-1)*INDEX('Assumptions'!$F$34:$F$45,MOD(AG$6-1,12)+1)*'Assumptions'!$E$30</x:f>
        <x:v>2399.9999999999995</x:v>
      </x:c>
      <x:c r="AH8" s="32" t="n">
        <x:f>'Assumptions'!$F$11*(1+'Assumptions'!$F$12)^(AH$6-1)*INDEX('Assumptions'!$F$34:$F$45,MOD(AH$6-1,12)+1)*'Assumptions'!$E$30</x:f>
        <x:v>2399.9999999999995</x:v>
      </x:c>
      <x:c r="AI8" s="32" t="n">
        <x:f>'Assumptions'!$F$11*(1+'Assumptions'!$F$12)^(AI$6-1)*INDEX('Assumptions'!$F$34:$F$45,MOD(AI$6-1,12)+1)*'Assumptions'!$E$30</x:f>
        <x:v>2399.9999999999995</x:v>
      </x:c>
      <x:c r="AJ8" s="32" t="n">
        <x:f>'Assumptions'!$F$11*(1+'Assumptions'!$F$12)^(AJ$6-1)*INDEX('Assumptions'!$F$34:$F$45,MOD(AJ$6-1,12)+1)*'Assumptions'!$E$30</x:f>
        <x:v>2399.9999999999995</x:v>
      </x:c>
      <x:c r="AK8" s="32" t="n">
        <x:f>'Assumptions'!$F$11*(1+'Assumptions'!$F$12)^(AK$6-1)*INDEX('Assumptions'!$F$34:$F$45,MOD(AK$6-1,12)+1)*'Assumptions'!$E$30</x:f>
        <x:v>2399.9999999999995</x:v>
      </x:c>
      <x:c r="AL8" s="32" t="n">
        <x:f>'Assumptions'!$F$11*(1+'Assumptions'!$F$12)^(AL$6-1)*INDEX('Assumptions'!$F$34:$F$45,MOD(AL$6-1,12)+1)*'Assumptions'!$E$30</x:f>
        <x:v>2399.9999999999995</x:v>
      </x:c>
      <x:c r="AM8" s="32" t="n">
        <x:f>'Assumptions'!$F$11*(1+'Assumptions'!$F$12)^(AM$6-1)*INDEX('Assumptions'!$F$34:$F$45,MOD(AM$6-1,12)+1)*'Assumptions'!$E$30</x:f>
        <x:v>2399.9999999999995</x:v>
      </x:c>
      <x:c r="AN8" s="32" t="n">
        <x:f>'Assumptions'!$F$11*(1+'Assumptions'!$F$12)^(AN$6-1)*INDEX('Assumptions'!$F$34:$F$45,MOD(AN$6-1,12)+1)*'Assumptions'!$E$30</x:f>
        <x:v>2399.9999999999995</x:v>
      </x:c>
      <x:c r="AO8" s="32" t="n">
        <x:f>'Assumptions'!$F$11*(1+'Assumptions'!$F$12)^(AO$6-1)*INDEX('Assumptions'!$F$34:$F$45,MOD(AO$6-1,12)+1)*'Assumptions'!$E$30</x:f>
        <x:v>2399.9999999999995</x:v>
      </x:c>
      <x:c r="AP8" s="32" t="n">
        <x:f>'Assumptions'!$F$11*(1+'Assumptions'!$F$12)^(AP$6-1)*INDEX('Assumptions'!$F$34:$F$45,MOD(AP$6-1,12)+1)*'Assumptions'!$E$30</x:f>
        <x:v>2399.9999999999995</x:v>
      </x:c>
      <x:c r="AQ8" s="2"/>
      <x:c r="AR8" s="2"/>
      <x:c r="AS8" s="2"/>
      <x:c r="AT8" s="2"/>
      <x:c r="AU8" s="2"/>
      <x:c r="AV8" s="2"/>
      <x:c r="AW8" s="2"/>
      <x:c r="AX8" s="2"/>
      <x:c r="AY8" s="2"/>
      <x:c r="AZ8" s="2"/>
      <x:c r="BA8" s="2"/>
      <x:c r="BB8" s="2"/>
      <x:c r="BC8" s="2"/>
      <x:c r="BD8" s="2"/>
      <x:c r="BE8" s="2"/>
      <x:c r="BF8" s="2"/>
      <x:c r="BG8" s="2"/>
      <x:c r="BH8" s="2"/>
      <x:c r="BI8" s="2"/>
      <x:c r="BJ8" s="2"/>
      <x:c r="BK8" s="2"/>
      <x:c r="BL8" s="2"/>
      <x:c r="BM8" s="2"/>
      <x:c r="BN8" s="2"/>
      <x:c r="BO8" s="2"/>
      <x:c r="BP8" s="2"/>
      <x:c r="BQ8" s="2"/>
      <x:c r="BR8" s="2"/>
      <x:c r="BS8" s="2"/>
      <x:c r="BT8" s="2"/>
      <x:c r="BU8" s="2"/>
      <x:c r="BV8" s="2"/>
      <x:c r="BW8" s="2"/>
      <x:c r="BX8" s="2"/>
      <x:c r="BY8" s="2"/>
      <x:c r="BZ8" s="2"/>
      <x:c r="CA8" s="2"/>
      <x:c r="CB8" s="2"/>
      <x:c r="CC8" s="2"/>
      <x:c r="CD8" s="2"/>
      <x:c r="CE8" s="2"/>
      <x:c r="CF8" s="2"/>
      <x:c r="CG8" s="2"/>
      <x:c r="CH8" s="2"/>
      <x:c r="CI8" s="2"/>
      <x:c r="CJ8" s="2"/>
      <x:c r="CK8" s="2"/>
      <x:c r="CL8" s="2"/>
      <x:c r="CM8" s="2"/>
      <x:c r="CN8" s="2"/>
      <x:c r="CO8" s="2"/>
      <x:c r="CP8" s="2"/>
      <x:c r="CQ8" s="2"/>
      <x:c r="CR8" s="2"/>
      <x:c r="CS8" s="2"/>
      <x:c r="CT8" s="2"/>
      <x:c r="CU8" s="2"/>
      <x:c r="CV8" s="2"/>
      <x:c r="CW8" s="2"/>
      <x:c r="CX8" s="2"/>
      <x:c r="CY8" s="2"/>
    </x:row>
    <x:row r="9" ht="19" customHeight="1">
      <x:c r="A9" s="1"/>
      <x:c r="B9" s="1"/>
      <x:c r="C9" s="2" t="str">
        <x:v>Approval rate</x:v>
      </x:c>
      <x:c r="D9" s="2"/>
      <x:c r="E9" s="35"/>
      <x:c r="F9" s="2"/>
      <x:c r="G9" s="33" t="n">
        <x:f>'Assumptions'!$F$13</x:f>
        <x:v>0.45</x:v>
      </x:c>
      <x:c r="H9" s="33" t="n">
        <x:f>'Assumptions'!$F$13</x:f>
        <x:v>0.45</x:v>
      </x:c>
      <x:c r="I9" s="33" t="n">
        <x:f>'Assumptions'!$F$13</x:f>
        <x:v>0.45</x:v>
      </x:c>
      <x:c r="J9" s="33" t="n">
        <x:f>'Assumptions'!$F$13</x:f>
        <x:v>0.45</x:v>
      </x:c>
      <x:c r="K9" s="33" t="n">
        <x:f>'Assumptions'!$F$13</x:f>
        <x:v>0.45</x:v>
      </x:c>
      <x:c r="L9" s="33" t="n">
        <x:f>'Assumptions'!$F$13</x:f>
        <x:v>0.45</x:v>
      </x:c>
      <x:c r="M9" s="33" t="n">
        <x:f>'Assumptions'!$F$13</x:f>
        <x:v>0.45</x:v>
      </x:c>
      <x:c r="N9" s="33" t="n">
        <x:f>'Assumptions'!$F$13</x:f>
        <x:v>0.45</x:v>
      </x:c>
      <x:c r="O9" s="33" t="n">
        <x:f>'Assumptions'!$F$13</x:f>
        <x:v>0.45</x:v>
      </x:c>
      <x:c r="P9" s="33" t="n">
        <x:f>'Assumptions'!$F$13</x:f>
        <x:v>0.45</x:v>
      </x:c>
      <x:c r="Q9" s="33" t="n">
        <x:f>'Assumptions'!$F$13</x:f>
        <x:v>0.45</x:v>
      </x:c>
      <x:c r="R9" s="33" t="n">
        <x:f>'Assumptions'!$F$13</x:f>
        <x:v>0.45</x:v>
      </x:c>
      <x:c r="S9" s="33" t="n">
        <x:f>'Assumptions'!$F$13</x:f>
        <x:v>0.45</x:v>
      </x:c>
      <x:c r="T9" s="33" t="n">
        <x:f>'Assumptions'!$F$13</x:f>
        <x:v>0.45</x:v>
      </x:c>
      <x:c r="U9" s="33" t="n">
        <x:f>'Assumptions'!$F$13</x:f>
        <x:v>0.45</x:v>
      </x:c>
      <x:c r="V9" s="33" t="n">
        <x:f>'Assumptions'!$F$13</x:f>
        <x:v>0.45</x:v>
      </x:c>
      <x:c r="W9" s="33" t="n">
        <x:f>'Assumptions'!$F$13</x:f>
        <x:v>0.45</x:v>
      </x:c>
      <x:c r="X9" s="33" t="n">
        <x:f>'Assumptions'!$F$13</x:f>
        <x:v>0.45</x:v>
      </x:c>
      <x:c r="Y9" s="33" t="n">
        <x:f>'Assumptions'!$F$13</x:f>
        <x:v>0.45</x:v>
      </x:c>
      <x:c r="Z9" s="33" t="n">
        <x:f>'Assumptions'!$F$13</x:f>
        <x:v>0.45</x:v>
      </x:c>
      <x:c r="AA9" s="33" t="n">
        <x:f>'Assumptions'!$F$13</x:f>
        <x:v>0.45</x:v>
      </x:c>
      <x:c r="AB9" s="33" t="n">
        <x:f>'Assumptions'!$F$13</x:f>
        <x:v>0.45</x:v>
      </x:c>
      <x:c r="AC9" s="33" t="n">
        <x:f>'Assumptions'!$F$13</x:f>
        <x:v>0.45</x:v>
      </x:c>
      <x:c r="AD9" s="33" t="n">
        <x:f>'Assumptions'!$F$13</x:f>
        <x:v>0.45</x:v>
      </x:c>
      <x:c r="AE9" s="33" t="n">
        <x:f>'Assumptions'!$F$13</x:f>
        <x:v>0.45</x:v>
      </x:c>
      <x:c r="AF9" s="33" t="n">
        <x:f>'Assumptions'!$F$13</x:f>
        <x:v>0.45</x:v>
      </x:c>
      <x:c r="AG9" s="33" t="n">
        <x:f>'Assumptions'!$F$13</x:f>
        <x:v>0.45</x:v>
      </x:c>
      <x:c r="AH9" s="33" t="n">
        <x:f>'Assumptions'!$F$13</x:f>
        <x:v>0.45</x:v>
      </x:c>
      <x:c r="AI9" s="33" t="n">
        <x:f>'Assumptions'!$F$13</x:f>
        <x:v>0.45</x:v>
      </x:c>
      <x:c r="AJ9" s="33" t="n">
        <x:f>'Assumptions'!$F$13</x:f>
        <x:v>0.45</x:v>
      </x:c>
      <x:c r="AK9" s="33" t="n">
        <x:f>'Assumptions'!$F$13</x:f>
        <x:v>0.45</x:v>
      </x:c>
      <x:c r="AL9" s="33" t="n">
        <x:f>'Assumptions'!$F$13</x:f>
        <x:v>0.45</x:v>
      </x:c>
      <x:c r="AM9" s="33" t="n">
        <x:f>'Assumptions'!$F$13</x:f>
        <x:v>0.45</x:v>
      </x:c>
      <x:c r="AN9" s="33" t="n">
        <x:f>'Assumptions'!$F$13</x:f>
        <x:v>0.45</x:v>
      </x:c>
      <x:c r="AO9" s="33" t="n">
        <x:f>'Assumptions'!$F$13</x:f>
        <x:v>0.45</x:v>
      </x:c>
      <x:c r="AP9" s="33" t="n">
        <x:f>'Assumptions'!$F$13</x:f>
        <x:v>0.45</x:v>
      </x:c>
      <x:c r="AQ9" s="2"/>
      <x:c r="AR9" s="2"/>
      <x:c r="AS9" s="2"/>
      <x:c r="AT9" s="2"/>
      <x:c r="AU9" s="2"/>
      <x:c r="AV9" s="2"/>
      <x:c r="AW9" s="2"/>
      <x:c r="AX9" s="2"/>
      <x:c r="AY9" s="2"/>
      <x:c r="AZ9" s="2"/>
      <x:c r="BA9" s="2"/>
      <x:c r="BB9" s="2"/>
      <x:c r="BC9" s="2"/>
      <x:c r="BD9" s="2"/>
      <x:c r="BE9" s="2"/>
      <x:c r="BF9" s="2"/>
      <x:c r="BG9" s="2"/>
      <x:c r="BH9" s="2"/>
      <x:c r="BI9" s="2"/>
      <x:c r="BJ9" s="2"/>
      <x:c r="BK9" s="2"/>
      <x:c r="BL9" s="2"/>
      <x:c r="BM9" s="2"/>
      <x:c r="BN9" s="2"/>
      <x:c r="BO9" s="2"/>
      <x:c r="BP9" s="2"/>
      <x:c r="BQ9" s="2"/>
      <x:c r="BR9" s="2"/>
      <x:c r="BS9" s="2"/>
      <x:c r="BT9" s="2"/>
      <x:c r="BU9" s="2"/>
      <x:c r="BV9" s="2"/>
      <x:c r="BW9" s="2"/>
      <x:c r="BX9" s="2"/>
      <x:c r="BY9" s="2"/>
      <x:c r="BZ9" s="2"/>
      <x:c r="CA9" s="2"/>
      <x:c r="CB9" s="2"/>
      <x:c r="CC9" s="2"/>
      <x:c r="CD9" s="2"/>
      <x:c r="CE9" s="2"/>
      <x:c r="CF9" s="2"/>
      <x:c r="CG9" s="2"/>
      <x:c r="CH9" s="2"/>
      <x:c r="CI9" s="2"/>
      <x:c r="CJ9" s="2"/>
      <x:c r="CK9" s="2"/>
      <x:c r="CL9" s="2"/>
      <x:c r="CM9" s="2"/>
      <x:c r="CN9" s="2"/>
      <x:c r="CO9" s="2"/>
      <x:c r="CP9" s="2"/>
      <x:c r="CQ9" s="2"/>
      <x:c r="CR9" s="2"/>
      <x:c r="CS9" s="2"/>
      <x:c r="CT9" s="2"/>
      <x:c r="CU9" s="2"/>
      <x:c r="CV9" s="2"/>
      <x:c r="CW9" s="2"/>
      <x:c r="CX9" s="2"/>
      <x:c r="CY9" s="2"/>
    </x:row>
    <x:row r="10" ht="19" customHeight="1">
      <x:c r="A10" s="1"/>
      <x:c r="B10" s="1"/>
      <x:c r="C10" s="2" t="str">
        <x:v>Average loan size ($)</x:v>
      </x:c>
      <x:c r="D10" s="2"/>
      <x:c r="E10" s="35"/>
      <x:c r="F10" s="2"/>
      <x:c r="G10" s="34" t="n">
        <x:f>'Assumptions'!$F$14</x:f>
        <x:v>4000</x:v>
      </x:c>
      <x:c r="H10" s="34" t="n">
        <x:f>'Assumptions'!$F$14</x:f>
        <x:v>4000</x:v>
      </x:c>
      <x:c r="I10" s="34" t="n">
        <x:f>'Assumptions'!$F$14</x:f>
        <x:v>4000</x:v>
      </x:c>
      <x:c r="J10" s="34" t="n">
        <x:f>'Assumptions'!$F$14</x:f>
        <x:v>4000</x:v>
      </x:c>
      <x:c r="K10" s="34" t="n">
        <x:f>'Assumptions'!$F$14</x:f>
        <x:v>4000</x:v>
      </x:c>
      <x:c r="L10" s="34" t="n">
        <x:f>'Assumptions'!$F$14</x:f>
        <x:v>4000</x:v>
      </x:c>
      <x:c r="M10" s="34" t="n">
        <x:f>'Assumptions'!$F$14</x:f>
        <x:v>4000</x:v>
      </x:c>
      <x:c r="N10" s="34" t="n">
        <x:f>'Assumptions'!$F$14</x:f>
        <x:v>4000</x:v>
      </x:c>
      <x:c r="O10" s="34" t="n">
        <x:f>'Assumptions'!$F$14</x:f>
        <x:v>4000</x:v>
      </x:c>
      <x:c r="P10" s="34" t="n">
        <x:f>'Assumptions'!$F$14</x:f>
        <x:v>4000</x:v>
      </x:c>
      <x:c r="Q10" s="34" t="n">
        <x:f>'Assumptions'!$F$14</x:f>
        <x:v>4000</x:v>
      </x:c>
      <x:c r="R10" s="34" t="n">
        <x:f>'Assumptions'!$F$14</x:f>
        <x:v>4000</x:v>
      </x:c>
      <x:c r="S10" s="34" t="n">
        <x:f>'Assumptions'!$F$14</x:f>
        <x:v>4000</x:v>
      </x:c>
      <x:c r="T10" s="34" t="n">
        <x:f>'Assumptions'!$F$14</x:f>
        <x:v>4000</x:v>
      </x:c>
      <x:c r="U10" s="34" t="n">
        <x:f>'Assumptions'!$F$14</x:f>
        <x:v>4000</x:v>
      </x:c>
      <x:c r="V10" s="34" t="n">
        <x:f>'Assumptions'!$F$14</x:f>
        <x:v>4000</x:v>
      </x:c>
      <x:c r="W10" s="34" t="n">
        <x:f>'Assumptions'!$F$14</x:f>
        <x:v>4000</x:v>
      </x:c>
      <x:c r="X10" s="34" t="n">
        <x:f>'Assumptions'!$F$14</x:f>
        <x:v>4000</x:v>
      </x:c>
      <x:c r="Y10" s="34" t="n">
        <x:f>'Assumptions'!$F$14</x:f>
        <x:v>4000</x:v>
      </x:c>
      <x:c r="Z10" s="34" t="n">
        <x:f>'Assumptions'!$F$14</x:f>
        <x:v>4000</x:v>
      </x:c>
      <x:c r="AA10" s="34" t="n">
        <x:f>'Assumptions'!$F$14</x:f>
        <x:v>4000</x:v>
      </x:c>
      <x:c r="AB10" s="34" t="n">
        <x:f>'Assumptions'!$F$14</x:f>
        <x:v>4000</x:v>
      </x:c>
      <x:c r="AC10" s="34" t="n">
        <x:f>'Assumptions'!$F$14</x:f>
        <x:v>4000</x:v>
      </x:c>
      <x:c r="AD10" s="34" t="n">
        <x:f>'Assumptions'!$F$14</x:f>
        <x:v>4000</x:v>
      </x:c>
      <x:c r="AE10" s="34" t="n">
        <x:f>'Assumptions'!$F$14</x:f>
        <x:v>4000</x:v>
      </x:c>
      <x:c r="AF10" s="34" t="n">
        <x:f>'Assumptions'!$F$14</x:f>
        <x:v>4000</x:v>
      </x:c>
      <x:c r="AG10" s="34" t="n">
        <x:f>'Assumptions'!$F$14</x:f>
        <x:v>4000</x:v>
      </x:c>
      <x:c r="AH10" s="34" t="n">
        <x:f>'Assumptions'!$F$14</x:f>
        <x:v>4000</x:v>
      </x:c>
      <x:c r="AI10" s="34" t="n">
        <x:f>'Assumptions'!$F$14</x:f>
        <x:v>4000</x:v>
      </x:c>
      <x:c r="AJ10" s="34" t="n">
        <x:f>'Assumptions'!$F$14</x:f>
        <x:v>4000</x:v>
      </x:c>
      <x:c r="AK10" s="34" t="n">
        <x:f>'Assumptions'!$F$14</x:f>
        <x:v>4000</x:v>
      </x:c>
      <x:c r="AL10" s="34" t="n">
        <x:f>'Assumptions'!$F$14</x:f>
        <x:v>4000</x:v>
      </x:c>
      <x:c r="AM10" s="34" t="n">
        <x:f>'Assumptions'!$F$14</x:f>
        <x:v>4000</x:v>
      </x:c>
      <x:c r="AN10" s="34" t="n">
        <x:f>'Assumptions'!$F$14</x:f>
        <x:v>4000</x:v>
      </x:c>
      <x:c r="AO10" s="34" t="n">
        <x:f>'Assumptions'!$F$14</x:f>
        <x:v>4000</x:v>
      </x:c>
      <x:c r="AP10" s="34" t="n">
        <x:f>'Assumptions'!$F$14</x:f>
        <x:v>4000</x:v>
      </x:c>
      <x:c r="AQ10" s="2"/>
      <x:c r="AR10" s="2"/>
      <x:c r="AS10" s="2"/>
      <x:c r="AT10" s="2"/>
      <x:c r="AU10" s="2"/>
      <x:c r="AV10" s="2"/>
      <x:c r="AW10" s="2"/>
      <x:c r="AX10" s="2"/>
      <x:c r="AY10" s="2"/>
      <x:c r="AZ10" s="2"/>
      <x:c r="BA10" s="2"/>
      <x:c r="BB10" s="2"/>
      <x:c r="BC10" s="2"/>
      <x:c r="BD10" s="2"/>
      <x:c r="BE10" s="2"/>
      <x:c r="BF10" s="2"/>
      <x:c r="BG10" s="2"/>
      <x:c r="BH10" s="2"/>
      <x:c r="BI10" s="2"/>
      <x:c r="BJ10" s="2"/>
      <x:c r="BK10" s="2"/>
      <x:c r="BL10" s="2"/>
      <x:c r="BM10" s="2"/>
      <x:c r="BN10" s="2"/>
      <x:c r="BO10" s="2"/>
      <x:c r="BP10" s="2"/>
      <x:c r="BQ10" s="2"/>
      <x:c r="BR10" s="2"/>
      <x:c r="BS10" s="2"/>
      <x:c r="BT10" s="2"/>
      <x:c r="BU10" s="2"/>
      <x:c r="BV10" s="2"/>
      <x:c r="BW10" s="2"/>
      <x:c r="BX10" s="2"/>
      <x:c r="BY10" s="2"/>
      <x:c r="BZ10" s="2"/>
      <x:c r="CA10" s="2"/>
      <x:c r="CB10" s="2"/>
      <x:c r="CC10" s="2"/>
      <x:c r="CD10" s="2"/>
      <x:c r="CE10" s="2"/>
      <x:c r="CF10" s="2"/>
      <x:c r="CG10" s="2"/>
      <x:c r="CH10" s="2"/>
      <x:c r="CI10" s="2"/>
      <x:c r="CJ10" s="2"/>
      <x:c r="CK10" s="2"/>
      <x:c r="CL10" s="2"/>
      <x:c r="CM10" s="2"/>
      <x:c r="CN10" s="2"/>
      <x:c r="CO10" s="2"/>
      <x:c r="CP10" s="2"/>
      <x:c r="CQ10" s="2"/>
      <x:c r="CR10" s="2"/>
      <x:c r="CS10" s="2"/>
      <x:c r="CT10" s="2"/>
      <x:c r="CU10" s="2"/>
      <x:c r="CV10" s="2"/>
      <x:c r="CW10" s="2"/>
      <x:c r="CX10" s="2"/>
      <x:c r="CY10" s="2"/>
    </x:row>
    <x:row r="11" ht="19" customHeight="1">
      <x:c r="A11" s="1"/>
      <x:c r="B11" s="1"/>
      <x:c r="C11" s="42" t="str">
        <x:v>Originations</x:v>
      </x:c>
      <x:c r="D11" s="42"/>
      <x:c r="E11" s="43" t="n">
        <x:f>SUMIFS(G11:AP11,$G$6:$AP$6,"&lt;="&amp;'Assumptions'!$E$7)</x:f>
        <x:v>103679999.99999999</x:v>
      </x:c>
      <x:c r="F11" s="42"/>
      <x:c r="G11" s="43" t="n">
        <x:f>G8*G9*G10</x:f>
        <x:v>4319999.999999999</x:v>
      </x:c>
      <x:c r="H11" s="43" t="n">
        <x:f>H8*H9*H10</x:f>
        <x:v>4319999.999999999</x:v>
      </x:c>
      <x:c r="I11" s="43" t="n">
        <x:f>I8*I9*I10</x:f>
        <x:v>4319999.999999999</x:v>
      </x:c>
      <x:c r="J11" s="43" t="n">
        <x:f>J8*J9*J10</x:f>
        <x:v>4319999.999999999</x:v>
      </x:c>
      <x:c r="K11" s="43" t="n">
        <x:f>K8*K9*K10</x:f>
        <x:v>4319999.999999999</x:v>
      </x:c>
      <x:c r="L11" s="43" t="n">
        <x:f>L8*L9*L10</x:f>
        <x:v>4319999.999999999</x:v>
      </x:c>
      <x:c r="M11" s="43" t="n">
        <x:f>M8*M9*M10</x:f>
        <x:v>4319999.999999999</x:v>
      </x:c>
      <x:c r="N11" s="43" t="n">
        <x:f>N8*N9*N10</x:f>
        <x:v>4319999.999999999</x:v>
      </x:c>
      <x:c r="O11" s="43" t="n">
        <x:f>O8*O9*O10</x:f>
        <x:v>4319999.999999999</x:v>
      </x:c>
      <x:c r="P11" s="43" t="n">
        <x:f>P8*P9*P10</x:f>
        <x:v>4319999.999999999</x:v>
      </x:c>
      <x:c r="Q11" s="43" t="n">
        <x:f>Q8*Q9*Q10</x:f>
        <x:v>4319999.999999999</x:v>
      </x:c>
      <x:c r="R11" s="43" t="n">
        <x:f>R8*R9*R10</x:f>
        <x:v>4319999.999999999</x:v>
      </x:c>
      <x:c r="S11" s="43" t="n">
        <x:f>S8*S9*S10</x:f>
        <x:v>4319999.999999999</x:v>
      </x:c>
      <x:c r="T11" s="43" t="n">
        <x:f>T8*T9*T10</x:f>
        <x:v>4319999.999999999</x:v>
      </x:c>
      <x:c r="U11" s="43" t="n">
        <x:f>U8*U9*U10</x:f>
        <x:v>4319999.999999999</x:v>
      </x:c>
      <x:c r="V11" s="43" t="n">
        <x:f>V8*V9*V10</x:f>
        <x:v>4319999.999999999</x:v>
      </x:c>
      <x:c r="W11" s="43" t="n">
        <x:f>W8*W9*W10</x:f>
        <x:v>4319999.999999999</x:v>
      </x:c>
      <x:c r="X11" s="43" t="n">
        <x:f>X8*X9*X10</x:f>
        <x:v>4319999.999999999</x:v>
      </x:c>
      <x:c r="Y11" s="43" t="n">
        <x:f>Y8*Y9*Y10</x:f>
        <x:v>4319999.999999999</x:v>
      </x:c>
      <x:c r="Z11" s="43" t="n">
        <x:f>Z8*Z9*Z10</x:f>
        <x:v>4319999.999999999</x:v>
      </x:c>
      <x:c r="AA11" s="43" t="n">
        <x:f>AA8*AA9*AA10</x:f>
        <x:v>4319999.999999999</x:v>
      </x:c>
      <x:c r="AB11" s="43" t="n">
        <x:f>AB8*AB9*AB10</x:f>
        <x:v>4319999.999999999</x:v>
      </x:c>
      <x:c r="AC11" s="43" t="n">
        <x:f>AC8*AC9*AC10</x:f>
        <x:v>4319999.999999999</x:v>
      </x:c>
      <x:c r="AD11" s="43" t="n">
        <x:f>AD8*AD9*AD10</x:f>
        <x:v>4319999.999999999</x:v>
      </x:c>
      <x:c r="AE11" s="43" t="n">
        <x:f>AE8*AE9*AE10</x:f>
        <x:v>4319999.999999999</x:v>
      </x:c>
      <x:c r="AF11" s="43" t="n">
        <x:f>AF8*AF9*AF10</x:f>
        <x:v>4319999.999999999</x:v>
      </x:c>
      <x:c r="AG11" s="43" t="n">
        <x:f>AG8*AG9*AG10</x:f>
        <x:v>4319999.999999999</x:v>
      </x:c>
      <x:c r="AH11" s="43" t="n">
        <x:f>AH8*AH9*AH10</x:f>
        <x:v>4319999.999999999</x:v>
      </x:c>
      <x:c r="AI11" s="43" t="n">
        <x:f>AI8*AI9*AI10</x:f>
        <x:v>4319999.999999999</x:v>
      </x:c>
      <x:c r="AJ11" s="43" t="n">
        <x:f>AJ8*AJ9*AJ10</x:f>
        <x:v>4319999.999999999</x:v>
      </x:c>
      <x:c r="AK11" s="43" t="n">
        <x:f>AK8*AK9*AK10</x:f>
        <x:v>4319999.999999999</x:v>
      </x:c>
      <x:c r="AL11" s="43" t="n">
        <x:f>AL8*AL9*AL10</x:f>
        <x:v>4319999.999999999</x:v>
      </x:c>
      <x:c r="AM11" s="43" t="n">
        <x:f>AM8*AM9*AM10</x:f>
        <x:v>4319999.999999999</x:v>
      </x:c>
      <x:c r="AN11" s="43" t="n">
        <x:f>AN8*AN9*AN10</x:f>
        <x:v>4319999.999999999</x:v>
      </x:c>
      <x:c r="AO11" s="43" t="n">
        <x:f>AO8*AO9*AO10</x:f>
        <x:v>4319999.999999999</x:v>
      </x:c>
      <x:c r="AP11" s="43" t="n">
        <x:f>AP8*AP9*AP10</x:f>
        <x:v>4319999.999999999</x:v>
      </x:c>
      <x:c r="AQ11" s="2"/>
      <x:c r="AR11" s="2"/>
      <x:c r="AS11" s="2"/>
      <x:c r="AT11" s="2"/>
      <x:c r="AU11" s="2"/>
      <x:c r="AV11" s="2"/>
      <x:c r="AW11" s="2"/>
      <x:c r="AX11" s="2"/>
      <x:c r="AY11" s="2"/>
      <x:c r="AZ11" s="2"/>
      <x:c r="BA11" s="2"/>
      <x:c r="BB11" s="2"/>
      <x:c r="BC11" s="2"/>
      <x:c r="BD11" s="2"/>
      <x:c r="BE11" s="2"/>
      <x:c r="BF11" s="2"/>
      <x:c r="BG11" s="2"/>
      <x:c r="BH11" s="2"/>
      <x:c r="BI11" s="2"/>
      <x:c r="BJ11" s="2"/>
      <x:c r="BK11" s="2"/>
      <x:c r="BL11" s="2"/>
      <x:c r="BM11" s="2"/>
      <x:c r="BN11" s="2"/>
      <x:c r="BO11" s="2"/>
      <x:c r="BP11" s="2"/>
      <x:c r="BQ11" s="2"/>
      <x:c r="BR11" s="2"/>
      <x:c r="BS11" s="2"/>
      <x:c r="BT11" s="2"/>
      <x:c r="BU11" s="2"/>
      <x:c r="BV11" s="2"/>
      <x:c r="BW11" s="2"/>
      <x:c r="BX11" s="2"/>
      <x:c r="BY11" s="2"/>
      <x:c r="BZ11" s="2"/>
      <x:c r="CA11" s="2"/>
      <x:c r="CB11" s="2"/>
      <x:c r="CC11" s="2"/>
      <x:c r="CD11" s="2"/>
      <x:c r="CE11" s="2"/>
      <x:c r="CF11" s="2"/>
      <x:c r="CG11" s="2"/>
      <x:c r="CH11" s="2"/>
      <x:c r="CI11" s="2"/>
      <x:c r="CJ11" s="2"/>
      <x:c r="CK11" s="2"/>
      <x:c r="CL11" s="2"/>
      <x:c r="CM11" s="2"/>
      <x:c r="CN11" s="2"/>
      <x:c r="CO11" s="2"/>
      <x:c r="CP11" s="2"/>
      <x:c r="CQ11" s="2"/>
      <x:c r="CR11" s="2"/>
      <x:c r="CS11" s="2"/>
      <x:c r="CT11" s="2"/>
      <x:c r="CU11" s="2"/>
      <x:c r="CV11" s="2"/>
      <x:c r="CW11" s="2"/>
      <x:c r="CX11" s="2"/>
      <x:c r="CY11" s="2"/>
    </x:row>
    <x:row r="12" ht="19" customHeight="1">
      <x:c r="A12" s="1"/>
      <x:c r="B12" s="1"/>
      <x:c r="C12" s="2"/>
      <x:c r="D12" s="2"/>
      <x:c r="E12" s="35"/>
      <x:c r="F12" s="2"/>
      <x:c r="G12" s="2"/>
      <x:c r="H12" s="2"/>
      <x:c r="I12" s="2"/>
      <x:c r="J12" s="2"/>
      <x:c r="K12" s="2"/>
      <x:c r="L12" s="2"/>
      <x:c r="M12" s="2"/>
      <x:c r="N12" s="2"/>
      <x:c r="O12" s="2"/>
      <x:c r="P12" s="2"/>
      <x:c r="Q12" s="2"/>
      <x:c r="R12" s="2"/>
      <x:c r="S12" s="2"/>
      <x:c r="T12" s="2"/>
      <x:c r="U12" s="2"/>
      <x:c r="V12" s="2"/>
      <x:c r="W12" s="2"/>
      <x:c r="X12" s="2"/>
      <x:c r="Y12" s="2"/>
      <x:c r="Z12" s="2"/>
      <x:c r="AA12" s="2"/>
      <x:c r="AB12" s="2"/>
      <x:c r="AC12" s="2"/>
      <x:c r="AD12" s="2"/>
      <x:c r="AE12" s="2"/>
      <x:c r="AF12" s="2"/>
      <x:c r="AG12" s="2"/>
      <x:c r="AH12" s="2"/>
      <x:c r="AI12" s="2"/>
      <x:c r="AJ12" s="2"/>
      <x:c r="AK12" s="2"/>
      <x:c r="AL12" s="2"/>
      <x:c r="AM12" s="2"/>
      <x:c r="AN12" s="2"/>
      <x:c r="AO12" s="2"/>
      <x:c r="AP12" s="2"/>
      <x:c r="AQ12" s="2"/>
      <x:c r="AR12" s="2"/>
      <x:c r="AS12" s="2"/>
      <x:c r="AT12" s="2"/>
      <x:c r="AU12" s="2"/>
      <x:c r="AV12" s="2"/>
      <x:c r="AW12" s="2"/>
      <x:c r="AX12" s="2"/>
      <x:c r="AY12" s="2"/>
      <x:c r="AZ12" s="2"/>
      <x:c r="BA12" s="2"/>
      <x:c r="BB12" s="2"/>
      <x:c r="BC12" s="2"/>
      <x:c r="BD12" s="2"/>
      <x:c r="BE12" s="2"/>
      <x:c r="BF12" s="2"/>
      <x:c r="BG12" s="2"/>
      <x:c r="BH12" s="2"/>
      <x:c r="BI12" s="2"/>
      <x:c r="BJ12" s="2"/>
      <x:c r="BK12" s="2"/>
      <x:c r="BL12" s="2"/>
      <x:c r="BM12" s="2"/>
      <x:c r="BN12" s="2"/>
      <x:c r="BO12" s="2"/>
      <x:c r="BP12" s="2"/>
      <x:c r="BQ12" s="2"/>
      <x:c r="BR12" s="2"/>
      <x:c r="BS12" s="2"/>
      <x:c r="BT12" s="2"/>
      <x:c r="BU12" s="2"/>
      <x:c r="BV12" s="2"/>
      <x:c r="BW12" s="2"/>
      <x:c r="BX12" s="2"/>
      <x:c r="BY12" s="2"/>
      <x:c r="BZ12" s="2"/>
      <x:c r="CA12" s="2"/>
      <x:c r="CB12" s="2"/>
      <x:c r="CC12" s="2"/>
      <x:c r="CD12" s="2"/>
      <x:c r="CE12" s="2"/>
      <x:c r="CF12" s="2"/>
      <x:c r="CG12" s="2"/>
      <x:c r="CH12" s="2"/>
      <x:c r="CI12" s="2"/>
      <x:c r="CJ12" s="2"/>
      <x:c r="CK12" s="2"/>
      <x:c r="CL12" s="2"/>
      <x:c r="CM12" s="2"/>
      <x:c r="CN12" s="2"/>
      <x:c r="CO12" s="2"/>
      <x:c r="CP12" s="2"/>
      <x:c r="CQ12" s="2"/>
      <x:c r="CR12" s="2"/>
      <x:c r="CS12" s="2"/>
      <x:c r="CT12" s="2"/>
      <x:c r="CU12" s="2"/>
      <x:c r="CV12" s="2"/>
      <x:c r="CW12" s="2"/>
      <x:c r="CX12" s="2"/>
      <x:c r="CY12" s="2"/>
    </x:row>
    <x:row r="13" ht="19" customHeight="1">
      <x:c r="A13" s="1"/>
      <x:c r="B13" s="1"/>
      <x:c r="C13" s="2" t="str">
        <x:v>Beginning gross CLAB</x:v>
      </x:c>
      <x:c r="D13" s="2"/>
      <x:c r="E13" s="35" t="n">
        <x:f>G13</x:f>
        <x:v>76679999.99999999</x:v>
      </x:c>
      <x:c r="F13" s="2"/>
      <x:c r="G13" s="35" t="n">
        <x:f>$E$44</x:f>
        <x:v>76679999.99999999</x:v>
      </x:c>
      <x:c r="H13" s="35" t="n">
        <x:f>G16</x:f>
        <x:v>34510432.81291745</x:v>
      </x:c>
      <x:c r="I13" s="35" t="n">
        <x:f>H16</x:f>
        <x:v>18292797.52567576</x:v>
      </x:c>
      <x:c r="J13" s="35" t="n">
        <x:f>I16</x:f>
        <x:v>11889995.17767771</x:v>
      </x:c>
      <x:c r="K13" s="35" t="n">
        <x:f>J16</x:f>
        <x:v>9596289.002344063</x:v>
      </x:c>
      <x:c r="L13" s="35" t="n">
        <x:f>K16</x:f>
        <x:v>8980944.218957074</x:v>
      </x:c>
      <x:c r="M13" s="35" t="n">
        <x:f>L16</x:f>
        <x:v>8980944.218957076</x:v>
      </x:c>
      <x:c r="N13" s="35" t="n">
        <x:f>M16</x:f>
        <x:v>8980944.218957076</x:v>
      </x:c>
      <x:c r="O13" s="35" t="n">
        <x:f>N16</x:f>
        <x:v>8980944.218957076</x:v>
      </x:c>
      <x:c r="P13" s="35" t="n">
        <x:f>O16</x:f>
        <x:v>8980944.218957076</x:v>
      </x:c>
      <x:c r="Q13" s="35" t="n">
        <x:f>P16</x:f>
        <x:v>8980944.218957076</x:v>
      </x:c>
      <x:c r="R13" s="35" t="n">
        <x:f>Q16</x:f>
        <x:v>8980944.218957076</x:v>
      </x:c>
      <x:c r="S13" s="35" t="n">
        <x:f>R16</x:f>
        <x:v>8980944.218957076</x:v>
      </x:c>
      <x:c r="T13" s="35" t="n">
        <x:f>S16</x:f>
        <x:v>8980944.218957076</x:v>
      </x:c>
      <x:c r="U13" s="35" t="n">
        <x:f>T16</x:f>
        <x:v>8980944.218957076</x:v>
      </x:c>
      <x:c r="V13" s="35" t="n">
        <x:f>U16</x:f>
        <x:v>8980944.218957076</x:v>
      </x:c>
      <x:c r="W13" s="35" t="n">
        <x:f>V16</x:f>
        <x:v>8980944.218957076</x:v>
      </x:c>
      <x:c r="X13" s="35" t="n">
        <x:f>W16</x:f>
        <x:v>8980944.218957076</x:v>
      </x:c>
      <x:c r="Y13" s="35" t="n">
        <x:f>X16</x:f>
        <x:v>8980944.218957076</x:v>
      </x:c>
      <x:c r="Z13" s="35" t="n">
        <x:f>Y16</x:f>
        <x:v>8980944.218957076</x:v>
      </x:c>
      <x:c r="AA13" s="35" t="n">
        <x:f>Z16</x:f>
        <x:v>8980944.218957076</x:v>
      </x:c>
      <x:c r="AB13" s="35" t="n">
        <x:f>AA16</x:f>
        <x:v>8980944.218957076</x:v>
      </x:c>
      <x:c r="AC13" s="35" t="n">
        <x:f>AB16</x:f>
        <x:v>8980944.218957076</x:v>
      </x:c>
      <x:c r="AD13" s="35" t="n">
        <x:f>AC16</x:f>
        <x:v>8980944.218957076</x:v>
      </x:c>
      <x:c r="AE13" s="35" t="n">
        <x:f>AD16</x:f>
        <x:v>8980944.218957076</x:v>
      </x:c>
      <x:c r="AF13" s="35" t="n">
        <x:f>AE16</x:f>
        <x:v>8980944.218957076</x:v>
      </x:c>
      <x:c r="AG13" s="35" t="n">
        <x:f>AF16</x:f>
        <x:v>8980944.218957076</x:v>
      </x:c>
      <x:c r="AH13" s="35" t="n">
        <x:f>AG16</x:f>
        <x:v>8980944.218957076</x:v>
      </x:c>
      <x:c r="AI13" s="35" t="n">
        <x:f>AH16</x:f>
        <x:v>8980944.218957076</x:v>
      </x:c>
      <x:c r="AJ13" s="35" t="n">
        <x:f>AI16</x:f>
        <x:v>8980944.218957076</x:v>
      </x:c>
      <x:c r="AK13" s="35" t="n">
        <x:f>AJ16</x:f>
        <x:v>8980944.218957076</x:v>
      </x:c>
      <x:c r="AL13" s="35" t="n">
        <x:f>AK16</x:f>
        <x:v>8980944.218957076</x:v>
      </x:c>
      <x:c r="AM13" s="35" t="n">
        <x:f>AL16</x:f>
        <x:v>8980944.218957076</x:v>
      </x:c>
      <x:c r="AN13" s="35" t="n">
        <x:f>AM16</x:f>
        <x:v>8980944.218957076</x:v>
      </x:c>
      <x:c r="AO13" s="35" t="n">
        <x:f>AN16</x:f>
        <x:v>8980944.218957076</x:v>
      </x:c>
      <x:c r="AP13" s="35" t="n">
        <x:f>AO16</x:f>
        <x:v>8980944.218957076</x:v>
      </x:c>
      <x:c r="AQ13" s="2"/>
      <x:c r="AR13" s="2"/>
      <x:c r="AS13" s="2"/>
      <x:c r="AT13" s="2"/>
      <x:c r="AU13" s="2"/>
      <x:c r="AV13" s="2"/>
      <x:c r="AW13" s="2"/>
      <x:c r="AX13" s="2"/>
      <x:c r="AY13" s="2"/>
      <x:c r="AZ13" s="2"/>
      <x:c r="BA13" s="2"/>
      <x:c r="BB13" s="2"/>
      <x:c r="BC13" s="2"/>
      <x:c r="BD13" s="2"/>
      <x:c r="BE13" s="2"/>
      <x:c r="BF13" s="2"/>
      <x:c r="BG13" s="2"/>
      <x:c r="BH13" s="2"/>
      <x:c r="BI13" s="2"/>
      <x:c r="BJ13" s="2"/>
      <x:c r="BK13" s="2"/>
      <x:c r="BL13" s="2"/>
      <x:c r="BM13" s="2"/>
      <x:c r="BN13" s="2"/>
      <x:c r="BO13" s="2"/>
      <x:c r="BP13" s="2"/>
      <x:c r="BQ13" s="2"/>
      <x:c r="BR13" s="2"/>
      <x:c r="BS13" s="2"/>
      <x:c r="BT13" s="2"/>
      <x:c r="BU13" s="2"/>
      <x:c r="BV13" s="2"/>
      <x:c r="BW13" s="2"/>
      <x:c r="BX13" s="2"/>
      <x:c r="BY13" s="2"/>
      <x:c r="BZ13" s="2"/>
      <x:c r="CA13" s="2"/>
      <x:c r="CB13" s="2"/>
      <x:c r="CC13" s="2"/>
      <x:c r="CD13" s="2"/>
      <x:c r="CE13" s="2"/>
      <x:c r="CF13" s="2"/>
      <x:c r="CG13" s="2"/>
      <x:c r="CH13" s="2"/>
      <x:c r="CI13" s="2"/>
      <x:c r="CJ13" s="2"/>
      <x:c r="CK13" s="2"/>
      <x:c r="CL13" s="2"/>
      <x:c r="CM13" s="2"/>
      <x:c r="CN13" s="2"/>
      <x:c r="CO13" s="2"/>
      <x:c r="CP13" s="2"/>
      <x:c r="CQ13" s="2"/>
      <x:c r="CR13" s="2"/>
      <x:c r="CS13" s="2"/>
      <x:c r="CT13" s="2"/>
      <x:c r="CU13" s="2"/>
      <x:c r="CV13" s="2"/>
      <x:c r="CW13" s="2"/>
      <x:c r="CX13" s="2"/>
      <x:c r="CY13" s="2"/>
    </x:row>
    <x:row r="14" ht="19" customHeight="1">
      <x:c r="A14" s="1"/>
      <x:c r="B14" s="1"/>
      <x:c r="C14" s="2" t="str">
        <x:v>Principal repayments</x:v>
      </x:c>
      <x:c r="D14" s="2"/>
      <x:c r="E14" s="35" t="n">
        <x:f>SUMIFS(G14:AP14,$G$6:$AP$6,"&lt;="&amp;'Assumptions'!$E$7)</x:f>
        <x:v>110236263.2387052</x:v>
      </x:c>
      <x:c r="F14" s="2"/>
      <x:c r="G14" s="35" t="n">
        <x:f>SUM(G29:G30)</x:f>
        <x:v>29540889.901015334</x:v>
      </x:c>
      <x:c r="H14" s="35" t="n">
        <x:f>SUM(H29:H30)</x:f>
        <x:v>13051076.895069629</x:v>
      </x:c>
      <x:c r="I14" s="35" t="n">
        <x:f>SUM(I29:I30)</x:f>
        <x:v>6833570.383690462</x:v>
      </x:c>
      <x:c r="J14" s="35" t="n">
        <x:f>SUM(J29:J30)</x:f>
        <x:v>4245341.209419783</x:v>
      </x:c>
      <x:c r="K14" s="35" t="n">
        <x:f>SUM(K29:K30)</x:f>
        <x:v>3187927.6396411206</x:v>
      </x:c>
      <x:c r="L14" s="35" t="n">
        <x:f>SUM(L29:L30)</x:f>
        <x:v>2809339.8531509917</x:v>
      </x:c>
      <x:c r="M14" s="35" t="n">
        <x:f>SUM(M29:M30)</x:f>
        <x:v>2809339.8531509917</x:v>
      </x:c>
      <x:c r="N14" s="35" t="n">
        <x:f>SUM(N29:N30)</x:f>
        <x:v>2809339.8531509917</x:v>
      </x:c>
      <x:c r="O14" s="35" t="n">
        <x:f>SUM(O29:O30)</x:f>
        <x:v>2809339.8531509917</x:v>
      </x:c>
      <x:c r="P14" s="35" t="n">
        <x:f>SUM(P29:P30)</x:f>
        <x:v>2809339.8531509917</x:v>
      </x:c>
      <x:c r="Q14" s="35" t="n">
        <x:f>SUM(Q29:Q30)</x:f>
        <x:v>2809339.8531509917</x:v>
      </x:c>
      <x:c r="R14" s="35" t="n">
        <x:f>SUM(R29:R30)</x:f>
        <x:v>2809339.8531509917</x:v>
      </x:c>
      <x:c r="S14" s="35" t="n">
        <x:f>SUM(S29:S30)</x:f>
        <x:v>2809339.8531509917</x:v>
      </x:c>
      <x:c r="T14" s="35" t="n">
        <x:f>SUM(T29:T30)</x:f>
        <x:v>2809339.8531509917</x:v>
      </x:c>
      <x:c r="U14" s="35" t="n">
        <x:f>SUM(U29:U30)</x:f>
        <x:v>2809339.8531509917</x:v>
      </x:c>
      <x:c r="V14" s="35" t="n">
        <x:f>SUM(V29:V30)</x:f>
        <x:v>2809339.8531509917</x:v>
      </x:c>
      <x:c r="W14" s="35" t="n">
        <x:f>SUM(W29:W30)</x:f>
        <x:v>2809339.8531509917</x:v>
      </x:c>
      <x:c r="X14" s="35" t="n">
        <x:f>SUM(X29:X30)</x:f>
        <x:v>2809339.8531509917</x:v>
      </x:c>
      <x:c r="Y14" s="35" t="n">
        <x:f>SUM(Y29:Y30)</x:f>
        <x:v>2809339.8531509917</x:v>
      </x:c>
      <x:c r="Z14" s="35" t="n">
        <x:f>SUM(Z29:Z30)</x:f>
        <x:v>2809339.8531509917</x:v>
      </x:c>
      <x:c r="AA14" s="35" t="n">
        <x:f>SUM(AA29:AA30)</x:f>
        <x:v>2809339.8531509917</x:v>
      </x:c>
      <x:c r="AB14" s="35" t="n">
        <x:f>SUM(AB29:AB30)</x:f>
        <x:v>2809339.8531509917</x:v>
      </x:c>
      <x:c r="AC14" s="35" t="n">
        <x:f>SUM(AC29:AC30)</x:f>
        <x:v>2809339.8531509917</x:v>
      </x:c>
      <x:c r="AD14" s="35" t="n">
        <x:f>SUM(AD29:AD30)</x:f>
        <x:v>2809339.8531509917</x:v>
      </x:c>
      <x:c r="AE14" s="35" t="n">
        <x:f>SUM(AE29:AE30)</x:f>
        <x:v>2809339.8531509917</x:v>
      </x:c>
      <x:c r="AF14" s="35" t="n">
        <x:f>SUM(AF29:AF30)</x:f>
        <x:v>2809339.8531509917</x:v>
      </x:c>
      <x:c r="AG14" s="35" t="n">
        <x:f>SUM(AG29:AG30)</x:f>
        <x:v>2809339.8531509917</x:v>
      </x:c>
      <x:c r="AH14" s="35" t="n">
        <x:f>SUM(AH29:AH30)</x:f>
        <x:v>2809339.8531509917</x:v>
      </x:c>
      <x:c r="AI14" s="35" t="n">
        <x:f>SUM(AI29:AI30)</x:f>
        <x:v>2809339.8531509917</x:v>
      </x:c>
      <x:c r="AJ14" s="35" t="n">
        <x:f>SUM(AJ29:AJ30)</x:f>
        <x:v>2809339.8531509917</x:v>
      </x:c>
      <x:c r="AK14" s="35" t="n">
        <x:f>SUM(AK29:AK30)</x:f>
        <x:v>2809339.8531509917</x:v>
      </x:c>
      <x:c r="AL14" s="35" t="n">
        <x:f>SUM(AL29:AL30)</x:f>
        <x:v>2809339.8531509917</x:v>
      </x:c>
      <x:c r="AM14" s="35" t="n">
        <x:f>SUM(AM29:AM30)</x:f>
        <x:v>2809339.8531509917</x:v>
      </x:c>
      <x:c r="AN14" s="35" t="n">
        <x:f>SUM(AN29:AN30)</x:f>
        <x:v>2809339.8531509917</x:v>
      </x:c>
      <x:c r="AO14" s="35" t="n">
        <x:f>SUM(AO29:AO30)</x:f>
        <x:v>2809339.8531509917</x:v>
      </x:c>
      <x:c r="AP14" s="35" t="n">
        <x:f>SUM(AP29:AP30)</x:f>
        <x:v>2809339.8531509917</x:v>
      </x:c>
      <x:c r="AQ14" s="2"/>
      <x:c r="AR14" s="2"/>
      <x:c r="AS14" s="2"/>
      <x:c r="AT14" s="2"/>
      <x:c r="AU14" s="2"/>
      <x:c r="AV14" s="2"/>
      <x:c r="AW14" s="2"/>
      <x:c r="AX14" s="2"/>
      <x:c r="AY14" s="2"/>
      <x:c r="AZ14" s="2"/>
      <x:c r="BA14" s="2"/>
      <x:c r="BB14" s="2"/>
      <x:c r="BC14" s="2"/>
      <x:c r="BD14" s="2"/>
      <x:c r="BE14" s="2"/>
      <x:c r="BF14" s="2"/>
      <x:c r="BG14" s="2"/>
      <x:c r="BH14" s="2"/>
      <x:c r="BI14" s="2"/>
      <x:c r="BJ14" s="2"/>
      <x:c r="BK14" s="2"/>
      <x:c r="BL14" s="2"/>
      <x:c r="BM14" s="2"/>
      <x:c r="BN14" s="2"/>
      <x:c r="BO14" s="2"/>
      <x:c r="BP14" s="2"/>
      <x:c r="BQ14" s="2"/>
      <x:c r="BR14" s="2"/>
      <x:c r="BS14" s="2"/>
      <x:c r="BT14" s="2"/>
      <x:c r="BU14" s="2"/>
      <x:c r="BV14" s="2"/>
      <x:c r="BW14" s="2"/>
      <x:c r="BX14" s="2"/>
      <x:c r="BY14" s="2"/>
      <x:c r="BZ14" s="2"/>
      <x:c r="CA14" s="2"/>
      <x:c r="CB14" s="2"/>
      <x:c r="CC14" s="2"/>
      <x:c r="CD14" s="2"/>
      <x:c r="CE14" s="2"/>
      <x:c r="CF14" s="2"/>
      <x:c r="CG14" s="2"/>
      <x:c r="CH14" s="2"/>
      <x:c r="CI14" s="2"/>
      <x:c r="CJ14" s="2"/>
      <x:c r="CK14" s="2"/>
      <x:c r="CL14" s="2"/>
      <x:c r="CM14" s="2"/>
      <x:c r="CN14" s="2"/>
      <x:c r="CO14" s="2"/>
      <x:c r="CP14" s="2"/>
      <x:c r="CQ14" s="2"/>
      <x:c r="CR14" s="2"/>
      <x:c r="CS14" s="2"/>
      <x:c r="CT14" s="2"/>
      <x:c r="CU14" s="2"/>
      <x:c r="CV14" s="2"/>
      <x:c r="CW14" s="2"/>
      <x:c r="CX14" s="2"/>
      <x:c r="CY14" s="2"/>
    </x:row>
    <x:row r="15" ht="19" customHeight="1">
      <x:c r="A15" s="1"/>
      <x:c r="B15" s="1"/>
      <x:c r="C15" s="2" t="str">
        <x:v>Charge-offs</x:v>
      </x:c>
      <x:c r="D15" s="2"/>
      <x:c r="E15" s="35" t="n">
        <x:f>SUMIFS(G15:AP15,$G$6:$AP$6,"&lt;="&amp;'Assumptions'!$E$7)</x:f>
        <x:v>61142792.54233771</x:v>
      </x:c>
      <x:c r="F15" s="2"/>
      <x:c r="G15" s="35" t="n">
        <x:f>SUM(G27:G28)</x:f>
        <x:v>16948677.286067203</x:v>
      </x:c>
      <x:c r="H15" s="35" t="n">
        <x:f>SUM(H27:H28)</x:f>
        <x:v>7486558.39217206</x:v>
      </x:c>
      <x:c r="I15" s="35" t="n">
        <x:f>SUM(I27:I28)</x:f>
        <x:v>3889231.9643075885</x:v>
      </x:c>
      <x:c r="J15" s="35" t="n">
        <x:f>SUM(J27:J28)</x:f>
        <x:v>2368364.965913864</x:v>
      </x:c>
      <x:c r="K15" s="35" t="n">
        <x:f>SUM(K27:K28)</x:f>
        <x:v>1747417.1437458647</x:v>
      </x:c>
      <x:c r="L15" s="35" t="n">
        <x:f>SUM(L27:L28)</x:f>
        <x:v>1510660.146849007</x:v>
      </x:c>
      <x:c r="M15" s="35" t="n">
        <x:f>SUM(M27:M28)</x:f>
        <x:v>1510660.146849007</x:v>
      </x:c>
      <x:c r="N15" s="35" t="n">
        <x:f>SUM(N27:N28)</x:f>
        <x:v>1510660.146849007</x:v>
      </x:c>
      <x:c r="O15" s="35" t="n">
        <x:f>SUM(O27:O28)</x:f>
        <x:v>1510660.146849007</x:v>
      </x:c>
      <x:c r="P15" s="35" t="n">
        <x:f>SUM(P27:P28)</x:f>
        <x:v>1510660.146849007</x:v>
      </x:c>
      <x:c r="Q15" s="35" t="n">
        <x:f>SUM(Q27:Q28)</x:f>
        <x:v>1510660.146849007</x:v>
      </x:c>
      <x:c r="R15" s="35" t="n">
        <x:f>SUM(R27:R28)</x:f>
        <x:v>1510660.146849007</x:v>
      </x:c>
      <x:c r="S15" s="35" t="n">
        <x:f>SUM(S27:S28)</x:f>
        <x:v>1510660.146849007</x:v>
      </x:c>
      <x:c r="T15" s="35" t="n">
        <x:f>SUM(T27:T28)</x:f>
        <x:v>1510660.146849007</x:v>
      </x:c>
      <x:c r="U15" s="35" t="n">
        <x:f>SUM(U27:U28)</x:f>
        <x:v>1510660.146849007</x:v>
      </x:c>
      <x:c r="V15" s="35" t="n">
        <x:f>SUM(V27:V28)</x:f>
        <x:v>1510660.146849007</x:v>
      </x:c>
      <x:c r="W15" s="35" t="n">
        <x:f>SUM(W27:W28)</x:f>
        <x:v>1510660.146849007</x:v>
      </x:c>
      <x:c r="X15" s="35" t="n">
        <x:f>SUM(X27:X28)</x:f>
        <x:v>1510660.146849007</x:v>
      </x:c>
      <x:c r="Y15" s="35" t="n">
        <x:f>SUM(Y27:Y28)</x:f>
        <x:v>1510660.146849007</x:v>
      </x:c>
      <x:c r="Z15" s="35" t="n">
        <x:f>SUM(Z27:Z28)</x:f>
        <x:v>1510660.146849007</x:v>
      </x:c>
      <x:c r="AA15" s="35" t="n">
        <x:f>SUM(AA27:AA28)</x:f>
        <x:v>1510660.146849007</x:v>
      </x:c>
      <x:c r="AB15" s="35" t="n">
        <x:f>SUM(AB27:AB28)</x:f>
        <x:v>1510660.146849007</x:v>
      </x:c>
      <x:c r="AC15" s="35" t="n">
        <x:f>SUM(AC27:AC28)</x:f>
        <x:v>1510660.146849007</x:v>
      </x:c>
      <x:c r="AD15" s="35" t="n">
        <x:f>SUM(AD27:AD28)</x:f>
        <x:v>1510660.146849007</x:v>
      </x:c>
      <x:c r="AE15" s="35" t="n">
        <x:f>SUM(AE27:AE28)</x:f>
        <x:v>1510660.146849007</x:v>
      </x:c>
      <x:c r="AF15" s="35" t="n">
        <x:f>SUM(AF27:AF28)</x:f>
        <x:v>1510660.146849007</x:v>
      </x:c>
      <x:c r="AG15" s="35" t="n">
        <x:f>SUM(AG27:AG28)</x:f>
        <x:v>1510660.146849007</x:v>
      </x:c>
      <x:c r="AH15" s="35" t="n">
        <x:f>SUM(AH27:AH28)</x:f>
        <x:v>1510660.146849007</x:v>
      </x:c>
      <x:c r="AI15" s="35" t="n">
        <x:f>SUM(AI27:AI28)</x:f>
        <x:v>1510660.146849007</x:v>
      </x:c>
      <x:c r="AJ15" s="35" t="n">
        <x:f>SUM(AJ27:AJ28)</x:f>
        <x:v>1510660.146849007</x:v>
      </x:c>
      <x:c r="AK15" s="35" t="n">
        <x:f>SUM(AK27:AK28)</x:f>
        <x:v>1510660.146849007</x:v>
      </x:c>
      <x:c r="AL15" s="35" t="n">
        <x:f>SUM(AL27:AL28)</x:f>
        <x:v>1510660.146849007</x:v>
      </x:c>
      <x:c r="AM15" s="35" t="n">
        <x:f>SUM(AM27:AM28)</x:f>
        <x:v>1510660.146849007</x:v>
      </x:c>
      <x:c r="AN15" s="35" t="n">
        <x:f>SUM(AN27:AN28)</x:f>
        <x:v>1510660.146849007</x:v>
      </x:c>
      <x:c r="AO15" s="35" t="n">
        <x:f>SUM(AO27:AO28)</x:f>
        <x:v>1510660.146849007</x:v>
      </x:c>
      <x:c r="AP15" s="35" t="n">
        <x:f>SUM(AP27:AP28)</x:f>
        <x:v>1510660.146849007</x:v>
      </x:c>
      <x:c r="AQ15" s="2"/>
      <x:c r="AR15" s="2"/>
      <x:c r="AS15" s="2"/>
      <x:c r="AT15" s="2"/>
      <x:c r="AU15" s="2"/>
      <x:c r="AV15" s="2"/>
      <x:c r="AW15" s="2"/>
      <x:c r="AX15" s="2"/>
      <x:c r="AY15" s="2"/>
      <x:c r="AZ15" s="2"/>
      <x:c r="BA15" s="2"/>
      <x:c r="BB15" s="2"/>
      <x:c r="BC15" s="2"/>
      <x:c r="BD15" s="2"/>
      <x:c r="BE15" s="2"/>
      <x:c r="BF15" s="2"/>
      <x:c r="BG15" s="2"/>
      <x:c r="BH15" s="2"/>
      <x:c r="BI15" s="2"/>
      <x:c r="BJ15" s="2"/>
      <x:c r="BK15" s="2"/>
      <x:c r="BL15" s="2"/>
      <x:c r="BM15" s="2"/>
      <x:c r="BN15" s="2"/>
      <x:c r="BO15" s="2"/>
      <x:c r="BP15" s="2"/>
      <x:c r="BQ15" s="2"/>
      <x:c r="BR15" s="2"/>
      <x:c r="BS15" s="2"/>
      <x:c r="BT15" s="2"/>
      <x:c r="BU15" s="2"/>
      <x:c r="BV15" s="2"/>
      <x:c r="BW15" s="2"/>
      <x:c r="BX15" s="2"/>
      <x:c r="BY15" s="2"/>
      <x:c r="BZ15" s="2"/>
      <x:c r="CA15" s="2"/>
      <x:c r="CB15" s="2"/>
      <x:c r="CC15" s="2"/>
      <x:c r="CD15" s="2"/>
      <x:c r="CE15" s="2"/>
      <x:c r="CF15" s="2"/>
      <x:c r="CG15" s="2"/>
      <x:c r="CH15" s="2"/>
      <x:c r="CI15" s="2"/>
      <x:c r="CJ15" s="2"/>
      <x:c r="CK15" s="2"/>
      <x:c r="CL15" s="2"/>
      <x:c r="CM15" s="2"/>
      <x:c r="CN15" s="2"/>
      <x:c r="CO15" s="2"/>
      <x:c r="CP15" s="2"/>
      <x:c r="CQ15" s="2"/>
      <x:c r="CR15" s="2"/>
      <x:c r="CS15" s="2"/>
      <x:c r="CT15" s="2"/>
      <x:c r="CU15" s="2"/>
      <x:c r="CV15" s="2"/>
      <x:c r="CW15" s="2"/>
      <x:c r="CX15" s="2"/>
      <x:c r="CY15" s="2"/>
    </x:row>
    <x:row r="16" ht="19" customHeight="1">
      <x:c r="A16" s="1"/>
      <x:c r="B16" s="1"/>
      <x:c r="C16" s="42" t="str">
        <x:v>Ending gross CLAB</x:v>
      </x:c>
      <x:c r="D16" s="42"/>
      <x:c r="E16" s="43" t="n">
        <x:f>INDEX(G16:AP16,1,'Assumptions'!$E$7)</x:f>
        <x:v>8980944.218957076</x:v>
      </x:c>
      <x:c r="F16" s="42"/>
      <x:c r="G16" s="43" t="n">
        <x:f>G13+G11-G14-G15</x:f>
        <x:v>34510432.81291745</x:v>
      </x:c>
      <x:c r="H16" s="43" t="n">
        <x:f>H13+H11-H14-H15</x:f>
        <x:v>18292797.52567576</x:v>
      </x:c>
      <x:c r="I16" s="43" t="n">
        <x:f>I13+I11-I14-I15</x:f>
        <x:v>11889995.17767771</x:v>
      </x:c>
      <x:c r="J16" s="43" t="n">
        <x:f>J13+J11-J14-J15</x:f>
        <x:v>9596289.002344063</x:v>
      </x:c>
      <x:c r="K16" s="43" t="n">
        <x:f>K13+K11-K14-K15</x:f>
        <x:v>8980944.218957074</x:v>
      </x:c>
      <x:c r="L16" s="43" t="n">
        <x:f>L13+L11-L14-L15</x:f>
        <x:v>8980944.218957076</x:v>
      </x:c>
      <x:c r="M16" s="43" t="n">
        <x:f>M13+M11-M14-M15</x:f>
        <x:v>8980944.218957076</x:v>
      </x:c>
      <x:c r="N16" s="43" t="n">
        <x:f>N13+N11-N14-N15</x:f>
        <x:v>8980944.218957076</x:v>
      </x:c>
      <x:c r="O16" s="43" t="n">
        <x:f>O13+O11-O14-O15</x:f>
        <x:v>8980944.218957076</x:v>
      </x:c>
      <x:c r="P16" s="43" t="n">
        <x:f>P13+P11-P14-P15</x:f>
        <x:v>8980944.218957076</x:v>
      </x:c>
      <x:c r="Q16" s="43" t="n">
        <x:f>Q13+Q11-Q14-Q15</x:f>
        <x:v>8980944.218957076</x:v>
      </x:c>
      <x:c r="R16" s="43" t="n">
        <x:f>R13+R11-R14-R15</x:f>
        <x:v>8980944.218957076</x:v>
      </x:c>
      <x:c r="S16" s="43" t="n">
        <x:f>S13+S11-S14-S15</x:f>
        <x:v>8980944.218957076</x:v>
      </x:c>
      <x:c r="T16" s="43" t="n">
        <x:f>T13+T11-T14-T15</x:f>
        <x:v>8980944.218957076</x:v>
      </x:c>
      <x:c r="U16" s="43" t="n">
        <x:f>U13+U11-U14-U15</x:f>
        <x:v>8980944.218957076</x:v>
      </x:c>
      <x:c r="V16" s="43" t="n">
        <x:f>V13+V11-V14-V15</x:f>
        <x:v>8980944.218957076</x:v>
      </x:c>
      <x:c r="W16" s="43" t="n">
        <x:f>W13+W11-W14-W15</x:f>
        <x:v>8980944.218957076</x:v>
      </x:c>
      <x:c r="X16" s="43" t="n">
        <x:f>X13+X11-X14-X15</x:f>
        <x:v>8980944.218957076</x:v>
      </x:c>
      <x:c r="Y16" s="43" t="n">
        <x:f>Y13+Y11-Y14-Y15</x:f>
        <x:v>8980944.218957076</x:v>
      </x:c>
      <x:c r="Z16" s="43" t="n">
        <x:f>Z13+Z11-Z14-Z15</x:f>
        <x:v>8980944.218957076</x:v>
      </x:c>
      <x:c r="AA16" s="43" t="n">
        <x:f>AA13+AA11-AA14-AA15</x:f>
        <x:v>8980944.218957076</x:v>
      </x:c>
      <x:c r="AB16" s="43" t="n">
        <x:f>AB13+AB11-AB14-AB15</x:f>
        <x:v>8980944.218957076</x:v>
      </x:c>
      <x:c r="AC16" s="43" t="n">
        <x:f>AC13+AC11-AC14-AC15</x:f>
        <x:v>8980944.218957076</x:v>
      </x:c>
      <x:c r="AD16" s="43" t="n">
        <x:f>AD13+AD11-AD14-AD15</x:f>
        <x:v>8980944.218957076</x:v>
      </x:c>
      <x:c r="AE16" s="43" t="n">
        <x:f>AE13+AE11-AE14-AE15</x:f>
        <x:v>8980944.218957076</x:v>
      </x:c>
      <x:c r="AF16" s="43" t="n">
        <x:f>AF13+AF11-AF14-AF15</x:f>
        <x:v>8980944.218957076</x:v>
      </x:c>
      <x:c r="AG16" s="43" t="n">
        <x:f>AG13+AG11-AG14-AG15</x:f>
        <x:v>8980944.218957076</x:v>
      </x:c>
      <x:c r="AH16" s="43" t="n">
        <x:f>AH13+AH11-AH14-AH15</x:f>
        <x:v>8980944.218957076</x:v>
      </x:c>
      <x:c r="AI16" s="43" t="n">
        <x:f>AI13+AI11-AI14-AI15</x:f>
        <x:v>8980944.218957076</x:v>
      </x:c>
      <x:c r="AJ16" s="43" t="n">
        <x:f>AJ13+AJ11-AJ14-AJ15</x:f>
        <x:v>8980944.218957076</x:v>
      </x:c>
      <x:c r="AK16" s="43" t="n">
        <x:f>AK13+AK11-AK14-AK15</x:f>
        <x:v>8980944.218957076</x:v>
      </x:c>
      <x:c r="AL16" s="43" t="n">
        <x:f>AL13+AL11-AL14-AL15</x:f>
        <x:v>8980944.218957076</x:v>
      </x:c>
      <x:c r="AM16" s="43" t="n">
        <x:f>AM13+AM11-AM14-AM15</x:f>
        <x:v>8980944.218957076</x:v>
      </x:c>
      <x:c r="AN16" s="43" t="n">
        <x:f>AN13+AN11-AN14-AN15</x:f>
        <x:v>8980944.218957076</x:v>
      </x:c>
      <x:c r="AO16" s="43" t="n">
        <x:f>AO13+AO11-AO14-AO15</x:f>
        <x:v>8980944.218957076</x:v>
      </x:c>
      <x:c r="AP16" s="43" t="n">
        <x:f>AP13+AP11-AP14-AP15</x:f>
        <x:v>8980944.218957076</x:v>
      </x:c>
      <x:c r="AQ16" s="2"/>
      <x:c r="AR16" s="2"/>
      <x:c r="AS16" s="2"/>
      <x:c r="AT16" s="2"/>
      <x:c r="AU16" s="2"/>
      <x:c r="AV16" s="2"/>
      <x:c r="AW16" s="2"/>
      <x:c r="AX16" s="2"/>
      <x:c r="AY16" s="2"/>
      <x:c r="AZ16" s="2"/>
      <x:c r="BA16" s="2"/>
      <x:c r="BB16" s="2"/>
      <x:c r="BC16" s="2"/>
      <x:c r="BD16" s="2"/>
      <x:c r="BE16" s="2"/>
      <x:c r="BF16" s="2"/>
      <x:c r="BG16" s="2"/>
      <x:c r="BH16" s="2"/>
      <x:c r="BI16" s="2"/>
      <x:c r="BJ16" s="2"/>
      <x:c r="BK16" s="2"/>
      <x:c r="BL16" s="2"/>
      <x:c r="BM16" s="2"/>
      <x:c r="BN16" s="2"/>
      <x:c r="BO16" s="2"/>
      <x:c r="BP16" s="2"/>
      <x:c r="BQ16" s="2"/>
      <x:c r="BR16" s="2"/>
      <x:c r="BS16" s="2"/>
      <x:c r="BT16" s="2"/>
      <x:c r="BU16" s="2"/>
      <x:c r="BV16" s="2"/>
      <x:c r="BW16" s="2"/>
      <x:c r="BX16" s="2"/>
      <x:c r="BY16" s="2"/>
      <x:c r="BZ16" s="2"/>
      <x:c r="CA16" s="2"/>
      <x:c r="CB16" s="2"/>
      <x:c r="CC16" s="2"/>
      <x:c r="CD16" s="2"/>
      <x:c r="CE16" s="2"/>
      <x:c r="CF16" s="2"/>
      <x:c r="CG16" s="2"/>
      <x:c r="CH16" s="2"/>
      <x:c r="CI16" s="2"/>
      <x:c r="CJ16" s="2"/>
      <x:c r="CK16" s="2"/>
      <x:c r="CL16" s="2"/>
      <x:c r="CM16" s="2"/>
      <x:c r="CN16" s="2"/>
      <x:c r="CO16" s="2"/>
      <x:c r="CP16" s="2"/>
      <x:c r="CQ16" s="2"/>
      <x:c r="CR16" s="2"/>
      <x:c r="CS16" s="2"/>
      <x:c r="CT16" s="2"/>
      <x:c r="CU16" s="2"/>
      <x:c r="CV16" s="2"/>
      <x:c r="CW16" s="2"/>
      <x:c r="CX16" s="2"/>
      <x:c r="CY16" s="2"/>
    </x:row>
    <x:row r="17" ht="19" customHeight="1">
      <x:c r="A17" s="1"/>
      <x:c r="B17" s="1"/>
      <x:c r="C17" s="2"/>
      <x:c r="D17" s="2"/>
      <x:c r="E17" s="35"/>
      <x:c r="F17" s="2"/>
      <x:c r="G17" s="2"/>
      <x:c r="H17" s="2"/>
      <x:c r="I17" s="2"/>
      <x:c r="J17" s="2"/>
      <x:c r="K17" s="2"/>
      <x:c r="L17" s="2"/>
      <x:c r="M17" s="2"/>
      <x:c r="N17" s="2"/>
      <x:c r="O17" s="2"/>
      <x:c r="P17" s="2"/>
      <x:c r="Q17" s="2"/>
      <x:c r="R17" s="2"/>
      <x:c r="S17" s="2"/>
      <x:c r="T17" s="2"/>
      <x:c r="U17" s="2"/>
      <x:c r="V17" s="2"/>
      <x:c r="W17" s="2"/>
      <x:c r="X17" s="2"/>
      <x:c r="Y17" s="2"/>
      <x:c r="Z17" s="2"/>
      <x:c r="AA17" s="2"/>
      <x:c r="AB17" s="2"/>
      <x:c r="AC17" s="2"/>
      <x:c r="AD17" s="2"/>
      <x:c r="AE17" s="2"/>
      <x:c r="AF17" s="2"/>
      <x:c r="AG17" s="2"/>
      <x:c r="AH17" s="2"/>
      <x:c r="AI17" s="2"/>
      <x:c r="AJ17" s="2"/>
      <x:c r="AK17" s="2"/>
      <x:c r="AL17" s="2"/>
      <x:c r="AM17" s="2"/>
      <x:c r="AN17" s="2"/>
      <x:c r="AO17" s="2"/>
      <x:c r="AP17" s="2"/>
      <x:c r="AQ17" s="2"/>
      <x:c r="AR17" s="2"/>
      <x:c r="AS17" s="2"/>
      <x:c r="AT17" s="2"/>
      <x:c r="AU17" s="2"/>
      <x:c r="AV17" s="2"/>
      <x:c r="AW17" s="2"/>
      <x:c r="AX17" s="2"/>
      <x:c r="AY17" s="2"/>
      <x:c r="AZ17" s="2"/>
      <x:c r="BA17" s="2"/>
      <x:c r="BB17" s="2"/>
      <x:c r="BC17" s="2"/>
      <x:c r="BD17" s="2"/>
      <x:c r="BE17" s="2"/>
      <x:c r="BF17" s="2"/>
      <x:c r="BG17" s="2"/>
      <x:c r="BH17" s="2"/>
      <x:c r="BI17" s="2"/>
      <x:c r="BJ17" s="2"/>
      <x:c r="BK17" s="2"/>
      <x:c r="BL17" s="2"/>
      <x:c r="BM17" s="2"/>
      <x:c r="BN17" s="2"/>
      <x:c r="BO17" s="2"/>
      <x:c r="BP17" s="2"/>
      <x:c r="BQ17" s="2"/>
      <x:c r="BR17" s="2"/>
      <x:c r="BS17" s="2"/>
      <x:c r="BT17" s="2"/>
      <x:c r="BU17" s="2"/>
      <x:c r="BV17" s="2"/>
      <x:c r="BW17" s="2"/>
      <x:c r="BX17" s="2"/>
      <x:c r="BY17" s="2"/>
      <x:c r="BZ17" s="2"/>
      <x:c r="CA17" s="2"/>
      <x:c r="CB17" s="2"/>
      <x:c r="CC17" s="2"/>
      <x:c r="CD17" s="2"/>
      <x:c r="CE17" s="2"/>
      <x:c r="CF17" s="2"/>
      <x:c r="CG17" s="2"/>
      <x:c r="CH17" s="2"/>
      <x:c r="CI17" s="2"/>
      <x:c r="CJ17" s="2"/>
      <x:c r="CK17" s="2"/>
      <x:c r="CL17" s="2"/>
      <x:c r="CM17" s="2"/>
      <x:c r="CN17" s="2"/>
      <x:c r="CO17" s="2"/>
      <x:c r="CP17" s="2"/>
      <x:c r="CQ17" s="2"/>
      <x:c r="CR17" s="2"/>
      <x:c r="CS17" s="2"/>
      <x:c r="CT17" s="2"/>
      <x:c r="CU17" s="2"/>
      <x:c r="CV17" s="2"/>
      <x:c r="CW17" s="2"/>
      <x:c r="CX17" s="2"/>
      <x:c r="CY17" s="2"/>
    </x:row>
    <x:row r="18" ht="19" customHeight="1">
      <x:c r="A18" s="1"/>
      <x:c r="B18" s="1"/>
      <x:c r="C18" s="2" t="str">
        <x:v>Beginning reserve</x:v>
      </x:c>
      <x:c r="D18" s="2"/>
      <x:c r="E18" s="35" t="n">
        <x:f>G18</x:f>
        <x:v>28099418.836608652</x:v>
      </x:c>
      <x:c r="F18" s="2"/>
      <x:c r="G18" s="35" t="n">
        <x:f>$E$48</x:f>
        <x:v>28099418.836608652</x:v>
      </x:c>
      <x:c r="H18" s="35" t="n">
        <x:f>G20</x:f>
        <x:v>12661401.697390456</x:v>
      </x:c>
      <x:c r="I18" s="35" t="n">
        <x:f>H20</x:f>
        <x:v>6685503.452067402</x:v>
      </x:c>
      <x:c r="J18" s="35" t="n">
        <x:f>I20</x:f>
        <x:v>4306931.634608821</x:v>
      </x:c>
      <x:c r="K18" s="35" t="n">
        <x:f>J20</x:f>
        <x:v>3449226.8155439645</x:v>
      </x:c>
      <x:c r="L18" s="35" t="n">
        <x:f>K20</x:f>
        <x:v>3212469.818647107</x:v>
      </x:c>
      <x:c r="M18" s="35" t="n">
        <x:f>L20</x:f>
        <x:v>3212469.818647107</x:v>
      </x:c>
      <x:c r="N18" s="35" t="n">
        <x:f>M20</x:f>
        <x:v>3212469.818647107</x:v>
      </x:c>
      <x:c r="O18" s="35" t="n">
        <x:f>N20</x:f>
        <x:v>3212469.818647107</x:v>
      </x:c>
      <x:c r="P18" s="35" t="n">
        <x:f>O20</x:f>
        <x:v>3212469.818647107</x:v>
      </x:c>
      <x:c r="Q18" s="35" t="n">
        <x:f>P20</x:f>
        <x:v>3212469.818647107</x:v>
      </x:c>
      <x:c r="R18" s="35" t="n">
        <x:f>Q20</x:f>
        <x:v>3212469.818647107</x:v>
      </x:c>
      <x:c r="S18" s="35" t="n">
        <x:f>R20</x:f>
        <x:v>3212469.818647107</x:v>
      </x:c>
      <x:c r="T18" s="35" t="n">
        <x:f>S20</x:f>
        <x:v>3212469.818647107</x:v>
      </x:c>
      <x:c r="U18" s="35" t="n">
        <x:f>T20</x:f>
        <x:v>3212469.818647107</x:v>
      </x:c>
      <x:c r="V18" s="35" t="n">
        <x:f>U20</x:f>
        <x:v>3212469.818647107</x:v>
      </x:c>
      <x:c r="W18" s="35" t="n">
        <x:f>V20</x:f>
        <x:v>3212469.818647107</x:v>
      </x:c>
      <x:c r="X18" s="35" t="n">
        <x:f>W20</x:f>
        <x:v>3212469.818647107</x:v>
      </x:c>
      <x:c r="Y18" s="35" t="n">
        <x:f>X20</x:f>
        <x:v>3212469.818647107</x:v>
      </x:c>
      <x:c r="Z18" s="35" t="n">
        <x:f>Y20</x:f>
        <x:v>3212469.818647107</x:v>
      </x:c>
      <x:c r="AA18" s="35" t="n">
        <x:f>Z20</x:f>
        <x:v>3212469.818647107</x:v>
      </x:c>
      <x:c r="AB18" s="35" t="n">
        <x:f>AA20</x:f>
        <x:v>3212469.818647107</x:v>
      </x:c>
      <x:c r="AC18" s="35" t="n">
        <x:f>AB20</x:f>
        <x:v>3212469.818647107</x:v>
      </x:c>
      <x:c r="AD18" s="35" t="n">
        <x:f>AC20</x:f>
        <x:v>3212469.818647107</x:v>
      </x:c>
      <x:c r="AE18" s="35" t="n">
        <x:f>AD20</x:f>
        <x:v>3212469.818647107</x:v>
      </x:c>
      <x:c r="AF18" s="35" t="n">
        <x:f>AE20</x:f>
        <x:v>3212469.818647107</x:v>
      </x:c>
      <x:c r="AG18" s="35" t="n">
        <x:f>AF20</x:f>
        <x:v>3212469.818647107</x:v>
      </x:c>
      <x:c r="AH18" s="35" t="n">
        <x:f>AG20</x:f>
        <x:v>3212469.818647107</x:v>
      </x:c>
      <x:c r="AI18" s="35" t="n">
        <x:f>AH20</x:f>
        <x:v>3212469.818647107</x:v>
      </x:c>
      <x:c r="AJ18" s="35" t="n">
        <x:f>AI20</x:f>
        <x:v>3212469.818647107</x:v>
      </x:c>
      <x:c r="AK18" s="35" t="n">
        <x:f>AJ20</x:f>
        <x:v>3212469.818647107</x:v>
      </x:c>
      <x:c r="AL18" s="35" t="n">
        <x:f>AK20</x:f>
        <x:v>3212469.818647107</x:v>
      </x:c>
      <x:c r="AM18" s="35" t="n">
        <x:f>AL20</x:f>
        <x:v>3212469.818647107</x:v>
      </x:c>
      <x:c r="AN18" s="35" t="n">
        <x:f>AM20</x:f>
        <x:v>3212469.818647107</x:v>
      </x:c>
      <x:c r="AO18" s="35" t="n">
        <x:f>AN20</x:f>
        <x:v>3212469.818647107</x:v>
      </x:c>
      <x:c r="AP18" s="35" t="n">
        <x:f>AO20</x:f>
        <x:v>3212469.818647107</x:v>
      </x:c>
      <x:c r="AQ18" s="2"/>
      <x:c r="AR18" s="2"/>
      <x:c r="AS18" s="2"/>
      <x:c r="AT18" s="2"/>
      <x:c r="AU18" s="2"/>
      <x:c r="AV18" s="2"/>
      <x:c r="AW18" s="2"/>
      <x:c r="AX18" s="2"/>
      <x:c r="AY18" s="2"/>
      <x:c r="AZ18" s="2"/>
      <x:c r="BA18" s="2"/>
      <x:c r="BB18" s="2"/>
      <x:c r="BC18" s="2"/>
      <x:c r="BD18" s="2"/>
      <x:c r="BE18" s="2"/>
      <x:c r="BF18" s="2"/>
      <x:c r="BG18" s="2"/>
      <x:c r="BH18" s="2"/>
      <x:c r="BI18" s="2"/>
      <x:c r="BJ18" s="2"/>
      <x:c r="BK18" s="2"/>
      <x:c r="BL18" s="2"/>
      <x:c r="BM18" s="2"/>
      <x:c r="BN18" s="2"/>
      <x:c r="BO18" s="2"/>
      <x:c r="BP18" s="2"/>
      <x:c r="BQ18" s="2"/>
      <x:c r="BR18" s="2"/>
      <x:c r="BS18" s="2"/>
      <x:c r="BT18" s="2"/>
      <x:c r="BU18" s="2"/>
      <x:c r="BV18" s="2"/>
      <x:c r="BW18" s="2"/>
      <x:c r="BX18" s="2"/>
      <x:c r="BY18" s="2"/>
      <x:c r="BZ18" s="2"/>
      <x:c r="CA18" s="2"/>
      <x:c r="CB18" s="2"/>
      <x:c r="CC18" s="2"/>
      <x:c r="CD18" s="2"/>
      <x:c r="CE18" s="2"/>
      <x:c r="CF18" s="2"/>
      <x:c r="CG18" s="2"/>
      <x:c r="CH18" s="2"/>
      <x:c r="CI18" s="2"/>
      <x:c r="CJ18" s="2"/>
      <x:c r="CK18" s="2"/>
      <x:c r="CL18" s="2"/>
      <x:c r="CM18" s="2"/>
      <x:c r="CN18" s="2"/>
      <x:c r="CO18" s="2"/>
      <x:c r="CP18" s="2"/>
      <x:c r="CQ18" s="2"/>
      <x:c r="CR18" s="2"/>
      <x:c r="CS18" s="2"/>
      <x:c r="CT18" s="2"/>
      <x:c r="CU18" s="2"/>
      <x:c r="CV18" s="2"/>
      <x:c r="CW18" s="2"/>
      <x:c r="CX18" s="2"/>
      <x:c r="CY18" s="2"/>
    </x:row>
    <x:row r="19" ht="19" customHeight="1">
      <x:c r="A19" s="1"/>
      <x:c r="B19" s="1"/>
      <x:c r="C19" s="2" t="str">
        <x:v>New provision expense</x:v>
      </x:c>
      <x:c r="D19" s="2"/>
      <x:c r="E19" s="35" t="n">
        <x:f>SUMIFS(G19:AP19,$G$6:$AP$6,"&lt;="&amp;'Assumptions'!$E$7)</x:f>
        <x:v>36255843.52437616</x:v>
      </x:c>
      <x:c r="F19" s="2"/>
      <x:c r="G19" s="35" t="n">
        <x:f>G11*$E$49</x:f>
        <x:v>1510660.146849007</x:v>
      </x:c>
      <x:c r="H19" s="35" t="n">
        <x:f>H11*$E$49</x:f>
        <x:v>1510660.146849007</x:v>
      </x:c>
      <x:c r="I19" s="35" t="n">
        <x:f>I11*$E$49</x:f>
        <x:v>1510660.146849007</x:v>
      </x:c>
      <x:c r="J19" s="35" t="n">
        <x:f>J11*$E$49</x:f>
        <x:v>1510660.146849007</x:v>
      </x:c>
      <x:c r="K19" s="35" t="n">
        <x:f>K11*$E$49</x:f>
        <x:v>1510660.146849007</x:v>
      </x:c>
      <x:c r="L19" s="35" t="n">
        <x:f>L11*$E$49</x:f>
        <x:v>1510660.146849007</x:v>
      </x:c>
      <x:c r="M19" s="35" t="n">
        <x:f>M11*$E$49</x:f>
        <x:v>1510660.146849007</x:v>
      </x:c>
      <x:c r="N19" s="35" t="n">
        <x:f>N11*$E$49</x:f>
        <x:v>1510660.146849007</x:v>
      </x:c>
      <x:c r="O19" s="35" t="n">
        <x:f>O11*$E$49</x:f>
        <x:v>1510660.146849007</x:v>
      </x:c>
      <x:c r="P19" s="35" t="n">
        <x:f>P11*$E$49</x:f>
        <x:v>1510660.146849007</x:v>
      </x:c>
      <x:c r="Q19" s="35" t="n">
        <x:f>Q11*$E$49</x:f>
        <x:v>1510660.146849007</x:v>
      </x:c>
      <x:c r="R19" s="35" t="n">
        <x:f>R11*$E$49</x:f>
        <x:v>1510660.146849007</x:v>
      </x:c>
      <x:c r="S19" s="35" t="n">
        <x:f>S11*$E$49</x:f>
        <x:v>1510660.146849007</x:v>
      </x:c>
      <x:c r="T19" s="35" t="n">
        <x:f>T11*$E$49</x:f>
        <x:v>1510660.146849007</x:v>
      </x:c>
      <x:c r="U19" s="35" t="n">
        <x:f>U11*$E$49</x:f>
        <x:v>1510660.146849007</x:v>
      </x:c>
      <x:c r="V19" s="35" t="n">
        <x:f>V11*$E$49</x:f>
        <x:v>1510660.146849007</x:v>
      </x:c>
      <x:c r="W19" s="35" t="n">
        <x:f>W11*$E$49</x:f>
        <x:v>1510660.146849007</x:v>
      </x:c>
      <x:c r="X19" s="35" t="n">
        <x:f>X11*$E$49</x:f>
        <x:v>1510660.146849007</x:v>
      </x:c>
      <x:c r="Y19" s="35" t="n">
        <x:f>Y11*$E$49</x:f>
        <x:v>1510660.146849007</x:v>
      </x:c>
      <x:c r="Z19" s="35" t="n">
        <x:f>Z11*$E$49</x:f>
        <x:v>1510660.146849007</x:v>
      </x:c>
      <x:c r="AA19" s="35" t="n">
        <x:f>AA11*$E$49</x:f>
        <x:v>1510660.146849007</x:v>
      </x:c>
      <x:c r="AB19" s="35" t="n">
        <x:f>AB11*$E$49</x:f>
        <x:v>1510660.146849007</x:v>
      </x:c>
      <x:c r="AC19" s="35" t="n">
        <x:f>AC11*$E$49</x:f>
        <x:v>1510660.146849007</x:v>
      </x:c>
      <x:c r="AD19" s="35" t="n">
        <x:f>AD11*$E$49</x:f>
        <x:v>1510660.146849007</x:v>
      </x:c>
      <x:c r="AE19" s="35" t="n">
        <x:f>AE11*$E$49</x:f>
        <x:v>1510660.146849007</x:v>
      </x:c>
      <x:c r="AF19" s="35" t="n">
        <x:f>AF11*$E$49</x:f>
        <x:v>1510660.146849007</x:v>
      </x:c>
      <x:c r="AG19" s="35" t="n">
        <x:f>AG11*$E$49</x:f>
        <x:v>1510660.146849007</x:v>
      </x:c>
      <x:c r="AH19" s="35" t="n">
        <x:f>AH11*$E$49</x:f>
        <x:v>1510660.146849007</x:v>
      </x:c>
      <x:c r="AI19" s="35" t="n">
        <x:f>AI11*$E$49</x:f>
        <x:v>1510660.146849007</x:v>
      </x:c>
      <x:c r="AJ19" s="35" t="n">
        <x:f>AJ11*$E$49</x:f>
        <x:v>1510660.146849007</x:v>
      </x:c>
      <x:c r="AK19" s="35" t="n">
        <x:f>AK11*$E$49</x:f>
        <x:v>1510660.146849007</x:v>
      </x:c>
      <x:c r="AL19" s="35" t="n">
        <x:f>AL11*$E$49</x:f>
        <x:v>1510660.146849007</x:v>
      </x:c>
      <x:c r="AM19" s="35" t="n">
        <x:f>AM11*$E$49</x:f>
        <x:v>1510660.146849007</x:v>
      </x:c>
      <x:c r="AN19" s="35" t="n">
        <x:f>AN11*$E$49</x:f>
        <x:v>1510660.146849007</x:v>
      </x:c>
      <x:c r="AO19" s="35" t="n">
        <x:f>AO11*$E$49</x:f>
        <x:v>1510660.146849007</x:v>
      </x:c>
      <x:c r="AP19" s="35" t="n">
        <x:f>AP11*$E$49</x:f>
        <x:v>1510660.146849007</x:v>
      </x:c>
      <x:c r="AQ19" s="2"/>
      <x:c r="AR19" s="2"/>
      <x:c r="AS19" s="2"/>
      <x:c r="AT19" s="2"/>
      <x:c r="AU19" s="2"/>
      <x:c r="AV19" s="2"/>
      <x:c r="AW19" s="2"/>
      <x:c r="AX19" s="2"/>
      <x:c r="AY19" s="2"/>
      <x:c r="AZ19" s="2"/>
      <x:c r="BA19" s="2"/>
      <x:c r="BB19" s="2"/>
      <x:c r="BC19" s="2"/>
      <x:c r="BD19" s="2"/>
      <x:c r="BE19" s="2"/>
      <x:c r="BF19" s="2"/>
      <x:c r="BG19" s="2"/>
      <x:c r="BH19" s="2"/>
      <x:c r="BI19" s="2"/>
      <x:c r="BJ19" s="2"/>
      <x:c r="BK19" s="2"/>
      <x:c r="BL19" s="2"/>
      <x:c r="BM19" s="2"/>
      <x:c r="BN19" s="2"/>
      <x:c r="BO19" s="2"/>
      <x:c r="BP19" s="2"/>
      <x:c r="BQ19" s="2"/>
      <x:c r="BR19" s="2"/>
      <x:c r="BS19" s="2"/>
      <x:c r="BT19" s="2"/>
      <x:c r="BU19" s="2"/>
      <x:c r="BV19" s="2"/>
      <x:c r="BW19" s="2"/>
      <x:c r="BX19" s="2"/>
      <x:c r="BY19" s="2"/>
      <x:c r="BZ19" s="2"/>
      <x:c r="CA19" s="2"/>
      <x:c r="CB19" s="2"/>
      <x:c r="CC19" s="2"/>
      <x:c r="CD19" s="2"/>
      <x:c r="CE19" s="2"/>
      <x:c r="CF19" s="2"/>
      <x:c r="CG19" s="2"/>
      <x:c r="CH19" s="2"/>
      <x:c r="CI19" s="2"/>
      <x:c r="CJ19" s="2"/>
      <x:c r="CK19" s="2"/>
      <x:c r="CL19" s="2"/>
      <x:c r="CM19" s="2"/>
      <x:c r="CN19" s="2"/>
      <x:c r="CO19" s="2"/>
      <x:c r="CP19" s="2"/>
      <x:c r="CQ19" s="2"/>
      <x:c r="CR19" s="2"/>
      <x:c r="CS19" s="2"/>
      <x:c r="CT19" s="2"/>
      <x:c r="CU19" s="2"/>
      <x:c r="CV19" s="2"/>
      <x:c r="CW19" s="2"/>
      <x:c r="CX19" s="2"/>
      <x:c r="CY19" s="2"/>
    </x:row>
    <x:row r="20" ht="19" customHeight="1">
      <x:c r="A20" s="1"/>
      <x:c r="B20" s="1"/>
      <x:c r="C20" s="42" t="str">
        <x:v>Ending reserve</x:v>
      </x:c>
      <x:c r="D20" s="42"/>
      <x:c r="E20" s="43" t="n">
        <x:f>INDEX(G20:AP20,1,'Assumptions'!$E$7)</x:f>
        <x:v>3212469.818647107</x:v>
      </x:c>
      <x:c r="F20" s="42"/>
      <x:c r="G20" s="43" t="n">
        <x:f>G18+G19-G15</x:f>
        <x:v>12661401.697390456</x:v>
      </x:c>
      <x:c r="H20" s="43" t="n">
        <x:f>H18+H19-H15</x:f>
        <x:v>6685503.452067402</x:v>
      </x:c>
      <x:c r="I20" s="43" t="n">
        <x:f>I18+I19-I15</x:f>
        <x:v>4306931.634608821</x:v>
      </x:c>
      <x:c r="J20" s="43" t="n">
        <x:f>J18+J19-J15</x:f>
        <x:v>3449226.8155439645</x:v>
      </x:c>
      <x:c r="K20" s="43" t="n">
        <x:f>K18+K19-K15</x:f>
        <x:v>3212469.818647107</x:v>
      </x:c>
      <x:c r="L20" s="43" t="n">
        <x:f>L18+L19-L15</x:f>
        <x:v>3212469.818647107</x:v>
      </x:c>
      <x:c r="M20" s="43" t="n">
        <x:f>M18+M19-M15</x:f>
        <x:v>3212469.818647107</x:v>
      </x:c>
      <x:c r="N20" s="43" t="n">
        <x:f>N18+N19-N15</x:f>
        <x:v>3212469.818647107</x:v>
      </x:c>
      <x:c r="O20" s="43" t="n">
        <x:f>O18+O19-O15</x:f>
        <x:v>3212469.818647107</x:v>
      </x:c>
      <x:c r="P20" s="43" t="n">
        <x:f>P18+P19-P15</x:f>
        <x:v>3212469.818647107</x:v>
      </x:c>
      <x:c r="Q20" s="43" t="n">
        <x:f>Q18+Q19-Q15</x:f>
        <x:v>3212469.818647107</x:v>
      </x:c>
      <x:c r="R20" s="43" t="n">
        <x:f>R18+R19-R15</x:f>
        <x:v>3212469.818647107</x:v>
      </x:c>
      <x:c r="S20" s="43" t="n">
        <x:f>S18+S19-S15</x:f>
        <x:v>3212469.818647107</x:v>
      </x:c>
      <x:c r="T20" s="43" t="n">
        <x:f>T18+T19-T15</x:f>
        <x:v>3212469.818647107</x:v>
      </x:c>
      <x:c r="U20" s="43" t="n">
        <x:f>U18+U19-U15</x:f>
        <x:v>3212469.818647107</x:v>
      </x:c>
      <x:c r="V20" s="43" t="n">
        <x:f>V18+V19-V15</x:f>
        <x:v>3212469.818647107</x:v>
      </x:c>
      <x:c r="W20" s="43" t="n">
        <x:f>W18+W19-W15</x:f>
        <x:v>3212469.818647107</x:v>
      </x:c>
      <x:c r="X20" s="43" t="n">
        <x:f>X18+X19-X15</x:f>
        <x:v>3212469.818647107</x:v>
      </x:c>
      <x:c r="Y20" s="43" t="n">
        <x:f>Y18+Y19-Y15</x:f>
        <x:v>3212469.818647107</x:v>
      </x:c>
      <x:c r="Z20" s="43" t="n">
        <x:f>Z18+Z19-Z15</x:f>
        <x:v>3212469.818647107</x:v>
      </x:c>
      <x:c r="AA20" s="43" t="n">
        <x:f>AA18+AA19-AA15</x:f>
        <x:v>3212469.818647107</x:v>
      </x:c>
      <x:c r="AB20" s="43" t="n">
        <x:f>AB18+AB19-AB15</x:f>
        <x:v>3212469.818647107</x:v>
      </x:c>
      <x:c r="AC20" s="43" t="n">
        <x:f>AC18+AC19-AC15</x:f>
        <x:v>3212469.818647107</x:v>
      </x:c>
      <x:c r="AD20" s="43" t="n">
        <x:f>AD18+AD19-AD15</x:f>
        <x:v>3212469.818647107</x:v>
      </x:c>
      <x:c r="AE20" s="43" t="n">
        <x:f>AE18+AE19-AE15</x:f>
        <x:v>3212469.818647107</x:v>
      </x:c>
      <x:c r="AF20" s="43" t="n">
        <x:f>AF18+AF19-AF15</x:f>
        <x:v>3212469.818647107</x:v>
      </x:c>
      <x:c r="AG20" s="43" t="n">
        <x:f>AG18+AG19-AG15</x:f>
        <x:v>3212469.818647107</x:v>
      </x:c>
      <x:c r="AH20" s="43" t="n">
        <x:f>AH18+AH19-AH15</x:f>
        <x:v>3212469.818647107</x:v>
      </x:c>
      <x:c r="AI20" s="43" t="n">
        <x:f>AI18+AI19-AI15</x:f>
        <x:v>3212469.818647107</x:v>
      </x:c>
      <x:c r="AJ20" s="43" t="n">
        <x:f>AJ18+AJ19-AJ15</x:f>
        <x:v>3212469.818647107</x:v>
      </x:c>
      <x:c r="AK20" s="43" t="n">
        <x:f>AK18+AK19-AK15</x:f>
        <x:v>3212469.818647107</x:v>
      </x:c>
      <x:c r="AL20" s="43" t="n">
        <x:f>AL18+AL19-AL15</x:f>
        <x:v>3212469.818647107</x:v>
      </x:c>
      <x:c r="AM20" s="43" t="n">
        <x:f>AM18+AM19-AM15</x:f>
        <x:v>3212469.818647107</x:v>
      </x:c>
      <x:c r="AN20" s="43" t="n">
        <x:f>AN18+AN19-AN15</x:f>
        <x:v>3212469.818647107</x:v>
      </x:c>
      <x:c r="AO20" s="43" t="n">
        <x:f>AO18+AO19-AO15</x:f>
        <x:v>3212469.818647107</x:v>
      </x:c>
      <x:c r="AP20" s="43" t="n">
        <x:f>AP18+AP19-AP15</x:f>
        <x:v>3212469.818647107</x:v>
      </x:c>
      <x:c r="AQ20" s="2"/>
      <x:c r="AR20" s="2"/>
      <x:c r="AS20" s="2"/>
      <x:c r="AT20" s="2"/>
      <x:c r="AU20" s="2"/>
      <x:c r="AV20" s="2"/>
      <x:c r="AW20" s="2"/>
      <x:c r="AX20" s="2"/>
      <x:c r="AY20" s="2"/>
      <x:c r="AZ20" s="2"/>
      <x:c r="BA20" s="2"/>
      <x:c r="BB20" s="2"/>
      <x:c r="BC20" s="2"/>
      <x:c r="BD20" s="2"/>
      <x:c r="BE20" s="2"/>
      <x:c r="BF20" s="2"/>
      <x:c r="BG20" s="2"/>
      <x:c r="BH20" s="2"/>
      <x:c r="BI20" s="2"/>
      <x:c r="BJ20" s="2"/>
      <x:c r="BK20" s="2"/>
      <x:c r="BL20" s="2"/>
      <x:c r="BM20" s="2"/>
      <x:c r="BN20" s="2"/>
      <x:c r="BO20" s="2"/>
      <x:c r="BP20" s="2"/>
      <x:c r="BQ20" s="2"/>
      <x:c r="BR20" s="2"/>
      <x:c r="BS20" s="2"/>
      <x:c r="BT20" s="2"/>
      <x:c r="BU20" s="2"/>
      <x:c r="BV20" s="2"/>
      <x:c r="BW20" s="2"/>
      <x:c r="BX20" s="2"/>
      <x:c r="BY20" s="2"/>
      <x:c r="BZ20" s="2"/>
      <x:c r="CA20" s="2"/>
      <x:c r="CB20" s="2"/>
      <x:c r="CC20" s="2"/>
      <x:c r="CD20" s="2"/>
      <x:c r="CE20" s="2"/>
      <x:c r="CF20" s="2"/>
      <x:c r="CG20" s="2"/>
      <x:c r="CH20" s="2"/>
      <x:c r="CI20" s="2"/>
      <x:c r="CJ20" s="2"/>
      <x:c r="CK20" s="2"/>
      <x:c r="CL20" s="2"/>
      <x:c r="CM20" s="2"/>
      <x:c r="CN20" s="2"/>
      <x:c r="CO20" s="2"/>
      <x:c r="CP20" s="2"/>
      <x:c r="CQ20" s="2"/>
      <x:c r="CR20" s="2"/>
      <x:c r="CS20" s="2"/>
      <x:c r="CT20" s="2"/>
      <x:c r="CU20" s="2"/>
      <x:c r="CV20" s="2"/>
      <x:c r="CW20" s="2"/>
      <x:c r="CX20" s="2"/>
      <x:c r="CY20" s="2"/>
    </x:row>
    <x:row r="21" ht="19" customHeight="1">
      <x:c r="A21" s="1"/>
      <x:c r="B21" s="1"/>
      <x:c r="C21" s="42" t="str">
        <x:v>Net CLAB</x:v>
      </x:c>
      <x:c r="D21" s="42"/>
      <x:c r="E21" s="43" t="n">
        <x:f>INDEX(G21:AP21,1,'Assumptions'!$E$7)</x:f>
        <x:v>5768474.400309969</x:v>
      </x:c>
      <x:c r="F21" s="42"/>
      <x:c r="G21" s="43" t="n">
        <x:f>G16-G20</x:f>
        <x:v>21849031.115526993</x:v>
      </x:c>
      <x:c r="H21" s="43" t="n">
        <x:f>H16-H20</x:f>
        <x:v>11607294.073608357</x:v>
      </x:c>
      <x:c r="I21" s="43" t="n">
        <x:f>I16-I20</x:f>
        <x:v>7583063.543068889</x:v>
      </x:c>
      <x:c r="J21" s="43" t="n">
        <x:f>J16-J20</x:f>
        <x:v>6147062.186800098</x:v>
      </x:c>
      <x:c r="K21" s="43" t="n">
        <x:f>K16-K20</x:f>
        <x:v>5768474.400309967</x:v>
      </x:c>
      <x:c r="L21" s="43" t="n">
        <x:f>L16-L20</x:f>
        <x:v>5768474.400309969</x:v>
      </x:c>
      <x:c r="M21" s="43" t="n">
        <x:f>M16-M20</x:f>
        <x:v>5768474.400309969</x:v>
      </x:c>
      <x:c r="N21" s="43" t="n">
        <x:f>N16-N20</x:f>
        <x:v>5768474.400309969</x:v>
      </x:c>
      <x:c r="O21" s="43" t="n">
        <x:f>O16-O20</x:f>
        <x:v>5768474.400309969</x:v>
      </x:c>
      <x:c r="P21" s="43" t="n">
        <x:f>P16-P20</x:f>
        <x:v>5768474.400309969</x:v>
      </x:c>
      <x:c r="Q21" s="43" t="n">
        <x:f>Q16-Q20</x:f>
        <x:v>5768474.400309969</x:v>
      </x:c>
      <x:c r="R21" s="43" t="n">
        <x:f>R16-R20</x:f>
        <x:v>5768474.400309969</x:v>
      </x:c>
      <x:c r="S21" s="43" t="n">
        <x:f>S16-S20</x:f>
        <x:v>5768474.400309969</x:v>
      </x:c>
      <x:c r="T21" s="43" t="n">
        <x:f>T16-T20</x:f>
        <x:v>5768474.400309969</x:v>
      </x:c>
      <x:c r="U21" s="43" t="n">
        <x:f>U16-U20</x:f>
        <x:v>5768474.400309969</x:v>
      </x:c>
      <x:c r="V21" s="43" t="n">
        <x:f>V16-V20</x:f>
        <x:v>5768474.400309969</x:v>
      </x:c>
      <x:c r="W21" s="43" t="n">
        <x:f>W16-W20</x:f>
        <x:v>5768474.400309969</x:v>
      </x:c>
      <x:c r="X21" s="43" t="n">
        <x:f>X16-X20</x:f>
        <x:v>5768474.400309969</x:v>
      </x:c>
      <x:c r="Y21" s="43" t="n">
        <x:f>Y16-Y20</x:f>
        <x:v>5768474.400309969</x:v>
      </x:c>
      <x:c r="Z21" s="43" t="n">
        <x:f>Z16-Z20</x:f>
        <x:v>5768474.400309969</x:v>
      </x:c>
      <x:c r="AA21" s="43" t="n">
        <x:f>AA16-AA20</x:f>
        <x:v>5768474.400309969</x:v>
      </x:c>
      <x:c r="AB21" s="43" t="n">
        <x:f>AB16-AB20</x:f>
        <x:v>5768474.400309969</x:v>
      </x:c>
      <x:c r="AC21" s="43" t="n">
        <x:f>AC16-AC20</x:f>
        <x:v>5768474.400309969</x:v>
      </x:c>
      <x:c r="AD21" s="43" t="n">
        <x:f>AD16-AD20</x:f>
        <x:v>5768474.400309969</x:v>
      </x:c>
      <x:c r="AE21" s="43" t="n">
        <x:f>AE16-AE20</x:f>
        <x:v>5768474.400309969</x:v>
      </x:c>
      <x:c r="AF21" s="43" t="n">
        <x:f>AF16-AF20</x:f>
        <x:v>5768474.400309969</x:v>
      </x:c>
      <x:c r="AG21" s="43" t="n">
        <x:f>AG16-AG20</x:f>
        <x:v>5768474.400309969</x:v>
      </x:c>
      <x:c r="AH21" s="43" t="n">
        <x:f>AH16-AH20</x:f>
        <x:v>5768474.400309969</x:v>
      </x:c>
      <x:c r="AI21" s="43" t="n">
        <x:f>AI16-AI20</x:f>
        <x:v>5768474.400309969</x:v>
      </x:c>
      <x:c r="AJ21" s="43" t="n">
        <x:f>AJ16-AJ20</x:f>
        <x:v>5768474.400309969</x:v>
      </x:c>
      <x:c r="AK21" s="43" t="n">
        <x:f>AK16-AK20</x:f>
        <x:v>5768474.400309969</x:v>
      </x:c>
      <x:c r="AL21" s="43" t="n">
        <x:f>AL16-AL20</x:f>
        <x:v>5768474.400309969</x:v>
      </x:c>
      <x:c r="AM21" s="43" t="n">
        <x:f>AM16-AM20</x:f>
        <x:v>5768474.400309969</x:v>
      </x:c>
      <x:c r="AN21" s="43" t="n">
        <x:f>AN16-AN20</x:f>
        <x:v>5768474.400309969</x:v>
      </x:c>
      <x:c r="AO21" s="43" t="n">
        <x:f>AO16-AO20</x:f>
        <x:v>5768474.400309969</x:v>
      </x:c>
      <x:c r="AP21" s="43" t="n">
        <x:f>AP16-AP20</x:f>
        <x:v>5768474.400309969</x:v>
      </x:c>
      <x:c r="AQ21" s="2"/>
      <x:c r="AR21" s="2"/>
      <x:c r="AS21" s="2"/>
      <x:c r="AT21" s="2"/>
      <x:c r="AU21" s="2"/>
      <x:c r="AV21" s="2"/>
      <x:c r="AW21" s="2"/>
      <x:c r="AX21" s="2"/>
      <x:c r="AY21" s="2"/>
      <x:c r="AZ21" s="2"/>
      <x:c r="BA21" s="2"/>
      <x:c r="BB21" s="2"/>
      <x:c r="BC21" s="2"/>
      <x:c r="BD21" s="2"/>
      <x:c r="BE21" s="2"/>
      <x:c r="BF21" s="2"/>
      <x:c r="BG21" s="2"/>
      <x:c r="BH21" s="2"/>
      <x:c r="BI21" s="2"/>
      <x:c r="BJ21" s="2"/>
      <x:c r="BK21" s="2"/>
      <x:c r="BL21" s="2"/>
      <x:c r="BM21" s="2"/>
      <x:c r="BN21" s="2"/>
      <x:c r="BO21" s="2"/>
      <x:c r="BP21" s="2"/>
      <x:c r="BQ21" s="2"/>
      <x:c r="BR21" s="2"/>
      <x:c r="BS21" s="2"/>
      <x:c r="BT21" s="2"/>
      <x:c r="BU21" s="2"/>
      <x:c r="BV21" s="2"/>
      <x:c r="BW21" s="2"/>
      <x:c r="BX21" s="2"/>
      <x:c r="BY21" s="2"/>
      <x:c r="BZ21" s="2"/>
      <x:c r="CA21" s="2"/>
      <x:c r="CB21" s="2"/>
      <x:c r="CC21" s="2"/>
      <x:c r="CD21" s="2"/>
      <x:c r="CE21" s="2"/>
      <x:c r="CF21" s="2"/>
      <x:c r="CG21" s="2"/>
      <x:c r="CH21" s="2"/>
      <x:c r="CI21" s="2"/>
      <x:c r="CJ21" s="2"/>
      <x:c r="CK21" s="2"/>
      <x:c r="CL21" s="2"/>
      <x:c r="CM21" s="2"/>
      <x:c r="CN21" s="2"/>
      <x:c r="CO21" s="2"/>
      <x:c r="CP21" s="2"/>
      <x:c r="CQ21" s="2"/>
      <x:c r="CR21" s="2"/>
      <x:c r="CS21" s="2"/>
      <x:c r="CT21" s="2"/>
      <x:c r="CU21" s="2"/>
      <x:c r="CV21" s="2"/>
      <x:c r="CW21" s="2"/>
      <x:c r="CX21" s="2"/>
      <x:c r="CY21" s="2"/>
    </x:row>
    <x:row r="22" ht="19" customHeight="1">
      <x:c r="A22" s="1"/>
      <x:c r="B22" s="1"/>
      <x:c r="C22" s="2"/>
      <x:c r="D22" s="2"/>
      <x:c r="E22" s="35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  <x:c r="AA22" s="2"/>
      <x:c r="AB22" s="2"/>
      <x:c r="AC22" s="2"/>
      <x:c r="AD22" s="2"/>
      <x:c r="AE22" s="2"/>
      <x:c r="AF22" s="2"/>
      <x:c r="AG22" s="2"/>
      <x:c r="AH22" s="2"/>
      <x:c r="AI22" s="2"/>
      <x:c r="AJ22" s="2"/>
      <x:c r="AK22" s="2"/>
      <x:c r="AL22" s="2"/>
      <x:c r="AM22" s="2"/>
      <x:c r="AN22" s="2"/>
      <x:c r="AO22" s="2"/>
      <x:c r="AP22" s="2"/>
      <x:c r="AQ22" s="2"/>
      <x:c r="AR22" s="2"/>
      <x:c r="AS22" s="2"/>
      <x:c r="AT22" s="2"/>
      <x:c r="AU22" s="2"/>
      <x:c r="AV22" s="2"/>
      <x:c r="AW22" s="2"/>
      <x:c r="AX22" s="2"/>
      <x:c r="AY22" s="2"/>
      <x:c r="AZ22" s="2"/>
      <x:c r="BA22" s="2"/>
      <x:c r="BB22" s="2"/>
      <x:c r="BC22" s="2"/>
      <x:c r="BD22" s="2"/>
      <x:c r="BE22" s="2"/>
      <x:c r="BF22" s="2"/>
      <x:c r="BG22" s="2"/>
      <x:c r="BH22" s="2"/>
      <x:c r="BI22" s="2"/>
      <x:c r="BJ22" s="2"/>
      <x:c r="BK22" s="2"/>
      <x:c r="BL22" s="2"/>
      <x:c r="BM22" s="2"/>
      <x:c r="BN22" s="2"/>
      <x:c r="BO22" s="2"/>
      <x:c r="BP22" s="2"/>
      <x:c r="BQ22" s="2"/>
      <x:c r="BR22" s="2"/>
      <x:c r="BS22" s="2"/>
      <x:c r="BT22" s="2"/>
      <x:c r="BU22" s="2"/>
      <x:c r="BV22" s="2"/>
      <x:c r="BW22" s="2"/>
      <x:c r="BX22" s="2"/>
      <x:c r="BY22" s="2"/>
      <x:c r="BZ22" s="2"/>
      <x:c r="CA22" s="2"/>
      <x:c r="CB22" s="2"/>
      <x:c r="CC22" s="2"/>
      <x:c r="CD22" s="2"/>
      <x:c r="CE22" s="2"/>
      <x:c r="CF22" s="2"/>
      <x:c r="CG22" s="2"/>
      <x:c r="CH22" s="2"/>
      <x:c r="CI22" s="2"/>
      <x:c r="CJ22" s="2"/>
      <x:c r="CK22" s="2"/>
      <x:c r="CL22" s="2"/>
      <x:c r="CM22" s="2"/>
      <x:c r="CN22" s="2"/>
      <x:c r="CO22" s="2"/>
      <x:c r="CP22" s="2"/>
      <x:c r="CQ22" s="2"/>
      <x:c r="CR22" s="2"/>
      <x:c r="CS22" s="2"/>
      <x:c r="CT22" s="2"/>
      <x:c r="CU22" s="2"/>
      <x:c r="CV22" s="2"/>
      <x:c r="CW22" s="2"/>
      <x:c r="CX22" s="2"/>
      <x:c r="CY22" s="2"/>
    </x:row>
    <x:row r="23" ht="19" customHeight="1">
      <x:c r="A23" s="1"/>
      <x:c r="B23" s="1"/>
      <x:c r="C23" s="2" t="str">
        <x:v>Annual yield</x:v>
      </x:c>
      <x:c r="D23" s="2"/>
      <x:c r="E23" s="35"/>
      <x:c r="F23" s="2"/>
      <x:c r="G23" s="33" t="n">
        <x:f>'Assumptions'!$F$15</x:f>
        <x:v>0.55</x:v>
      </x:c>
      <x:c r="H23" s="33" t="n">
        <x:f>'Assumptions'!$F$15</x:f>
        <x:v>0.55</x:v>
      </x:c>
      <x:c r="I23" s="33" t="n">
        <x:f>'Assumptions'!$F$15</x:f>
        <x:v>0.55</x:v>
      </x:c>
      <x:c r="J23" s="33" t="n">
        <x:f>'Assumptions'!$F$15</x:f>
        <x:v>0.55</x:v>
      </x:c>
      <x:c r="K23" s="33" t="n">
        <x:f>'Assumptions'!$F$15</x:f>
        <x:v>0.55</x:v>
      </x:c>
      <x:c r="L23" s="33" t="n">
        <x:f>'Assumptions'!$F$15</x:f>
        <x:v>0.55</x:v>
      </x:c>
      <x:c r="M23" s="33" t="n">
        <x:f>'Assumptions'!$F$15</x:f>
        <x:v>0.55</x:v>
      </x:c>
      <x:c r="N23" s="33" t="n">
        <x:f>'Assumptions'!$F$15</x:f>
        <x:v>0.55</x:v>
      </x:c>
      <x:c r="O23" s="33" t="n">
        <x:f>'Assumptions'!$F$15</x:f>
        <x:v>0.55</x:v>
      </x:c>
      <x:c r="P23" s="33" t="n">
        <x:f>'Assumptions'!$F$15</x:f>
        <x:v>0.55</x:v>
      </x:c>
      <x:c r="Q23" s="33" t="n">
        <x:f>'Assumptions'!$F$15</x:f>
        <x:v>0.55</x:v>
      </x:c>
      <x:c r="R23" s="33" t="n">
        <x:f>'Assumptions'!$F$15</x:f>
        <x:v>0.55</x:v>
      </x:c>
      <x:c r="S23" s="33" t="n">
        <x:f>'Assumptions'!$F$15</x:f>
        <x:v>0.55</x:v>
      </x:c>
      <x:c r="T23" s="33" t="n">
        <x:f>'Assumptions'!$F$15</x:f>
        <x:v>0.55</x:v>
      </x:c>
      <x:c r="U23" s="33" t="n">
        <x:f>'Assumptions'!$F$15</x:f>
        <x:v>0.55</x:v>
      </x:c>
      <x:c r="V23" s="33" t="n">
        <x:f>'Assumptions'!$F$15</x:f>
        <x:v>0.55</x:v>
      </x:c>
      <x:c r="W23" s="33" t="n">
        <x:f>'Assumptions'!$F$15</x:f>
        <x:v>0.55</x:v>
      </x:c>
      <x:c r="X23" s="33" t="n">
        <x:f>'Assumptions'!$F$15</x:f>
        <x:v>0.55</x:v>
      </x:c>
      <x:c r="Y23" s="33" t="n">
        <x:f>'Assumptions'!$F$15</x:f>
        <x:v>0.55</x:v>
      </x:c>
      <x:c r="Z23" s="33" t="n">
        <x:f>'Assumptions'!$F$15</x:f>
        <x:v>0.55</x:v>
      </x:c>
      <x:c r="AA23" s="33" t="n">
        <x:f>'Assumptions'!$F$15</x:f>
        <x:v>0.55</x:v>
      </x:c>
      <x:c r="AB23" s="33" t="n">
        <x:f>'Assumptions'!$F$15</x:f>
        <x:v>0.55</x:v>
      </x:c>
      <x:c r="AC23" s="33" t="n">
        <x:f>'Assumptions'!$F$15</x:f>
        <x:v>0.55</x:v>
      </x:c>
      <x:c r="AD23" s="33" t="n">
        <x:f>'Assumptions'!$F$15</x:f>
        <x:v>0.55</x:v>
      </x:c>
      <x:c r="AE23" s="33" t="n">
        <x:f>'Assumptions'!$F$15</x:f>
        <x:v>0.55</x:v>
      </x:c>
      <x:c r="AF23" s="33" t="n">
        <x:f>'Assumptions'!$F$15</x:f>
        <x:v>0.55</x:v>
      </x:c>
      <x:c r="AG23" s="33" t="n">
        <x:f>'Assumptions'!$F$15</x:f>
        <x:v>0.55</x:v>
      </x:c>
      <x:c r="AH23" s="33" t="n">
        <x:f>'Assumptions'!$F$15</x:f>
        <x:v>0.55</x:v>
      </x:c>
      <x:c r="AI23" s="33" t="n">
        <x:f>'Assumptions'!$F$15</x:f>
        <x:v>0.55</x:v>
      </x:c>
      <x:c r="AJ23" s="33" t="n">
        <x:f>'Assumptions'!$F$15</x:f>
        <x:v>0.55</x:v>
      </x:c>
      <x:c r="AK23" s="33" t="n">
        <x:f>'Assumptions'!$F$15</x:f>
        <x:v>0.55</x:v>
      </x:c>
      <x:c r="AL23" s="33" t="n">
        <x:f>'Assumptions'!$F$15</x:f>
        <x:v>0.55</x:v>
      </x:c>
      <x:c r="AM23" s="33" t="n">
        <x:f>'Assumptions'!$F$15</x:f>
        <x:v>0.55</x:v>
      </x:c>
      <x:c r="AN23" s="33" t="n">
        <x:f>'Assumptions'!$F$15</x:f>
        <x:v>0.55</x:v>
      </x:c>
      <x:c r="AO23" s="33" t="n">
        <x:f>'Assumptions'!$F$15</x:f>
        <x:v>0.55</x:v>
      </x:c>
      <x:c r="AP23" s="33" t="n">
        <x:f>'Assumptions'!$F$15</x:f>
        <x:v>0.55</x:v>
      </x:c>
      <x:c r="AQ23" s="2"/>
      <x:c r="AR23" s="2"/>
      <x:c r="AS23" s="2"/>
      <x:c r="AT23" s="2"/>
      <x:c r="AU23" s="2"/>
      <x:c r="AV23" s="2"/>
      <x:c r="AW23" s="2"/>
      <x:c r="AX23" s="2"/>
      <x:c r="AY23" s="2"/>
      <x:c r="AZ23" s="2"/>
      <x:c r="BA23" s="2"/>
      <x:c r="BB23" s="2"/>
      <x:c r="BC23" s="2"/>
      <x:c r="BD23" s="2"/>
      <x:c r="BE23" s="2"/>
      <x:c r="BF23" s="2"/>
      <x:c r="BG23" s="2"/>
      <x:c r="BH23" s="2"/>
      <x:c r="BI23" s="2"/>
      <x:c r="BJ23" s="2"/>
      <x:c r="BK23" s="2"/>
      <x:c r="BL23" s="2"/>
      <x:c r="BM23" s="2"/>
      <x:c r="BN23" s="2"/>
      <x:c r="BO23" s="2"/>
      <x:c r="BP23" s="2"/>
      <x:c r="BQ23" s="2"/>
      <x:c r="BR23" s="2"/>
      <x:c r="BS23" s="2"/>
      <x:c r="BT23" s="2"/>
      <x:c r="BU23" s="2"/>
      <x:c r="BV23" s="2"/>
      <x:c r="BW23" s="2"/>
      <x:c r="BX23" s="2"/>
      <x:c r="BY23" s="2"/>
      <x:c r="BZ23" s="2"/>
      <x:c r="CA23" s="2"/>
      <x:c r="CB23" s="2"/>
      <x:c r="CC23" s="2"/>
      <x:c r="CD23" s="2"/>
      <x:c r="CE23" s="2"/>
      <x:c r="CF23" s="2"/>
      <x:c r="CG23" s="2"/>
      <x:c r="CH23" s="2"/>
      <x:c r="CI23" s="2"/>
      <x:c r="CJ23" s="2"/>
      <x:c r="CK23" s="2"/>
      <x:c r="CL23" s="2"/>
      <x:c r="CM23" s="2"/>
      <x:c r="CN23" s="2"/>
      <x:c r="CO23" s="2"/>
      <x:c r="CP23" s="2"/>
      <x:c r="CQ23" s="2"/>
      <x:c r="CR23" s="2"/>
      <x:c r="CS23" s="2"/>
      <x:c r="CT23" s="2"/>
      <x:c r="CU23" s="2"/>
      <x:c r="CV23" s="2"/>
      <x:c r="CW23" s="2"/>
      <x:c r="CX23" s="2"/>
      <x:c r="CY23" s="2"/>
    </x:row>
    <x:row r="24" ht="19" customHeight="1">
      <x:c r="A24" s="1"/>
      <x:c r="B24" s="1"/>
      <x:c r="C24" s="42" t="str">
        <x:v>Revenue</x:v>
      </x:c>
      <x:c r="D24" s="42"/>
      <x:c r="E24" s="43" t="n">
        <x:f>SUMIFS(G24:AP24,$G$6:$AP$6,"&lt;="&amp;'Assumptions'!$E$7)</x:f>
        <x:v>11937963.681254502</x:v>
      </x:c>
      <x:c r="F24" s="42"/>
      <x:c r="G24" s="43" t="n">
        <x:f>(G13-G15)*G23/12</x:f>
        <x:v>2737685.6243885863</x:v>
      </x:c>
      <x:c r="H24" s="43" t="n">
        <x:f>(H13-H15)*H23/12</x:f>
        <x:v>1238594.2442841637</x:v>
      </x:c>
      <x:c r="I24" s="43" t="n">
        <x:f>(I13-I15)*I23/12</x:f>
        <x:v>660163.4215627079</x:v>
      </x:c>
      <x:c r="J24" s="43" t="n">
        <x:f>(J13-J15)*J23/12</x:f>
        <x:v>436408.0513725096</x:v>
      </x:c>
      <x:c r="K24" s="43" t="n">
        <x:f>(K13-K15)*K23/12</x:f>
        <x:v>359739.9601857508</x:v>
      </x:c>
      <x:c r="L24" s="43" t="n">
        <x:f>(L13-L15)*L23/12</x:f>
        <x:v>342388.01997161977</x:v>
      </x:c>
      <x:c r="M24" s="43" t="n">
        <x:f>(M13-M15)*M23/12</x:f>
        <x:v>342388.0199716198</x:v>
      </x:c>
      <x:c r="N24" s="43" t="n">
        <x:f>(N13-N15)*N23/12</x:f>
        <x:v>342388.0199716198</x:v>
      </x:c>
      <x:c r="O24" s="43" t="n">
        <x:f>(O13-O15)*O23/12</x:f>
        <x:v>342388.0199716198</x:v>
      </x:c>
      <x:c r="P24" s="43" t="n">
        <x:f>(P13-P15)*P23/12</x:f>
        <x:v>342388.0199716198</x:v>
      </x:c>
      <x:c r="Q24" s="43" t="n">
        <x:f>(Q13-Q15)*Q23/12</x:f>
        <x:v>342388.0199716198</x:v>
      </x:c>
      <x:c r="R24" s="43" t="n">
        <x:f>(R13-R15)*R23/12</x:f>
        <x:v>342388.0199716198</x:v>
      </x:c>
      <x:c r="S24" s="43" t="n">
        <x:f>(S13-S15)*S23/12</x:f>
        <x:v>342388.0199716198</x:v>
      </x:c>
      <x:c r="T24" s="43" t="n">
        <x:f>(T13-T15)*T23/12</x:f>
        <x:v>342388.0199716198</x:v>
      </x:c>
      <x:c r="U24" s="43" t="n">
        <x:f>(U13-U15)*U23/12</x:f>
        <x:v>342388.0199716198</x:v>
      </x:c>
      <x:c r="V24" s="43" t="n">
        <x:f>(V13-V15)*V23/12</x:f>
        <x:v>342388.0199716198</x:v>
      </x:c>
      <x:c r="W24" s="43" t="n">
        <x:f>(W13-W15)*W23/12</x:f>
        <x:v>342388.0199716198</x:v>
      </x:c>
      <x:c r="X24" s="43" t="n">
        <x:f>(X13-X15)*X23/12</x:f>
        <x:v>342388.0199716198</x:v>
      </x:c>
      <x:c r="Y24" s="43" t="n">
        <x:f>(Y13-Y15)*Y23/12</x:f>
        <x:v>342388.0199716198</x:v>
      </x:c>
      <x:c r="Z24" s="43" t="n">
        <x:f>(Z13-Z15)*Z23/12</x:f>
        <x:v>342388.0199716198</x:v>
      </x:c>
      <x:c r="AA24" s="43" t="n">
        <x:f>(AA13-AA15)*AA23/12</x:f>
        <x:v>342388.0199716198</x:v>
      </x:c>
      <x:c r="AB24" s="43" t="n">
        <x:f>(AB13-AB15)*AB23/12</x:f>
        <x:v>342388.0199716198</x:v>
      </x:c>
      <x:c r="AC24" s="43" t="n">
        <x:f>(AC13-AC15)*AC23/12</x:f>
        <x:v>342388.0199716198</x:v>
      </x:c>
      <x:c r="AD24" s="43" t="n">
        <x:f>(AD13-AD15)*AD23/12</x:f>
        <x:v>342388.0199716198</x:v>
      </x:c>
      <x:c r="AE24" s="43" t="n">
        <x:f>(AE13-AE15)*AE23/12</x:f>
        <x:v>342388.0199716198</x:v>
      </x:c>
      <x:c r="AF24" s="43" t="n">
        <x:f>(AF13-AF15)*AF23/12</x:f>
        <x:v>342388.0199716198</x:v>
      </x:c>
      <x:c r="AG24" s="43" t="n">
        <x:f>(AG13-AG15)*AG23/12</x:f>
        <x:v>342388.0199716198</x:v>
      </x:c>
      <x:c r="AH24" s="43" t="n">
        <x:f>(AH13-AH15)*AH23/12</x:f>
        <x:v>342388.0199716198</x:v>
      </x:c>
      <x:c r="AI24" s="43" t="n">
        <x:f>(AI13-AI15)*AI23/12</x:f>
        <x:v>342388.0199716198</x:v>
      </x:c>
      <x:c r="AJ24" s="43" t="n">
        <x:f>(AJ13-AJ15)*AJ23/12</x:f>
        <x:v>342388.0199716198</x:v>
      </x:c>
      <x:c r="AK24" s="43" t="n">
        <x:f>(AK13-AK15)*AK23/12</x:f>
        <x:v>342388.0199716198</x:v>
      </x:c>
      <x:c r="AL24" s="43" t="n">
        <x:f>(AL13-AL15)*AL23/12</x:f>
        <x:v>342388.0199716198</x:v>
      </x:c>
      <x:c r="AM24" s="43" t="n">
        <x:f>(AM13-AM15)*AM23/12</x:f>
        <x:v>342388.0199716198</x:v>
      </x:c>
      <x:c r="AN24" s="43" t="n">
        <x:f>(AN13-AN15)*AN23/12</x:f>
        <x:v>342388.0199716198</x:v>
      </x:c>
      <x:c r="AO24" s="43" t="n">
        <x:f>(AO13-AO15)*AO23/12</x:f>
        <x:v>342388.0199716198</x:v>
      </x:c>
      <x:c r="AP24" s="43" t="n">
        <x:f>(AP13-AP15)*AP23/12</x:f>
        <x:v>342388.0199716198</x:v>
      </x:c>
      <x:c r="AQ24" s="2"/>
      <x:c r="AR24" s="2"/>
      <x:c r="AS24" s="2"/>
      <x:c r="AT24" s="2"/>
      <x:c r="AU24" s="2"/>
      <x:c r="AV24" s="2"/>
      <x:c r="AW24" s="2"/>
      <x:c r="AX24" s="2"/>
      <x:c r="AY24" s="2"/>
      <x:c r="AZ24" s="2"/>
      <x:c r="BA24" s="2"/>
      <x:c r="BB24" s="2"/>
      <x:c r="BC24" s="2"/>
      <x:c r="BD24" s="2"/>
      <x:c r="BE24" s="2"/>
      <x:c r="BF24" s="2"/>
      <x:c r="BG24" s="2"/>
      <x:c r="BH24" s="2"/>
      <x:c r="BI24" s="2"/>
      <x:c r="BJ24" s="2"/>
      <x:c r="BK24" s="2"/>
      <x:c r="BL24" s="2"/>
      <x:c r="BM24" s="2"/>
      <x:c r="BN24" s="2"/>
      <x:c r="BO24" s="2"/>
      <x:c r="BP24" s="2"/>
      <x:c r="BQ24" s="2"/>
      <x:c r="BR24" s="2"/>
      <x:c r="BS24" s="2"/>
      <x:c r="BT24" s="2"/>
      <x:c r="BU24" s="2"/>
      <x:c r="BV24" s="2"/>
      <x:c r="BW24" s="2"/>
      <x:c r="BX24" s="2"/>
      <x:c r="BY24" s="2"/>
      <x:c r="BZ24" s="2"/>
      <x:c r="CA24" s="2"/>
      <x:c r="CB24" s="2"/>
      <x:c r="CC24" s="2"/>
      <x:c r="CD24" s="2"/>
      <x:c r="CE24" s="2"/>
      <x:c r="CF24" s="2"/>
      <x:c r="CG24" s="2"/>
      <x:c r="CH24" s="2"/>
      <x:c r="CI24" s="2"/>
      <x:c r="CJ24" s="2"/>
      <x:c r="CK24" s="2"/>
      <x:c r="CL24" s="2"/>
      <x:c r="CM24" s="2"/>
      <x:c r="CN24" s="2"/>
      <x:c r="CO24" s="2"/>
      <x:c r="CP24" s="2"/>
      <x:c r="CQ24" s="2"/>
      <x:c r="CR24" s="2"/>
      <x:c r="CS24" s="2"/>
      <x:c r="CT24" s="2"/>
      <x:c r="CU24" s="2"/>
      <x:c r="CV24" s="2"/>
      <x:c r="CW24" s="2"/>
      <x:c r="CX24" s="2"/>
      <x:c r="CY24" s="2"/>
    </x:row>
    <x:row r="25" ht="19" customHeight="1">
      <x:c r="A25" s="1"/>
      <x:c r="B25" s="1"/>
      <x:c r="C25" s="46" t="str">
        <x:v>Net revenue</x:v>
      </x:c>
      <x:c r="D25" s="46"/>
      <x:c r="E25" s="47" t="n">
        <x:f>SUMIFS(G25:AP25,$G$6:$AP$6,"&lt;="&amp;'Assumptions'!$E$7)</x:f>
        <x:v>-24317879.84312167</x:v>
      </x:c>
      <x:c r="F25" s="46"/>
      <x:c r="G25" s="47" t="n">
        <x:f>G24-G19</x:f>
        <x:v>1227025.4775395792</x:v>
      </x:c>
      <x:c r="H25" s="47" t="n">
        <x:f>H24-H19</x:f>
        <x:v>-272065.9025648434</x:v>
      </x:c>
      <x:c r="I25" s="47" t="n">
        <x:f>I24-I19</x:f>
        <x:v>-850496.7252862992</x:v>
      </x:c>
      <x:c r="J25" s="47" t="n">
        <x:f>J24-J19</x:f>
        <x:v>-1074252.0954764974</x:v>
      </x:c>
      <x:c r="K25" s="47" t="n">
        <x:f>K24-K19</x:f>
        <x:v>-1150920.1866632563</x:v>
      </x:c>
      <x:c r="L25" s="47" t="n">
        <x:f>L24-L19</x:f>
        <x:v>-1168272.1268773873</x:v>
      </x:c>
      <x:c r="M25" s="47" t="n">
        <x:f>M24-M19</x:f>
        <x:v>-1168272.1268773873</x:v>
      </x:c>
      <x:c r="N25" s="47" t="n">
        <x:f>N24-N19</x:f>
        <x:v>-1168272.1268773873</x:v>
      </x:c>
      <x:c r="O25" s="47" t="n">
        <x:f>O24-O19</x:f>
        <x:v>-1168272.1268773873</x:v>
      </x:c>
      <x:c r="P25" s="47" t="n">
        <x:f>P24-P19</x:f>
        <x:v>-1168272.1268773873</x:v>
      </x:c>
      <x:c r="Q25" s="47" t="n">
        <x:f>Q24-Q19</x:f>
        <x:v>-1168272.1268773873</x:v>
      </x:c>
      <x:c r="R25" s="47" t="n">
        <x:f>R24-R19</x:f>
        <x:v>-1168272.1268773873</x:v>
      </x:c>
      <x:c r="S25" s="47" t="n">
        <x:f>S24-S19</x:f>
        <x:v>-1168272.1268773873</x:v>
      </x:c>
      <x:c r="T25" s="47" t="n">
        <x:f>T24-T19</x:f>
        <x:v>-1168272.1268773873</x:v>
      </x:c>
      <x:c r="U25" s="47" t="n">
        <x:f>U24-U19</x:f>
        <x:v>-1168272.1268773873</x:v>
      </x:c>
      <x:c r="V25" s="47" t="n">
        <x:f>V24-V19</x:f>
        <x:v>-1168272.1268773873</x:v>
      </x:c>
      <x:c r="W25" s="47" t="n">
        <x:f>W24-W19</x:f>
        <x:v>-1168272.1268773873</x:v>
      </x:c>
      <x:c r="X25" s="47" t="n">
        <x:f>X24-X19</x:f>
        <x:v>-1168272.1268773873</x:v>
      </x:c>
      <x:c r="Y25" s="47" t="n">
        <x:f>Y24-Y19</x:f>
        <x:v>-1168272.1268773873</x:v>
      </x:c>
      <x:c r="Z25" s="47" t="n">
        <x:f>Z24-Z19</x:f>
        <x:v>-1168272.1268773873</x:v>
      </x:c>
      <x:c r="AA25" s="47" t="n">
        <x:f>AA24-AA19</x:f>
        <x:v>-1168272.1268773873</x:v>
      </x:c>
      <x:c r="AB25" s="47" t="n">
        <x:f>AB24-AB19</x:f>
        <x:v>-1168272.1268773873</x:v>
      </x:c>
      <x:c r="AC25" s="47" t="n">
        <x:f>AC24-AC19</x:f>
        <x:v>-1168272.1268773873</x:v>
      </x:c>
      <x:c r="AD25" s="47" t="n">
        <x:f>AD24-AD19</x:f>
        <x:v>-1168272.1268773873</x:v>
      </x:c>
      <x:c r="AE25" s="47" t="n">
        <x:f>AE24-AE19</x:f>
        <x:v>-1168272.1268773873</x:v>
      </x:c>
      <x:c r="AF25" s="47" t="n">
        <x:f>AF24-AF19</x:f>
        <x:v>-1168272.1268773873</x:v>
      </x:c>
      <x:c r="AG25" s="47" t="n">
        <x:f>AG24-AG19</x:f>
        <x:v>-1168272.1268773873</x:v>
      </x:c>
      <x:c r="AH25" s="47" t="n">
        <x:f>AH24-AH19</x:f>
        <x:v>-1168272.1268773873</x:v>
      </x:c>
      <x:c r="AI25" s="47" t="n">
        <x:f>AI24-AI19</x:f>
        <x:v>-1168272.1268773873</x:v>
      </x:c>
      <x:c r="AJ25" s="47" t="n">
        <x:f>AJ24-AJ19</x:f>
        <x:v>-1168272.1268773873</x:v>
      </x:c>
      <x:c r="AK25" s="47" t="n">
        <x:f>AK24-AK19</x:f>
        <x:v>-1168272.1268773873</x:v>
      </x:c>
      <x:c r="AL25" s="47" t="n">
        <x:f>AL24-AL19</x:f>
        <x:v>-1168272.1268773873</x:v>
      </x:c>
      <x:c r="AM25" s="47" t="n">
        <x:f>AM24-AM19</x:f>
        <x:v>-1168272.1268773873</x:v>
      </x:c>
      <x:c r="AN25" s="47" t="n">
        <x:f>AN24-AN19</x:f>
        <x:v>-1168272.1268773873</x:v>
      </x:c>
      <x:c r="AO25" s="47" t="n">
        <x:f>AO24-AO19</x:f>
        <x:v>-1168272.1268773873</x:v>
      </x:c>
      <x:c r="AP25" s="47" t="n">
        <x:f>AP24-AP19</x:f>
        <x:v>-1168272.1268773873</x:v>
      </x:c>
      <x:c r="AQ25" s="2"/>
      <x:c r="AR25" s="2"/>
      <x:c r="AS25" s="2"/>
      <x:c r="AT25" s="2"/>
      <x:c r="AU25" s="2"/>
      <x:c r="AV25" s="2"/>
      <x:c r="AW25" s="2"/>
      <x:c r="AX25" s="2"/>
      <x:c r="AY25" s="2"/>
      <x:c r="AZ25" s="2"/>
      <x:c r="BA25" s="2"/>
      <x:c r="BB25" s="2"/>
      <x:c r="BC25" s="2"/>
      <x:c r="BD25" s="2"/>
      <x:c r="BE25" s="2"/>
      <x:c r="BF25" s="2"/>
      <x:c r="BG25" s="2"/>
      <x:c r="BH25" s="2"/>
      <x:c r="BI25" s="2"/>
      <x:c r="BJ25" s="2"/>
      <x:c r="BK25" s="2"/>
      <x:c r="BL25" s="2"/>
      <x:c r="BM25" s="2"/>
      <x:c r="BN25" s="2"/>
      <x:c r="BO25" s="2"/>
      <x:c r="BP25" s="2"/>
      <x:c r="BQ25" s="2"/>
      <x:c r="BR25" s="2"/>
      <x:c r="BS25" s="2"/>
      <x:c r="BT25" s="2"/>
      <x:c r="BU25" s="2"/>
      <x:c r="BV25" s="2"/>
      <x:c r="BW25" s="2"/>
      <x:c r="BX25" s="2"/>
      <x:c r="BY25" s="2"/>
      <x:c r="BZ25" s="2"/>
      <x:c r="CA25" s="2"/>
      <x:c r="CB25" s="2"/>
      <x:c r="CC25" s="2"/>
      <x:c r="CD25" s="2"/>
      <x:c r="CE25" s="2"/>
      <x:c r="CF25" s="2"/>
      <x:c r="CG25" s="2"/>
      <x:c r="CH25" s="2"/>
      <x:c r="CI25" s="2"/>
      <x:c r="CJ25" s="2"/>
      <x:c r="CK25" s="2"/>
      <x:c r="CL25" s="2"/>
      <x:c r="CM25" s="2"/>
      <x:c r="CN25" s="2"/>
      <x:c r="CO25" s="2"/>
      <x:c r="CP25" s="2"/>
      <x:c r="CQ25" s="2"/>
      <x:c r="CR25" s="2"/>
      <x:c r="CS25" s="2"/>
      <x:c r="CT25" s="2"/>
      <x:c r="CU25" s="2"/>
      <x:c r="CV25" s="2"/>
      <x:c r="CW25" s="2"/>
      <x:c r="CX25" s="2"/>
      <x:c r="CY25" s="2"/>
    </x:row>
    <x:row r="26" ht="19" customHeight="1">
      <x:c r="A26" s="1"/>
      <x:c r="B26" s="1"/>
      <x:c r="C26" s="2"/>
      <x:c r="D26" s="2"/>
      <x:c r="E26" s="35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  <x:c r="AA26" s="2"/>
      <x:c r="AB26" s="2"/>
      <x:c r="AC26" s="2"/>
      <x:c r="AD26" s="2"/>
      <x:c r="AE26" s="2"/>
      <x:c r="AF26" s="2"/>
      <x:c r="AG26" s="2"/>
      <x:c r="AH26" s="2"/>
      <x:c r="AI26" s="2"/>
      <x:c r="AJ26" s="2"/>
      <x:c r="AK26" s="2"/>
      <x:c r="AL26" s="2"/>
      <x:c r="AM26" s="2"/>
      <x:c r="AN26" s="2"/>
      <x:c r="AO26" s="2"/>
      <x:c r="AP26" s="2"/>
      <x:c r="AQ26" s="2"/>
      <x:c r="AR26" s="2"/>
      <x:c r="AS26" s="2"/>
      <x:c r="AT26" s="2"/>
      <x:c r="AU26" s="2"/>
      <x:c r="AV26" s="2"/>
      <x:c r="AW26" s="2"/>
      <x:c r="AX26" s="2"/>
      <x:c r="AY26" s="2"/>
      <x:c r="AZ26" s="2"/>
      <x:c r="BA26" s="2"/>
      <x:c r="BB26" s="2"/>
      <x:c r="BC26" s="2"/>
      <x:c r="BD26" s="2"/>
      <x:c r="BE26" s="2"/>
      <x:c r="BF26" s="2"/>
      <x:c r="BG26" s="2"/>
      <x:c r="BH26" s="2"/>
      <x:c r="BI26" s="2"/>
      <x:c r="BJ26" s="2"/>
      <x:c r="BK26" s="2"/>
      <x:c r="BL26" s="2"/>
      <x:c r="BM26" s="2"/>
      <x:c r="BN26" s="2"/>
      <x:c r="BO26" s="2"/>
      <x:c r="BP26" s="2"/>
      <x:c r="BQ26" s="2"/>
      <x:c r="BR26" s="2"/>
      <x:c r="BS26" s="2"/>
      <x:c r="BT26" s="2"/>
      <x:c r="BU26" s="2"/>
      <x:c r="BV26" s="2"/>
      <x:c r="BW26" s="2"/>
      <x:c r="BX26" s="2"/>
      <x:c r="BY26" s="2"/>
      <x:c r="BZ26" s="2"/>
      <x:c r="CA26" s="2"/>
      <x:c r="CB26" s="2"/>
      <x:c r="CC26" s="2"/>
      <x:c r="CD26" s="2"/>
      <x:c r="CE26" s="2"/>
      <x:c r="CF26" s="2"/>
      <x:c r="CG26" s="2"/>
      <x:c r="CH26" s="2"/>
      <x:c r="CI26" s="2"/>
      <x:c r="CJ26" s="2"/>
      <x:c r="CK26" s="2"/>
      <x:c r="CL26" s="2"/>
      <x:c r="CM26" s="2"/>
      <x:c r="CN26" s="2"/>
      <x:c r="CO26" s="2"/>
      <x:c r="CP26" s="2"/>
      <x:c r="CQ26" s="2"/>
      <x:c r="CR26" s="2"/>
      <x:c r="CS26" s="2"/>
      <x:c r="CT26" s="2"/>
      <x:c r="CU26" s="2"/>
      <x:c r="CV26" s="2"/>
      <x:c r="CW26" s="2"/>
      <x:c r="CX26" s="2"/>
      <x:c r="CY26" s="2"/>
    </x:row>
    <x:row r="27" ht="19" customHeight="1">
      <x:c r="A27" s="1"/>
      <x:c r="B27" s="1"/>
      <x:c r="C27" s="2" t="str">
        <x:v>Opening-book charge-offs</x:v>
      </x:c>
      <x:c r="D27" s="2"/>
      <x:c r="E27" s="35" t="n">
        <x:f>SUMIFS(G27:AP27,$G$6:$AP$6,"&lt;="&amp;'Assumptions'!$E$7)</x:f>
        <x:v>28099418.836608652</x:v>
      </x:c>
      <x:c r="F27" s="2"/>
      <x:c r="G27" s="35" t="n">
        <x:f>SUMPRODUCT($E$160:$E$219,$E$52:$E$111)</x:f>
        <x:v>16948677.286067203</x:v>
      </x:c>
      <x:c r="H27" s="35" t="n">
        <x:f>SUMPRODUCT($E$160:$E$219,$E$53:$E$112)</x:f>
        <x:v>6860432.818481106</x:v>
      </x:c>
      <x:c r="I27" s="35" t="n">
        <x:f>SUMPRODUCT($E$160:$E$219,$E$54:$E$113)</x:f>
        <x:v>2865138.730070442</x:v>
      </x:c>
      <x:c r="J27" s="35" t="n">
        <x:f>SUMPRODUCT($E$160:$E$219,$E$55:$E$114)</x:f>
        <x:v>1095567.123957018</x:v>
      </x:c>
      <x:c r="K27" s="35" t="n">
        <x:f>SUMPRODUCT($E$160:$E$219,$E$56:$E$115)</x:f>
        <x:v>329602.87803288037</x:v>
      </x:c>
      <x:c r="L27" s="35" t="n">
        <x:f>SUMPRODUCT($E$160:$E$219,$E$57:$E$116)</x:f>
        <x:v>0</x:v>
      </x:c>
      <x:c r="M27" s="35" t="n">
        <x:f>SUMPRODUCT($E$160:$E$219,$E$58:$E$117)</x:f>
        <x:v>0</x:v>
      </x:c>
      <x:c r="N27" s="35" t="n">
        <x:f>SUMPRODUCT($E$160:$E$219,$E$59:$E$118)</x:f>
        <x:v>0</x:v>
      </x:c>
      <x:c r="O27" s="35" t="n">
        <x:f>SUMPRODUCT($E$160:$E$219,$E$60:$E$119)</x:f>
        <x:v>0</x:v>
      </x:c>
      <x:c r="P27" s="35" t="n">
        <x:f>SUMPRODUCT($E$160:$E$219,$E$61:$E$120)</x:f>
        <x:v>0</x:v>
      </x:c>
      <x:c r="Q27" s="35" t="n">
        <x:f>SUMPRODUCT($E$160:$E$219,$E$62:$E$121)</x:f>
        <x:v>0</x:v>
      </x:c>
      <x:c r="R27" s="35" t="n">
        <x:f>SUMPRODUCT($E$160:$E$219,$E$63:$E$122)</x:f>
        <x:v>0</x:v>
      </x:c>
      <x:c r="S27" s="35" t="n">
        <x:f>SUMPRODUCT($E$160:$E$219,$E$64:$E$123)</x:f>
        <x:v>0</x:v>
      </x:c>
      <x:c r="T27" s="35" t="n">
        <x:f>SUMPRODUCT($E$160:$E$219,$E$65:$E$124)</x:f>
        <x:v>0</x:v>
      </x:c>
      <x:c r="U27" s="35" t="n">
        <x:f>SUMPRODUCT($E$160:$E$219,$E$66:$E$125)</x:f>
        <x:v>0</x:v>
      </x:c>
      <x:c r="V27" s="35" t="n">
        <x:f>SUMPRODUCT($E$160:$E$219,$E$67:$E$126)</x:f>
        <x:v>0</x:v>
      </x:c>
      <x:c r="W27" s="35" t="n">
        <x:f>SUMPRODUCT($E$160:$E$219,$E$68:$E$127)</x:f>
        <x:v>0</x:v>
      </x:c>
      <x:c r="X27" s="35" t="n">
        <x:f>SUMPRODUCT($E$160:$E$219,$E$69:$E$128)</x:f>
        <x:v>0</x:v>
      </x:c>
      <x:c r="Y27" s="35" t="n">
        <x:f>SUMPRODUCT($E$160:$E$219,$E$70:$E$129)</x:f>
        <x:v>0</x:v>
      </x:c>
      <x:c r="Z27" s="35" t="n">
        <x:f>SUMPRODUCT($E$160:$E$219,$E$71:$E$130)</x:f>
        <x:v>0</x:v>
      </x:c>
      <x:c r="AA27" s="35" t="n">
        <x:f>SUMPRODUCT($E$160:$E$219,$E$72:$E$131)</x:f>
        <x:v>0</x:v>
      </x:c>
      <x:c r="AB27" s="35" t="n">
        <x:f>SUMPRODUCT($E$160:$E$219,$E$73:$E$132)</x:f>
        <x:v>0</x:v>
      </x:c>
      <x:c r="AC27" s="35" t="n">
        <x:f>SUMPRODUCT($E$160:$E$219,$E$74:$E$133)</x:f>
        <x:v>0</x:v>
      </x:c>
      <x:c r="AD27" s="35" t="n">
        <x:f>SUMPRODUCT($E$160:$E$219,$E$75:$E$134)</x:f>
        <x:v>0</x:v>
      </x:c>
      <x:c r="AE27" s="35" t="n">
        <x:f>SUMPRODUCT($E$160:$E$219,$E$76:$E$135)</x:f>
        <x:v>0</x:v>
      </x:c>
      <x:c r="AF27" s="35" t="n">
        <x:f>SUMPRODUCT($E$160:$E$219,$E$77:$E$136)</x:f>
        <x:v>0</x:v>
      </x:c>
      <x:c r="AG27" s="35" t="n">
        <x:f>SUMPRODUCT($E$160:$E$219,$E$78:$E$137)</x:f>
        <x:v>0</x:v>
      </x:c>
      <x:c r="AH27" s="35" t="n">
        <x:f>SUMPRODUCT($E$160:$E$219,$E$79:$E$138)</x:f>
        <x:v>0</x:v>
      </x:c>
      <x:c r="AI27" s="35" t="n">
        <x:f>SUMPRODUCT($E$160:$E$219,$E$80:$E$139)</x:f>
        <x:v>0</x:v>
      </x:c>
      <x:c r="AJ27" s="35" t="n">
        <x:f>SUMPRODUCT($E$160:$E$219,$E$81:$E$140)</x:f>
        <x:v>0</x:v>
      </x:c>
      <x:c r="AK27" s="35" t="n">
        <x:f>SUMPRODUCT($E$160:$E$219,$E$82:$E$141)</x:f>
        <x:v>0</x:v>
      </x:c>
      <x:c r="AL27" s="35" t="n">
        <x:f>SUMPRODUCT($E$160:$E$219,$E$83:$E$142)</x:f>
        <x:v>0</x:v>
      </x:c>
      <x:c r="AM27" s="35" t="n">
        <x:f>SUMPRODUCT($E$160:$E$219,$E$84:$E$143)</x:f>
        <x:v>0</x:v>
      </x:c>
      <x:c r="AN27" s="35" t="n">
        <x:f>SUMPRODUCT($E$160:$E$219,$E$85:$E$144)</x:f>
        <x:v>0</x:v>
      </x:c>
      <x:c r="AO27" s="35" t="n">
        <x:f>SUMPRODUCT($E$160:$E$219,$E$86:$E$145)</x:f>
        <x:v>0</x:v>
      </x:c>
      <x:c r="AP27" s="35" t="n">
        <x:f>SUMPRODUCT($E$160:$E$219,$E$87:$E$146)</x:f>
        <x:v>0</x:v>
      </x:c>
      <x:c r="AQ27" s="2"/>
      <x:c r="AR27" s="2"/>
      <x:c r="AS27" s="2"/>
      <x:c r="AT27" s="2"/>
      <x:c r="AU27" s="2"/>
      <x:c r="AV27" s="2"/>
      <x:c r="AW27" s="2"/>
      <x:c r="AX27" s="2"/>
      <x:c r="AY27" s="2"/>
      <x:c r="AZ27" s="2"/>
      <x:c r="BA27" s="2"/>
      <x:c r="BB27" s="2"/>
      <x:c r="BC27" s="2"/>
      <x:c r="BD27" s="2"/>
      <x:c r="BE27" s="2"/>
      <x:c r="BF27" s="2"/>
      <x:c r="BG27" s="2"/>
      <x:c r="BH27" s="2"/>
      <x:c r="BI27" s="2"/>
      <x:c r="BJ27" s="2"/>
      <x:c r="BK27" s="2"/>
      <x:c r="BL27" s="2"/>
      <x:c r="BM27" s="2"/>
      <x:c r="BN27" s="2"/>
      <x:c r="BO27" s="2"/>
      <x:c r="BP27" s="2"/>
      <x:c r="BQ27" s="2"/>
      <x:c r="BR27" s="2"/>
      <x:c r="BS27" s="2"/>
      <x:c r="BT27" s="2"/>
      <x:c r="BU27" s="2"/>
      <x:c r="BV27" s="2"/>
      <x:c r="BW27" s="2"/>
      <x:c r="BX27" s="2"/>
      <x:c r="BY27" s="2"/>
      <x:c r="BZ27" s="2"/>
      <x:c r="CA27" s="2"/>
      <x:c r="CB27" s="2"/>
      <x:c r="CC27" s="2"/>
      <x:c r="CD27" s="2"/>
      <x:c r="CE27" s="2"/>
      <x:c r="CF27" s="2"/>
      <x:c r="CG27" s="2"/>
      <x:c r="CH27" s="2"/>
      <x:c r="CI27" s="2"/>
      <x:c r="CJ27" s="2"/>
      <x:c r="CK27" s="2"/>
      <x:c r="CL27" s="2"/>
      <x:c r="CM27" s="2"/>
      <x:c r="CN27" s="2"/>
      <x:c r="CO27" s="2"/>
      <x:c r="CP27" s="2"/>
      <x:c r="CQ27" s="2"/>
      <x:c r="CR27" s="2"/>
      <x:c r="CS27" s="2"/>
      <x:c r="CT27" s="2"/>
      <x:c r="CU27" s="2"/>
      <x:c r="CV27" s="2"/>
      <x:c r="CW27" s="2"/>
      <x:c r="CX27" s="2"/>
      <x:c r="CY27" s="2"/>
    </x:row>
    <x:row r="28" ht="19" customHeight="1">
      <x:c r="A28" s="1"/>
      <x:c r="B28" s="1"/>
      <x:c r="C28" s="2" t="str">
        <x:v>New-book charge-offs</x:v>
      </x:c>
      <x:c r="D28" s="2"/>
      <x:c r="E28" s="35" t="n">
        <x:f>SUMIFS(G28:AP28,$G$6:$AP$6,"&lt;="&amp;'Assumptions'!$E$7)</x:f>
        <x:v>33043373.705729056</x:v>
      </x:c>
      <x:c r="F28" s="2"/>
      <x:c r="G28" s="35" t="n">
        <x:f>SUMPRODUCT($G$11:G11,$CY$150:$CY$150)</x:f>
        <x:v>0</x:v>
      </x:c>
      <x:c r="H28" s="35" t="n">
        <x:f>SUMPRODUCT($G$11:H11,$CX$150:$CY$150)</x:f>
        <x:v>626125.5736909535</x:v>
      </x:c>
      <x:c r="I28" s="35" t="n">
        <x:f>SUMPRODUCT($G$11:I11,$CW$150:$CY$150)</x:f>
        <x:v>1024093.2342371466</x:v>
      </x:c>
      <x:c r="J28" s="35" t="n">
        <x:f>SUMPRODUCT($G$11:J11,$CV$150:$CY$150)</x:f>
        <x:v>1272797.841956846</x:v>
      </x:c>
      <x:c r="K28" s="35" t="n">
        <x:f>SUMPRODUCT($G$11:K11,$CU$150:$CY$150)</x:f>
        <x:v>1417814.2657129844</x:v>
      </x:c>
      <x:c r="L28" s="35" t="n">
        <x:f>SUMPRODUCT($G$11:L11,$CT$150:$CY$150)</x:f>
        <x:v>1510660.146849007</x:v>
      </x:c>
      <x:c r="M28" s="35" t="n">
        <x:f>SUMPRODUCT($G$11:M11,$CS$150:$CY$150)</x:f>
        <x:v>1510660.146849007</x:v>
      </x:c>
      <x:c r="N28" s="35" t="n">
        <x:f>SUMPRODUCT($G$11:N11,$CR$150:$CY$150)</x:f>
        <x:v>1510660.146849007</x:v>
      </x:c>
      <x:c r="O28" s="35" t="n">
        <x:f>SUMPRODUCT($G$11:O11,$CQ$150:$CY$150)</x:f>
        <x:v>1510660.146849007</x:v>
      </x:c>
      <x:c r="P28" s="35" t="n">
        <x:f>SUMPRODUCT($G$11:P11,$CP$150:$CY$150)</x:f>
        <x:v>1510660.146849007</x:v>
      </x:c>
      <x:c r="Q28" s="35" t="n">
        <x:f>SUMPRODUCT($G$11:Q11,$CO$150:$CY$150)</x:f>
        <x:v>1510660.146849007</x:v>
      </x:c>
      <x:c r="R28" s="35" t="n">
        <x:f>SUMPRODUCT($G$11:R11,$CN$150:$CY$150)</x:f>
        <x:v>1510660.146849007</x:v>
      </x:c>
      <x:c r="S28" s="35" t="n">
        <x:f>SUMPRODUCT($G$11:S11,$CM$150:$CY$150)</x:f>
        <x:v>1510660.146849007</x:v>
      </x:c>
      <x:c r="T28" s="35" t="n">
        <x:f>SUMPRODUCT($G$11:T11,$CL$150:$CY$150)</x:f>
        <x:v>1510660.146849007</x:v>
      </x:c>
      <x:c r="U28" s="35" t="n">
        <x:f>SUMPRODUCT($G$11:U11,$CK$150:$CY$150)</x:f>
        <x:v>1510660.146849007</x:v>
      </x:c>
      <x:c r="V28" s="35" t="n">
        <x:f>SUMPRODUCT($G$11:V11,$CJ$150:$CY$150)</x:f>
        <x:v>1510660.146849007</x:v>
      </x:c>
      <x:c r="W28" s="35" t="n">
        <x:f>SUMPRODUCT($G$11:W11,$CI$150:$CY$150)</x:f>
        <x:v>1510660.146849007</x:v>
      </x:c>
      <x:c r="X28" s="35" t="n">
        <x:f>SUMPRODUCT($G$11:X11,$CH$150:$CY$150)</x:f>
        <x:v>1510660.146849007</x:v>
      </x:c>
      <x:c r="Y28" s="35" t="n">
        <x:f>SUMPRODUCT($G$11:Y11,$CG$150:$CY$150)</x:f>
        <x:v>1510660.146849007</x:v>
      </x:c>
      <x:c r="Z28" s="35" t="n">
        <x:f>SUMPRODUCT($G$11:Z11,$CF$150:$CY$150)</x:f>
        <x:v>1510660.146849007</x:v>
      </x:c>
      <x:c r="AA28" s="35" t="n">
        <x:f>SUMPRODUCT($G$11:AA11,$CE$150:$CY$150)</x:f>
        <x:v>1510660.146849007</x:v>
      </x:c>
      <x:c r="AB28" s="35" t="n">
        <x:f>SUMPRODUCT($G$11:AB11,$CD$150:$CY$150)</x:f>
        <x:v>1510660.146849007</x:v>
      </x:c>
      <x:c r="AC28" s="35" t="n">
        <x:f>SUMPRODUCT($G$11:AC11,$CC$150:$CY$150)</x:f>
        <x:v>1510660.146849007</x:v>
      </x:c>
      <x:c r="AD28" s="35" t="n">
        <x:f>SUMPRODUCT($G$11:AD11,$CB$150:$CY$150)</x:f>
        <x:v>1510660.146849007</x:v>
      </x:c>
      <x:c r="AE28" s="35" t="n">
        <x:f>SUMPRODUCT($G$11:AE11,$CA$150:$CY$150)</x:f>
        <x:v>1510660.146849007</x:v>
      </x:c>
      <x:c r="AF28" s="35" t="n">
        <x:f>SUMPRODUCT($G$11:AF11,$BZ$150:$CY$150)</x:f>
        <x:v>1510660.146849007</x:v>
      </x:c>
      <x:c r="AG28" s="35" t="n">
        <x:f>SUMPRODUCT($G$11:AG11,$BY$150:$CY$150)</x:f>
        <x:v>1510660.146849007</x:v>
      </x:c>
      <x:c r="AH28" s="35" t="n">
        <x:f>SUMPRODUCT($G$11:AH11,$BX$150:$CY$150)</x:f>
        <x:v>1510660.146849007</x:v>
      </x:c>
      <x:c r="AI28" s="35" t="n">
        <x:f>SUMPRODUCT($G$11:AI11,$BW$150:$CY$150)</x:f>
        <x:v>1510660.146849007</x:v>
      </x:c>
      <x:c r="AJ28" s="35" t="n">
        <x:f>SUMPRODUCT($G$11:AJ11,$BV$150:$CY$150)</x:f>
        <x:v>1510660.146849007</x:v>
      </x:c>
      <x:c r="AK28" s="35" t="n">
        <x:f>SUMPRODUCT($G$11:AK11,$BU$150:$CY$150)</x:f>
        <x:v>1510660.146849007</x:v>
      </x:c>
      <x:c r="AL28" s="35" t="n">
        <x:f>SUMPRODUCT($G$11:AL11,$BT$150:$CY$150)</x:f>
        <x:v>1510660.146849007</x:v>
      </x:c>
      <x:c r="AM28" s="35" t="n">
        <x:f>SUMPRODUCT($G$11:AM11,$BS$150:$CY$150)</x:f>
        <x:v>1510660.146849007</x:v>
      </x:c>
      <x:c r="AN28" s="35" t="n">
        <x:f>SUMPRODUCT($G$11:AN11,$BR$150:$CY$150)</x:f>
        <x:v>1510660.146849007</x:v>
      </x:c>
      <x:c r="AO28" s="35" t="n">
        <x:f>SUMPRODUCT($G$11:AO11,$BQ$150:$CY$150)</x:f>
        <x:v>1510660.146849007</x:v>
      </x:c>
      <x:c r="AP28" s="35" t="n">
        <x:f>SUMPRODUCT($G$11:AP11,$BP$150:$CY$150)</x:f>
        <x:v>1510660.146849007</x:v>
      </x:c>
      <x:c r="AQ28" s="2"/>
      <x:c r="AR28" s="2"/>
      <x:c r="AS28" s="2"/>
      <x:c r="AT28" s="2"/>
      <x:c r="AU28" s="2"/>
      <x:c r="AV28" s="2"/>
      <x:c r="AW28" s="2"/>
      <x:c r="AX28" s="2"/>
      <x:c r="AY28" s="2"/>
      <x:c r="AZ28" s="2"/>
      <x:c r="BA28" s="2"/>
      <x:c r="BB28" s="2"/>
      <x:c r="BC28" s="2"/>
      <x:c r="BD28" s="2"/>
      <x:c r="BE28" s="2"/>
      <x:c r="BF28" s="2"/>
      <x:c r="BG28" s="2"/>
      <x:c r="BH28" s="2"/>
      <x:c r="BI28" s="2"/>
      <x:c r="BJ28" s="2"/>
      <x:c r="BK28" s="2"/>
      <x:c r="BL28" s="2"/>
      <x:c r="BM28" s="2"/>
      <x:c r="BN28" s="2"/>
      <x:c r="BO28" s="2"/>
      <x:c r="BP28" s="2"/>
      <x:c r="BQ28" s="2"/>
      <x:c r="BR28" s="2"/>
      <x:c r="BS28" s="2"/>
      <x:c r="BT28" s="2"/>
      <x:c r="BU28" s="2"/>
      <x:c r="BV28" s="2"/>
      <x:c r="BW28" s="2"/>
      <x:c r="BX28" s="2"/>
      <x:c r="BY28" s="2"/>
      <x:c r="BZ28" s="2"/>
      <x:c r="CA28" s="2"/>
      <x:c r="CB28" s="2"/>
      <x:c r="CC28" s="2"/>
      <x:c r="CD28" s="2"/>
      <x:c r="CE28" s="2"/>
      <x:c r="CF28" s="2"/>
      <x:c r="CG28" s="2"/>
      <x:c r="CH28" s="2"/>
      <x:c r="CI28" s="2"/>
      <x:c r="CJ28" s="2"/>
      <x:c r="CK28" s="2"/>
      <x:c r="CL28" s="2"/>
      <x:c r="CM28" s="2"/>
      <x:c r="CN28" s="2"/>
      <x:c r="CO28" s="2"/>
      <x:c r="CP28" s="2"/>
      <x:c r="CQ28" s="2"/>
      <x:c r="CR28" s="2"/>
      <x:c r="CS28" s="2"/>
      <x:c r="CT28" s="2"/>
      <x:c r="CU28" s="2"/>
      <x:c r="CV28" s="2"/>
      <x:c r="CW28" s="2"/>
      <x:c r="CX28" s="2"/>
      <x:c r="CY28" s="2"/>
    </x:row>
    <x:row r="29" ht="19" customHeight="1">
      <x:c r="A29" s="1"/>
      <x:c r="B29" s="1"/>
      <x:c r="C29" s="2" t="str">
        <x:v>Opening-book repayments</x:v>
      </x:c>
      <x:c r="D29" s="2"/>
      <x:c r="E29" s="35" t="n">
        <x:f>SUMIFS(G29:AP29,$G$6:$AP$6,"&lt;="&amp;'Assumptions'!$E$7)</x:f>
        <x:v>48580581.16339133</x:v>
      </x:c>
      <x:c r="F29" s="2"/>
      <x:c r="G29" s="35" t="n">
        <x:f>SUMPRODUCT($E$160:$E$219,$F$52:$F$111)</x:f>
        <x:v>29540889.901015334</x:v>
      </x:c>
      <x:c r="H29" s="35" t="n">
        <x:f>SUMPRODUCT($E$160:$E$219,$F$53:$F$112)</x:f>
        <x:v>11808967.96071993</x:v>
      </x:c>
      <x:c r="I29" s="35" t="n">
        <x:f>SUMPRODUCT($E$160:$E$219,$F$54:$F$113)</x:f>
        <x:v>4862025.675804373</x:v>
      </x:c>
      <x:c r="J29" s="35" t="n">
        <x:f>SUMPRODUCT($E$160:$E$219,$F$55:$F$114)</x:f>
        <x:v>1841644.0407379852</x:v>
      </x:c>
      <x:c r="K29" s="35" t="n">
        <x:f>SUMPRODUCT($E$160:$E$219,$F$56:$F$115)</x:f>
        <x:v>527053.5851137085</x:v>
      </x:c>
      <x:c r="L29" s="35" t="n">
        <x:f>SUMPRODUCT($E$160:$E$219,$F$57:$F$116)</x:f>
        <x:v>0</x:v>
      </x:c>
      <x:c r="M29" s="35" t="n">
        <x:f>SUMPRODUCT($E$160:$E$219,$F$58:$F$117)</x:f>
        <x:v>0</x:v>
      </x:c>
      <x:c r="N29" s="35" t="n">
        <x:f>SUMPRODUCT($E$160:$E$219,$F$59:$F$118)</x:f>
        <x:v>0</x:v>
      </x:c>
      <x:c r="O29" s="35" t="n">
        <x:f>SUMPRODUCT($E$160:$E$219,$F$60:$F$119)</x:f>
        <x:v>0</x:v>
      </x:c>
      <x:c r="P29" s="35" t="n">
        <x:f>SUMPRODUCT($E$160:$E$219,$F$61:$F$120)</x:f>
        <x:v>0</x:v>
      </x:c>
      <x:c r="Q29" s="35" t="n">
        <x:f>SUMPRODUCT($E$160:$E$219,$F$62:$F$121)</x:f>
        <x:v>0</x:v>
      </x:c>
      <x:c r="R29" s="35" t="n">
        <x:f>SUMPRODUCT($E$160:$E$219,$F$63:$F$122)</x:f>
        <x:v>0</x:v>
      </x:c>
      <x:c r="S29" s="35" t="n">
        <x:f>SUMPRODUCT($E$160:$E$219,$F$64:$F$123)</x:f>
        <x:v>0</x:v>
      </x:c>
      <x:c r="T29" s="35" t="n">
        <x:f>SUMPRODUCT($E$160:$E$219,$F$65:$F$124)</x:f>
        <x:v>0</x:v>
      </x:c>
      <x:c r="U29" s="35" t="n">
        <x:f>SUMPRODUCT($E$160:$E$219,$F$66:$F$125)</x:f>
        <x:v>0</x:v>
      </x:c>
      <x:c r="V29" s="35" t="n">
        <x:f>SUMPRODUCT($E$160:$E$219,$F$67:$F$126)</x:f>
        <x:v>0</x:v>
      </x:c>
      <x:c r="W29" s="35" t="n">
        <x:f>SUMPRODUCT($E$160:$E$219,$F$68:$F$127)</x:f>
        <x:v>0</x:v>
      </x:c>
      <x:c r="X29" s="35" t="n">
        <x:f>SUMPRODUCT($E$160:$E$219,$F$69:$F$128)</x:f>
        <x:v>0</x:v>
      </x:c>
      <x:c r="Y29" s="35" t="n">
        <x:f>SUMPRODUCT($E$160:$E$219,$F$70:$F$129)</x:f>
        <x:v>0</x:v>
      </x:c>
      <x:c r="Z29" s="35" t="n">
        <x:f>SUMPRODUCT($E$160:$E$219,$F$71:$F$130)</x:f>
        <x:v>0</x:v>
      </x:c>
      <x:c r="AA29" s="35" t="n">
        <x:f>SUMPRODUCT($E$160:$E$219,$F$72:$F$131)</x:f>
        <x:v>0</x:v>
      </x:c>
      <x:c r="AB29" s="35" t="n">
        <x:f>SUMPRODUCT($E$160:$E$219,$F$73:$F$132)</x:f>
        <x:v>0</x:v>
      </x:c>
      <x:c r="AC29" s="35" t="n">
        <x:f>SUMPRODUCT($E$160:$E$219,$F$74:$F$133)</x:f>
        <x:v>0</x:v>
      </x:c>
      <x:c r="AD29" s="35" t="n">
        <x:f>SUMPRODUCT($E$160:$E$219,$F$75:$F$134)</x:f>
        <x:v>0</x:v>
      </x:c>
      <x:c r="AE29" s="35" t="n">
        <x:f>SUMPRODUCT($E$160:$E$219,$F$76:$F$135)</x:f>
        <x:v>0</x:v>
      </x:c>
      <x:c r="AF29" s="35" t="n">
        <x:f>SUMPRODUCT($E$160:$E$219,$F$77:$F$136)</x:f>
        <x:v>0</x:v>
      </x:c>
      <x:c r="AG29" s="35" t="n">
        <x:f>SUMPRODUCT($E$160:$E$219,$F$78:$F$137)</x:f>
        <x:v>0</x:v>
      </x:c>
      <x:c r="AH29" s="35" t="n">
        <x:f>SUMPRODUCT($E$160:$E$219,$F$79:$F$138)</x:f>
        <x:v>0</x:v>
      </x:c>
      <x:c r="AI29" s="35" t="n">
        <x:f>SUMPRODUCT($E$160:$E$219,$F$80:$F$139)</x:f>
        <x:v>0</x:v>
      </x:c>
      <x:c r="AJ29" s="35" t="n">
        <x:f>SUMPRODUCT($E$160:$E$219,$F$81:$F$140)</x:f>
        <x:v>0</x:v>
      </x:c>
      <x:c r="AK29" s="35" t="n">
        <x:f>SUMPRODUCT($E$160:$E$219,$F$82:$F$141)</x:f>
        <x:v>0</x:v>
      </x:c>
      <x:c r="AL29" s="35" t="n">
        <x:f>SUMPRODUCT($E$160:$E$219,$F$83:$F$142)</x:f>
        <x:v>0</x:v>
      </x:c>
      <x:c r="AM29" s="35" t="n">
        <x:f>SUMPRODUCT($E$160:$E$219,$F$84:$F$143)</x:f>
        <x:v>0</x:v>
      </x:c>
      <x:c r="AN29" s="35" t="n">
        <x:f>SUMPRODUCT($E$160:$E$219,$F$85:$F$144)</x:f>
        <x:v>0</x:v>
      </x:c>
      <x:c r="AO29" s="35" t="n">
        <x:f>SUMPRODUCT($E$160:$E$219,$F$86:$F$145)</x:f>
        <x:v>0</x:v>
      </x:c>
      <x:c r="AP29" s="35" t="n">
        <x:f>SUMPRODUCT($E$160:$E$219,$F$87:$F$146)</x:f>
        <x:v>0</x:v>
      </x:c>
      <x:c r="AQ29" s="2"/>
      <x:c r="AR29" s="2"/>
      <x:c r="AS29" s="2"/>
      <x:c r="AT29" s="2"/>
      <x:c r="AU29" s="2"/>
      <x:c r="AV29" s="2"/>
      <x:c r="AW29" s="2"/>
      <x:c r="AX29" s="2"/>
      <x:c r="AY29" s="2"/>
      <x:c r="AZ29" s="2"/>
      <x:c r="BA29" s="2"/>
      <x:c r="BB29" s="2"/>
      <x:c r="BC29" s="2"/>
      <x:c r="BD29" s="2"/>
      <x:c r="BE29" s="2"/>
      <x:c r="BF29" s="2"/>
      <x:c r="BG29" s="2"/>
      <x:c r="BH29" s="2"/>
      <x:c r="BI29" s="2"/>
      <x:c r="BJ29" s="2"/>
      <x:c r="BK29" s="2"/>
      <x:c r="BL29" s="2"/>
      <x:c r="BM29" s="2"/>
      <x:c r="BN29" s="2"/>
      <x:c r="BO29" s="2"/>
      <x:c r="BP29" s="2"/>
      <x:c r="BQ29" s="2"/>
      <x:c r="BR29" s="2"/>
      <x:c r="BS29" s="2"/>
      <x:c r="BT29" s="2"/>
      <x:c r="BU29" s="2"/>
      <x:c r="BV29" s="2"/>
      <x:c r="BW29" s="2"/>
      <x:c r="BX29" s="2"/>
      <x:c r="BY29" s="2"/>
      <x:c r="BZ29" s="2"/>
      <x:c r="CA29" s="2"/>
      <x:c r="CB29" s="2"/>
      <x:c r="CC29" s="2"/>
      <x:c r="CD29" s="2"/>
      <x:c r="CE29" s="2"/>
      <x:c r="CF29" s="2"/>
      <x:c r="CG29" s="2"/>
      <x:c r="CH29" s="2"/>
      <x:c r="CI29" s="2"/>
      <x:c r="CJ29" s="2"/>
      <x:c r="CK29" s="2"/>
      <x:c r="CL29" s="2"/>
      <x:c r="CM29" s="2"/>
      <x:c r="CN29" s="2"/>
      <x:c r="CO29" s="2"/>
      <x:c r="CP29" s="2"/>
      <x:c r="CQ29" s="2"/>
      <x:c r="CR29" s="2"/>
      <x:c r="CS29" s="2"/>
      <x:c r="CT29" s="2"/>
      <x:c r="CU29" s="2"/>
      <x:c r="CV29" s="2"/>
      <x:c r="CW29" s="2"/>
      <x:c r="CX29" s="2"/>
      <x:c r="CY29" s="2"/>
    </x:row>
    <x:row r="30" ht="19" customHeight="1">
      <x:c r="A30" s="1"/>
      <x:c r="B30" s="1"/>
      <x:c r="C30" s="2" t="str">
        <x:v>New-book repayments</x:v>
      </x:c>
      <x:c r="D30" s="2"/>
      <x:c r="E30" s="35" t="n">
        <x:f>SUMIFS(G30:AP30,$G$6:$AP$6,"&lt;="&amp;'Assumptions'!$E$7)</x:f>
        <x:v>61655682.07531387</x:v>
      </x:c>
      <x:c r="F30" s="2"/>
      <x:c r="G30" s="35" t="n">
        <x:f>SUMPRODUCT($G$11:G11,$CY$151:$CY$151)</x:f>
        <x:v>0</x:v>
      </x:c>
      <x:c r="H30" s="35" t="n">
        <x:f>SUMPRODUCT($G$11:H11,$CX$151:$CY$151)</x:f>
        <x:v>1242108.9343496996</x:v>
      </x:c>
      <x:c r="I30" s="35" t="n">
        <x:f>SUMPRODUCT($G$11:I11,$CW$151:$CY$151)</x:f>
        <x:v>1971544.7078860896</x:v>
      </x:c>
      <x:c r="J30" s="35" t="n">
        <x:f>SUMPRODUCT($G$11:J11,$CV$151:$CY$151)</x:f>
        <x:v>2403697.1686817985</x:v>
      </x:c>
      <x:c r="K30" s="35" t="n">
        <x:f>SUMPRODUCT($G$11:K11,$CU$151:$CY$151)</x:f>
        <x:v>2660874.054527412</x:v>
      </x:c>
      <x:c r="L30" s="35" t="n">
        <x:f>SUMPRODUCT($G$11:L11,$CT$151:$CY$151)</x:f>
        <x:v>2809339.8531509917</x:v>
      </x:c>
      <x:c r="M30" s="35" t="n">
        <x:f>SUMPRODUCT($G$11:M11,$CS$151:$CY$151)</x:f>
        <x:v>2809339.8531509917</x:v>
      </x:c>
      <x:c r="N30" s="35" t="n">
        <x:f>SUMPRODUCT($G$11:N11,$CR$151:$CY$151)</x:f>
        <x:v>2809339.8531509917</x:v>
      </x:c>
      <x:c r="O30" s="35" t="n">
        <x:f>SUMPRODUCT($G$11:O11,$CQ$151:$CY$151)</x:f>
        <x:v>2809339.8531509917</x:v>
      </x:c>
      <x:c r="P30" s="35" t="n">
        <x:f>SUMPRODUCT($G$11:P11,$CP$151:$CY$151)</x:f>
        <x:v>2809339.8531509917</x:v>
      </x:c>
      <x:c r="Q30" s="35" t="n">
        <x:f>SUMPRODUCT($G$11:Q11,$CO$151:$CY$151)</x:f>
        <x:v>2809339.8531509917</x:v>
      </x:c>
      <x:c r="R30" s="35" t="n">
        <x:f>SUMPRODUCT($G$11:R11,$CN$151:$CY$151)</x:f>
        <x:v>2809339.8531509917</x:v>
      </x:c>
      <x:c r="S30" s="35" t="n">
        <x:f>SUMPRODUCT($G$11:S11,$CM$151:$CY$151)</x:f>
        <x:v>2809339.8531509917</x:v>
      </x:c>
      <x:c r="T30" s="35" t="n">
        <x:f>SUMPRODUCT($G$11:T11,$CL$151:$CY$151)</x:f>
        <x:v>2809339.8531509917</x:v>
      </x:c>
      <x:c r="U30" s="35" t="n">
        <x:f>SUMPRODUCT($G$11:U11,$CK$151:$CY$151)</x:f>
        <x:v>2809339.8531509917</x:v>
      </x:c>
      <x:c r="V30" s="35" t="n">
        <x:f>SUMPRODUCT($G$11:V11,$CJ$151:$CY$151)</x:f>
        <x:v>2809339.8531509917</x:v>
      </x:c>
      <x:c r="W30" s="35" t="n">
        <x:f>SUMPRODUCT($G$11:W11,$CI$151:$CY$151)</x:f>
        <x:v>2809339.8531509917</x:v>
      </x:c>
      <x:c r="X30" s="35" t="n">
        <x:f>SUMPRODUCT($G$11:X11,$CH$151:$CY$151)</x:f>
        <x:v>2809339.8531509917</x:v>
      </x:c>
      <x:c r="Y30" s="35" t="n">
        <x:f>SUMPRODUCT($G$11:Y11,$CG$151:$CY$151)</x:f>
        <x:v>2809339.8531509917</x:v>
      </x:c>
      <x:c r="Z30" s="35" t="n">
        <x:f>SUMPRODUCT($G$11:Z11,$CF$151:$CY$151)</x:f>
        <x:v>2809339.8531509917</x:v>
      </x:c>
      <x:c r="AA30" s="35" t="n">
        <x:f>SUMPRODUCT($G$11:AA11,$CE$151:$CY$151)</x:f>
        <x:v>2809339.8531509917</x:v>
      </x:c>
      <x:c r="AB30" s="35" t="n">
        <x:f>SUMPRODUCT($G$11:AB11,$CD$151:$CY$151)</x:f>
        <x:v>2809339.8531509917</x:v>
      </x:c>
      <x:c r="AC30" s="35" t="n">
        <x:f>SUMPRODUCT($G$11:AC11,$CC$151:$CY$151)</x:f>
        <x:v>2809339.8531509917</x:v>
      </x:c>
      <x:c r="AD30" s="35" t="n">
        <x:f>SUMPRODUCT($G$11:AD11,$CB$151:$CY$151)</x:f>
        <x:v>2809339.8531509917</x:v>
      </x:c>
      <x:c r="AE30" s="35" t="n">
        <x:f>SUMPRODUCT($G$11:AE11,$CA$151:$CY$151)</x:f>
        <x:v>2809339.8531509917</x:v>
      </x:c>
      <x:c r="AF30" s="35" t="n">
        <x:f>SUMPRODUCT($G$11:AF11,$BZ$151:$CY$151)</x:f>
        <x:v>2809339.8531509917</x:v>
      </x:c>
      <x:c r="AG30" s="35" t="n">
        <x:f>SUMPRODUCT($G$11:AG11,$BY$151:$CY$151)</x:f>
        <x:v>2809339.8531509917</x:v>
      </x:c>
      <x:c r="AH30" s="35" t="n">
        <x:f>SUMPRODUCT($G$11:AH11,$BX$151:$CY$151)</x:f>
        <x:v>2809339.8531509917</x:v>
      </x:c>
      <x:c r="AI30" s="35" t="n">
        <x:f>SUMPRODUCT($G$11:AI11,$BW$151:$CY$151)</x:f>
        <x:v>2809339.8531509917</x:v>
      </x:c>
      <x:c r="AJ30" s="35" t="n">
        <x:f>SUMPRODUCT($G$11:AJ11,$BV$151:$CY$151)</x:f>
        <x:v>2809339.8531509917</x:v>
      </x:c>
      <x:c r="AK30" s="35" t="n">
        <x:f>SUMPRODUCT($G$11:AK11,$BU$151:$CY$151)</x:f>
        <x:v>2809339.8531509917</x:v>
      </x:c>
      <x:c r="AL30" s="35" t="n">
        <x:f>SUMPRODUCT($G$11:AL11,$BT$151:$CY$151)</x:f>
        <x:v>2809339.8531509917</x:v>
      </x:c>
      <x:c r="AM30" s="35" t="n">
        <x:f>SUMPRODUCT($G$11:AM11,$BS$151:$CY$151)</x:f>
        <x:v>2809339.8531509917</x:v>
      </x:c>
      <x:c r="AN30" s="35" t="n">
        <x:f>SUMPRODUCT($G$11:AN11,$BR$151:$CY$151)</x:f>
        <x:v>2809339.8531509917</x:v>
      </x:c>
      <x:c r="AO30" s="35" t="n">
        <x:f>SUMPRODUCT($G$11:AO11,$BQ$151:$CY$151)</x:f>
        <x:v>2809339.8531509917</x:v>
      </x:c>
      <x:c r="AP30" s="35" t="n">
        <x:f>SUMPRODUCT($G$11:AP11,$BP$151:$CY$151)</x:f>
        <x:v>2809339.8531509917</x:v>
      </x:c>
      <x:c r="AQ30" s="2"/>
      <x:c r="AR30" s="2"/>
      <x:c r="AS30" s="2"/>
      <x:c r="AT30" s="2"/>
      <x:c r="AU30" s="2"/>
      <x:c r="AV30" s="2"/>
      <x:c r="AW30" s="2"/>
      <x:c r="AX30" s="2"/>
      <x:c r="AY30" s="2"/>
      <x:c r="AZ30" s="2"/>
      <x:c r="BA30" s="2"/>
      <x:c r="BB30" s="2"/>
      <x:c r="BC30" s="2"/>
      <x:c r="BD30" s="2"/>
      <x:c r="BE30" s="2"/>
      <x:c r="BF30" s="2"/>
      <x:c r="BG30" s="2"/>
      <x:c r="BH30" s="2"/>
      <x:c r="BI30" s="2"/>
      <x:c r="BJ30" s="2"/>
      <x:c r="BK30" s="2"/>
      <x:c r="BL30" s="2"/>
      <x:c r="BM30" s="2"/>
      <x:c r="BN30" s="2"/>
      <x:c r="BO30" s="2"/>
      <x:c r="BP30" s="2"/>
      <x:c r="BQ30" s="2"/>
      <x:c r="BR30" s="2"/>
      <x:c r="BS30" s="2"/>
      <x:c r="BT30" s="2"/>
      <x:c r="BU30" s="2"/>
      <x:c r="BV30" s="2"/>
      <x:c r="BW30" s="2"/>
      <x:c r="BX30" s="2"/>
      <x:c r="BY30" s="2"/>
      <x:c r="BZ30" s="2"/>
      <x:c r="CA30" s="2"/>
      <x:c r="CB30" s="2"/>
      <x:c r="CC30" s="2"/>
      <x:c r="CD30" s="2"/>
      <x:c r="CE30" s="2"/>
      <x:c r="CF30" s="2"/>
      <x:c r="CG30" s="2"/>
      <x:c r="CH30" s="2"/>
      <x:c r="CI30" s="2"/>
      <x:c r="CJ30" s="2"/>
      <x:c r="CK30" s="2"/>
      <x:c r="CL30" s="2"/>
      <x:c r="CM30" s="2"/>
      <x:c r="CN30" s="2"/>
      <x:c r="CO30" s="2"/>
      <x:c r="CP30" s="2"/>
      <x:c r="CQ30" s="2"/>
      <x:c r="CR30" s="2"/>
      <x:c r="CS30" s="2"/>
      <x:c r="CT30" s="2"/>
      <x:c r="CU30" s="2"/>
      <x:c r="CV30" s="2"/>
      <x:c r="CW30" s="2"/>
      <x:c r="CX30" s="2"/>
      <x:c r="CY30" s="2"/>
    </x:row>
    <x:row r="31" ht="19" customHeight="1">
      <x:c r="A31" s="1"/>
      <x:c r="B31" s="1"/>
      <x:c r="C31" s="2"/>
      <x:c r="D31" s="2"/>
      <x:c r="E31" s="35"/>
      <x:c r="F31" s="2"/>
      <x:c r="G31" s="2"/>
      <x:c r="H31" s="2"/>
      <x:c r="I31" s="2"/>
      <x:c r="J31" s="2"/>
      <x:c r="K31" s="2"/>
      <x:c r="L31" s="2"/>
      <x:c r="M31" s="2"/>
      <x:c r="N31" s="2"/>
      <x:c r="O31" s="2"/>
      <x:c r="P31" s="2"/>
      <x:c r="Q31" s="2"/>
      <x:c r="R31" s="2"/>
      <x:c r="S31" s="2"/>
      <x:c r="T31" s="2"/>
      <x:c r="U31" s="2"/>
      <x:c r="V31" s="2"/>
      <x:c r="W31" s="2"/>
      <x:c r="X31" s="2"/>
      <x:c r="Y31" s="2"/>
      <x:c r="Z31" s="2"/>
      <x:c r="AA31" s="2"/>
      <x:c r="AB31" s="2"/>
      <x:c r="AC31" s="2"/>
      <x:c r="AD31" s="2"/>
      <x:c r="AE31" s="2"/>
      <x:c r="AF31" s="2"/>
      <x:c r="AG31" s="2"/>
      <x:c r="AH31" s="2"/>
      <x:c r="AI31" s="2"/>
      <x:c r="AJ31" s="2"/>
      <x:c r="AK31" s="2"/>
      <x:c r="AL31" s="2"/>
      <x:c r="AM31" s="2"/>
      <x:c r="AN31" s="2"/>
      <x:c r="AO31" s="2"/>
      <x:c r="AP31" s="2"/>
      <x:c r="AQ31" s="2"/>
      <x:c r="AR31" s="2"/>
      <x:c r="AS31" s="2"/>
      <x:c r="AT31" s="2"/>
      <x:c r="AU31" s="2"/>
      <x:c r="AV31" s="2"/>
      <x:c r="AW31" s="2"/>
      <x:c r="AX31" s="2"/>
      <x:c r="AY31" s="2"/>
      <x:c r="AZ31" s="2"/>
      <x:c r="BA31" s="2"/>
      <x:c r="BB31" s="2"/>
      <x:c r="BC31" s="2"/>
      <x:c r="BD31" s="2"/>
      <x:c r="BE31" s="2"/>
      <x:c r="BF31" s="2"/>
      <x:c r="BG31" s="2"/>
      <x:c r="BH31" s="2"/>
      <x:c r="BI31" s="2"/>
      <x:c r="BJ31" s="2"/>
      <x:c r="BK31" s="2"/>
      <x:c r="BL31" s="2"/>
      <x:c r="BM31" s="2"/>
      <x:c r="BN31" s="2"/>
      <x:c r="BO31" s="2"/>
      <x:c r="BP31" s="2"/>
      <x:c r="BQ31" s="2"/>
      <x:c r="BR31" s="2"/>
      <x:c r="BS31" s="2"/>
      <x:c r="BT31" s="2"/>
      <x:c r="BU31" s="2"/>
      <x:c r="BV31" s="2"/>
      <x:c r="BW31" s="2"/>
      <x:c r="BX31" s="2"/>
      <x:c r="BY31" s="2"/>
      <x:c r="BZ31" s="2"/>
      <x:c r="CA31" s="2"/>
      <x:c r="CB31" s="2"/>
      <x:c r="CC31" s="2"/>
      <x:c r="CD31" s="2"/>
      <x:c r="CE31" s="2"/>
      <x:c r="CF31" s="2"/>
      <x:c r="CG31" s="2"/>
      <x:c r="CH31" s="2"/>
      <x:c r="CI31" s="2"/>
      <x:c r="CJ31" s="2"/>
      <x:c r="CK31" s="2"/>
      <x:c r="CL31" s="2"/>
      <x:c r="CM31" s="2"/>
      <x:c r="CN31" s="2"/>
      <x:c r="CO31" s="2"/>
      <x:c r="CP31" s="2"/>
      <x:c r="CQ31" s="2"/>
      <x:c r="CR31" s="2"/>
      <x:c r="CS31" s="2"/>
      <x:c r="CT31" s="2"/>
      <x:c r="CU31" s="2"/>
      <x:c r="CV31" s="2"/>
      <x:c r="CW31" s="2"/>
      <x:c r="CX31" s="2"/>
      <x:c r="CY31" s="2"/>
    </x:row>
    <x:row r="32" ht="19" customHeight="1">
      <x:c r="A32" s="1"/>
      <x:c r="B32" s="1"/>
      <x:c r="C32" s="2" t="str">
        <x:v>Opening-book revenue</x:v>
      </x:c>
      <x:c r="D32" s="2"/>
      <x:c r="E32" s="35" t="n">
        <x:f>SUMIFS(G32:AP32,$G$6:$AP$6,"&lt;="&amp;'Assumptions'!$E$7)</x:f>
        <x:v>4351534.462963114</x:v>
      </x:c>
      <x:c r="F32" s="2"/>
      <x:c r="G32" s="35" t="n">
        <x:f>($E$44-G27)*G23/12</x:f>
        <x:v>2737685.6243885863</x:v>
      </x:c>
      <x:c r="H32" s="35" t="n">
        <x:f>(G34-H27)*H23/12</x:f>
        <x:v>1069291.6664116657</x:v>
      </x:c>
      <x:c r="I32" s="35" t="n">
        <x:f>(H34-I27)*I23/12</x:f>
        <x:v>396728.44308377366</x:v>
      </x:c>
      <x:c r="J32" s="35" t="n">
        <x:f>(I34-J27)*J23/12</x:f>
        <x:v>123672.10642804323</x:v>
      </x:c>
      <x:c r="K32" s="35" t="n">
        <x:f>(J34-K27)*K23/12</x:f>
        <x:v>24156.622651045225</x:v>
      </x:c>
      <x:c r="L32" s="35" t="n">
        <x:f>(K34-L27)*L23/12</x:f>
        <x:v>2.5077800576885543e-10</x:v>
      </x:c>
      <x:c r="M32" s="35" t="n">
        <x:f>(L34-M27)*M23/12</x:f>
        <x:v>2.5077800576885543e-10</x:v>
      </x:c>
      <x:c r="N32" s="35" t="n">
        <x:f>(M34-N27)*N23/12</x:f>
        <x:v>2.5077800576885543e-10</x:v>
      </x:c>
      <x:c r="O32" s="35" t="n">
        <x:f>(N34-O27)*O23/12</x:f>
        <x:v>2.5077800576885543e-10</x:v>
      </x:c>
      <x:c r="P32" s="35" t="n">
        <x:f>(O34-P27)*P23/12</x:f>
        <x:v>2.5077800576885543e-10</x:v>
      </x:c>
      <x:c r="Q32" s="35" t="n">
        <x:f>(P34-Q27)*Q23/12</x:f>
        <x:v>2.5077800576885543e-10</x:v>
      </x:c>
      <x:c r="R32" s="35" t="n">
        <x:f>(Q34-R27)*R23/12</x:f>
        <x:v>2.5077800576885543e-10</x:v>
      </x:c>
      <x:c r="S32" s="35" t="n">
        <x:f>(R34-S27)*S23/12</x:f>
        <x:v>2.5077800576885543e-10</x:v>
      </x:c>
      <x:c r="T32" s="35" t="n">
        <x:f>(S34-T27)*T23/12</x:f>
        <x:v>2.5077800576885543e-10</x:v>
      </x:c>
      <x:c r="U32" s="35" t="n">
        <x:f>(T34-U27)*U23/12</x:f>
        <x:v>2.5077800576885543e-10</x:v>
      </x:c>
      <x:c r="V32" s="35" t="n">
        <x:f>(U34-V27)*V23/12</x:f>
        <x:v>2.5077800576885543e-10</x:v>
      </x:c>
      <x:c r="W32" s="35" t="n">
        <x:f>(V34-W27)*W23/12</x:f>
        <x:v>2.5077800576885543e-10</x:v>
      </x:c>
      <x:c r="X32" s="35" t="n">
        <x:f>(W34-X27)*X23/12</x:f>
        <x:v>2.5077800576885543e-10</x:v>
      </x:c>
      <x:c r="Y32" s="35" t="n">
        <x:f>(X34-Y27)*Y23/12</x:f>
        <x:v>2.5077800576885543e-10</x:v>
      </x:c>
      <x:c r="Z32" s="35" t="n">
        <x:f>(Y34-Z27)*Z23/12</x:f>
        <x:v>2.5077800576885543e-10</x:v>
      </x:c>
      <x:c r="AA32" s="35" t="n">
        <x:f>(Z34-AA27)*AA23/12</x:f>
        <x:v>2.5077800576885543e-10</x:v>
      </x:c>
      <x:c r="AB32" s="35" t="n">
        <x:f>(AA34-AB27)*AB23/12</x:f>
        <x:v>2.5077800576885543e-10</x:v>
      </x:c>
      <x:c r="AC32" s="35" t="n">
        <x:f>(AB34-AC27)*AC23/12</x:f>
        <x:v>2.5077800576885543e-10</x:v>
      </x:c>
      <x:c r="AD32" s="35" t="n">
        <x:f>(AC34-AD27)*AD23/12</x:f>
        <x:v>2.5077800576885543e-10</x:v>
      </x:c>
      <x:c r="AE32" s="35" t="n">
        <x:f>(AD34-AE27)*AE23/12</x:f>
        <x:v>2.5077800576885543e-10</x:v>
      </x:c>
      <x:c r="AF32" s="35" t="n">
        <x:f>(AE34-AF27)*AF23/12</x:f>
        <x:v>2.5077800576885543e-10</x:v>
      </x:c>
      <x:c r="AG32" s="35" t="n">
        <x:f>(AF34-AG27)*AG23/12</x:f>
        <x:v>2.5077800576885543e-10</x:v>
      </x:c>
      <x:c r="AH32" s="35" t="n">
        <x:f>(AG34-AH27)*AH23/12</x:f>
        <x:v>2.5077800576885543e-10</x:v>
      </x:c>
      <x:c r="AI32" s="35" t="n">
        <x:f>(AH34-AI27)*AI23/12</x:f>
        <x:v>2.5077800576885543e-10</x:v>
      </x:c>
      <x:c r="AJ32" s="35" t="n">
        <x:f>(AI34-AJ27)*AJ23/12</x:f>
        <x:v>2.5077800576885543e-10</x:v>
      </x:c>
      <x:c r="AK32" s="35" t="n">
        <x:f>(AJ34-AK27)*AK23/12</x:f>
        <x:v>2.5077800576885543e-10</x:v>
      </x:c>
      <x:c r="AL32" s="35" t="n">
        <x:f>(AK34-AL27)*AL23/12</x:f>
        <x:v>2.5077800576885543e-10</x:v>
      </x:c>
      <x:c r="AM32" s="35" t="n">
        <x:f>(AL34-AM27)*AM23/12</x:f>
        <x:v>2.5077800576885543e-10</x:v>
      </x:c>
      <x:c r="AN32" s="35" t="n">
        <x:f>(AM34-AN27)*AN23/12</x:f>
        <x:v>2.5077800576885543e-10</x:v>
      </x:c>
      <x:c r="AO32" s="35" t="n">
        <x:f>(AN34-AO27)*AO23/12</x:f>
        <x:v>2.5077800576885543e-10</x:v>
      </x:c>
      <x:c r="AP32" s="35" t="n">
        <x:f>(AO34-AP27)*AP23/12</x:f>
        <x:v>2.5077800576885543e-10</x:v>
      </x:c>
      <x:c r="AQ32" s="2"/>
      <x:c r="AR32" s="2"/>
      <x:c r="AS32" s="2"/>
      <x:c r="AT32" s="2"/>
      <x:c r="AU32" s="2"/>
      <x:c r="AV32" s="2"/>
      <x:c r="AW32" s="2"/>
      <x:c r="AX32" s="2"/>
      <x:c r="AY32" s="2"/>
      <x:c r="AZ32" s="2"/>
      <x:c r="BA32" s="2"/>
      <x:c r="BB32" s="2"/>
      <x:c r="BC32" s="2"/>
      <x:c r="BD32" s="2"/>
      <x:c r="BE32" s="2"/>
      <x:c r="BF32" s="2"/>
      <x:c r="BG32" s="2"/>
      <x:c r="BH32" s="2"/>
      <x:c r="BI32" s="2"/>
      <x:c r="BJ32" s="2"/>
      <x:c r="BK32" s="2"/>
      <x:c r="BL32" s="2"/>
      <x:c r="BM32" s="2"/>
      <x:c r="BN32" s="2"/>
      <x:c r="BO32" s="2"/>
      <x:c r="BP32" s="2"/>
      <x:c r="BQ32" s="2"/>
      <x:c r="BR32" s="2"/>
      <x:c r="BS32" s="2"/>
      <x:c r="BT32" s="2"/>
      <x:c r="BU32" s="2"/>
      <x:c r="BV32" s="2"/>
      <x:c r="BW32" s="2"/>
      <x:c r="BX32" s="2"/>
      <x:c r="BY32" s="2"/>
      <x:c r="BZ32" s="2"/>
      <x:c r="CA32" s="2"/>
      <x:c r="CB32" s="2"/>
      <x:c r="CC32" s="2"/>
      <x:c r="CD32" s="2"/>
      <x:c r="CE32" s="2"/>
      <x:c r="CF32" s="2"/>
      <x:c r="CG32" s="2"/>
      <x:c r="CH32" s="2"/>
      <x:c r="CI32" s="2"/>
      <x:c r="CJ32" s="2"/>
      <x:c r="CK32" s="2"/>
      <x:c r="CL32" s="2"/>
      <x:c r="CM32" s="2"/>
      <x:c r="CN32" s="2"/>
      <x:c r="CO32" s="2"/>
      <x:c r="CP32" s="2"/>
      <x:c r="CQ32" s="2"/>
      <x:c r="CR32" s="2"/>
      <x:c r="CS32" s="2"/>
      <x:c r="CT32" s="2"/>
      <x:c r="CU32" s="2"/>
      <x:c r="CV32" s="2"/>
      <x:c r="CW32" s="2"/>
      <x:c r="CX32" s="2"/>
      <x:c r="CY32" s="2"/>
    </x:row>
    <x:row r="33" ht="19" customHeight="1">
      <x:c r="A33" s="1"/>
      <x:c r="B33" s="1"/>
      <x:c r="C33" s="2" t="str">
        <x:v>New-book revenue</x:v>
      </x:c>
      <x:c r="D33" s="2"/>
      <x:c r="E33" s="35" t="n">
        <x:f>SUMIFS(G33:AP33,$G$6:$AP$6,"&lt;="&amp;'Assumptions'!$E$7)</x:f>
        <x:v>7586429.218291373</x:v>
      </x:c>
      <x:c r="F33" s="2"/>
      <x:c r="G33" s="35" t="n">
        <x:f>G24-G32</x:f>
        <x:v>0</x:v>
      </x:c>
      <x:c r="H33" s="35" t="n">
        <x:f>H24-H32</x:f>
        <x:v>169302.57787249796</x:v>
      </x:c>
      <x:c r="I33" s="35" t="n">
        <x:f>I24-I32</x:f>
        <x:v>263434.9784789342</x:v>
      </x:c>
      <x:c r="J33" s="35" t="n">
        <x:f>J24-J32</x:f>
        <x:v>312735.9449444664</x:v>
      </x:c>
      <x:c r="K33" s="35" t="n">
        <x:f>K24-K32</x:f>
        <x:v>335583.3375347056</x:v>
      </x:c>
      <x:c r="L33" s="35" t="n">
        <x:f>L24-L32</x:f>
        <x:v>342388.01997161953</x:v>
      </x:c>
      <x:c r="M33" s="35" t="n">
        <x:f>M24-M32</x:f>
        <x:v>342388.0199716196</x:v>
      </x:c>
      <x:c r="N33" s="35" t="n">
        <x:f>N24-N32</x:f>
        <x:v>342388.0199716196</x:v>
      </x:c>
      <x:c r="O33" s="35" t="n">
        <x:f>O24-O32</x:f>
        <x:v>342388.0199716196</x:v>
      </x:c>
      <x:c r="P33" s="35" t="n">
        <x:f>P24-P32</x:f>
        <x:v>342388.0199716196</x:v>
      </x:c>
      <x:c r="Q33" s="35" t="n">
        <x:f>Q24-Q32</x:f>
        <x:v>342388.0199716196</x:v>
      </x:c>
      <x:c r="R33" s="35" t="n">
        <x:f>R24-R32</x:f>
        <x:v>342388.0199716196</x:v>
      </x:c>
      <x:c r="S33" s="35" t="n">
        <x:f>S24-S32</x:f>
        <x:v>342388.0199716196</x:v>
      </x:c>
      <x:c r="T33" s="35" t="n">
        <x:f>T24-T32</x:f>
        <x:v>342388.0199716196</x:v>
      </x:c>
      <x:c r="U33" s="35" t="n">
        <x:f>U24-U32</x:f>
        <x:v>342388.0199716196</x:v>
      </x:c>
      <x:c r="V33" s="35" t="n">
        <x:f>V24-V32</x:f>
        <x:v>342388.0199716196</x:v>
      </x:c>
      <x:c r="W33" s="35" t="n">
        <x:f>W24-W32</x:f>
        <x:v>342388.0199716196</x:v>
      </x:c>
      <x:c r="X33" s="35" t="n">
        <x:f>X24-X32</x:f>
        <x:v>342388.0199716196</x:v>
      </x:c>
      <x:c r="Y33" s="35" t="n">
        <x:f>Y24-Y32</x:f>
        <x:v>342388.0199716196</x:v>
      </x:c>
      <x:c r="Z33" s="35" t="n">
        <x:f>Z24-Z32</x:f>
        <x:v>342388.0199716196</x:v>
      </x:c>
      <x:c r="AA33" s="35" t="n">
        <x:f>AA24-AA32</x:f>
        <x:v>342388.0199716196</x:v>
      </x:c>
      <x:c r="AB33" s="35" t="n">
        <x:f>AB24-AB32</x:f>
        <x:v>342388.0199716196</x:v>
      </x:c>
      <x:c r="AC33" s="35" t="n">
        <x:f>AC24-AC32</x:f>
        <x:v>342388.0199716196</x:v>
      </x:c>
      <x:c r="AD33" s="35" t="n">
        <x:f>AD24-AD32</x:f>
        <x:v>342388.0199716196</x:v>
      </x:c>
      <x:c r="AE33" s="35" t="n">
        <x:f>AE24-AE32</x:f>
        <x:v>342388.0199716196</x:v>
      </x:c>
      <x:c r="AF33" s="35" t="n">
        <x:f>AF24-AF32</x:f>
        <x:v>342388.0199716196</x:v>
      </x:c>
      <x:c r="AG33" s="35" t="n">
        <x:f>AG24-AG32</x:f>
        <x:v>342388.0199716196</x:v>
      </x:c>
      <x:c r="AH33" s="35" t="n">
        <x:f>AH24-AH32</x:f>
        <x:v>342388.0199716196</x:v>
      </x:c>
      <x:c r="AI33" s="35" t="n">
        <x:f>AI24-AI32</x:f>
        <x:v>342388.0199716196</x:v>
      </x:c>
      <x:c r="AJ33" s="35" t="n">
        <x:f>AJ24-AJ32</x:f>
        <x:v>342388.0199716196</x:v>
      </x:c>
      <x:c r="AK33" s="35" t="n">
        <x:f>AK24-AK32</x:f>
        <x:v>342388.0199716196</x:v>
      </x:c>
      <x:c r="AL33" s="35" t="n">
        <x:f>AL24-AL32</x:f>
        <x:v>342388.0199716196</x:v>
      </x:c>
      <x:c r="AM33" s="35" t="n">
        <x:f>AM24-AM32</x:f>
        <x:v>342388.0199716196</x:v>
      </x:c>
      <x:c r="AN33" s="35" t="n">
        <x:f>AN24-AN32</x:f>
        <x:v>342388.0199716196</x:v>
      </x:c>
      <x:c r="AO33" s="35" t="n">
        <x:f>AO24-AO32</x:f>
        <x:v>342388.0199716196</x:v>
      </x:c>
      <x:c r="AP33" s="35" t="n">
        <x:f>AP24-AP32</x:f>
        <x:v>342388.0199716196</x:v>
      </x:c>
      <x:c r="AQ33" s="2"/>
      <x:c r="AR33" s="2"/>
      <x:c r="AS33" s="2"/>
      <x:c r="AT33" s="2"/>
      <x:c r="AU33" s="2"/>
      <x:c r="AV33" s="2"/>
      <x:c r="AW33" s="2"/>
      <x:c r="AX33" s="2"/>
      <x:c r="AY33" s="2"/>
      <x:c r="AZ33" s="2"/>
      <x:c r="BA33" s="2"/>
      <x:c r="BB33" s="2"/>
      <x:c r="BC33" s="2"/>
      <x:c r="BD33" s="2"/>
      <x:c r="BE33" s="2"/>
      <x:c r="BF33" s="2"/>
      <x:c r="BG33" s="2"/>
      <x:c r="BH33" s="2"/>
      <x:c r="BI33" s="2"/>
      <x:c r="BJ33" s="2"/>
      <x:c r="BK33" s="2"/>
      <x:c r="BL33" s="2"/>
      <x:c r="BM33" s="2"/>
      <x:c r="BN33" s="2"/>
      <x:c r="BO33" s="2"/>
      <x:c r="BP33" s="2"/>
      <x:c r="BQ33" s="2"/>
      <x:c r="BR33" s="2"/>
      <x:c r="BS33" s="2"/>
      <x:c r="BT33" s="2"/>
      <x:c r="BU33" s="2"/>
      <x:c r="BV33" s="2"/>
      <x:c r="BW33" s="2"/>
      <x:c r="BX33" s="2"/>
      <x:c r="BY33" s="2"/>
      <x:c r="BZ33" s="2"/>
      <x:c r="CA33" s="2"/>
      <x:c r="CB33" s="2"/>
      <x:c r="CC33" s="2"/>
      <x:c r="CD33" s="2"/>
      <x:c r="CE33" s="2"/>
      <x:c r="CF33" s="2"/>
      <x:c r="CG33" s="2"/>
      <x:c r="CH33" s="2"/>
      <x:c r="CI33" s="2"/>
      <x:c r="CJ33" s="2"/>
      <x:c r="CK33" s="2"/>
      <x:c r="CL33" s="2"/>
      <x:c r="CM33" s="2"/>
      <x:c r="CN33" s="2"/>
      <x:c r="CO33" s="2"/>
      <x:c r="CP33" s="2"/>
      <x:c r="CQ33" s="2"/>
      <x:c r="CR33" s="2"/>
      <x:c r="CS33" s="2"/>
      <x:c r="CT33" s="2"/>
      <x:c r="CU33" s="2"/>
      <x:c r="CV33" s="2"/>
      <x:c r="CW33" s="2"/>
      <x:c r="CX33" s="2"/>
      <x:c r="CY33" s="2"/>
    </x:row>
    <x:row r="34" ht="19" customHeight="1">
      <x:c r="A34" s="1"/>
      <x:c r="B34" s="1"/>
      <x:c r="C34" s="2" t="str">
        <x:v>Opening-book ending CLAB</x:v>
      </x:c>
      <x:c r="D34" s="2"/>
      <x:c r="E34" s="35" t="n">
        <x:f>INDEX(G34:AP34,1,'Assumptions'!$E$7)</x:f>
        <x:v>5.471520125865936e-9</x:v>
      </x:c>
      <x:c r="F34" s="2"/>
      <x:c r="G34" s="35" t="n">
        <x:f>$E$44-G27-G29</x:f>
        <x:v>30190432.81291745</x:v>
      </x:c>
      <x:c r="H34" s="35" t="n">
        <x:f>G34-H27-H29</x:f>
        <x:v>11521032.033716412</x:v>
      </x:c>
      <x:c r="I34" s="35" t="n">
        <x:f>H34-I27-I29</x:f>
        <x:v>3793867.6278415974</x:v>
      </x:c>
      <x:c r="J34" s="35" t="n">
        <x:f>I34-J27-J29</x:f>
        <x:v>856656.4631465944</x:v>
      </x:c>
      <x:c r="K34" s="35" t="n">
        <x:f>J34-K27-K29</x:f>
        <x:v>5.471520125865936e-9</x:v>
      </x:c>
      <x:c r="L34" s="35" t="n">
        <x:f>K34-L27-L29</x:f>
        <x:v>5.471520125865936e-9</x:v>
      </x:c>
      <x:c r="M34" s="35" t="n">
        <x:f>L34-M27-M29</x:f>
        <x:v>5.471520125865936e-9</x:v>
      </x:c>
      <x:c r="N34" s="35" t="n">
        <x:f>M34-N27-N29</x:f>
        <x:v>5.471520125865936e-9</x:v>
      </x:c>
      <x:c r="O34" s="35" t="n">
        <x:f>N34-O27-O29</x:f>
        <x:v>5.471520125865936e-9</x:v>
      </x:c>
      <x:c r="P34" s="35" t="n">
        <x:f>O34-P27-P29</x:f>
        <x:v>5.471520125865936e-9</x:v>
      </x:c>
      <x:c r="Q34" s="35" t="n">
        <x:f>P34-Q27-Q29</x:f>
        <x:v>5.471520125865936e-9</x:v>
      </x:c>
      <x:c r="R34" s="35" t="n">
        <x:f>Q34-R27-R29</x:f>
        <x:v>5.471520125865936e-9</x:v>
      </x:c>
      <x:c r="S34" s="35" t="n">
        <x:f>R34-S27-S29</x:f>
        <x:v>5.471520125865936e-9</x:v>
      </x:c>
      <x:c r="T34" s="35" t="n">
        <x:f>S34-T27-T29</x:f>
        <x:v>5.471520125865936e-9</x:v>
      </x:c>
      <x:c r="U34" s="35" t="n">
        <x:f>T34-U27-U29</x:f>
        <x:v>5.471520125865936e-9</x:v>
      </x:c>
      <x:c r="V34" s="35" t="n">
        <x:f>U34-V27-V29</x:f>
        <x:v>5.471520125865936e-9</x:v>
      </x:c>
      <x:c r="W34" s="35" t="n">
        <x:f>V34-W27-W29</x:f>
        <x:v>5.471520125865936e-9</x:v>
      </x:c>
      <x:c r="X34" s="35" t="n">
        <x:f>W34-X27-X29</x:f>
        <x:v>5.471520125865936e-9</x:v>
      </x:c>
      <x:c r="Y34" s="35" t="n">
        <x:f>X34-Y27-Y29</x:f>
        <x:v>5.471520125865936e-9</x:v>
      </x:c>
      <x:c r="Z34" s="35" t="n">
        <x:f>Y34-Z27-Z29</x:f>
        <x:v>5.471520125865936e-9</x:v>
      </x:c>
      <x:c r="AA34" s="35" t="n">
        <x:f>Z34-AA27-AA29</x:f>
        <x:v>5.471520125865936e-9</x:v>
      </x:c>
      <x:c r="AB34" s="35" t="n">
        <x:f>AA34-AB27-AB29</x:f>
        <x:v>5.471520125865936e-9</x:v>
      </x:c>
      <x:c r="AC34" s="35" t="n">
        <x:f>AB34-AC27-AC29</x:f>
        <x:v>5.471520125865936e-9</x:v>
      </x:c>
      <x:c r="AD34" s="35" t="n">
        <x:f>AC34-AD27-AD29</x:f>
        <x:v>5.471520125865936e-9</x:v>
      </x:c>
      <x:c r="AE34" s="35" t="n">
        <x:f>AD34-AE27-AE29</x:f>
        <x:v>5.471520125865936e-9</x:v>
      </x:c>
      <x:c r="AF34" s="35" t="n">
        <x:f>AE34-AF27-AF29</x:f>
        <x:v>5.471520125865936e-9</x:v>
      </x:c>
      <x:c r="AG34" s="35" t="n">
        <x:f>AF34-AG27-AG29</x:f>
        <x:v>5.471520125865936e-9</x:v>
      </x:c>
      <x:c r="AH34" s="35" t="n">
        <x:f>AG34-AH27-AH29</x:f>
        <x:v>5.471520125865936e-9</x:v>
      </x:c>
      <x:c r="AI34" s="35" t="n">
        <x:f>AH34-AI27-AI29</x:f>
        <x:v>5.471520125865936e-9</x:v>
      </x:c>
      <x:c r="AJ34" s="35" t="n">
        <x:f>AI34-AJ27-AJ29</x:f>
        <x:v>5.471520125865936e-9</x:v>
      </x:c>
      <x:c r="AK34" s="35" t="n">
        <x:f>AJ34-AK27-AK29</x:f>
        <x:v>5.471520125865936e-9</x:v>
      </x:c>
      <x:c r="AL34" s="35" t="n">
        <x:f>AK34-AL27-AL29</x:f>
        <x:v>5.471520125865936e-9</x:v>
      </x:c>
      <x:c r="AM34" s="35" t="n">
        <x:f>AL34-AM27-AM29</x:f>
        <x:v>5.471520125865936e-9</x:v>
      </x:c>
      <x:c r="AN34" s="35" t="n">
        <x:f>AM34-AN27-AN29</x:f>
        <x:v>5.471520125865936e-9</x:v>
      </x:c>
      <x:c r="AO34" s="35" t="n">
        <x:f>AN34-AO27-AO29</x:f>
        <x:v>5.471520125865936e-9</x:v>
      </x:c>
      <x:c r="AP34" s="35" t="n">
        <x:f>AO34-AP27-AP29</x:f>
        <x:v>5.471520125865936e-9</x:v>
      </x:c>
      <x:c r="AQ34" s="2"/>
      <x:c r="AR34" s="2"/>
      <x:c r="AS34" s="2"/>
      <x:c r="AT34" s="2"/>
      <x:c r="AU34" s="2"/>
      <x:c r="AV34" s="2"/>
      <x:c r="AW34" s="2"/>
      <x:c r="AX34" s="2"/>
      <x:c r="AY34" s="2"/>
      <x:c r="AZ34" s="2"/>
      <x:c r="BA34" s="2"/>
      <x:c r="BB34" s="2"/>
      <x:c r="BC34" s="2"/>
      <x:c r="BD34" s="2"/>
      <x:c r="BE34" s="2"/>
      <x:c r="BF34" s="2"/>
      <x:c r="BG34" s="2"/>
      <x:c r="BH34" s="2"/>
      <x:c r="BI34" s="2"/>
      <x:c r="BJ34" s="2"/>
      <x:c r="BK34" s="2"/>
      <x:c r="BL34" s="2"/>
      <x:c r="BM34" s="2"/>
      <x:c r="BN34" s="2"/>
      <x:c r="BO34" s="2"/>
      <x:c r="BP34" s="2"/>
      <x:c r="BQ34" s="2"/>
      <x:c r="BR34" s="2"/>
      <x:c r="BS34" s="2"/>
      <x:c r="BT34" s="2"/>
      <x:c r="BU34" s="2"/>
      <x:c r="BV34" s="2"/>
      <x:c r="BW34" s="2"/>
      <x:c r="BX34" s="2"/>
      <x:c r="BY34" s="2"/>
      <x:c r="BZ34" s="2"/>
      <x:c r="CA34" s="2"/>
      <x:c r="CB34" s="2"/>
      <x:c r="CC34" s="2"/>
      <x:c r="CD34" s="2"/>
      <x:c r="CE34" s="2"/>
      <x:c r="CF34" s="2"/>
      <x:c r="CG34" s="2"/>
      <x:c r="CH34" s="2"/>
      <x:c r="CI34" s="2"/>
      <x:c r="CJ34" s="2"/>
      <x:c r="CK34" s="2"/>
      <x:c r="CL34" s="2"/>
      <x:c r="CM34" s="2"/>
      <x:c r="CN34" s="2"/>
      <x:c r="CO34" s="2"/>
      <x:c r="CP34" s="2"/>
      <x:c r="CQ34" s="2"/>
      <x:c r="CR34" s="2"/>
      <x:c r="CS34" s="2"/>
      <x:c r="CT34" s="2"/>
      <x:c r="CU34" s="2"/>
      <x:c r="CV34" s="2"/>
      <x:c r="CW34" s="2"/>
      <x:c r="CX34" s="2"/>
      <x:c r="CY34" s="2"/>
    </x:row>
    <x:row r="35" ht="19" customHeight="1">
      <x:c r="A35" s="1"/>
      <x:c r="B35" s="1"/>
      <x:c r="C35" s="2" t="str">
        <x:v>Gross CLAB check ($)</x:v>
      </x:c>
      <x:c r="D35" s="2"/>
      <x:c r="E35" s="35"/>
      <x:c r="F35" s="2"/>
      <x:c r="G35" s="36" t="n">
        <x:f>G13+G11-G14-G15-G16</x:f>
        <x:v>0</x:v>
      </x:c>
      <x:c r="H35" s="36" t="n">
        <x:f>H13+H11-H14-H15-H16</x:f>
        <x:v>0</x:v>
      </x:c>
      <x:c r="I35" s="36" t="n">
        <x:f>I13+I11-I14-I15-I16</x:f>
        <x:v>0</x:v>
      </x:c>
      <x:c r="J35" s="36" t="n">
        <x:f>J13+J11-J14-J15-J16</x:f>
        <x:v>0</x:v>
      </x:c>
      <x:c r="K35" s="36" t="n">
        <x:f>K13+K11-K14-K15-K16</x:f>
        <x:v>0</x:v>
      </x:c>
      <x:c r="L35" s="36" t="n">
        <x:f>L13+L11-L14-L15-L16</x:f>
        <x:v>0</x:v>
      </x:c>
      <x:c r="M35" s="36" t="n">
        <x:f>M13+M11-M14-M15-M16</x:f>
        <x:v>0</x:v>
      </x:c>
      <x:c r="N35" s="36" t="n">
        <x:f>N13+N11-N14-N15-N16</x:f>
        <x:v>0</x:v>
      </x:c>
      <x:c r="O35" s="36" t="n">
        <x:f>O13+O11-O14-O15-O16</x:f>
        <x:v>0</x:v>
      </x:c>
      <x:c r="P35" s="36" t="n">
        <x:f>P13+P11-P14-P15-P16</x:f>
        <x:v>0</x:v>
      </x:c>
      <x:c r="Q35" s="36" t="n">
        <x:f>Q13+Q11-Q14-Q15-Q16</x:f>
        <x:v>0</x:v>
      </x:c>
      <x:c r="R35" s="36" t="n">
        <x:f>R13+R11-R14-R15-R16</x:f>
        <x:v>0</x:v>
      </x:c>
      <x:c r="S35" s="36" t="n">
        <x:f>S13+S11-S14-S15-S16</x:f>
        <x:v>0</x:v>
      </x:c>
      <x:c r="T35" s="36" t="n">
        <x:f>T13+T11-T14-T15-T16</x:f>
        <x:v>0</x:v>
      </x:c>
      <x:c r="U35" s="36" t="n">
        <x:f>U13+U11-U14-U15-U16</x:f>
        <x:v>0</x:v>
      </x:c>
      <x:c r="V35" s="36" t="n">
        <x:f>V13+V11-V14-V15-V16</x:f>
        <x:v>0</x:v>
      </x:c>
      <x:c r="W35" s="36" t="n">
        <x:f>W13+W11-W14-W15-W16</x:f>
        <x:v>0</x:v>
      </x:c>
      <x:c r="X35" s="36" t="n">
        <x:f>X13+X11-X14-X15-X16</x:f>
        <x:v>0</x:v>
      </x:c>
      <x:c r="Y35" s="36" t="n">
        <x:f>Y13+Y11-Y14-Y15-Y16</x:f>
        <x:v>0</x:v>
      </x:c>
      <x:c r="Z35" s="36" t="n">
        <x:f>Z13+Z11-Z14-Z15-Z16</x:f>
        <x:v>0</x:v>
      </x:c>
      <x:c r="AA35" s="36" t="n">
        <x:f>AA13+AA11-AA14-AA15-AA16</x:f>
        <x:v>0</x:v>
      </x:c>
      <x:c r="AB35" s="36" t="n">
        <x:f>AB13+AB11-AB14-AB15-AB16</x:f>
        <x:v>0</x:v>
      </x:c>
      <x:c r="AC35" s="36" t="n">
        <x:f>AC13+AC11-AC14-AC15-AC16</x:f>
        <x:v>0</x:v>
      </x:c>
      <x:c r="AD35" s="36" t="n">
        <x:f>AD13+AD11-AD14-AD15-AD16</x:f>
        <x:v>0</x:v>
      </x:c>
      <x:c r="AE35" s="36" t="n">
        <x:f>AE13+AE11-AE14-AE15-AE16</x:f>
        <x:v>0</x:v>
      </x:c>
      <x:c r="AF35" s="36" t="n">
        <x:f>AF13+AF11-AF14-AF15-AF16</x:f>
        <x:v>0</x:v>
      </x:c>
      <x:c r="AG35" s="36" t="n">
        <x:f>AG13+AG11-AG14-AG15-AG16</x:f>
        <x:v>0</x:v>
      </x:c>
      <x:c r="AH35" s="36" t="n">
        <x:f>AH13+AH11-AH14-AH15-AH16</x:f>
        <x:v>0</x:v>
      </x:c>
      <x:c r="AI35" s="36" t="n">
        <x:f>AI13+AI11-AI14-AI15-AI16</x:f>
        <x:v>0</x:v>
      </x:c>
      <x:c r="AJ35" s="36" t="n">
        <x:f>AJ13+AJ11-AJ14-AJ15-AJ16</x:f>
        <x:v>0</x:v>
      </x:c>
      <x:c r="AK35" s="36" t="n">
        <x:f>AK13+AK11-AK14-AK15-AK16</x:f>
        <x:v>0</x:v>
      </x:c>
      <x:c r="AL35" s="36" t="n">
        <x:f>AL13+AL11-AL14-AL15-AL16</x:f>
        <x:v>0</x:v>
      </x:c>
      <x:c r="AM35" s="36" t="n">
        <x:f>AM13+AM11-AM14-AM15-AM16</x:f>
        <x:v>0</x:v>
      </x:c>
      <x:c r="AN35" s="36" t="n">
        <x:f>AN13+AN11-AN14-AN15-AN16</x:f>
        <x:v>0</x:v>
      </x:c>
      <x:c r="AO35" s="36" t="n">
        <x:f>AO13+AO11-AO14-AO15-AO16</x:f>
        <x:v>0</x:v>
      </x:c>
      <x:c r="AP35" s="36" t="n">
        <x:f>AP13+AP11-AP14-AP15-AP16</x:f>
        <x:v>0</x:v>
      </x:c>
      <x:c r="AQ35" s="2"/>
      <x:c r="AR35" s="2"/>
      <x:c r="AS35" s="2"/>
      <x:c r="AT35" s="2"/>
      <x:c r="AU35" s="2"/>
      <x:c r="AV35" s="2"/>
      <x:c r="AW35" s="2"/>
      <x:c r="AX35" s="2"/>
      <x:c r="AY35" s="2"/>
      <x:c r="AZ35" s="2"/>
      <x:c r="BA35" s="2"/>
      <x:c r="BB35" s="2"/>
      <x:c r="BC35" s="2"/>
      <x:c r="BD35" s="2"/>
      <x:c r="BE35" s="2"/>
      <x:c r="BF35" s="2"/>
      <x:c r="BG35" s="2"/>
      <x:c r="BH35" s="2"/>
      <x:c r="BI35" s="2"/>
      <x:c r="BJ35" s="2"/>
      <x:c r="BK35" s="2"/>
      <x:c r="BL35" s="2"/>
      <x:c r="BM35" s="2"/>
      <x:c r="BN35" s="2"/>
      <x:c r="BO35" s="2"/>
      <x:c r="BP35" s="2"/>
      <x:c r="BQ35" s="2"/>
      <x:c r="BR35" s="2"/>
      <x:c r="BS35" s="2"/>
      <x:c r="BT35" s="2"/>
      <x:c r="BU35" s="2"/>
      <x:c r="BV35" s="2"/>
      <x:c r="BW35" s="2"/>
      <x:c r="BX35" s="2"/>
      <x:c r="BY35" s="2"/>
      <x:c r="BZ35" s="2"/>
      <x:c r="CA35" s="2"/>
      <x:c r="CB35" s="2"/>
      <x:c r="CC35" s="2"/>
      <x:c r="CD35" s="2"/>
      <x:c r="CE35" s="2"/>
      <x:c r="CF35" s="2"/>
      <x:c r="CG35" s="2"/>
      <x:c r="CH35" s="2"/>
      <x:c r="CI35" s="2"/>
      <x:c r="CJ35" s="2"/>
      <x:c r="CK35" s="2"/>
      <x:c r="CL35" s="2"/>
      <x:c r="CM35" s="2"/>
      <x:c r="CN35" s="2"/>
      <x:c r="CO35" s="2"/>
      <x:c r="CP35" s="2"/>
      <x:c r="CQ35" s="2"/>
      <x:c r="CR35" s="2"/>
      <x:c r="CS35" s="2"/>
      <x:c r="CT35" s="2"/>
      <x:c r="CU35" s="2"/>
      <x:c r="CV35" s="2"/>
      <x:c r="CW35" s="2"/>
      <x:c r="CX35" s="2"/>
      <x:c r="CY35" s="2"/>
    </x:row>
    <x:row r="36" ht="19" customHeight="1">
      <x:c r="A36" s="1"/>
      <x:c r="B36" s="1"/>
      <x:c r="C36" s="2" t="str">
        <x:v>Reserve check ($)</x:v>
      </x:c>
      <x:c r="D36" s="2"/>
      <x:c r="E36" s="35"/>
      <x:c r="F36" s="2"/>
      <x:c r="G36" s="36" t="n">
        <x:f>G18+G19-G15-G20</x:f>
        <x:v>0</x:v>
      </x:c>
      <x:c r="H36" s="36" t="n">
        <x:f>H18+H19-H15-H20</x:f>
        <x:v>0</x:v>
      </x:c>
      <x:c r="I36" s="36" t="n">
        <x:f>I18+I19-I15-I20</x:f>
        <x:v>0</x:v>
      </x:c>
      <x:c r="J36" s="36" t="n">
        <x:f>J18+J19-J15-J20</x:f>
        <x:v>0</x:v>
      </x:c>
      <x:c r="K36" s="36" t="n">
        <x:f>K18+K19-K15-K20</x:f>
        <x:v>0</x:v>
      </x:c>
      <x:c r="L36" s="36" t="n">
        <x:f>L18+L19-L15-L20</x:f>
        <x:v>0</x:v>
      </x:c>
      <x:c r="M36" s="36" t="n">
        <x:f>M18+M19-M15-M20</x:f>
        <x:v>0</x:v>
      </x:c>
      <x:c r="N36" s="36" t="n">
        <x:f>N18+N19-N15-N20</x:f>
        <x:v>0</x:v>
      </x:c>
      <x:c r="O36" s="36" t="n">
        <x:f>O18+O19-O15-O20</x:f>
        <x:v>0</x:v>
      </x:c>
      <x:c r="P36" s="36" t="n">
        <x:f>P18+P19-P15-P20</x:f>
        <x:v>0</x:v>
      </x:c>
      <x:c r="Q36" s="36" t="n">
        <x:f>Q18+Q19-Q15-Q20</x:f>
        <x:v>0</x:v>
      </x:c>
      <x:c r="R36" s="36" t="n">
        <x:f>R18+R19-R15-R20</x:f>
        <x:v>0</x:v>
      </x:c>
      <x:c r="S36" s="36" t="n">
        <x:f>S18+S19-S15-S20</x:f>
        <x:v>0</x:v>
      </x:c>
      <x:c r="T36" s="36" t="n">
        <x:f>T18+T19-T15-T20</x:f>
        <x:v>0</x:v>
      </x:c>
      <x:c r="U36" s="36" t="n">
        <x:f>U18+U19-U15-U20</x:f>
        <x:v>0</x:v>
      </x:c>
      <x:c r="V36" s="36" t="n">
        <x:f>V18+V19-V15-V20</x:f>
        <x:v>0</x:v>
      </x:c>
      <x:c r="W36" s="36" t="n">
        <x:f>W18+W19-W15-W20</x:f>
        <x:v>0</x:v>
      </x:c>
      <x:c r="X36" s="36" t="n">
        <x:f>X18+X19-X15-X20</x:f>
        <x:v>0</x:v>
      </x:c>
      <x:c r="Y36" s="36" t="n">
        <x:f>Y18+Y19-Y15-Y20</x:f>
        <x:v>0</x:v>
      </x:c>
      <x:c r="Z36" s="36" t="n">
        <x:f>Z18+Z19-Z15-Z20</x:f>
        <x:v>0</x:v>
      </x:c>
      <x:c r="AA36" s="36" t="n">
        <x:f>AA18+AA19-AA15-AA20</x:f>
        <x:v>0</x:v>
      </x:c>
      <x:c r="AB36" s="36" t="n">
        <x:f>AB18+AB19-AB15-AB20</x:f>
        <x:v>0</x:v>
      </x:c>
      <x:c r="AC36" s="36" t="n">
        <x:f>AC18+AC19-AC15-AC20</x:f>
        <x:v>0</x:v>
      </x:c>
      <x:c r="AD36" s="36" t="n">
        <x:f>AD18+AD19-AD15-AD20</x:f>
        <x:v>0</x:v>
      </x:c>
      <x:c r="AE36" s="36" t="n">
        <x:f>AE18+AE19-AE15-AE20</x:f>
        <x:v>0</x:v>
      </x:c>
      <x:c r="AF36" s="36" t="n">
        <x:f>AF18+AF19-AF15-AF20</x:f>
        <x:v>0</x:v>
      </x:c>
      <x:c r="AG36" s="36" t="n">
        <x:f>AG18+AG19-AG15-AG20</x:f>
        <x:v>0</x:v>
      </x:c>
      <x:c r="AH36" s="36" t="n">
        <x:f>AH18+AH19-AH15-AH20</x:f>
        <x:v>0</x:v>
      </x:c>
      <x:c r="AI36" s="36" t="n">
        <x:f>AI18+AI19-AI15-AI20</x:f>
        <x:v>0</x:v>
      </x:c>
      <x:c r="AJ36" s="36" t="n">
        <x:f>AJ18+AJ19-AJ15-AJ20</x:f>
        <x:v>0</x:v>
      </x:c>
      <x:c r="AK36" s="36" t="n">
        <x:f>AK18+AK19-AK15-AK20</x:f>
        <x:v>0</x:v>
      </x:c>
      <x:c r="AL36" s="36" t="n">
        <x:f>AL18+AL19-AL15-AL20</x:f>
        <x:v>0</x:v>
      </x:c>
      <x:c r="AM36" s="36" t="n">
        <x:f>AM18+AM19-AM15-AM20</x:f>
        <x:v>0</x:v>
      </x:c>
      <x:c r="AN36" s="36" t="n">
        <x:f>AN18+AN19-AN15-AN20</x:f>
        <x:v>0</x:v>
      </x:c>
      <x:c r="AO36" s="36" t="n">
        <x:f>AO18+AO19-AO15-AO20</x:f>
        <x:v>0</x:v>
      </x:c>
      <x:c r="AP36" s="36" t="n">
        <x:f>AP18+AP19-AP15-AP20</x:f>
        <x:v>0</x:v>
      </x:c>
      <x:c r="AQ36" s="2"/>
      <x:c r="AR36" s="2"/>
      <x:c r="AS36" s="2"/>
      <x:c r="AT36" s="2"/>
      <x:c r="AU36" s="2"/>
      <x:c r="AV36" s="2"/>
      <x:c r="AW36" s="2"/>
      <x:c r="AX36" s="2"/>
      <x:c r="AY36" s="2"/>
      <x:c r="AZ36" s="2"/>
      <x:c r="BA36" s="2"/>
      <x:c r="BB36" s="2"/>
      <x:c r="BC36" s="2"/>
      <x:c r="BD36" s="2"/>
      <x:c r="BE36" s="2"/>
      <x:c r="BF36" s="2"/>
      <x:c r="BG36" s="2"/>
      <x:c r="BH36" s="2"/>
      <x:c r="BI36" s="2"/>
      <x:c r="BJ36" s="2"/>
      <x:c r="BK36" s="2"/>
      <x:c r="BL36" s="2"/>
      <x:c r="BM36" s="2"/>
      <x:c r="BN36" s="2"/>
      <x:c r="BO36" s="2"/>
      <x:c r="BP36" s="2"/>
      <x:c r="BQ36" s="2"/>
      <x:c r="BR36" s="2"/>
      <x:c r="BS36" s="2"/>
      <x:c r="BT36" s="2"/>
      <x:c r="BU36" s="2"/>
      <x:c r="BV36" s="2"/>
      <x:c r="BW36" s="2"/>
      <x:c r="BX36" s="2"/>
      <x:c r="BY36" s="2"/>
      <x:c r="BZ36" s="2"/>
      <x:c r="CA36" s="2"/>
      <x:c r="CB36" s="2"/>
      <x:c r="CC36" s="2"/>
      <x:c r="CD36" s="2"/>
      <x:c r="CE36" s="2"/>
      <x:c r="CF36" s="2"/>
      <x:c r="CG36" s="2"/>
      <x:c r="CH36" s="2"/>
      <x:c r="CI36" s="2"/>
      <x:c r="CJ36" s="2"/>
      <x:c r="CK36" s="2"/>
      <x:c r="CL36" s="2"/>
      <x:c r="CM36" s="2"/>
      <x:c r="CN36" s="2"/>
      <x:c r="CO36" s="2"/>
      <x:c r="CP36" s="2"/>
      <x:c r="CQ36" s="2"/>
      <x:c r="CR36" s="2"/>
      <x:c r="CS36" s="2"/>
      <x:c r="CT36" s="2"/>
      <x:c r="CU36" s="2"/>
      <x:c r="CV36" s="2"/>
      <x:c r="CW36" s="2"/>
      <x:c r="CX36" s="2"/>
      <x:c r="CY36" s="2"/>
    </x:row>
    <x:row r="37" ht="19" customHeight="1">
      <x:c r="A37" s="1"/>
      <x:c r="B37" s="1"/>
      <x:c r="C37" s="2" t="str">
        <x:v>Net revenue check ($)</x:v>
      </x:c>
      <x:c r="D37" s="2"/>
      <x:c r="E37" s="35"/>
      <x:c r="F37" s="2"/>
      <x:c r="G37" s="36" t="n">
        <x:f>G24-G19-G25</x:f>
        <x:v>0</x:v>
      </x:c>
      <x:c r="H37" s="36" t="n">
        <x:f>H24-H19-H25</x:f>
        <x:v>0</x:v>
      </x:c>
      <x:c r="I37" s="36" t="n">
        <x:f>I24-I19-I25</x:f>
        <x:v>0</x:v>
      </x:c>
      <x:c r="J37" s="36" t="n">
        <x:f>J24-J19-J25</x:f>
        <x:v>0</x:v>
      </x:c>
      <x:c r="K37" s="36" t="n">
        <x:f>K24-K19-K25</x:f>
        <x:v>0</x:v>
      </x:c>
      <x:c r="L37" s="36" t="n">
        <x:f>L24-L19-L25</x:f>
        <x:v>0</x:v>
      </x:c>
      <x:c r="M37" s="36" t="n">
        <x:f>M24-M19-M25</x:f>
        <x:v>0</x:v>
      </x:c>
      <x:c r="N37" s="36" t="n">
        <x:f>N24-N19-N25</x:f>
        <x:v>0</x:v>
      </x:c>
      <x:c r="O37" s="36" t="n">
        <x:f>O24-O19-O25</x:f>
        <x:v>0</x:v>
      </x:c>
      <x:c r="P37" s="36" t="n">
        <x:f>P24-P19-P25</x:f>
        <x:v>0</x:v>
      </x:c>
      <x:c r="Q37" s="36" t="n">
        <x:f>Q24-Q19-Q25</x:f>
        <x:v>0</x:v>
      </x:c>
      <x:c r="R37" s="36" t="n">
        <x:f>R24-R19-R25</x:f>
        <x:v>0</x:v>
      </x:c>
      <x:c r="S37" s="36" t="n">
        <x:f>S24-S19-S25</x:f>
        <x:v>0</x:v>
      </x:c>
      <x:c r="T37" s="36" t="n">
        <x:f>T24-T19-T25</x:f>
        <x:v>0</x:v>
      </x:c>
      <x:c r="U37" s="36" t="n">
        <x:f>U24-U19-U25</x:f>
        <x:v>0</x:v>
      </x:c>
      <x:c r="V37" s="36" t="n">
        <x:f>V24-V19-V25</x:f>
        <x:v>0</x:v>
      </x:c>
      <x:c r="W37" s="36" t="n">
        <x:f>W24-W19-W25</x:f>
        <x:v>0</x:v>
      </x:c>
      <x:c r="X37" s="36" t="n">
        <x:f>X24-X19-X25</x:f>
        <x:v>0</x:v>
      </x:c>
      <x:c r="Y37" s="36" t="n">
        <x:f>Y24-Y19-Y25</x:f>
        <x:v>0</x:v>
      </x:c>
      <x:c r="Z37" s="36" t="n">
        <x:f>Z24-Z19-Z25</x:f>
        <x:v>0</x:v>
      </x:c>
      <x:c r="AA37" s="36" t="n">
        <x:f>AA24-AA19-AA25</x:f>
        <x:v>0</x:v>
      </x:c>
      <x:c r="AB37" s="36" t="n">
        <x:f>AB24-AB19-AB25</x:f>
        <x:v>0</x:v>
      </x:c>
      <x:c r="AC37" s="36" t="n">
        <x:f>AC24-AC19-AC25</x:f>
        <x:v>0</x:v>
      </x:c>
      <x:c r="AD37" s="36" t="n">
        <x:f>AD24-AD19-AD25</x:f>
        <x:v>0</x:v>
      </x:c>
      <x:c r="AE37" s="36" t="n">
        <x:f>AE24-AE19-AE25</x:f>
        <x:v>0</x:v>
      </x:c>
      <x:c r="AF37" s="36" t="n">
        <x:f>AF24-AF19-AF25</x:f>
        <x:v>0</x:v>
      </x:c>
      <x:c r="AG37" s="36" t="n">
        <x:f>AG24-AG19-AG25</x:f>
        <x:v>0</x:v>
      </x:c>
      <x:c r="AH37" s="36" t="n">
        <x:f>AH24-AH19-AH25</x:f>
        <x:v>0</x:v>
      </x:c>
      <x:c r="AI37" s="36" t="n">
        <x:f>AI24-AI19-AI25</x:f>
        <x:v>0</x:v>
      </x:c>
      <x:c r="AJ37" s="36" t="n">
        <x:f>AJ24-AJ19-AJ25</x:f>
        <x:v>0</x:v>
      </x:c>
      <x:c r="AK37" s="36" t="n">
        <x:f>AK24-AK19-AK25</x:f>
        <x:v>0</x:v>
      </x:c>
      <x:c r="AL37" s="36" t="n">
        <x:f>AL24-AL19-AL25</x:f>
        <x:v>0</x:v>
      </x:c>
      <x:c r="AM37" s="36" t="n">
        <x:f>AM24-AM19-AM25</x:f>
        <x:v>0</x:v>
      </x:c>
      <x:c r="AN37" s="36" t="n">
        <x:f>AN24-AN19-AN25</x:f>
        <x:v>0</x:v>
      </x:c>
      <x:c r="AO37" s="36" t="n">
        <x:f>AO24-AO19-AO25</x:f>
        <x:v>0</x:v>
      </x:c>
      <x:c r="AP37" s="36" t="n">
        <x:f>AP24-AP19-AP25</x:f>
        <x:v>0</x:v>
      </x:c>
      <x:c r="AQ37" s="2"/>
      <x:c r="AR37" s="2"/>
      <x:c r="AS37" s="2"/>
      <x:c r="AT37" s="2"/>
      <x:c r="AU37" s="2"/>
      <x:c r="AV37" s="2"/>
      <x:c r="AW37" s="2"/>
      <x:c r="AX37" s="2"/>
      <x:c r="AY37" s="2"/>
      <x:c r="AZ37" s="2"/>
      <x:c r="BA37" s="2"/>
      <x:c r="BB37" s="2"/>
      <x:c r="BC37" s="2"/>
      <x:c r="BD37" s="2"/>
      <x:c r="BE37" s="2"/>
      <x:c r="BF37" s="2"/>
      <x:c r="BG37" s="2"/>
      <x:c r="BH37" s="2"/>
      <x:c r="BI37" s="2"/>
      <x:c r="BJ37" s="2"/>
      <x:c r="BK37" s="2"/>
      <x:c r="BL37" s="2"/>
      <x:c r="BM37" s="2"/>
      <x:c r="BN37" s="2"/>
      <x:c r="BO37" s="2"/>
      <x:c r="BP37" s="2"/>
      <x:c r="BQ37" s="2"/>
      <x:c r="BR37" s="2"/>
      <x:c r="BS37" s="2"/>
      <x:c r="BT37" s="2"/>
      <x:c r="BU37" s="2"/>
      <x:c r="BV37" s="2"/>
      <x:c r="BW37" s="2"/>
      <x:c r="BX37" s="2"/>
      <x:c r="BY37" s="2"/>
      <x:c r="BZ37" s="2"/>
      <x:c r="CA37" s="2"/>
      <x:c r="CB37" s="2"/>
      <x:c r="CC37" s="2"/>
      <x:c r="CD37" s="2"/>
      <x:c r="CE37" s="2"/>
      <x:c r="CF37" s="2"/>
      <x:c r="CG37" s="2"/>
      <x:c r="CH37" s="2"/>
      <x:c r="CI37" s="2"/>
      <x:c r="CJ37" s="2"/>
      <x:c r="CK37" s="2"/>
      <x:c r="CL37" s="2"/>
      <x:c r="CM37" s="2"/>
      <x:c r="CN37" s="2"/>
      <x:c r="CO37" s="2"/>
      <x:c r="CP37" s="2"/>
      <x:c r="CQ37" s="2"/>
      <x:c r="CR37" s="2"/>
      <x:c r="CS37" s="2"/>
      <x:c r="CT37" s="2"/>
      <x:c r="CU37" s="2"/>
      <x:c r="CV37" s="2"/>
      <x:c r="CW37" s="2"/>
      <x:c r="CX37" s="2"/>
      <x:c r="CY37" s="2"/>
    </x:row>
    <x:row r="38" ht="19" customHeight="1">
      <x:c r="A38" s="1"/>
      <x:c r="B38" s="1"/>
      <x:c r="C38" s="2"/>
      <x:c r="D38" s="2"/>
      <x:c r="E38" s="2"/>
      <x:c r="F38" s="2"/>
      <x:c r="G38" s="2"/>
      <x:c r="H38" s="2"/>
      <x:c r="I38" s="2"/>
      <x:c r="J38" s="2"/>
      <x:c r="K38" s="2"/>
      <x:c r="L38" s="2"/>
      <x:c r="M38" s="2"/>
      <x:c r="N38" s="2"/>
      <x:c r="O38" s="2"/>
      <x:c r="P38" s="2"/>
      <x:c r="Q38" s="2"/>
      <x:c r="R38" s="2"/>
      <x:c r="S38" s="2"/>
      <x:c r="T38" s="2"/>
      <x:c r="U38" s="2"/>
      <x:c r="V38" s="2"/>
      <x:c r="W38" s="2"/>
      <x:c r="X38" s="2"/>
      <x:c r="Y38" s="2"/>
      <x:c r="Z38" s="2"/>
      <x:c r="AA38" s="2"/>
      <x:c r="AB38" s="2"/>
      <x:c r="AC38" s="2"/>
      <x:c r="AD38" s="2"/>
      <x:c r="AE38" s="2"/>
      <x:c r="AF38" s="2"/>
      <x:c r="AG38" s="2"/>
      <x:c r="AH38" s="2"/>
      <x:c r="AI38" s="2"/>
      <x:c r="AJ38" s="2"/>
      <x:c r="AK38" s="2"/>
      <x:c r="AL38" s="2"/>
      <x:c r="AM38" s="2"/>
      <x:c r="AN38" s="2"/>
      <x:c r="AO38" s="2"/>
      <x:c r="AP38" s="2"/>
      <x:c r="AQ38" s="2"/>
      <x:c r="AR38" s="2"/>
      <x:c r="AS38" s="2"/>
      <x:c r="AT38" s="2"/>
      <x:c r="AU38" s="2"/>
      <x:c r="AV38" s="2"/>
      <x:c r="AW38" s="2"/>
      <x:c r="AX38" s="2"/>
      <x:c r="AY38" s="2"/>
      <x:c r="AZ38" s="2"/>
      <x:c r="BA38" s="2"/>
      <x:c r="BB38" s="2"/>
      <x:c r="BC38" s="2"/>
      <x:c r="BD38" s="2"/>
      <x:c r="BE38" s="2"/>
      <x:c r="BF38" s="2"/>
      <x:c r="BG38" s="2"/>
      <x:c r="BH38" s="2"/>
      <x:c r="BI38" s="2"/>
      <x:c r="BJ38" s="2"/>
      <x:c r="BK38" s="2"/>
      <x:c r="BL38" s="2"/>
      <x:c r="BM38" s="2"/>
      <x:c r="BN38" s="2"/>
      <x:c r="BO38" s="2"/>
      <x:c r="BP38" s="2"/>
      <x:c r="BQ38" s="2"/>
      <x:c r="BR38" s="2"/>
      <x:c r="BS38" s="2"/>
      <x:c r="BT38" s="2"/>
      <x:c r="BU38" s="2"/>
      <x:c r="BV38" s="2"/>
      <x:c r="BW38" s="2"/>
      <x:c r="BX38" s="2"/>
      <x:c r="BY38" s="2"/>
      <x:c r="BZ38" s="2"/>
      <x:c r="CA38" s="2"/>
      <x:c r="CB38" s="2"/>
      <x:c r="CC38" s="2"/>
      <x:c r="CD38" s="2"/>
      <x:c r="CE38" s="2"/>
      <x:c r="CF38" s="2"/>
      <x:c r="CG38" s="2"/>
      <x:c r="CH38" s="2"/>
      <x:c r="CI38" s="2"/>
      <x:c r="CJ38" s="2"/>
      <x:c r="CK38" s="2"/>
      <x:c r="CL38" s="2"/>
      <x:c r="CM38" s="2"/>
      <x:c r="CN38" s="2"/>
      <x:c r="CO38" s="2"/>
      <x:c r="CP38" s="2"/>
      <x:c r="CQ38" s="2"/>
      <x:c r="CR38" s="2"/>
      <x:c r="CS38" s="2"/>
      <x:c r="CT38" s="2"/>
      <x:c r="CU38" s="2"/>
      <x:c r="CV38" s="2"/>
      <x:c r="CW38" s="2"/>
      <x:c r="CX38" s="2"/>
      <x:c r="CY38" s="2"/>
    </x:row>
    <x:row r="39" ht="19" customHeight="1">
      <x:c r="A39" s="1"/>
      <x:c r="B39" s="1"/>
      <x:c r="C39" s="2"/>
      <x:c r="D39" s="2"/>
      <x:c r="E39" s="2"/>
      <x:c r="F39" s="2"/>
      <x:c r="G39" s="2"/>
      <x:c r="H39" s="2"/>
      <x:c r="I39" s="2"/>
      <x:c r="J39" s="2"/>
      <x:c r="K39" s="2"/>
      <x:c r="L39" s="2"/>
      <x:c r="M39" s="2"/>
      <x:c r="N39" s="2"/>
      <x:c r="O39" s="2"/>
      <x:c r="P39" s="2"/>
      <x:c r="Q39" s="2"/>
      <x:c r="R39" s="2"/>
      <x:c r="S39" s="2"/>
      <x:c r="T39" s="2"/>
      <x:c r="U39" s="2"/>
      <x:c r="V39" s="2"/>
      <x:c r="W39" s="2"/>
      <x:c r="X39" s="2"/>
      <x:c r="Y39" s="2"/>
      <x:c r="Z39" s="2"/>
      <x:c r="AA39" s="2"/>
      <x:c r="AB39" s="2"/>
      <x:c r="AC39" s="2"/>
      <x:c r="AD39" s="2"/>
      <x:c r="AE39" s="2"/>
      <x:c r="AF39" s="2"/>
      <x:c r="AG39" s="2"/>
      <x:c r="AH39" s="2"/>
      <x:c r="AI39" s="2"/>
      <x:c r="AJ39" s="2"/>
      <x:c r="AK39" s="2"/>
      <x:c r="AL39" s="2"/>
      <x:c r="AM39" s="2"/>
      <x:c r="AN39" s="2"/>
      <x:c r="AO39" s="2"/>
      <x:c r="AP39" s="2"/>
      <x:c r="AQ39" s="2"/>
      <x:c r="AR39" s="2"/>
      <x:c r="AS39" s="2"/>
      <x:c r="AT39" s="2"/>
      <x:c r="AU39" s="2"/>
      <x:c r="AV39" s="2"/>
      <x:c r="AW39" s="2"/>
      <x:c r="AX39" s="2"/>
      <x:c r="AY39" s="2"/>
      <x:c r="AZ39" s="2"/>
      <x:c r="BA39" s="2"/>
      <x:c r="BB39" s="2"/>
      <x:c r="BC39" s="2"/>
      <x:c r="BD39" s="2"/>
      <x:c r="BE39" s="2"/>
      <x:c r="BF39" s="2"/>
      <x:c r="BG39" s="2"/>
      <x:c r="BH39" s="2"/>
      <x:c r="BI39" s="2"/>
      <x:c r="BJ39" s="2"/>
      <x:c r="BK39" s="2"/>
      <x:c r="BL39" s="2"/>
      <x:c r="BM39" s="2"/>
      <x:c r="BN39" s="2"/>
      <x:c r="BO39" s="2"/>
      <x:c r="BP39" s="2"/>
      <x:c r="BQ39" s="2"/>
      <x:c r="BR39" s="2"/>
      <x:c r="BS39" s="2"/>
      <x:c r="BT39" s="2"/>
      <x:c r="BU39" s="2"/>
      <x:c r="BV39" s="2"/>
      <x:c r="BW39" s="2"/>
      <x:c r="BX39" s="2"/>
      <x:c r="BY39" s="2"/>
      <x:c r="BZ39" s="2"/>
      <x:c r="CA39" s="2"/>
      <x:c r="CB39" s="2"/>
      <x:c r="CC39" s="2"/>
      <x:c r="CD39" s="2"/>
      <x:c r="CE39" s="2"/>
      <x:c r="CF39" s="2"/>
      <x:c r="CG39" s="2"/>
      <x:c r="CH39" s="2"/>
      <x:c r="CI39" s="2"/>
      <x:c r="CJ39" s="2"/>
      <x:c r="CK39" s="2"/>
      <x:c r="CL39" s="2"/>
      <x:c r="CM39" s="2"/>
      <x:c r="CN39" s="2"/>
      <x:c r="CO39" s="2"/>
      <x:c r="CP39" s="2"/>
      <x:c r="CQ39" s="2"/>
      <x:c r="CR39" s="2"/>
      <x:c r="CS39" s="2"/>
      <x:c r="CT39" s="2"/>
      <x:c r="CU39" s="2"/>
      <x:c r="CV39" s="2"/>
      <x:c r="CW39" s="2"/>
      <x:c r="CX39" s="2"/>
      <x:c r="CY39" s="2"/>
    </x:row>
    <x:row r="40" ht="19" customHeight="1">
      <x:c r="A40" s="1"/>
      <x:c r="B40" s="1"/>
      <x:c r="C40" s="2" t="str">
        <x:v>Applied default rate</x:v>
      </x:c>
      <x:c r="D40" s="2"/>
      <x:c r="E40" s="22" t="n">
        <x:f>'Assumptions'!F58</x:f>
        <x:v>0.36</x:v>
      </x:c>
      <x:c r="F40" s="2"/>
      <x:c r="G40" s="2"/>
      <x:c r="H40" s="2"/>
      <x:c r="I40" s="2"/>
      <x:c r="J40" s="2"/>
      <x:c r="K40" s="2"/>
      <x:c r="L40" s="2"/>
      <x:c r="M40" s="2"/>
      <x:c r="N40" s="2"/>
      <x:c r="O40" s="2"/>
      <x:c r="P40" s="2"/>
      <x:c r="Q40" s="2"/>
      <x:c r="R40" s="2"/>
      <x:c r="S40" s="2"/>
      <x:c r="T40" s="2"/>
      <x:c r="U40" s="2"/>
      <x:c r="V40" s="2"/>
      <x:c r="W40" s="2"/>
      <x:c r="X40" s="2"/>
      <x:c r="Y40" s="2"/>
      <x:c r="Z40" s="2"/>
      <x:c r="AA40" s="2"/>
      <x:c r="AB40" s="2"/>
      <x:c r="AC40" s="2"/>
      <x:c r="AD40" s="2"/>
      <x:c r="AE40" s="2"/>
      <x:c r="AF40" s="2"/>
      <x:c r="AG40" s="2"/>
      <x:c r="AH40" s="2"/>
      <x:c r="AI40" s="2"/>
      <x:c r="AJ40" s="2"/>
      <x:c r="AK40" s="2"/>
      <x:c r="AL40" s="2"/>
      <x:c r="AM40" s="2"/>
      <x:c r="AN40" s="2"/>
      <x:c r="AO40" s="2"/>
      <x:c r="AP40" s="2"/>
      <x:c r="AQ40" s="2"/>
      <x:c r="AR40" s="2"/>
      <x:c r="AS40" s="2"/>
      <x:c r="AT40" s="2"/>
      <x:c r="AU40" s="2"/>
      <x:c r="AV40" s="2"/>
      <x:c r="AW40" s="2"/>
      <x:c r="AX40" s="2"/>
      <x:c r="AY40" s="2"/>
      <x:c r="AZ40" s="2"/>
      <x:c r="BA40" s="2"/>
      <x:c r="BB40" s="2"/>
      <x:c r="BC40" s="2"/>
      <x:c r="BD40" s="2"/>
      <x:c r="BE40" s="2"/>
      <x:c r="BF40" s="2"/>
      <x:c r="BG40" s="2"/>
      <x:c r="BH40" s="2"/>
      <x:c r="BI40" s="2"/>
      <x:c r="BJ40" s="2"/>
      <x:c r="BK40" s="2"/>
      <x:c r="BL40" s="2"/>
      <x:c r="BM40" s="2"/>
      <x:c r="BN40" s="2"/>
      <x:c r="BO40" s="2"/>
      <x:c r="BP40" s="2"/>
      <x:c r="BQ40" s="2"/>
      <x:c r="BR40" s="2"/>
      <x:c r="BS40" s="2"/>
      <x:c r="BT40" s="2"/>
      <x:c r="BU40" s="2"/>
      <x:c r="BV40" s="2"/>
      <x:c r="BW40" s="2"/>
      <x:c r="BX40" s="2"/>
      <x:c r="BY40" s="2"/>
      <x:c r="BZ40" s="2"/>
      <x:c r="CA40" s="2"/>
      <x:c r="CB40" s="2"/>
      <x:c r="CC40" s="2"/>
      <x:c r="CD40" s="2"/>
      <x:c r="CE40" s="2"/>
      <x:c r="CF40" s="2"/>
      <x:c r="CG40" s="2"/>
      <x:c r="CH40" s="2"/>
      <x:c r="CI40" s="2"/>
      <x:c r="CJ40" s="2"/>
      <x:c r="CK40" s="2"/>
      <x:c r="CL40" s="2"/>
      <x:c r="CM40" s="2"/>
      <x:c r="CN40" s="2"/>
      <x:c r="CO40" s="2"/>
      <x:c r="CP40" s="2"/>
      <x:c r="CQ40" s="2"/>
      <x:c r="CR40" s="2"/>
      <x:c r="CS40" s="2"/>
      <x:c r="CT40" s="2"/>
      <x:c r="CU40" s="2"/>
      <x:c r="CV40" s="2"/>
      <x:c r="CW40" s="2"/>
      <x:c r="CX40" s="2"/>
      <x:c r="CY40" s="2"/>
    </x:row>
    <x:row r="41" ht="19" customHeight="1">
      <x:c r="A41" s="1"/>
      <x:c r="B41" s="1"/>
      <x:c r="C41" s="2" t="str">
        <x:v>Applied midpoint</x:v>
      </x:c>
      <x:c r="D41" s="2"/>
      <x:c r="E41" s="24" t="n">
        <x:f>'Assumptions'!F59</x:f>
        <x:v>5</x:v>
      </x:c>
      <x:c r="F41" s="2"/>
      <x:c r="G41" s="2"/>
      <x:c r="H41" s="2"/>
      <x:c r="I41" s="2"/>
      <x:c r="J41" s="2"/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  <x:c r="AA41" s="2"/>
      <x:c r="AB41" s="2"/>
      <x:c r="AC41" s="2"/>
      <x:c r="AD41" s="2"/>
      <x:c r="AE41" s="2"/>
      <x:c r="AF41" s="2"/>
      <x:c r="AG41" s="2"/>
      <x:c r="AH41" s="2"/>
      <x:c r="AI41" s="2"/>
      <x:c r="AJ41" s="2"/>
      <x:c r="AK41" s="2"/>
      <x:c r="AL41" s="2"/>
      <x:c r="AM41" s="2"/>
      <x:c r="AN41" s="2"/>
      <x:c r="AO41" s="2"/>
      <x:c r="AP41" s="2"/>
      <x:c r="AQ41" s="2"/>
      <x:c r="AR41" s="2"/>
      <x:c r="AS41" s="2"/>
      <x:c r="AT41" s="2"/>
      <x:c r="AU41" s="2"/>
      <x:c r="AV41" s="2"/>
      <x:c r="AW41" s="2"/>
      <x:c r="AX41" s="2"/>
      <x:c r="AY41" s="2"/>
      <x:c r="AZ41" s="2"/>
      <x:c r="BA41" s="2"/>
      <x:c r="BB41" s="2"/>
      <x:c r="BC41" s="2"/>
      <x:c r="BD41" s="2"/>
      <x:c r="BE41" s="2"/>
      <x:c r="BF41" s="2"/>
      <x:c r="BG41" s="2"/>
      <x:c r="BH41" s="2"/>
      <x:c r="BI41" s="2"/>
      <x:c r="BJ41" s="2"/>
      <x:c r="BK41" s="2"/>
      <x:c r="BL41" s="2"/>
      <x:c r="BM41" s="2"/>
      <x:c r="BN41" s="2"/>
      <x:c r="BO41" s="2"/>
      <x:c r="BP41" s="2"/>
      <x:c r="BQ41" s="2"/>
      <x:c r="BR41" s="2"/>
      <x:c r="BS41" s="2"/>
      <x:c r="BT41" s="2"/>
      <x:c r="BU41" s="2"/>
      <x:c r="BV41" s="2"/>
      <x:c r="BW41" s="2"/>
      <x:c r="BX41" s="2"/>
      <x:c r="BY41" s="2"/>
      <x:c r="BZ41" s="2"/>
      <x:c r="CA41" s="2"/>
      <x:c r="CB41" s="2"/>
      <x:c r="CC41" s="2"/>
      <x:c r="CD41" s="2"/>
      <x:c r="CE41" s="2"/>
      <x:c r="CF41" s="2"/>
      <x:c r="CG41" s="2"/>
      <x:c r="CH41" s="2"/>
      <x:c r="CI41" s="2"/>
      <x:c r="CJ41" s="2"/>
      <x:c r="CK41" s="2"/>
      <x:c r="CL41" s="2"/>
      <x:c r="CM41" s="2"/>
      <x:c r="CN41" s="2"/>
      <x:c r="CO41" s="2"/>
      <x:c r="CP41" s="2"/>
      <x:c r="CQ41" s="2"/>
      <x:c r="CR41" s="2"/>
      <x:c r="CS41" s="2"/>
      <x:c r="CT41" s="2"/>
      <x:c r="CU41" s="2"/>
      <x:c r="CV41" s="2"/>
      <x:c r="CW41" s="2"/>
      <x:c r="CX41" s="2"/>
      <x:c r="CY41" s="2"/>
    </x:row>
    <x:row r="42" ht="19" customHeight="1">
      <x:c r="A42" s="1"/>
      <x:c r="B42" s="1"/>
      <x:c r="C42" s="2" t="str">
        <x:v>Monthly contractual rate</x:v>
      </x:c>
      <x:c r="D42" s="2"/>
      <x:c r="E42" s="22" t="n">
        <x:f>'Assumptions'!F15/12</x:f>
        <x:v>0.04583333333333334</x:v>
      </x:c>
      <x:c r="F42" s="2"/>
      <x:c r="G42" s="2"/>
      <x:c r="H42" s="2"/>
      <x:c r="I42" s="2"/>
      <x:c r="J42" s="2"/>
      <x:c r="K42" s="2"/>
      <x:c r="L42" s="2"/>
      <x:c r="M42" s="2"/>
      <x:c r="N42" s="2"/>
      <x:c r="O42" s="2"/>
      <x:c r="P42" s="2"/>
      <x:c r="Q42" s="2"/>
      <x:c r="R42" s="2"/>
      <x:c r="S42" s="2"/>
      <x:c r="T42" s="2"/>
      <x:c r="U42" s="2"/>
      <x:c r="V42" s="2"/>
      <x:c r="W42" s="2"/>
      <x:c r="X42" s="2"/>
      <x:c r="Y42" s="2"/>
      <x:c r="Z42" s="2"/>
      <x:c r="AA42" s="2"/>
      <x:c r="AB42" s="2"/>
      <x:c r="AC42" s="2"/>
      <x:c r="AD42" s="2"/>
      <x:c r="AE42" s="2"/>
      <x:c r="AF42" s="2"/>
      <x:c r="AG42" s="2"/>
      <x:c r="AH42" s="2"/>
      <x:c r="AI42" s="2"/>
      <x:c r="AJ42" s="2"/>
      <x:c r="AK42" s="2"/>
      <x:c r="AL42" s="2"/>
      <x:c r="AM42" s="2"/>
      <x:c r="AN42" s="2"/>
      <x:c r="AO42" s="2"/>
      <x:c r="AP42" s="2"/>
      <x:c r="AQ42" s="2"/>
      <x:c r="AR42" s="2"/>
      <x:c r="AS42" s="2"/>
      <x:c r="AT42" s="2"/>
      <x:c r="AU42" s="2"/>
      <x:c r="AV42" s="2"/>
      <x:c r="AW42" s="2"/>
      <x:c r="AX42" s="2"/>
      <x:c r="AY42" s="2"/>
      <x:c r="AZ42" s="2"/>
      <x:c r="BA42" s="2"/>
      <x:c r="BB42" s="2"/>
      <x:c r="BC42" s="2"/>
      <x:c r="BD42" s="2"/>
      <x:c r="BE42" s="2"/>
      <x:c r="BF42" s="2"/>
      <x:c r="BG42" s="2"/>
      <x:c r="BH42" s="2"/>
      <x:c r="BI42" s="2"/>
      <x:c r="BJ42" s="2"/>
      <x:c r="BK42" s="2"/>
      <x:c r="BL42" s="2"/>
      <x:c r="BM42" s="2"/>
      <x:c r="BN42" s="2"/>
      <x:c r="BO42" s="2"/>
      <x:c r="BP42" s="2"/>
      <x:c r="BQ42" s="2"/>
      <x:c r="BR42" s="2"/>
      <x:c r="BS42" s="2"/>
      <x:c r="BT42" s="2"/>
      <x:c r="BU42" s="2"/>
      <x:c r="BV42" s="2"/>
      <x:c r="BW42" s="2"/>
      <x:c r="BX42" s="2"/>
      <x:c r="BY42" s="2"/>
      <x:c r="BZ42" s="2"/>
      <x:c r="CA42" s="2"/>
      <x:c r="CB42" s="2"/>
      <x:c r="CC42" s="2"/>
      <x:c r="CD42" s="2"/>
      <x:c r="CE42" s="2"/>
      <x:c r="CF42" s="2"/>
      <x:c r="CG42" s="2"/>
      <x:c r="CH42" s="2"/>
      <x:c r="CI42" s="2"/>
      <x:c r="CJ42" s="2"/>
      <x:c r="CK42" s="2"/>
      <x:c r="CL42" s="2"/>
      <x:c r="CM42" s="2"/>
      <x:c r="CN42" s="2"/>
      <x:c r="CO42" s="2"/>
      <x:c r="CP42" s="2"/>
      <x:c r="CQ42" s="2"/>
      <x:c r="CR42" s="2"/>
      <x:c r="CS42" s="2"/>
      <x:c r="CT42" s="2"/>
      <x:c r="CU42" s="2"/>
      <x:c r="CV42" s="2"/>
      <x:c r="CW42" s="2"/>
      <x:c r="CX42" s="2"/>
      <x:c r="CY42" s="2"/>
    </x:row>
    <x:row r="43" ht="19" customHeight="1">
      <x:c r="A43" s="1"/>
      <x:c r="B43" s="1"/>
      <x:c r="C43" s="2" t="str">
        <x:v>Term</x:v>
      </x:c>
      <x:c r="D43" s="2"/>
      <x:c r="E43" s="4" t="n">
        <x:f>'Assumptions'!F16</x:f>
        <x:v>24</x:v>
      </x:c>
      <x:c r="F43" s="2"/>
      <x:c r="G43" s="2"/>
      <x:c r="H43" s="2"/>
      <x:c r="I43" s="2"/>
      <x:c r="J43" s="2"/>
      <x:c r="K43" s="2"/>
      <x:c r="L43" s="2"/>
      <x:c r="M43" s="2"/>
      <x:c r="N43" s="2"/>
      <x:c r="O43" s="2"/>
      <x:c r="P43" s="2"/>
      <x:c r="Q43" s="2"/>
      <x:c r="R43" s="2"/>
      <x:c r="S43" s="2"/>
      <x:c r="T43" s="2"/>
      <x:c r="U43" s="2"/>
      <x:c r="V43" s="2"/>
      <x:c r="W43" s="2"/>
      <x:c r="X43" s="2"/>
      <x:c r="Y43" s="2"/>
      <x:c r="Z43" s="2"/>
      <x:c r="AA43" s="2"/>
      <x:c r="AB43" s="2"/>
      <x:c r="AC43" s="2"/>
      <x:c r="AD43" s="2"/>
      <x:c r="AE43" s="2"/>
      <x:c r="AF43" s="2"/>
      <x:c r="AG43" s="2"/>
      <x:c r="AH43" s="2"/>
      <x:c r="AI43" s="2"/>
      <x:c r="AJ43" s="2"/>
      <x:c r="AK43" s="2"/>
      <x:c r="AL43" s="2"/>
      <x:c r="AM43" s="2"/>
      <x:c r="AN43" s="2"/>
      <x:c r="AO43" s="2"/>
      <x:c r="AP43" s="2"/>
      <x:c r="AQ43" s="2"/>
      <x:c r="AR43" s="2"/>
      <x:c r="AS43" s="2"/>
      <x:c r="AT43" s="2"/>
      <x:c r="AU43" s="2"/>
      <x:c r="AV43" s="2"/>
      <x:c r="AW43" s="2"/>
      <x:c r="AX43" s="2"/>
      <x:c r="AY43" s="2"/>
      <x:c r="AZ43" s="2"/>
      <x:c r="BA43" s="2"/>
      <x:c r="BB43" s="2"/>
      <x:c r="BC43" s="2"/>
      <x:c r="BD43" s="2"/>
      <x:c r="BE43" s="2"/>
      <x:c r="BF43" s="2"/>
      <x:c r="BG43" s="2"/>
      <x:c r="BH43" s="2"/>
      <x:c r="BI43" s="2"/>
      <x:c r="BJ43" s="2"/>
      <x:c r="BK43" s="2"/>
      <x:c r="BL43" s="2"/>
      <x:c r="BM43" s="2"/>
      <x:c r="BN43" s="2"/>
      <x:c r="BO43" s="2"/>
      <x:c r="BP43" s="2"/>
      <x:c r="BQ43" s="2"/>
      <x:c r="BR43" s="2"/>
      <x:c r="BS43" s="2"/>
      <x:c r="BT43" s="2"/>
      <x:c r="BU43" s="2"/>
      <x:c r="BV43" s="2"/>
      <x:c r="BW43" s="2"/>
      <x:c r="BX43" s="2"/>
      <x:c r="BY43" s="2"/>
      <x:c r="BZ43" s="2"/>
      <x:c r="CA43" s="2"/>
      <x:c r="CB43" s="2"/>
      <x:c r="CC43" s="2"/>
      <x:c r="CD43" s="2"/>
      <x:c r="CE43" s="2"/>
      <x:c r="CF43" s="2"/>
      <x:c r="CG43" s="2"/>
      <x:c r="CH43" s="2"/>
      <x:c r="CI43" s="2"/>
      <x:c r="CJ43" s="2"/>
      <x:c r="CK43" s="2"/>
      <x:c r="CL43" s="2"/>
      <x:c r="CM43" s="2"/>
      <x:c r="CN43" s="2"/>
      <x:c r="CO43" s="2"/>
      <x:c r="CP43" s="2"/>
      <x:c r="CQ43" s="2"/>
      <x:c r="CR43" s="2"/>
      <x:c r="CS43" s="2"/>
      <x:c r="CT43" s="2"/>
      <x:c r="CU43" s="2"/>
      <x:c r="CV43" s="2"/>
      <x:c r="CW43" s="2"/>
      <x:c r="CX43" s="2"/>
      <x:c r="CY43" s="2"/>
    </x:row>
    <x:row r="44" ht="19" customHeight="1">
      <x:c r="A44" s="1"/>
      <x:c r="B44" s="1"/>
      <x:c r="C44" s="2" t="str">
        <x:v>Opening gross CLAB</x:v>
      </x:c>
      <x:c r="D44" s="2"/>
      <x:c r="E44" s="25" t="n">
        <x:f>'Assumptions'!F17*'Assumptions'!$E$30</x:f>
        <x:v>76679999.99999999</x:v>
      </x:c>
      <x:c r="F44" s="2"/>
      <x:c r="G44" s="2"/>
      <x:c r="H44" s="2"/>
      <x:c r="I44" s="2"/>
      <x:c r="J44" s="2"/>
      <x:c r="K44" s="2"/>
      <x:c r="L44" s="2"/>
      <x:c r="M44" s="2"/>
      <x:c r="N44" s="2"/>
      <x:c r="O44" s="2"/>
      <x:c r="P44" s="2"/>
      <x:c r="Q44" s="2"/>
      <x:c r="R44" s="2"/>
      <x:c r="S44" s="2"/>
      <x:c r="T44" s="2"/>
      <x:c r="U44" s="2"/>
      <x:c r="V44" s="2"/>
      <x:c r="W44" s="2"/>
      <x:c r="X44" s="2"/>
      <x:c r="Y44" s="2"/>
      <x:c r="Z44" s="2"/>
      <x:c r="AA44" s="2"/>
      <x:c r="AB44" s="2"/>
      <x:c r="AC44" s="2"/>
      <x:c r="AD44" s="2"/>
      <x:c r="AE44" s="2"/>
      <x:c r="AF44" s="2"/>
      <x:c r="AG44" s="2"/>
      <x:c r="AH44" s="2"/>
      <x:c r="AI44" s="2"/>
      <x:c r="AJ44" s="2"/>
      <x:c r="AK44" s="2"/>
      <x:c r="AL44" s="2"/>
      <x:c r="AM44" s="2"/>
      <x:c r="AN44" s="2"/>
      <x:c r="AO44" s="2"/>
      <x:c r="AP44" s="2"/>
      <x:c r="AQ44" s="2"/>
      <x:c r="AR44" s="2"/>
      <x:c r="AS44" s="2"/>
      <x:c r="AT44" s="2"/>
      <x:c r="AU44" s="2"/>
      <x:c r="AV44" s="2"/>
      <x:c r="AW44" s="2"/>
      <x:c r="AX44" s="2"/>
      <x:c r="AY44" s="2"/>
      <x:c r="AZ44" s="2"/>
      <x:c r="BA44" s="2"/>
      <x:c r="BB44" s="2"/>
      <x:c r="BC44" s="2"/>
      <x:c r="BD44" s="2"/>
      <x:c r="BE44" s="2"/>
      <x:c r="BF44" s="2"/>
      <x:c r="BG44" s="2"/>
      <x:c r="BH44" s="2"/>
      <x:c r="BI44" s="2"/>
      <x:c r="BJ44" s="2"/>
      <x:c r="BK44" s="2"/>
      <x:c r="BL44" s="2"/>
      <x:c r="BM44" s="2"/>
      <x:c r="BN44" s="2"/>
      <x:c r="BO44" s="2"/>
      <x:c r="BP44" s="2"/>
      <x:c r="BQ44" s="2"/>
      <x:c r="BR44" s="2"/>
      <x:c r="BS44" s="2"/>
      <x:c r="BT44" s="2"/>
      <x:c r="BU44" s="2"/>
      <x:c r="BV44" s="2"/>
      <x:c r="BW44" s="2"/>
      <x:c r="BX44" s="2"/>
      <x:c r="BY44" s="2"/>
      <x:c r="BZ44" s="2"/>
      <x:c r="CA44" s="2"/>
      <x:c r="CB44" s="2"/>
      <x:c r="CC44" s="2"/>
      <x:c r="CD44" s="2"/>
      <x:c r="CE44" s="2"/>
      <x:c r="CF44" s="2"/>
      <x:c r="CG44" s="2"/>
      <x:c r="CH44" s="2"/>
      <x:c r="CI44" s="2"/>
      <x:c r="CJ44" s="2"/>
      <x:c r="CK44" s="2"/>
      <x:c r="CL44" s="2"/>
      <x:c r="CM44" s="2"/>
      <x:c r="CN44" s="2"/>
      <x:c r="CO44" s="2"/>
      <x:c r="CP44" s="2"/>
      <x:c r="CQ44" s="2"/>
      <x:c r="CR44" s="2"/>
      <x:c r="CS44" s="2"/>
      <x:c r="CT44" s="2"/>
      <x:c r="CU44" s="2"/>
      <x:c r="CV44" s="2"/>
      <x:c r="CW44" s="2"/>
      <x:c r="CX44" s="2"/>
      <x:c r="CY44" s="2"/>
    </x:row>
    <x:row r="45" ht="19" customHeight="1">
      <x:c r="A45" s="1"/>
      <x:c r="B45" s="1"/>
      <x:c r="C45" s="2" t="str">
        <x:v>Single cohort age</x:v>
      </x:c>
      <x:c r="D45" s="2"/>
      <x:c r="E45" s="4" t="n">
        <x:f>'Assumptions'!F19</x:f>
        <x:v>6</x:v>
      </x:c>
      <x:c r="F45" s="2"/>
      <x:c r="G45" s="2"/>
      <x:c r="H45" s="2"/>
      <x:c r="I45" s="2"/>
      <x:c r="J45" s="2"/>
      <x:c r="K45" s="2"/>
      <x:c r="L45" s="2"/>
      <x:c r="M45" s="2"/>
      <x:c r="N45" s="2"/>
      <x:c r="O45" s="2"/>
      <x:c r="P45" s="2"/>
      <x:c r="Q45" s="2"/>
      <x:c r="R45" s="2"/>
      <x:c r="S45" s="2"/>
      <x:c r="T45" s="2"/>
      <x:c r="U45" s="2"/>
      <x:c r="V45" s="2"/>
      <x:c r="W45" s="2"/>
      <x:c r="X45" s="2"/>
      <x:c r="Y45" s="2"/>
      <x:c r="Z45" s="2"/>
      <x:c r="AA45" s="2"/>
      <x:c r="AB45" s="2"/>
      <x:c r="AC45" s="2"/>
      <x:c r="AD45" s="2"/>
      <x:c r="AE45" s="2"/>
      <x:c r="AF45" s="2"/>
      <x:c r="AG45" s="2"/>
      <x:c r="AH45" s="2"/>
      <x:c r="AI45" s="2"/>
      <x:c r="AJ45" s="2"/>
      <x:c r="AK45" s="2"/>
      <x:c r="AL45" s="2"/>
      <x:c r="AM45" s="2"/>
      <x:c r="AN45" s="2"/>
      <x:c r="AO45" s="2"/>
      <x:c r="AP45" s="2"/>
      <x:c r="AQ45" s="2"/>
      <x:c r="AR45" s="2"/>
      <x:c r="AS45" s="2"/>
      <x:c r="AT45" s="2"/>
      <x:c r="AU45" s="2"/>
      <x:c r="AV45" s="2"/>
      <x:c r="AW45" s="2"/>
      <x:c r="AX45" s="2"/>
      <x:c r="AY45" s="2"/>
      <x:c r="AZ45" s="2"/>
      <x:c r="BA45" s="2"/>
      <x:c r="BB45" s="2"/>
      <x:c r="BC45" s="2"/>
      <x:c r="BD45" s="2"/>
      <x:c r="BE45" s="2"/>
      <x:c r="BF45" s="2"/>
      <x:c r="BG45" s="2"/>
      <x:c r="BH45" s="2"/>
      <x:c r="BI45" s="2"/>
      <x:c r="BJ45" s="2"/>
      <x:c r="BK45" s="2"/>
      <x:c r="BL45" s="2"/>
      <x:c r="BM45" s="2"/>
      <x:c r="BN45" s="2"/>
      <x:c r="BO45" s="2"/>
      <x:c r="BP45" s="2"/>
      <x:c r="BQ45" s="2"/>
      <x:c r="BR45" s="2"/>
      <x:c r="BS45" s="2"/>
      <x:c r="BT45" s="2"/>
      <x:c r="BU45" s="2"/>
      <x:c r="BV45" s="2"/>
      <x:c r="BW45" s="2"/>
      <x:c r="BX45" s="2"/>
      <x:c r="BY45" s="2"/>
      <x:c r="BZ45" s="2"/>
      <x:c r="CA45" s="2"/>
      <x:c r="CB45" s="2"/>
      <x:c r="CC45" s="2"/>
      <x:c r="CD45" s="2"/>
      <x:c r="CE45" s="2"/>
      <x:c r="CF45" s="2"/>
      <x:c r="CG45" s="2"/>
      <x:c r="CH45" s="2"/>
      <x:c r="CI45" s="2"/>
      <x:c r="CJ45" s="2"/>
      <x:c r="CK45" s="2"/>
      <x:c r="CL45" s="2"/>
      <x:c r="CM45" s="2"/>
      <x:c r="CN45" s="2"/>
      <x:c r="CO45" s="2"/>
      <x:c r="CP45" s="2"/>
      <x:c r="CQ45" s="2"/>
      <x:c r="CR45" s="2"/>
      <x:c r="CS45" s="2"/>
      <x:c r="CT45" s="2"/>
      <x:c r="CU45" s="2"/>
      <x:c r="CV45" s="2"/>
      <x:c r="CW45" s="2"/>
      <x:c r="CX45" s="2"/>
      <x:c r="CY45" s="2"/>
    </x:row>
    <x:row r="46" ht="19" customHeight="1">
      <x:c r="A46" s="1"/>
      <x:c r="B46" s="1"/>
      <x:c r="C46" s="2" t="str">
        <x:v>Age mix</x:v>
      </x:c>
      <x:c r="D46" s="2"/>
      <x:c r="E46" s="4" t="n">
        <x:f>'Assumptions'!F18</x:f>
        <x:v>0</x:v>
      </x:c>
      <x:c r="F46" s="2"/>
      <x:c r="G46" s="2"/>
      <x:c r="H46" s="2"/>
      <x:c r="I46" s="2"/>
      <x:c r="J46" s="2"/>
      <x:c r="K46" s="2"/>
      <x:c r="L46" s="2"/>
      <x:c r="M46" s="2"/>
      <x:c r="N46" s="2"/>
      <x:c r="O46" s="2"/>
      <x:c r="P46" s="2"/>
      <x:c r="Q46" s="2"/>
      <x:c r="R46" s="2"/>
      <x:c r="S46" s="2"/>
      <x:c r="T46" s="2"/>
      <x:c r="U46" s="2"/>
      <x:c r="V46" s="2"/>
      <x:c r="W46" s="2"/>
      <x:c r="X46" s="2"/>
      <x:c r="Y46" s="2"/>
      <x:c r="Z46" s="2"/>
      <x:c r="AA46" s="2"/>
      <x:c r="AB46" s="2"/>
      <x:c r="AC46" s="2"/>
      <x:c r="AD46" s="2"/>
      <x:c r="AE46" s="2"/>
      <x:c r="AF46" s="2"/>
      <x:c r="AG46" s="2"/>
      <x:c r="AH46" s="2"/>
      <x:c r="AI46" s="2"/>
      <x:c r="AJ46" s="2"/>
      <x:c r="AK46" s="2"/>
      <x:c r="AL46" s="2"/>
      <x:c r="AM46" s="2"/>
      <x:c r="AN46" s="2"/>
      <x:c r="AO46" s="2"/>
      <x:c r="AP46" s="2"/>
      <x:c r="AQ46" s="2"/>
      <x:c r="AR46" s="2"/>
      <x:c r="AS46" s="2"/>
      <x:c r="AT46" s="2"/>
      <x:c r="AU46" s="2"/>
      <x:c r="AV46" s="2"/>
      <x:c r="AW46" s="2"/>
      <x:c r="AX46" s="2"/>
      <x:c r="AY46" s="2"/>
      <x:c r="AZ46" s="2"/>
      <x:c r="BA46" s="2"/>
      <x:c r="BB46" s="2"/>
      <x:c r="BC46" s="2"/>
      <x:c r="BD46" s="2"/>
      <x:c r="BE46" s="2"/>
      <x:c r="BF46" s="2"/>
      <x:c r="BG46" s="2"/>
      <x:c r="BH46" s="2"/>
      <x:c r="BI46" s="2"/>
      <x:c r="BJ46" s="2"/>
      <x:c r="BK46" s="2"/>
      <x:c r="BL46" s="2"/>
      <x:c r="BM46" s="2"/>
      <x:c r="BN46" s="2"/>
      <x:c r="BO46" s="2"/>
      <x:c r="BP46" s="2"/>
      <x:c r="BQ46" s="2"/>
      <x:c r="BR46" s="2"/>
      <x:c r="BS46" s="2"/>
      <x:c r="BT46" s="2"/>
      <x:c r="BU46" s="2"/>
      <x:c r="BV46" s="2"/>
      <x:c r="BW46" s="2"/>
      <x:c r="BX46" s="2"/>
      <x:c r="BY46" s="2"/>
      <x:c r="BZ46" s="2"/>
      <x:c r="CA46" s="2"/>
      <x:c r="CB46" s="2"/>
      <x:c r="CC46" s="2"/>
      <x:c r="CD46" s="2"/>
      <x:c r="CE46" s="2"/>
      <x:c r="CF46" s="2"/>
      <x:c r="CG46" s="2"/>
      <x:c r="CH46" s="2"/>
      <x:c r="CI46" s="2"/>
      <x:c r="CJ46" s="2"/>
      <x:c r="CK46" s="2"/>
      <x:c r="CL46" s="2"/>
      <x:c r="CM46" s="2"/>
      <x:c r="CN46" s="2"/>
      <x:c r="CO46" s="2"/>
      <x:c r="CP46" s="2"/>
      <x:c r="CQ46" s="2"/>
      <x:c r="CR46" s="2"/>
      <x:c r="CS46" s="2"/>
      <x:c r="CT46" s="2"/>
      <x:c r="CU46" s="2"/>
      <x:c r="CV46" s="2"/>
      <x:c r="CW46" s="2"/>
      <x:c r="CX46" s="2"/>
      <x:c r="CY46" s="2"/>
    </x:row>
    <x:row r="47" ht="19" customHeight="1">
      <x:c r="A47" s="1"/>
      <x:c r="B47" s="1"/>
      <x:c r="C47" s="2" t="str">
        <x:v>Steepness</x:v>
      </x:c>
      <x:c r="D47" s="2"/>
      <x:c r="E47" s="24" t="n">
        <x:f>'Assumptions'!F27</x:f>
        <x:v>0.55</x:v>
      </x:c>
      <x:c r="F47" s="2"/>
      <x:c r="G47" s="2"/>
      <x:c r="H47" s="2"/>
      <x:c r="I47" s="2"/>
      <x:c r="J47" s="2"/>
      <x:c r="K47" s="2"/>
      <x:c r="L47" s="2"/>
      <x:c r="M47" s="2"/>
      <x:c r="N47" s="2"/>
      <x:c r="O47" s="2"/>
      <x:c r="P47" s="2"/>
      <x:c r="Q47" s="2"/>
      <x:c r="R47" s="2"/>
      <x:c r="S47" s="2"/>
      <x:c r="T47" s="2"/>
      <x:c r="U47" s="2"/>
      <x:c r="V47" s="2"/>
      <x:c r="W47" s="2"/>
      <x:c r="X47" s="2"/>
      <x:c r="Y47" s="2"/>
      <x:c r="Z47" s="2"/>
      <x:c r="AA47" s="2"/>
      <x:c r="AB47" s="2"/>
      <x:c r="AC47" s="2"/>
      <x:c r="AD47" s="2"/>
      <x:c r="AE47" s="2"/>
      <x:c r="AF47" s="2"/>
      <x:c r="AG47" s="2"/>
      <x:c r="AH47" s="2"/>
      <x:c r="AI47" s="2"/>
      <x:c r="AJ47" s="2"/>
      <x:c r="AK47" s="2"/>
      <x:c r="AL47" s="2"/>
      <x:c r="AM47" s="2"/>
      <x:c r="AN47" s="2"/>
      <x:c r="AO47" s="2"/>
      <x:c r="AP47" s="2"/>
      <x:c r="AQ47" s="2"/>
      <x:c r="AR47" s="2"/>
      <x:c r="AS47" s="2"/>
      <x:c r="AT47" s="2"/>
      <x:c r="AU47" s="2"/>
      <x:c r="AV47" s="2"/>
      <x:c r="AW47" s="2"/>
      <x:c r="AX47" s="2"/>
      <x:c r="AY47" s="2"/>
      <x:c r="AZ47" s="2"/>
      <x:c r="BA47" s="2"/>
      <x:c r="BB47" s="2"/>
      <x:c r="BC47" s="2"/>
      <x:c r="BD47" s="2"/>
      <x:c r="BE47" s="2"/>
      <x:c r="BF47" s="2"/>
      <x:c r="BG47" s="2"/>
      <x:c r="BH47" s="2"/>
      <x:c r="BI47" s="2"/>
      <x:c r="BJ47" s="2"/>
      <x:c r="BK47" s="2"/>
      <x:c r="BL47" s="2"/>
      <x:c r="BM47" s="2"/>
      <x:c r="BN47" s="2"/>
      <x:c r="BO47" s="2"/>
      <x:c r="BP47" s="2"/>
      <x:c r="BQ47" s="2"/>
      <x:c r="BR47" s="2"/>
      <x:c r="BS47" s="2"/>
      <x:c r="BT47" s="2"/>
      <x:c r="BU47" s="2"/>
      <x:c r="BV47" s="2"/>
      <x:c r="BW47" s="2"/>
      <x:c r="BX47" s="2"/>
      <x:c r="BY47" s="2"/>
      <x:c r="BZ47" s="2"/>
      <x:c r="CA47" s="2"/>
      <x:c r="CB47" s="2"/>
      <x:c r="CC47" s="2"/>
      <x:c r="CD47" s="2"/>
      <x:c r="CE47" s="2"/>
      <x:c r="CF47" s="2"/>
      <x:c r="CG47" s="2"/>
      <x:c r="CH47" s="2"/>
      <x:c r="CI47" s="2"/>
      <x:c r="CJ47" s="2"/>
      <x:c r="CK47" s="2"/>
      <x:c r="CL47" s="2"/>
      <x:c r="CM47" s="2"/>
      <x:c r="CN47" s="2"/>
      <x:c r="CO47" s="2"/>
      <x:c r="CP47" s="2"/>
      <x:c r="CQ47" s="2"/>
      <x:c r="CR47" s="2"/>
      <x:c r="CS47" s="2"/>
      <x:c r="CT47" s="2"/>
      <x:c r="CU47" s="2"/>
      <x:c r="CV47" s="2"/>
      <x:c r="CW47" s="2"/>
      <x:c r="CX47" s="2"/>
      <x:c r="CY47" s="2"/>
    </x:row>
    <x:row r="48" ht="19" customHeight="1">
      <x:c r="A48" s="1"/>
      <x:c r="B48" s="1"/>
      <x:c r="C48" s="2" t="str">
        <x:v>Opening expected-loss reserve</x:v>
      </x:c>
      <x:c r="D48" s="2"/>
      <x:c r="E48" s="26" t="n">
        <x:f>SUM(F160:F219)</x:f>
        <x:v>28099418.836608652</x:v>
      </x:c>
      <x:c r="F48" s="2"/>
      <x:c r="G48" s="2"/>
      <x:c r="H48" s="2"/>
      <x:c r="I48" s="2"/>
      <x:c r="J48" s="2"/>
      <x:c r="K48" s="2"/>
      <x:c r="L48" s="2"/>
      <x:c r="M48" s="2"/>
      <x:c r="N48" s="2"/>
      <x:c r="O48" s="2"/>
      <x:c r="P48" s="2"/>
      <x:c r="Q48" s="2"/>
      <x:c r="R48" s="2"/>
      <x:c r="S48" s="2"/>
      <x:c r="T48" s="2"/>
      <x:c r="U48" s="2"/>
      <x:c r="V48" s="2"/>
      <x:c r="W48" s="2"/>
      <x:c r="X48" s="2"/>
      <x:c r="Y48" s="2"/>
      <x:c r="Z48" s="2"/>
      <x:c r="AA48" s="2"/>
      <x:c r="AB48" s="2"/>
      <x:c r="AC48" s="2"/>
      <x:c r="AD48" s="2"/>
      <x:c r="AE48" s="2"/>
      <x:c r="AF48" s="2"/>
      <x:c r="AG48" s="2"/>
      <x:c r="AH48" s="2"/>
      <x:c r="AI48" s="2"/>
      <x:c r="AJ48" s="2"/>
      <x:c r="AK48" s="2"/>
      <x:c r="AL48" s="2"/>
      <x:c r="AM48" s="2"/>
      <x:c r="AN48" s="2"/>
      <x:c r="AO48" s="2"/>
      <x:c r="AP48" s="2"/>
      <x:c r="AQ48" s="2"/>
      <x:c r="AR48" s="2"/>
      <x:c r="AS48" s="2"/>
      <x:c r="AT48" s="2"/>
      <x:c r="AU48" s="2"/>
      <x:c r="AV48" s="2"/>
      <x:c r="AW48" s="2"/>
      <x:c r="AX48" s="2"/>
      <x:c r="AY48" s="2"/>
      <x:c r="AZ48" s="2"/>
      <x:c r="BA48" s="2"/>
      <x:c r="BB48" s="2"/>
      <x:c r="BC48" s="2"/>
      <x:c r="BD48" s="2"/>
      <x:c r="BE48" s="2"/>
      <x:c r="BF48" s="2"/>
      <x:c r="BG48" s="2"/>
      <x:c r="BH48" s="2"/>
      <x:c r="BI48" s="2"/>
      <x:c r="BJ48" s="2"/>
      <x:c r="BK48" s="2"/>
      <x:c r="BL48" s="2"/>
      <x:c r="BM48" s="2"/>
      <x:c r="BN48" s="2"/>
      <x:c r="BO48" s="2"/>
      <x:c r="BP48" s="2"/>
      <x:c r="BQ48" s="2"/>
      <x:c r="BR48" s="2"/>
      <x:c r="BS48" s="2"/>
      <x:c r="BT48" s="2"/>
      <x:c r="BU48" s="2"/>
      <x:c r="BV48" s="2"/>
      <x:c r="BW48" s="2"/>
      <x:c r="BX48" s="2"/>
      <x:c r="BY48" s="2"/>
      <x:c r="BZ48" s="2"/>
      <x:c r="CA48" s="2"/>
      <x:c r="CB48" s="2"/>
      <x:c r="CC48" s="2"/>
      <x:c r="CD48" s="2"/>
      <x:c r="CE48" s="2"/>
      <x:c r="CF48" s="2"/>
      <x:c r="CG48" s="2"/>
      <x:c r="CH48" s="2"/>
      <x:c r="CI48" s="2"/>
      <x:c r="CJ48" s="2"/>
      <x:c r="CK48" s="2"/>
      <x:c r="CL48" s="2"/>
      <x:c r="CM48" s="2"/>
      <x:c r="CN48" s="2"/>
      <x:c r="CO48" s="2"/>
      <x:c r="CP48" s="2"/>
      <x:c r="CQ48" s="2"/>
      <x:c r="CR48" s="2"/>
      <x:c r="CS48" s="2"/>
      <x:c r="CT48" s="2"/>
      <x:c r="CU48" s="2"/>
      <x:c r="CV48" s="2"/>
      <x:c r="CW48" s="2"/>
      <x:c r="CX48" s="2"/>
      <x:c r="CY48" s="2"/>
    </x:row>
    <x:row r="49" ht="19" customHeight="1">
      <x:c r="A49" s="1"/>
      <x:c r="B49" s="1"/>
      <x:c r="C49" s="2" t="str">
        <x:v>New-loan lifetime loss per $1</x:v>
      </x:c>
      <x:c r="D49" s="2"/>
      <x:c r="E49" s="23" t="n">
        <x:f>SUM(E51:E147)</x:f>
        <x:v>0.3496898488076406</x:v>
      </x:c>
      <x:c r="F49" s="2"/>
      <x:c r="G49" s="2"/>
      <x:c r="H49" s="2"/>
      <x:c r="I49" s="2"/>
      <x:c r="J49" s="2"/>
      <x:c r="K49" s="2"/>
      <x:c r="L49" s="2"/>
      <x:c r="M49" s="2"/>
      <x:c r="N49" s="2"/>
      <x:c r="O49" s="2"/>
      <x:c r="P49" s="2"/>
      <x:c r="Q49" s="2"/>
      <x:c r="R49" s="2"/>
      <x:c r="S49" s="2"/>
      <x:c r="T49" s="2"/>
      <x:c r="U49" s="2"/>
      <x:c r="V49" s="2"/>
      <x:c r="W49" s="2"/>
      <x:c r="X49" s="2"/>
      <x:c r="Y49" s="2"/>
      <x:c r="Z49" s="2"/>
      <x:c r="AA49" s="2"/>
      <x:c r="AB49" s="2"/>
      <x:c r="AC49" s="2"/>
      <x:c r="AD49" s="2"/>
      <x:c r="AE49" s="2"/>
      <x:c r="AF49" s="2"/>
      <x:c r="AG49" s="2"/>
      <x:c r="AH49" s="2"/>
      <x:c r="AI49" s="2"/>
      <x:c r="AJ49" s="2"/>
      <x:c r="AK49" s="2"/>
      <x:c r="AL49" s="2"/>
      <x:c r="AM49" s="2"/>
      <x:c r="AN49" s="2"/>
      <x:c r="AO49" s="2"/>
      <x:c r="AP49" s="2"/>
      <x:c r="AQ49" s="2"/>
      <x:c r="AR49" s="2"/>
      <x:c r="AS49" s="2"/>
      <x:c r="AT49" s="2"/>
      <x:c r="AU49" s="2"/>
      <x:c r="AV49" s="2"/>
      <x:c r="AW49" s="2"/>
      <x:c r="AX49" s="2"/>
      <x:c r="AY49" s="2"/>
      <x:c r="AZ49" s="2"/>
      <x:c r="BA49" s="2"/>
      <x:c r="BB49" s="2"/>
      <x:c r="BC49" s="2"/>
      <x:c r="BD49" s="2"/>
      <x:c r="BE49" s="2"/>
      <x:c r="BF49" s="2"/>
      <x:c r="BG49" s="2"/>
      <x:c r="BH49" s="2"/>
      <x:c r="BI49" s="2"/>
      <x:c r="BJ49" s="2"/>
      <x:c r="BK49" s="2"/>
      <x:c r="BL49" s="2"/>
      <x:c r="BM49" s="2"/>
      <x:c r="BN49" s="2"/>
      <x:c r="BO49" s="2"/>
      <x:c r="BP49" s="2"/>
      <x:c r="BQ49" s="2"/>
      <x:c r="BR49" s="2"/>
      <x:c r="BS49" s="2"/>
      <x:c r="BT49" s="2"/>
      <x:c r="BU49" s="2"/>
      <x:c r="BV49" s="2"/>
      <x:c r="BW49" s="2"/>
      <x:c r="BX49" s="2"/>
      <x:c r="BY49" s="2"/>
      <x:c r="BZ49" s="2"/>
      <x:c r="CA49" s="2"/>
      <x:c r="CB49" s="2"/>
      <x:c r="CC49" s="2"/>
      <x:c r="CD49" s="2"/>
      <x:c r="CE49" s="2"/>
      <x:c r="CF49" s="2"/>
      <x:c r="CG49" s="2"/>
      <x:c r="CH49" s="2"/>
      <x:c r="CI49" s="2"/>
      <x:c r="CJ49" s="2"/>
      <x:c r="CK49" s="2"/>
      <x:c r="CL49" s="2"/>
      <x:c r="CM49" s="2"/>
      <x:c r="CN49" s="2"/>
      <x:c r="CO49" s="2"/>
      <x:c r="CP49" s="2"/>
      <x:c r="CQ49" s="2"/>
      <x:c r="CR49" s="2"/>
      <x:c r="CS49" s="2"/>
      <x:c r="CT49" s="2"/>
      <x:c r="CU49" s="2"/>
      <x:c r="CV49" s="2"/>
      <x:c r="CW49" s="2"/>
      <x:c r="CX49" s="2"/>
      <x:c r="CY49" s="2"/>
    </x:row>
    <x:row r="50" ht="32" customHeight="1">
      <x:c r="A50" s="1"/>
      <x:c r="B50" s="1"/>
      <x:c r="C50" s="29" t="str">
        <x:v>MOB</x:v>
      </x:c>
      <x:c r="D50" s="29" t="str">
        <x:v>Cumulative default</x:v>
      </x:c>
      <x:c r="E50" s="29" t="str">
        <x:v>Charge-off / $1</x:v>
      </x:c>
      <x:c r="F50" s="29" t="str">
        <x:v>Repayment / $1</x:v>
      </x:c>
      <x:c r="G50" s="29" t="str">
        <x:v>Future loss / $1</x:v>
      </x:c>
      <x:c r="H50" s="29" t="str">
        <x:v>Scheduled balance / $1</x:v>
      </x:c>
      <x:c r="I50" s="29" t="str">
        <x:v>Survival</x:v>
      </x:c>
      <x:c r="J50" s="2"/>
      <x:c r="K50" s="2"/>
      <x:c r="L50" s="2"/>
      <x:c r="M50" s="2"/>
      <x:c r="N50" s="2"/>
      <x:c r="O50" s="2"/>
      <x:c r="P50" s="2"/>
      <x:c r="Q50" s="2"/>
      <x:c r="R50" s="2"/>
      <x:c r="S50" s="2"/>
      <x:c r="T50" s="2"/>
      <x:c r="U50" s="2"/>
      <x:c r="V50" s="2"/>
      <x:c r="W50" s="2"/>
      <x:c r="X50" s="2"/>
      <x:c r="Y50" s="2"/>
      <x:c r="Z50" s="2"/>
      <x:c r="AA50" s="2"/>
      <x:c r="AB50" s="2"/>
      <x:c r="AC50" s="2"/>
      <x:c r="AD50" s="2"/>
      <x:c r="AE50" s="2"/>
      <x:c r="AF50" s="2"/>
      <x:c r="AG50" s="2"/>
      <x:c r="AH50" s="2"/>
      <x:c r="AI50" s="2"/>
      <x:c r="AJ50" s="2"/>
      <x:c r="AK50" s="2"/>
      <x:c r="AL50" s="2"/>
      <x:c r="AM50" s="2"/>
      <x:c r="AN50" s="2"/>
      <x:c r="AO50" s="2"/>
      <x:c r="AP50" s="2"/>
      <x:c r="AQ50" s="2"/>
      <x:c r="AR50" s="2"/>
      <x:c r="AS50" s="2"/>
      <x:c r="AT50" s="2"/>
      <x:c r="AU50" s="2"/>
      <x:c r="AV50" s="2"/>
      <x:c r="AW50" s="2"/>
      <x:c r="AX50" s="2"/>
      <x:c r="AY50" s="2"/>
      <x:c r="AZ50" s="2"/>
      <x:c r="BA50" s="2"/>
      <x:c r="BB50" s="2"/>
      <x:c r="BC50" s="2"/>
      <x:c r="BD50" s="2"/>
      <x:c r="BE50" s="2"/>
      <x:c r="BF50" s="2"/>
      <x:c r="BG50" s="2"/>
      <x:c r="BH50" s="2"/>
      <x:c r="BI50" s="2"/>
      <x:c r="BJ50" s="2"/>
      <x:c r="BK50" s="2"/>
      <x:c r="BL50" s="2"/>
      <x:c r="BM50" s="2"/>
      <x:c r="BN50" s="2"/>
      <x:c r="BO50" s="2"/>
      <x:c r="BP50" s="2"/>
      <x:c r="BQ50" s="2"/>
      <x:c r="BR50" s="2"/>
      <x:c r="BS50" s="2"/>
      <x:c r="BT50" s="2"/>
      <x:c r="BU50" s="2"/>
      <x:c r="BV50" s="2"/>
      <x:c r="BW50" s="2"/>
      <x:c r="BX50" s="2"/>
      <x:c r="BY50" s="2"/>
      <x:c r="BZ50" s="2"/>
      <x:c r="CA50" s="2"/>
      <x:c r="CB50" s="2"/>
      <x:c r="CC50" s="2"/>
      <x:c r="CD50" s="2"/>
      <x:c r="CE50" s="2"/>
      <x:c r="CF50" s="2"/>
      <x:c r="CG50" s="2"/>
      <x:c r="CH50" s="2"/>
      <x:c r="CI50" s="2"/>
      <x:c r="CJ50" s="2"/>
      <x:c r="CK50" s="2"/>
      <x:c r="CL50" s="2"/>
      <x:c r="CM50" s="2"/>
      <x:c r="CN50" s="2"/>
      <x:c r="CO50" s="2"/>
      <x:c r="CP50" s="2"/>
      <x:c r="CQ50" s="2"/>
      <x:c r="CR50" s="2"/>
      <x:c r="CS50" s="2"/>
      <x:c r="CT50" s="2"/>
      <x:c r="CU50" s="2"/>
      <x:c r="CV50" s="2"/>
      <x:c r="CW50" s="2"/>
      <x:c r="CX50" s="2"/>
      <x:c r="CY50" s="2"/>
    </x:row>
    <x:row r="51" ht="19" customHeight="1">
      <x:c r="A51" s="1"/>
      <x:c r="B51" s="1"/>
      <x:c r="C51" s="2" t="n">
        <x:v>0</x:v>
      </x:c>
      <x:c r="D51" s="30" t="n">
        <x:f>$E$40*INDEX('Assumptions'!$F$65:$F$101,MIN(C51,36)+1)</x:f>
        <x:v>0</x:v>
      </x:c>
      <x:c r="E51" s="30" t="n">
        <x:f>0</x:f>
        <x:v>0</x:v>
      </x:c>
      <x:c r="F51" s="30" t="n">
        <x:f>0</x:f>
        <x:v>0</x:v>
      </x:c>
      <x:c r="G51" s="30" t="n">
        <x:f>SUM(E52:E147)</x:f>
        <x:v>0.3496898488076406</x:v>
      </x:c>
      <x:c r="H51" s="30" t="n">
        <x:f>IF($E$42=0,1-MIN(C51,$E$43)/$E$43,((1+$E$42)^$E$43-(1+$E$42)^MIN(C51,$E$43))/((1+$E$42)^$E$43-1))</x:f>
        <x:v>1</x:v>
      </x:c>
      <x:c r="I51" s="30" t="n">
        <x:f>MAX(0,1-D51-J51)</x:f>
        <x:v>1</x:v>
      </x:c>
      <x:c r="J51" s="2" t="n">
        <x:f>(1-$E$40)*INDEX('Assumptions'!$I$65:$I$101,MIN(C51,36)+1)</x:f>
        <x:v>0</x:v>
      </x:c>
      <x:c r="K51" s="2"/>
      <x:c r="L51" s="2"/>
      <x:c r="M51" s="2"/>
      <x:c r="N51" s="2"/>
      <x:c r="O51" s="2"/>
      <x:c r="P51" s="2"/>
      <x:c r="Q51" s="2"/>
      <x:c r="R51" s="2"/>
      <x:c r="S51" s="2"/>
      <x:c r="T51" s="2"/>
      <x:c r="U51" s="2"/>
      <x:c r="V51" s="2"/>
      <x:c r="W51" s="2"/>
      <x:c r="X51" s="2"/>
      <x:c r="Y51" s="2"/>
      <x:c r="Z51" s="2"/>
      <x:c r="AA51" s="2"/>
      <x:c r="AB51" s="2"/>
      <x:c r="AC51" s="2"/>
      <x:c r="AD51" s="2"/>
      <x:c r="AE51" s="2"/>
      <x:c r="AF51" s="2"/>
      <x:c r="AG51" s="2"/>
      <x:c r="AH51" s="2"/>
      <x:c r="AI51" s="2"/>
      <x:c r="AJ51" s="2"/>
      <x:c r="AK51" s="2"/>
      <x:c r="AL51" s="2"/>
      <x:c r="AM51" s="2"/>
      <x:c r="AN51" s="2"/>
      <x:c r="AO51" s="2"/>
      <x:c r="AP51" s="2"/>
      <x:c r="AQ51" s="2"/>
      <x:c r="AR51" s="2"/>
      <x:c r="AS51" s="2"/>
      <x:c r="AT51" s="2"/>
      <x:c r="AU51" s="2"/>
      <x:c r="AV51" s="2"/>
      <x:c r="AW51" s="2"/>
      <x:c r="AX51" s="2"/>
      <x:c r="AY51" s="2"/>
      <x:c r="AZ51" s="2"/>
      <x:c r="BA51" s="2"/>
      <x:c r="BB51" s="2"/>
      <x:c r="BC51" s="2"/>
      <x:c r="BD51" s="2"/>
      <x:c r="BE51" s="2"/>
      <x:c r="BF51" s="2"/>
      <x:c r="BG51" s="2"/>
      <x:c r="BH51" s="2"/>
      <x:c r="BI51" s="2"/>
      <x:c r="BJ51" s="2"/>
      <x:c r="BK51" s="2"/>
      <x:c r="BL51" s="2"/>
      <x:c r="BM51" s="2"/>
      <x:c r="BN51" s="2"/>
      <x:c r="BO51" s="2"/>
      <x:c r="BP51" s="2"/>
      <x:c r="BQ51" s="2"/>
      <x:c r="BR51" s="2"/>
      <x:c r="BS51" s="2"/>
      <x:c r="BT51" s="2"/>
      <x:c r="BU51" s="2"/>
      <x:c r="BV51" s="2"/>
      <x:c r="BW51" s="2"/>
      <x:c r="BX51" s="2"/>
      <x:c r="BY51" s="2"/>
      <x:c r="BZ51" s="2"/>
      <x:c r="CA51" s="2"/>
      <x:c r="CB51" s="2"/>
      <x:c r="CC51" s="2"/>
      <x:c r="CD51" s="2"/>
      <x:c r="CE51" s="2"/>
      <x:c r="CF51" s="2"/>
      <x:c r="CG51" s="2"/>
      <x:c r="CH51" s="2"/>
      <x:c r="CI51" s="2"/>
      <x:c r="CJ51" s="2"/>
      <x:c r="CK51" s="2"/>
      <x:c r="CL51" s="2"/>
      <x:c r="CM51" s="2"/>
      <x:c r="CN51" s="2"/>
      <x:c r="CO51" s="2"/>
      <x:c r="CP51" s="2"/>
      <x:c r="CQ51" s="2"/>
      <x:c r="CR51" s="2"/>
      <x:c r="CS51" s="2"/>
      <x:c r="CT51" s="2"/>
      <x:c r="CU51" s="2"/>
      <x:c r="CV51" s="2"/>
      <x:c r="CW51" s="2"/>
      <x:c r="CX51" s="2"/>
      <x:c r="CY51" s="2"/>
    </x:row>
    <x:row r="52" ht="19" customHeight="1">
      <x:c r="A52" s="1"/>
      <x:c r="B52" s="1"/>
      <x:c r="C52" s="2" t="n">
        <x:v>1</x:v>
      </x:c>
      <x:c r="D52" s="30" t="n">
        <x:f>$E$40*INDEX('Assumptions'!$F$65:$F$101,MIN(C52,36)+1)</x:f>
        <x:v>0.14493647539142446</x:v>
      </x:c>
      <x:c r="E52" s="30" t="n">
        <x:f>(D52-D51)*H51</x:f>
        <x:v>0.14493647539142446</x:v>
      </x:c>
      <x:c r="F52" s="30" t="n">
        <x:f>(1-D52-J51)*(H51-H52)+(J52-J51)*H52</x:f>
        <x:v>0.2875252162846528</x:v>
      </x:c>
      <x:c r="G52" s="30" t="n">
        <x:f>SUM(E53:E147)</x:f>
        <x:v>0.20475337341621616</x:v>
      </x:c>
      <x:c r="H52" s="30" t="n">
        <x:f>IF($E$42=0,1-MIN(C52,$E$43)/$E$43,((1+$E$42)^$E$43-(1+$E$42)^MIN(C52,$E$43))/((1+$E$42)^$E$43-1))</x:f>
        <x:v>0.9762713988389728</x:v>
      </x:c>
      <x:c r="I52" s="30" t="n">
        <x:f>MAX(0,1-D52-J52)</x:f>
        <x:v>0.5813325157316558</x:v>
      </x:c>
      <x:c r="J52" s="2" t="n">
        <x:f>(1-$E$40)*INDEX('Assumptions'!$I$65:$I$101,MIN(C52,36)+1)</x:f>
        <x:v>0.27373100887691976</x:v>
      </x:c>
      <x:c r="K52" s="2"/>
      <x:c r="L52" s="2"/>
      <x:c r="M52" s="2"/>
      <x:c r="N52" s="2"/>
      <x:c r="O52" s="2"/>
      <x:c r="P52" s="2"/>
      <x:c r="Q52" s="2"/>
      <x:c r="R52" s="2"/>
      <x:c r="S52" s="2"/>
      <x:c r="T52" s="2"/>
      <x:c r="U52" s="2"/>
      <x:c r="V52" s="2"/>
      <x:c r="W52" s="2"/>
      <x:c r="X52" s="2"/>
      <x:c r="Y52" s="2"/>
      <x:c r="Z52" s="2"/>
      <x:c r="AA52" s="2"/>
      <x:c r="AB52" s="2"/>
      <x:c r="AC52" s="2"/>
      <x:c r="AD52" s="2"/>
      <x:c r="AE52" s="2"/>
      <x:c r="AF52" s="2"/>
      <x:c r="AG52" s="2"/>
      <x:c r="AH52" s="2"/>
      <x:c r="AI52" s="2"/>
      <x:c r="AJ52" s="2"/>
      <x:c r="AK52" s="2"/>
      <x:c r="AL52" s="2"/>
      <x:c r="AM52" s="2"/>
      <x:c r="AN52" s="2"/>
      <x:c r="AO52" s="2"/>
      <x:c r="AP52" s="2"/>
      <x:c r="AQ52" s="2"/>
      <x:c r="AR52" s="2"/>
      <x:c r="AS52" s="2"/>
      <x:c r="AT52" s="2"/>
      <x:c r="AU52" s="2"/>
      <x:c r="AV52" s="2"/>
      <x:c r="AW52" s="2"/>
      <x:c r="AX52" s="2"/>
      <x:c r="AY52" s="2"/>
      <x:c r="AZ52" s="2"/>
      <x:c r="BA52" s="2"/>
      <x:c r="BB52" s="2"/>
      <x:c r="BC52" s="2"/>
      <x:c r="BD52" s="2"/>
      <x:c r="BE52" s="2"/>
      <x:c r="BF52" s="2"/>
      <x:c r="BG52" s="2"/>
      <x:c r="BH52" s="2"/>
      <x:c r="BI52" s="2"/>
      <x:c r="BJ52" s="2"/>
      <x:c r="BK52" s="2"/>
      <x:c r="BL52" s="2"/>
      <x:c r="BM52" s="2"/>
      <x:c r="BN52" s="2"/>
      <x:c r="BO52" s="2"/>
      <x:c r="BP52" s="2"/>
      <x:c r="BQ52" s="2"/>
      <x:c r="BR52" s="2"/>
      <x:c r="BS52" s="2"/>
      <x:c r="BT52" s="2"/>
      <x:c r="BU52" s="2"/>
      <x:c r="BV52" s="2"/>
      <x:c r="BW52" s="2"/>
      <x:c r="BX52" s="2"/>
      <x:c r="BY52" s="2"/>
      <x:c r="BZ52" s="2"/>
      <x:c r="CA52" s="2"/>
      <x:c r="CB52" s="2"/>
      <x:c r="CC52" s="2"/>
      <x:c r="CD52" s="2"/>
      <x:c r="CE52" s="2"/>
      <x:c r="CF52" s="2"/>
      <x:c r="CG52" s="2"/>
      <x:c r="CH52" s="2"/>
      <x:c r="CI52" s="2"/>
      <x:c r="CJ52" s="2"/>
      <x:c r="CK52" s="2"/>
      <x:c r="CL52" s="2"/>
      <x:c r="CM52" s="2"/>
      <x:c r="CN52" s="2"/>
      <x:c r="CO52" s="2"/>
      <x:c r="CP52" s="2"/>
      <x:c r="CQ52" s="2"/>
      <x:c r="CR52" s="2"/>
      <x:c r="CS52" s="2"/>
      <x:c r="CT52" s="2"/>
      <x:c r="CU52" s="2"/>
      <x:c r="CV52" s="2"/>
      <x:c r="CW52" s="2"/>
      <x:c r="CX52" s="2"/>
      <x:c r="CY52" s="2"/>
    </x:row>
    <x:row r="53" ht="19" customHeight="1">
      <x:c r="A53" s="1"/>
      <x:c r="B53" s="1"/>
      <x:c r="C53" s="2" t="n">
        <x:v>2</x:v>
      </x:c>
      <x:c r="D53" s="30" t="n">
        <x:f>$E$40*INDEX('Assumptions'!$F$65:$F$101,MIN(C53,36)+1)</x:f>
        <x:v>0.2392976783873414</x:v>
      </x:c>
      <x:c r="E53" s="30" t="n">
        <x:f>(D53-D52)*H52</x:f>
        <x:v>0.09212214364495211</x:v>
      </x:c>
      <x:c r="F53" s="30" t="n">
        <x:f>(1-D53-J52)*(H52-H53)+(J53-J52)*H53</x:f>
        <x:v>0.16885087350379402</x:v>
      </x:c>
      <x:c r="G53" s="30" t="n">
        <x:f>SUM(E54:E147)</x:f>
        <x:v>0.11263122977126405</x:v>
      </x:c>
      <x:c r="H53" s="30" t="n">
        <x:f>IF($E$42=0,1-MIN(C53,$E$43)/$E$43,((1+$E$42)^$E$43-(1+$E$42)^MIN(C53,$E$43))/((1+$E$42)^$E$43-1))</x:f>
        <x:v>0.9514552367913985</x:v>
      </x:c>
      <x:c r="I53" s="30" t="n">
        <x:f>MAX(0,1-D53-J53)</x:f>
        <x:v>0.32220674112742254</x:v>
      </x:c>
      <x:c r="J53" s="2" t="n">
        <x:f>(1-$E$40)*INDEX('Assumptions'!$I$65:$I$101,MIN(C53,36)+1)</x:f>
        <x:v>0.43849558048523607</x:v>
      </x:c>
      <x:c r="K53" s="2"/>
      <x:c r="L53" s="2"/>
      <x:c r="M53" s="2"/>
      <x:c r="N53" s="2"/>
      <x:c r="O53" s="2"/>
      <x:c r="P53" s="2"/>
      <x:c r="Q53" s="2"/>
      <x:c r="R53" s="2"/>
      <x:c r="S53" s="2"/>
      <x:c r="T53" s="2"/>
      <x:c r="U53" s="2"/>
      <x:c r="V53" s="2"/>
      <x:c r="W53" s="2"/>
      <x:c r="X53" s="2"/>
      <x:c r="Y53" s="2"/>
      <x:c r="Z53" s="2"/>
      <x:c r="AA53" s="2"/>
      <x:c r="AB53" s="2"/>
      <x:c r="AC53" s="2"/>
      <x:c r="AD53" s="2"/>
      <x:c r="AE53" s="2"/>
      <x:c r="AF53" s="2"/>
      <x:c r="AG53" s="2"/>
      <x:c r="AH53" s="2"/>
      <x:c r="AI53" s="2"/>
      <x:c r="AJ53" s="2"/>
      <x:c r="AK53" s="2"/>
      <x:c r="AL53" s="2"/>
      <x:c r="AM53" s="2"/>
      <x:c r="AN53" s="2"/>
      <x:c r="AO53" s="2"/>
      <x:c r="AP53" s="2"/>
      <x:c r="AQ53" s="2"/>
      <x:c r="AR53" s="2"/>
      <x:c r="AS53" s="2"/>
      <x:c r="AT53" s="2"/>
      <x:c r="AU53" s="2"/>
      <x:c r="AV53" s="2"/>
      <x:c r="AW53" s="2"/>
      <x:c r="AX53" s="2"/>
      <x:c r="AY53" s="2"/>
      <x:c r="AZ53" s="2"/>
      <x:c r="BA53" s="2"/>
      <x:c r="BB53" s="2"/>
      <x:c r="BC53" s="2"/>
      <x:c r="BD53" s="2"/>
      <x:c r="BE53" s="2"/>
      <x:c r="BF53" s="2"/>
      <x:c r="BG53" s="2"/>
      <x:c r="BH53" s="2"/>
      <x:c r="BI53" s="2"/>
      <x:c r="BJ53" s="2"/>
      <x:c r="BK53" s="2"/>
      <x:c r="BL53" s="2"/>
      <x:c r="BM53" s="2"/>
      <x:c r="BN53" s="2"/>
      <x:c r="BO53" s="2"/>
      <x:c r="BP53" s="2"/>
      <x:c r="BQ53" s="2"/>
      <x:c r="BR53" s="2"/>
      <x:c r="BS53" s="2"/>
      <x:c r="BT53" s="2"/>
      <x:c r="BU53" s="2"/>
      <x:c r="BV53" s="2"/>
      <x:c r="BW53" s="2"/>
      <x:c r="BX53" s="2"/>
      <x:c r="BY53" s="2"/>
      <x:c r="BZ53" s="2"/>
      <x:c r="CA53" s="2"/>
      <x:c r="CB53" s="2"/>
      <x:c r="CC53" s="2"/>
      <x:c r="CD53" s="2"/>
      <x:c r="CE53" s="2"/>
      <x:c r="CF53" s="2"/>
      <x:c r="CG53" s="2"/>
      <x:c r="CH53" s="2"/>
      <x:c r="CI53" s="2"/>
      <x:c r="CJ53" s="2"/>
      <x:c r="CK53" s="2"/>
      <x:c r="CL53" s="2"/>
      <x:c r="CM53" s="2"/>
      <x:c r="CN53" s="2"/>
      <x:c r="CO53" s="2"/>
      <x:c r="CP53" s="2"/>
      <x:c r="CQ53" s="2"/>
      <x:c r="CR53" s="2"/>
      <x:c r="CS53" s="2"/>
      <x:c r="CT53" s="2"/>
      <x:c r="CU53" s="2"/>
      <x:c r="CV53" s="2"/>
      <x:c r="CW53" s="2"/>
      <x:c r="CX53" s="2"/>
      <x:c r="CY53" s="2"/>
    </x:row>
    <x:row r="54" ht="19" customHeight="1">
      <x:c r="A54" s="1"/>
      <x:c r="B54" s="1"/>
      <x:c r="C54" s="2" t="n">
        <x:v>3</x:v>
      </x:c>
      <x:c r="D54" s="30" t="n">
        <x:f>$E$40*INDEX('Assumptions'!$F$65:$F$101,MIN(C54,36)+1)</x:f>
        <x:v>0.2998055286992198</x:v>
      </x:c>
      <x:c r="E54" s="30" t="n">
        <x:f>(D54-D53)*H53</x:f>
        <x:v>0.05757051104622675</x:v>
      </x:c>
      <x:c r="F54" s="30" t="n">
        <x:f>(1-D54-J53)*(H53-H54)+(J54-J53)*H54</x:f>
        <x:v>0.10003529185085855</x:v>
      </x:c>
      <x:c r="G54" s="30" t="n">
        <x:f>SUM(E55:E147)</x:f>
        <x:v>0.055060718725037296</x:v>
      </x:c>
      <x:c r="H54" s="30" t="n">
        <x:f>IF($E$42=0,1-MIN(C54,$E$43)/$E$43,((1+$E$42)^$E$43-(1+$E$42)^MIN(C54,$E$43))/((1+$E$42)^$E$43-1))</x:f>
        <x:v>0.9255016673166439</x:v>
      </x:c>
      <x:c r="I54" s="30" t="n">
        <x:f>MAX(0,1-D54-J54)</x:f>
        <x:v>0.16094999451484238</x:v>
      </x:c>
      <x:c r="J54" s="2" t="n">
        <x:f>(1-$E$40)*INDEX('Assumptions'!$I$65:$I$101,MIN(C54,36)+1)</x:f>
        <x:v>0.5392444767859378</x:v>
      </x:c>
      <x:c r="K54" s="2"/>
      <x:c r="L54" s="2"/>
      <x:c r="M54" s="2"/>
      <x:c r="N54" s="2"/>
      <x:c r="O54" s="2"/>
      <x:c r="P54" s="2"/>
      <x:c r="Q54" s="2"/>
      <x:c r="R54" s="2"/>
      <x:c r="S54" s="2"/>
      <x:c r="T54" s="2"/>
      <x:c r="U54" s="2"/>
      <x:c r="V54" s="2"/>
      <x:c r="W54" s="2"/>
      <x:c r="X54" s="2"/>
      <x:c r="Y54" s="2"/>
      <x:c r="Z54" s="2"/>
      <x:c r="AA54" s="2"/>
      <x:c r="AB54" s="2"/>
      <x:c r="AC54" s="2"/>
      <x:c r="AD54" s="2"/>
      <x:c r="AE54" s="2"/>
      <x:c r="AF54" s="2"/>
      <x:c r="AG54" s="2"/>
      <x:c r="AH54" s="2"/>
      <x:c r="AI54" s="2"/>
      <x:c r="AJ54" s="2"/>
      <x:c r="AK54" s="2"/>
      <x:c r="AL54" s="2"/>
      <x:c r="AM54" s="2"/>
      <x:c r="AN54" s="2"/>
      <x:c r="AO54" s="2"/>
      <x:c r="AP54" s="2"/>
      <x:c r="AQ54" s="2"/>
      <x:c r="AR54" s="2"/>
      <x:c r="AS54" s="2"/>
      <x:c r="AT54" s="2"/>
      <x:c r="AU54" s="2"/>
      <x:c r="AV54" s="2"/>
      <x:c r="AW54" s="2"/>
      <x:c r="AX54" s="2"/>
      <x:c r="AY54" s="2"/>
      <x:c r="AZ54" s="2"/>
      <x:c r="BA54" s="2"/>
      <x:c r="BB54" s="2"/>
      <x:c r="BC54" s="2"/>
      <x:c r="BD54" s="2"/>
      <x:c r="BE54" s="2"/>
      <x:c r="BF54" s="2"/>
      <x:c r="BG54" s="2"/>
      <x:c r="BH54" s="2"/>
      <x:c r="BI54" s="2"/>
      <x:c r="BJ54" s="2"/>
      <x:c r="BK54" s="2"/>
      <x:c r="BL54" s="2"/>
      <x:c r="BM54" s="2"/>
      <x:c r="BN54" s="2"/>
      <x:c r="BO54" s="2"/>
      <x:c r="BP54" s="2"/>
      <x:c r="BQ54" s="2"/>
      <x:c r="BR54" s="2"/>
      <x:c r="BS54" s="2"/>
      <x:c r="BT54" s="2"/>
      <x:c r="BU54" s="2"/>
      <x:c r="BV54" s="2"/>
      <x:c r="BW54" s="2"/>
      <x:c r="BX54" s="2"/>
      <x:c r="BY54" s="2"/>
      <x:c r="BZ54" s="2"/>
      <x:c r="CA54" s="2"/>
      <x:c r="CB54" s="2"/>
      <x:c r="CC54" s="2"/>
      <x:c r="CD54" s="2"/>
      <x:c r="CE54" s="2"/>
      <x:c r="CF54" s="2"/>
      <x:c r="CG54" s="2"/>
      <x:c r="CH54" s="2"/>
      <x:c r="CI54" s="2"/>
      <x:c r="CJ54" s="2"/>
      <x:c r="CK54" s="2"/>
      <x:c r="CL54" s="2"/>
      <x:c r="CM54" s="2"/>
      <x:c r="CN54" s="2"/>
      <x:c r="CO54" s="2"/>
      <x:c r="CP54" s="2"/>
      <x:c r="CQ54" s="2"/>
      <x:c r="CR54" s="2"/>
      <x:c r="CS54" s="2"/>
      <x:c r="CT54" s="2"/>
      <x:c r="CU54" s="2"/>
      <x:c r="CV54" s="2"/>
      <x:c r="CW54" s="2"/>
      <x:c r="CX54" s="2"/>
      <x:c r="CY54" s="2"/>
    </x:row>
    <x:row r="55" ht="19" customHeight="1">
      <x:c r="A55" s="1"/>
      <x:c r="B55" s="1"/>
      <x:c r="C55" s="2" t="n">
        <x:v>4</x:v>
      </x:c>
      <x:c r="D55" s="30" t="n">
        <x:f>$E$40*INDEX('Assumptions'!$F$65:$F$101,MIN(C55,36)+1)</x:f>
        <x:v>0.3360762538590615</x:v>
      </x:c>
      <x:c r="E55" s="30" t="n">
        <x:f>(D55-D54)*H54</x:f>
        <x:v>0.03356861661021723</x:v>
      </x:c>
      <x:c r="F55" s="30" t="n">
        <x:f>(1-D55-J54)*(H54-H55)+(J55-J54)*H55</x:f>
        <x:v>0.05953168653833649</x:v>
      </x:c>
      <x:c r="G55" s="30" t="n">
        <x:f>SUM(E56:E147)</x:f>
        <x:v>0.021492102114820062</x:v>
      </x:c>
      <x:c r="H55" s="30" t="n">
        <x:f>IF($E$42=0,1-MIN(C55,$E$43)/$E$43,((1+$E$42)^$E$43-(1+$E$42)^MIN(C55,$E$43))/((1+$E$42)^$E$43-1))</x:f>
        <x:v>0.8983585592409629</x:v>
      </x:c>
      <x:c r="I55" s="30" t="n">
        <x:f>MAX(0,1-D55-J55)</x:f>
        <x:v>0.062179165050460394</x:v>
      </x:c>
      <x:c r="J55" s="2" t="n">
        <x:f>(1-$E$40)*INDEX('Assumptions'!$I$65:$I$101,MIN(C55,36)+1)</x:f>
        <x:v>0.6017445810904781</x:v>
      </x:c>
      <x:c r="K55" s="2"/>
      <x:c r="L55" s="2"/>
      <x:c r="M55" s="2"/>
      <x:c r="N55" s="2"/>
      <x:c r="O55" s="2"/>
      <x:c r="P55" s="2"/>
      <x:c r="Q55" s="2"/>
      <x:c r="R55" s="2"/>
      <x:c r="S55" s="2"/>
      <x:c r="T55" s="2"/>
      <x:c r="U55" s="2"/>
      <x:c r="V55" s="2"/>
      <x:c r="W55" s="2"/>
      <x:c r="X55" s="2"/>
      <x:c r="Y55" s="2"/>
      <x:c r="Z55" s="2"/>
      <x:c r="AA55" s="2"/>
      <x:c r="AB55" s="2"/>
      <x:c r="AC55" s="2"/>
      <x:c r="AD55" s="2"/>
      <x:c r="AE55" s="2"/>
      <x:c r="AF55" s="2"/>
      <x:c r="AG55" s="2"/>
      <x:c r="AH55" s="2"/>
      <x:c r="AI55" s="2"/>
      <x:c r="AJ55" s="2"/>
      <x:c r="AK55" s="2"/>
      <x:c r="AL55" s="2"/>
      <x:c r="AM55" s="2"/>
      <x:c r="AN55" s="2"/>
      <x:c r="AO55" s="2"/>
      <x:c r="AP55" s="2"/>
      <x:c r="AQ55" s="2"/>
      <x:c r="AR55" s="2"/>
      <x:c r="AS55" s="2"/>
      <x:c r="AT55" s="2"/>
      <x:c r="AU55" s="2"/>
      <x:c r="AV55" s="2"/>
      <x:c r="AW55" s="2"/>
      <x:c r="AX55" s="2"/>
      <x:c r="AY55" s="2"/>
      <x:c r="AZ55" s="2"/>
      <x:c r="BA55" s="2"/>
      <x:c r="BB55" s="2"/>
      <x:c r="BC55" s="2"/>
      <x:c r="BD55" s="2"/>
      <x:c r="BE55" s="2"/>
      <x:c r="BF55" s="2"/>
      <x:c r="BG55" s="2"/>
      <x:c r="BH55" s="2"/>
      <x:c r="BI55" s="2"/>
      <x:c r="BJ55" s="2"/>
      <x:c r="BK55" s="2"/>
      <x:c r="BL55" s="2"/>
      <x:c r="BM55" s="2"/>
      <x:c r="BN55" s="2"/>
      <x:c r="BO55" s="2"/>
      <x:c r="BP55" s="2"/>
      <x:c r="BQ55" s="2"/>
      <x:c r="BR55" s="2"/>
      <x:c r="BS55" s="2"/>
      <x:c r="BT55" s="2"/>
      <x:c r="BU55" s="2"/>
      <x:c r="BV55" s="2"/>
      <x:c r="BW55" s="2"/>
      <x:c r="BX55" s="2"/>
      <x:c r="BY55" s="2"/>
      <x:c r="BZ55" s="2"/>
      <x:c r="CA55" s="2"/>
      <x:c r="CB55" s="2"/>
      <x:c r="CC55" s="2"/>
      <x:c r="CD55" s="2"/>
      <x:c r="CE55" s="2"/>
      <x:c r="CF55" s="2"/>
      <x:c r="CG55" s="2"/>
      <x:c r="CH55" s="2"/>
      <x:c r="CI55" s="2"/>
      <x:c r="CJ55" s="2"/>
      <x:c r="CK55" s="2"/>
      <x:c r="CL55" s="2"/>
      <x:c r="CM55" s="2"/>
      <x:c r="CN55" s="2"/>
      <x:c r="CO55" s="2"/>
      <x:c r="CP55" s="2"/>
      <x:c r="CQ55" s="2"/>
      <x:c r="CR55" s="2"/>
      <x:c r="CS55" s="2"/>
      <x:c r="CT55" s="2"/>
      <x:c r="CU55" s="2"/>
      <x:c r="CV55" s="2"/>
      <x:c r="CW55" s="2"/>
      <x:c r="CX55" s="2"/>
      <x:c r="CY55" s="2"/>
    </x:row>
    <x:row r="56" ht="19" customHeight="1">
      <x:c r="A56" s="1"/>
      <x:c r="B56" s="1"/>
      <x:c r="C56" s="2" t="n">
        <x:v>5</x:v>
      </x:c>
      <x:c r="D56" s="30" t="n">
        <x:f>$E$40*INDEX('Assumptions'!$F$65:$F$101,MIN(C56,36)+1)</x:f>
        <x:v>0.36</x:v>
      </x:c>
      <x:c r="E56" s="30" t="n">
        <x:f>(D56-D55)*H55</x:f>
        <x:v>0.021492102114820062</x:v>
      </x:c>
      <x:c r="F56" s="30" t="n">
        <x:f>(1-D56-J55)*(H55-H56)+(J56-J55)*H56</x:f>
        <x:v>0.03436708301471757</x:v>
      </x:c>
      <x:c r="G56" s="30" t="n">
        <x:f>SUM(E57:E147)</x:f>
        <x:v>0</x:v>
      </x:c>
      <x:c r="H56" s="30" t="n">
        <x:f>IF($E$42=0,1-MIN(C56,$E$43)/$E$43,((1+$E$42)^$E$43-(1+$E$42)^MIN(C56,$E$43))/((1+$E$42)^$E$43-1))</x:f>
        <x:v>0.8699713920451464</x:v>
      </x:c>
      <x:c r="I56" s="30" t="n">
        <x:f>MAX(0,1-D56-J56)</x:f>
        <x:v>0</x:v>
      </x:c>
      <x:c r="J56" s="2" t="n">
        <x:f>(1-$E$40)*INDEX('Assumptions'!$I$65:$I$101,MIN(C56,36)+1)</x:f>
        <x:v>0.64</x:v>
      </x:c>
      <x:c r="K56" s="2"/>
      <x:c r="L56" s="2"/>
      <x:c r="M56" s="2"/>
      <x:c r="N56" s="2"/>
      <x:c r="O56" s="2"/>
      <x:c r="P56" s="2"/>
      <x:c r="Q56" s="2"/>
      <x:c r="R56" s="2"/>
      <x:c r="S56" s="2"/>
      <x:c r="T56" s="2"/>
      <x:c r="U56" s="2"/>
      <x:c r="V56" s="2"/>
      <x:c r="W56" s="2"/>
      <x:c r="X56" s="2"/>
      <x:c r="Y56" s="2"/>
      <x:c r="Z56" s="2"/>
      <x:c r="AA56" s="2"/>
      <x:c r="AB56" s="2"/>
      <x:c r="AC56" s="2"/>
      <x:c r="AD56" s="2"/>
      <x:c r="AE56" s="2"/>
      <x:c r="AF56" s="2"/>
      <x:c r="AG56" s="2"/>
      <x:c r="AH56" s="2"/>
      <x:c r="AI56" s="2"/>
      <x:c r="AJ56" s="2"/>
      <x:c r="AK56" s="2"/>
      <x:c r="AL56" s="2"/>
      <x:c r="AM56" s="2"/>
      <x:c r="AN56" s="2"/>
      <x:c r="AO56" s="2"/>
      <x:c r="AP56" s="2"/>
      <x:c r="AQ56" s="2"/>
      <x:c r="AR56" s="2"/>
      <x:c r="AS56" s="2"/>
      <x:c r="AT56" s="2"/>
      <x:c r="AU56" s="2"/>
      <x:c r="AV56" s="2"/>
      <x:c r="AW56" s="2"/>
      <x:c r="AX56" s="2"/>
      <x:c r="AY56" s="2"/>
      <x:c r="AZ56" s="2"/>
      <x:c r="BA56" s="2"/>
      <x:c r="BB56" s="2"/>
      <x:c r="BC56" s="2"/>
      <x:c r="BD56" s="2"/>
      <x:c r="BE56" s="2"/>
      <x:c r="BF56" s="2"/>
      <x:c r="BG56" s="2"/>
      <x:c r="BH56" s="2"/>
      <x:c r="BI56" s="2"/>
      <x:c r="BJ56" s="2"/>
      <x:c r="BK56" s="2"/>
      <x:c r="BL56" s="2"/>
      <x:c r="BM56" s="2"/>
      <x:c r="BN56" s="2"/>
      <x:c r="BO56" s="2"/>
      <x:c r="BP56" s="2"/>
      <x:c r="BQ56" s="2"/>
      <x:c r="BR56" s="2"/>
      <x:c r="BS56" s="2"/>
      <x:c r="BT56" s="2"/>
      <x:c r="BU56" s="2"/>
      <x:c r="BV56" s="2"/>
      <x:c r="BW56" s="2"/>
      <x:c r="BX56" s="2"/>
      <x:c r="BY56" s="2"/>
      <x:c r="BZ56" s="2"/>
      <x:c r="CA56" s="2"/>
      <x:c r="CB56" s="2"/>
      <x:c r="CC56" s="2"/>
      <x:c r="CD56" s="2"/>
      <x:c r="CE56" s="2"/>
      <x:c r="CF56" s="2"/>
      <x:c r="CG56" s="2"/>
      <x:c r="CH56" s="2"/>
      <x:c r="CI56" s="2"/>
      <x:c r="CJ56" s="2"/>
      <x:c r="CK56" s="2"/>
      <x:c r="CL56" s="2"/>
      <x:c r="CM56" s="2"/>
      <x:c r="CN56" s="2"/>
      <x:c r="CO56" s="2"/>
      <x:c r="CP56" s="2"/>
      <x:c r="CQ56" s="2"/>
      <x:c r="CR56" s="2"/>
      <x:c r="CS56" s="2"/>
      <x:c r="CT56" s="2"/>
      <x:c r="CU56" s="2"/>
      <x:c r="CV56" s="2"/>
      <x:c r="CW56" s="2"/>
      <x:c r="CX56" s="2"/>
      <x:c r="CY56" s="2"/>
    </x:row>
    <x:row r="57" ht="19" customHeight="1">
      <x:c r="A57" s="1"/>
      <x:c r="B57" s="1"/>
      <x:c r="C57" s="2" t="n">
        <x:v>6</x:v>
      </x:c>
      <x:c r="D57" s="30" t="n">
        <x:f>$E$40*INDEX('Assumptions'!$F$65:$F$101,MIN(C57,36)+1)</x:f>
        <x:v>0.36</x:v>
      </x:c>
      <x:c r="E57" s="30" t="n">
        <x:f>(D57-D56)*H56</x:f>
        <x:v>0</x:v>
      </x:c>
      <x:c r="F57" s="30" t="n">
        <x:f>(1-D57-J56)*(H56-H57)+(J57-J56)*H57</x:f>
        <x:v>0</x:v>
      </x:c>
      <x:c r="G57" s="30" t="n">
        <x:f>SUM(E58:E147)</x:f>
        <x:v>0</x:v>
      </x:c>
      <x:c r="H57" s="30" t="n">
        <x:f>IF($E$42=0,1-MIN(C57,$E$43)/$E$43,((1+$E$42)^$E$43-(1+$E$42)^MIN(C57,$E$43))/((1+$E$42)^$E$43-1))</x:f>
        <x:v>0.8402831463528551</x:v>
      </x:c>
      <x:c r="I57" s="30" t="n">
        <x:f>MAX(0,1-D57-J57)</x:f>
        <x:v>0</x:v>
      </x:c>
      <x:c r="J57" s="2" t="n">
        <x:f>(1-$E$40)*INDEX('Assumptions'!$I$65:$I$101,MIN(C57,36)+1)</x:f>
        <x:v>0.64</x:v>
      </x:c>
      <x:c r="K57" s="2"/>
      <x:c r="L57" s="2"/>
      <x:c r="M57" s="2"/>
      <x:c r="N57" s="2"/>
      <x:c r="O57" s="2"/>
      <x:c r="P57" s="2"/>
      <x:c r="Q57" s="2"/>
      <x:c r="R57" s="2"/>
      <x:c r="S57" s="2"/>
      <x:c r="T57" s="2"/>
      <x:c r="U57" s="2"/>
      <x:c r="V57" s="2"/>
      <x:c r="W57" s="2"/>
      <x:c r="X57" s="2"/>
      <x:c r="Y57" s="2"/>
      <x:c r="Z57" s="2"/>
      <x:c r="AA57" s="2"/>
      <x:c r="AB57" s="2"/>
      <x:c r="AC57" s="2"/>
      <x:c r="AD57" s="2"/>
      <x:c r="AE57" s="2"/>
      <x:c r="AF57" s="2"/>
      <x:c r="AG57" s="2"/>
      <x:c r="AH57" s="2"/>
      <x:c r="AI57" s="2"/>
      <x:c r="AJ57" s="2"/>
      <x:c r="AK57" s="2"/>
      <x:c r="AL57" s="2"/>
      <x:c r="AM57" s="2"/>
      <x:c r="AN57" s="2"/>
      <x:c r="AO57" s="2"/>
      <x:c r="AP57" s="2"/>
      <x:c r="AQ57" s="2"/>
      <x:c r="AR57" s="2"/>
      <x:c r="AS57" s="2"/>
      <x:c r="AT57" s="2"/>
      <x:c r="AU57" s="2"/>
      <x:c r="AV57" s="2"/>
      <x:c r="AW57" s="2"/>
      <x:c r="AX57" s="2"/>
      <x:c r="AY57" s="2"/>
      <x:c r="AZ57" s="2"/>
      <x:c r="BA57" s="2"/>
      <x:c r="BB57" s="2"/>
      <x:c r="BC57" s="2"/>
      <x:c r="BD57" s="2"/>
      <x:c r="BE57" s="2"/>
      <x:c r="BF57" s="2"/>
      <x:c r="BG57" s="2"/>
      <x:c r="BH57" s="2"/>
      <x:c r="BI57" s="2"/>
      <x:c r="BJ57" s="2"/>
      <x:c r="BK57" s="2"/>
      <x:c r="BL57" s="2"/>
      <x:c r="BM57" s="2"/>
      <x:c r="BN57" s="2"/>
      <x:c r="BO57" s="2"/>
      <x:c r="BP57" s="2"/>
      <x:c r="BQ57" s="2"/>
      <x:c r="BR57" s="2"/>
      <x:c r="BS57" s="2"/>
      <x:c r="BT57" s="2"/>
      <x:c r="BU57" s="2"/>
      <x:c r="BV57" s="2"/>
      <x:c r="BW57" s="2"/>
      <x:c r="BX57" s="2"/>
      <x:c r="BY57" s="2"/>
      <x:c r="BZ57" s="2"/>
      <x:c r="CA57" s="2"/>
      <x:c r="CB57" s="2"/>
      <x:c r="CC57" s="2"/>
      <x:c r="CD57" s="2"/>
      <x:c r="CE57" s="2"/>
      <x:c r="CF57" s="2"/>
      <x:c r="CG57" s="2"/>
      <x:c r="CH57" s="2"/>
      <x:c r="CI57" s="2"/>
      <x:c r="CJ57" s="2"/>
      <x:c r="CK57" s="2"/>
      <x:c r="CL57" s="2"/>
      <x:c r="CM57" s="2"/>
      <x:c r="CN57" s="2"/>
      <x:c r="CO57" s="2"/>
      <x:c r="CP57" s="2"/>
      <x:c r="CQ57" s="2"/>
      <x:c r="CR57" s="2"/>
      <x:c r="CS57" s="2"/>
      <x:c r="CT57" s="2"/>
      <x:c r="CU57" s="2"/>
      <x:c r="CV57" s="2"/>
      <x:c r="CW57" s="2"/>
      <x:c r="CX57" s="2"/>
      <x:c r="CY57" s="2"/>
    </x:row>
    <x:row r="58" ht="19" customHeight="1">
      <x:c r="A58" s="1"/>
      <x:c r="B58" s="1"/>
      <x:c r="C58" s="2" t="n">
        <x:v>7</x:v>
      </x:c>
      <x:c r="D58" s="30" t="n">
        <x:f>$E$40*INDEX('Assumptions'!$F$65:$F$101,MIN(C58,36)+1)</x:f>
        <x:v>0.36</x:v>
      </x:c>
      <x:c r="E58" s="30" t="n">
        <x:f>(D58-D57)*H57</x:f>
        <x:v>0</x:v>
      </x:c>
      <x:c r="F58" s="30" t="n">
        <x:f>(1-D58-J57)*(H57-H58)+(J58-J57)*H58</x:f>
        <x:v>0</x:v>
      </x:c>
      <x:c r="G58" s="30" t="n">
        <x:f>SUM(E59:E147)</x:f>
        <x:v>0</x:v>
      </x:c>
      <x:c r="H58" s="30" t="n">
        <x:f>IF($E$42=0,1-MIN(C58,$E$43)/$E$43,((1+$E$42)^$E$43-(1+$E$42)^MIN(C58,$E$43))/((1+$E$42)^$E$43-1))</x:f>
        <x:v>0.8092341893996671</x:v>
      </x:c>
      <x:c r="I58" s="30" t="n">
        <x:f>MAX(0,1-D58-J58)</x:f>
        <x:v>0</x:v>
      </x:c>
      <x:c r="J58" s="2" t="n">
        <x:f>(1-$E$40)*INDEX('Assumptions'!$I$65:$I$101,MIN(C58,36)+1)</x:f>
        <x:v>0.64</x:v>
      </x:c>
      <x:c r="K58" s="2"/>
      <x:c r="L58" s="2"/>
      <x:c r="M58" s="2"/>
      <x:c r="N58" s="2"/>
      <x:c r="O58" s="2"/>
      <x:c r="P58" s="2"/>
      <x:c r="Q58" s="2"/>
      <x:c r="R58" s="2"/>
      <x:c r="S58" s="2"/>
      <x:c r="T58" s="2"/>
      <x:c r="U58" s="2"/>
      <x:c r="V58" s="2"/>
      <x:c r="W58" s="2"/>
      <x:c r="X58" s="2"/>
      <x:c r="Y58" s="2"/>
      <x:c r="Z58" s="2"/>
      <x:c r="AA58" s="2"/>
      <x:c r="AB58" s="2"/>
      <x:c r="AC58" s="2"/>
      <x:c r="AD58" s="2"/>
      <x:c r="AE58" s="2"/>
      <x:c r="AF58" s="2"/>
      <x:c r="AG58" s="2"/>
      <x:c r="AH58" s="2"/>
      <x:c r="AI58" s="2"/>
      <x:c r="AJ58" s="2"/>
      <x:c r="AK58" s="2"/>
      <x:c r="AL58" s="2"/>
      <x:c r="AM58" s="2"/>
      <x:c r="AN58" s="2"/>
      <x:c r="AO58" s="2"/>
      <x:c r="AP58" s="2"/>
      <x:c r="AQ58" s="2"/>
      <x:c r="AR58" s="2"/>
      <x:c r="AS58" s="2"/>
      <x:c r="AT58" s="2"/>
      <x:c r="AU58" s="2"/>
      <x:c r="AV58" s="2"/>
      <x:c r="AW58" s="2"/>
      <x:c r="AX58" s="2"/>
      <x:c r="AY58" s="2"/>
      <x:c r="AZ58" s="2"/>
      <x:c r="BA58" s="2"/>
      <x:c r="BB58" s="2"/>
      <x:c r="BC58" s="2"/>
      <x:c r="BD58" s="2"/>
      <x:c r="BE58" s="2"/>
      <x:c r="BF58" s="2"/>
      <x:c r="BG58" s="2"/>
      <x:c r="BH58" s="2"/>
      <x:c r="BI58" s="2"/>
      <x:c r="BJ58" s="2"/>
      <x:c r="BK58" s="2"/>
      <x:c r="BL58" s="2"/>
      <x:c r="BM58" s="2"/>
      <x:c r="BN58" s="2"/>
      <x:c r="BO58" s="2"/>
      <x:c r="BP58" s="2"/>
      <x:c r="BQ58" s="2"/>
      <x:c r="BR58" s="2"/>
      <x:c r="BS58" s="2"/>
      <x:c r="BT58" s="2"/>
      <x:c r="BU58" s="2"/>
      <x:c r="BV58" s="2"/>
      <x:c r="BW58" s="2"/>
      <x:c r="BX58" s="2"/>
      <x:c r="BY58" s="2"/>
      <x:c r="BZ58" s="2"/>
      <x:c r="CA58" s="2"/>
      <x:c r="CB58" s="2"/>
      <x:c r="CC58" s="2"/>
      <x:c r="CD58" s="2"/>
      <x:c r="CE58" s="2"/>
      <x:c r="CF58" s="2"/>
      <x:c r="CG58" s="2"/>
      <x:c r="CH58" s="2"/>
      <x:c r="CI58" s="2"/>
      <x:c r="CJ58" s="2"/>
      <x:c r="CK58" s="2"/>
      <x:c r="CL58" s="2"/>
      <x:c r="CM58" s="2"/>
      <x:c r="CN58" s="2"/>
      <x:c r="CO58" s="2"/>
      <x:c r="CP58" s="2"/>
      <x:c r="CQ58" s="2"/>
      <x:c r="CR58" s="2"/>
      <x:c r="CS58" s="2"/>
      <x:c r="CT58" s="2"/>
      <x:c r="CU58" s="2"/>
      <x:c r="CV58" s="2"/>
      <x:c r="CW58" s="2"/>
      <x:c r="CX58" s="2"/>
      <x:c r="CY58" s="2"/>
    </x:row>
    <x:row r="59" ht="19" customHeight="1">
      <x:c r="A59" s="1"/>
      <x:c r="B59" s="1"/>
      <x:c r="C59" s="2" t="n">
        <x:v>8</x:v>
      </x:c>
      <x:c r="D59" s="30" t="n">
        <x:f>$E$40*INDEX('Assumptions'!$F$65:$F$101,MIN(C59,36)+1)</x:f>
        <x:v>0.36</x:v>
      </x:c>
      <x:c r="E59" s="30" t="n">
        <x:f>(D59-D58)*H58</x:f>
        <x:v>0</x:v>
      </x:c>
      <x:c r="F59" s="30" t="n">
        <x:f>(1-D59-J58)*(H58-H59)+(J59-J58)*H59</x:f>
        <x:v>0</x:v>
      </x:c>
      <x:c r="G59" s="30" t="n">
        <x:f>SUM(E60:E147)</x:f>
        <x:v>0</x:v>
      </x:c>
      <x:c r="H59" s="30" t="n">
        <x:f>IF($E$42=0,1-MIN(C59,$E$43)/$E$43,((1+$E$42)^$E$43-(1+$E$42)^MIN(C59,$E$43))/((1+$E$42)^$E$43-1))</x:f>
        <x:v>0.7767621552527914</x:v>
      </x:c>
      <x:c r="I59" s="30" t="n">
        <x:f>MAX(0,1-D59-J59)</x:f>
        <x:v>0</x:v>
      </x:c>
      <x:c r="J59" s="2" t="n">
        <x:f>(1-$E$40)*INDEX('Assumptions'!$I$65:$I$101,MIN(C59,36)+1)</x:f>
        <x:v>0.64</x:v>
      </x:c>
      <x:c r="K59" s="2"/>
      <x:c r="L59" s="2"/>
      <x:c r="M59" s="2"/>
      <x:c r="N59" s="2"/>
      <x:c r="O59" s="2"/>
      <x:c r="P59" s="2"/>
      <x:c r="Q59" s="2"/>
      <x:c r="R59" s="2"/>
      <x:c r="S59" s="2"/>
      <x:c r="T59" s="2"/>
      <x:c r="U59" s="2"/>
      <x:c r="V59" s="2"/>
      <x:c r="W59" s="2"/>
      <x:c r="X59" s="2"/>
      <x:c r="Y59" s="2"/>
      <x:c r="Z59" s="2"/>
      <x:c r="AA59" s="2"/>
      <x:c r="AB59" s="2"/>
      <x:c r="AC59" s="2"/>
      <x:c r="AD59" s="2"/>
      <x:c r="AE59" s="2"/>
      <x:c r="AF59" s="2"/>
      <x:c r="AG59" s="2"/>
      <x:c r="AH59" s="2"/>
      <x:c r="AI59" s="2"/>
      <x:c r="AJ59" s="2"/>
      <x:c r="AK59" s="2"/>
      <x:c r="AL59" s="2"/>
      <x:c r="AM59" s="2"/>
      <x:c r="AN59" s="2"/>
      <x:c r="AO59" s="2"/>
      <x:c r="AP59" s="2"/>
      <x:c r="AQ59" s="2"/>
      <x:c r="AR59" s="2"/>
      <x:c r="AS59" s="2"/>
      <x:c r="AT59" s="2"/>
      <x:c r="AU59" s="2"/>
      <x:c r="AV59" s="2"/>
      <x:c r="AW59" s="2"/>
      <x:c r="AX59" s="2"/>
      <x:c r="AY59" s="2"/>
      <x:c r="AZ59" s="2"/>
      <x:c r="BA59" s="2"/>
      <x:c r="BB59" s="2"/>
      <x:c r="BC59" s="2"/>
      <x:c r="BD59" s="2"/>
      <x:c r="BE59" s="2"/>
      <x:c r="BF59" s="2"/>
      <x:c r="BG59" s="2"/>
      <x:c r="BH59" s="2"/>
      <x:c r="BI59" s="2"/>
      <x:c r="BJ59" s="2"/>
      <x:c r="BK59" s="2"/>
      <x:c r="BL59" s="2"/>
      <x:c r="BM59" s="2"/>
      <x:c r="BN59" s="2"/>
      <x:c r="BO59" s="2"/>
      <x:c r="BP59" s="2"/>
      <x:c r="BQ59" s="2"/>
      <x:c r="BR59" s="2"/>
      <x:c r="BS59" s="2"/>
      <x:c r="BT59" s="2"/>
      <x:c r="BU59" s="2"/>
      <x:c r="BV59" s="2"/>
      <x:c r="BW59" s="2"/>
      <x:c r="BX59" s="2"/>
      <x:c r="BY59" s="2"/>
      <x:c r="BZ59" s="2"/>
      <x:c r="CA59" s="2"/>
      <x:c r="CB59" s="2"/>
      <x:c r="CC59" s="2"/>
      <x:c r="CD59" s="2"/>
      <x:c r="CE59" s="2"/>
      <x:c r="CF59" s="2"/>
      <x:c r="CG59" s="2"/>
      <x:c r="CH59" s="2"/>
      <x:c r="CI59" s="2"/>
      <x:c r="CJ59" s="2"/>
      <x:c r="CK59" s="2"/>
      <x:c r="CL59" s="2"/>
      <x:c r="CM59" s="2"/>
      <x:c r="CN59" s="2"/>
      <x:c r="CO59" s="2"/>
      <x:c r="CP59" s="2"/>
      <x:c r="CQ59" s="2"/>
      <x:c r="CR59" s="2"/>
      <x:c r="CS59" s="2"/>
      <x:c r="CT59" s="2"/>
      <x:c r="CU59" s="2"/>
      <x:c r="CV59" s="2"/>
      <x:c r="CW59" s="2"/>
      <x:c r="CX59" s="2"/>
      <x:c r="CY59" s="2"/>
    </x:row>
    <x:row r="60" ht="19" customHeight="1">
      <x:c r="A60" s="1"/>
      <x:c r="B60" s="1"/>
      <x:c r="C60" s="2" t="n">
        <x:v>9</x:v>
      </x:c>
      <x:c r="D60" s="30" t="n">
        <x:f>$E$40*INDEX('Assumptions'!$F$65:$F$101,MIN(C60,36)+1)</x:f>
        <x:v>0.36</x:v>
      </x:c>
      <x:c r="E60" s="30" t="n">
        <x:f>(D60-D59)*H59</x:f>
        <x:v>0</x:v>
      </x:c>
      <x:c r="F60" s="30" t="n">
        <x:f>(1-D60-J59)*(H59-H60)+(J60-J59)*H60</x:f>
        <x:v>0</x:v>
      </x:c>
      <x:c r="G60" s="30" t="n">
        <x:f>SUM(E61:E147)</x:f>
        <x:v>0</x:v>
      </x:c>
      <x:c r="H60" s="30" t="n">
        <x:f>IF($E$42=0,1-MIN(C60,$E$43)/$E$43,((1+$E$42)^$E$43-(1+$E$42)^MIN(C60,$E$43))/((1+$E$42)^$E$43-1))</x:f>
        <x:v>0.7428018195408503</x:v>
      </x:c>
      <x:c r="I60" s="30" t="n">
        <x:f>MAX(0,1-D60-J60)</x:f>
        <x:v>0</x:v>
      </x:c>
      <x:c r="J60" s="2" t="n">
        <x:f>(1-$E$40)*INDEX('Assumptions'!$I$65:$I$101,MIN(C60,36)+1)</x:f>
        <x:v>0.64</x:v>
      </x:c>
      <x:c r="K60" s="2"/>
      <x:c r="L60" s="2"/>
      <x:c r="M60" s="2"/>
      <x:c r="N60" s="2"/>
      <x:c r="O60" s="2"/>
      <x:c r="P60" s="2"/>
      <x:c r="Q60" s="2"/>
      <x:c r="R60" s="2"/>
      <x:c r="S60" s="2"/>
      <x:c r="T60" s="2"/>
      <x:c r="U60" s="2"/>
      <x:c r="V60" s="2"/>
      <x:c r="W60" s="2"/>
      <x:c r="X60" s="2"/>
      <x:c r="Y60" s="2"/>
      <x:c r="Z60" s="2"/>
      <x:c r="AA60" s="2"/>
      <x:c r="AB60" s="2"/>
      <x:c r="AC60" s="2"/>
      <x:c r="AD60" s="2"/>
      <x:c r="AE60" s="2"/>
      <x:c r="AF60" s="2"/>
      <x:c r="AG60" s="2"/>
      <x:c r="AH60" s="2"/>
      <x:c r="AI60" s="2"/>
      <x:c r="AJ60" s="2"/>
      <x:c r="AK60" s="2"/>
      <x:c r="AL60" s="2"/>
      <x:c r="AM60" s="2"/>
      <x:c r="AN60" s="2"/>
      <x:c r="AO60" s="2"/>
      <x:c r="AP60" s="2"/>
      <x:c r="AQ60" s="2"/>
      <x:c r="AR60" s="2"/>
      <x:c r="AS60" s="2"/>
      <x:c r="AT60" s="2"/>
      <x:c r="AU60" s="2"/>
      <x:c r="AV60" s="2"/>
      <x:c r="AW60" s="2"/>
      <x:c r="AX60" s="2"/>
      <x:c r="AY60" s="2"/>
      <x:c r="AZ60" s="2"/>
      <x:c r="BA60" s="2"/>
      <x:c r="BB60" s="2"/>
      <x:c r="BC60" s="2"/>
      <x:c r="BD60" s="2"/>
      <x:c r="BE60" s="2"/>
      <x:c r="BF60" s="2"/>
      <x:c r="BG60" s="2"/>
      <x:c r="BH60" s="2"/>
      <x:c r="BI60" s="2"/>
      <x:c r="BJ60" s="2"/>
      <x:c r="BK60" s="2"/>
      <x:c r="BL60" s="2"/>
      <x:c r="BM60" s="2"/>
      <x:c r="BN60" s="2"/>
      <x:c r="BO60" s="2"/>
      <x:c r="BP60" s="2"/>
      <x:c r="BQ60" s="2"/>
      <x:c r="BR60" s="2"/>
      <x:c r="BS60" s="2"/>
      <x:c r="BT60" s="2"/>
      <x:c r="BU60" s="2"/>
      <x:c r="BV60" s="2"/>
      <x:c r="BW60" s="2"/>
      <x:c r="BX60" s="2"/>
      <x:c r="BY60" s="2"/>
      <x:c r="BZ60" s="2"/>
      <x:c r="CA60" s="2"/>
      <x:c r="CB60" s="2"/>
      <x:c r="CC60" s="2"/>
      <x:c r="CD60" s="2"/>
      <x:c r="CE60" s="2"/>
      <x:c r="CF60" s="2"/>
      <x:c r="CG60" s="2"/>
      <x:c r="CH60" s="2"/>
      <x:c r="CI60" s="2"/>
      <x:c r="CJ60" s="2"/>
      <x:c r="CK60" s="2"/>
      <x:c r="CL60" s="2"/>
      <x:c r="CM60" s="2"/>
      <x:c r="CN60" s="2"/>
      <x:c r="CO60" s="2"/>
      <x:c r="CP60" s="2"/>
      <x:c r="CQ60" s="2"/>
      <x:c r="CR60" s="2"/>
      <x:c r="CS60" s="2"/>
      <x:c r="CT60" s="2"/>
      <x:c r="CU60" s="2"/>
      <x:c r="CV60" s="2"/>
      <x:c r="CW60" s="2"/>
      <x:c r="CX60" s="2"/>
      <x:c r="CY60" s="2"/>
    </x:row>
    <x:row r="61" ht="19" customHeight="1">
      <x:c r="A61" s="1"/>
      <x:c r="B61" s="1"/>
      <x:c r="C61" s="2" t="n">
        <x:v>10</x:v>
      </x:c>
      <x:c r="D61" s="30" t="n">
        <x:f>$E$40*INDEX('Assumptions'!$F$65:$F$101,MIN(C61,36)+1)</x:f>
        <x:v>0.36</x:v>
      </x:c>
      <x:c r="E61" s="30" t="n">
        <x:f>(D61-D60)*H60</x:f>
        <x:v>0</x:v>
      </x:c>
      <x:c r="F61" s="30" t="n">
        <x:f>(1-D61-J60)*(H60-H61)+(J61-J60)*H61</x:f>
        <x:v>0</x:v>
      </x:c>
      <x:c r="G61" s="30" t="n">
        <x:f>SUM(E62:E147)</x:f>
        <x:v>0</x:v>
      </x:c>
      <x:c r="H61" s="30" t="n">
        <x:f>IF($E$42=0,1-MIN(C61,$E$43)/$E$43,((1+$E$42)^$E$43-(1+$E$42)^MIN(C61,$E$43))/((1+$E$42)^$E$43-1))</x:f>
        <x:v>0.7072849684421122</x:v>
      </x:c>
      <x:c r="I61" s="30" t="n">
        <x:f>MAX(0,1-D61-J61)</x:f>
        <x:v>0</x:v>
      </x:c>
      <x:c r="J61" s="2" t="n">
        <x:f>(1-$E$40)*INDEX('Assumptions'!$I$65:$I$101,MIN(C61,36)+1)</x:f>
        <x:v>0.64</x:v>
      </x:c>
      <x:c r="K61" s="2"/>
      <x:c r="L61" s="2"/>
      <x:c r="M61" s="2"/>
      <x:c r="N61" s="2"/>
      <x:c r="O61" s="2"/>
      <x:c r="P61" s="2"/>
      <x:c r="Q61" s="2"/>
      <x:c r="R61" s="2"/>
      <x:c r="S61" s="2"/>
      <x:c r="T61" s="2"/>
      <x:c r="U61" s="2"/>
      <x:c r="V61" s="2"/>
      <x:c r="W61" s="2"/>
      <x:c r="X61" s="2"/>
      <x:c r="Y61" s="2"/>
      <x:c r="Z61" s="2"/>
      <x:c r="AA61" s="2"/>
      <x:c r="AB61" s="2"/>
      <x:c r="AC61" s="2"/>
      <x:c r="AD61" s="2"/>
      <x:c r="AE61" s="2"/>
      <x:c r="AF61" s="2"/>
      <x:c r="AG61" s="2"/>
      <x:c r="AH61" s="2"/>
      <x:c r="AI61" s="2"/>
      <x:c r="AJ61" s="2"/>
      <x:c r="AK61" s="2"/>
      <x:c r="AL61" s="2"/>
      <x:c r="AM61" s="2"/>
      <x:c r="AN61" s="2"/>
      <x:c r="AO61" s="2"/>
      <x:c r="AP61" s="2"/>
      <x:c r="AQ61" s="2"/>
      <x:c r="AR61" s="2"/>
      <x:c r="AS61" s="2"/>
      <x:c r="AT61" s="2"/>
      <x:c r="AU61" s="2"/>
      <x:c r="AV61" s="2"/>
      <x:c r="AW61" s="2"/>
      <x:c r="AX61" s="2"/>
      <x:c r="AY61" s="2"/>
      <x:c r="AZ61" s="2"/>
      <x:c r="BA61" s="2"/>
      <x:c r="BB61" s="2"/>
      <x:c r="BC61" s="2"/>
      <x:c r="BD61" s="2"/>
      <x:c r="BE61" s="2"/>
      <x:c r="BF61" s="2"/>
      <x:c r="BG61" s="2"/>
      <x:c r="BH61" s="2"/>
      <x:c r="BI61" s="2"/>
      <x:c r="BJ61" s="2"/>
      <x:c r="BK61" s="2"/>
      <x:c r="BL61" s="2"/>
      <x:c r="BM61" s="2"/>
      <x:c r="BN61" s="2"/>
      <x:c r="BO61" s="2"/>
      <x:c r="BP61" s="2"/>
      <x:c r="BQ61" s="2"/>
      <x:c r="BR61" s="2"/>
      <x:c r="BS61" s="2"/>
      <x:c r="BT61" s="2"/>
      <x:c r="BU61" s="2"/>
      <x:c r="BV61" s="2"/>
      <x:c r="BW61" s="2"/>
      <x:c r="BX61" s="2"/>
      <x:c r="BY61" s="2"/>
      <x:c r="BZ61" s="2"/>
      <x:c r="CA61" s="2"/>
      <x:c r="CB61" s="2"/>
      <x:c r="CC61" s="2"/>
      <x:c r="CD61" s="2"/>
      <x:c r="CE61" s="2"/>
      <x:c r="CF61" s="2"/>
      <x:c r="CG61" s="2"/>
      <x:c r="CH61" s="2"/>
      <x:c r="CI61" s="2"/>
      <x:c r="CJ61" s="2"/>
      <x:c r="CK61" s="2"/>
      <x:c r="CL61" s="2"/>
      <x:c r="CM61" s="2"/>
      <x:c r="CN61" s="2"/>
      <x:c r="CO61" s="2"/>
      <x:c r="CP61" s="2"/>
      <x:c r="CQ61" s="2"/>
      <x:c r="CR61" s="2"/>
      <x:c r="CS61" s="2"/>
      <x:c r="CT61" s="2"/>
      <x:c r="CU61" s="2"/>
      <x:c r="CV61" s="2"/>
      <x:c r="CW61" s="2"/>
      <x:c r="CX61" s="2"/>
      <x:c r="CY61" s="2"/>
    </x:row>
    <x:row r="62" ht="19" customHeight="1">
      <x:c r="A62" s="1"/>
      <x:c r="B62" s="1"/>
      <x:c r="C62" s="2" t="n">
        <x:v>11</x:v>
      </x:c>
      <x:c r="D62" s="30" t="n">
        <x:f>$E$40*INDEX('Assumptions'!$F$65:$F$101,MIN(C62,36)+1)</x:f>
        <x:v>0.36</x:v>
      </x:c>
      <x:c r="E62" s="30" t="n">
        <x:f>(D62-D61)*H61</x:f>
        <x:v>0</x:v>
      </x:c>
      <x:c r="F62" s="30" t="n">
        <x:f>(1-D62-J61)*(H61-H62)+(J62-J61)*H62</x:f>
        <x:v>0</x:v>
      </x:c>
      <x:c r="G62" s="30" t="n">
        <x:f>SUM(E63:E147)</x:f>
        <x:v>0</x:v>
      </x:c>
      <x:c r="H62" s="30" t="n">
        <x:f>IF($E$42=0,1-MIN(C62,$E$43)/$E$43,((1+$E$42)^$E$43-(1+$E$42)^MIN(C62,$E$43))/((1+$E$42)^$E$43-1))</x:f>
        <x:v>0.6701402616680151</x:v>
      </x:c>
      <x:c r="I62" s="30" t="n">
        <x:f>MAX(0,1-D62-J62)</x:f>
        <x:v>0</x:v>
      </x:c>
      <x:c r="J62" s="2" t="n">
        <x:f>(1-$E$40)*INDEX('Assumptions'!$I$65:$I$101,MIN(C62,36)+1)</x:f>
        <x:v>0.64</x:v>
      </x:c>
      <x:c r="K62" s="2"/>
      <x:c r="L62" s="2"/>
      <x:c r="M62" s="2"/>
      <x:c r="N62" s="2"/>
      <x:c r="O62" s="2"/>
      <x:c r="P62" s="2"/>
      <x:c r="Q62" s="2"/>
      <x:c r="R62" s="2"/>
      <x:c r="S62" s="2"/>
      <x:c r="T62" s="2"/>
      <x:c r="U62" s="2"/>
      <x:c r="V62" s="2"/>
      <x:c r="W62" s="2"/>
      <x:c r="X62" s="2"/>
      <x:c r="Y62" s="2"/>
      <x:c r="Z62" s="2"/>
      <x:c r="AA62" s="2"/>
      <x:c r="AB62" s="2"/>
      <x:c r="AC62" s="2"/>
      <x:c r="AD62" s="2"/>
      <x:c r="AE62" s="2"/>
      <x:c r="AF62" s="2"/>
      <x:c r="AG62" s="2"/>
      <x:c r="AH62" s="2"/>
      <x:c r="AI62" s="2"/>
      <x:c r="AJ62" s="2"/>
      <x:c r="AK62" s="2"/>
      <x:c r="AL62" s="2"/>
      <x:c r="AM62" s="2"/>
      <x:c r="AN62" s="2"/>
      <x:c r="AO62" s="2"/>
      <x:c r="AP62" s="2"/>
      <x:c r="AQ62" s="2"/>
      <x:c r="AR62" s="2"/>
      <x:c r="AS62" s="2"/>
      <x:c r="AT62" s="2"/>
      <x:c r="AU62" s="2"/>
      <x:c r="AV62" s="2"/>
      <x:c r="AW62" s="2"/>
      <x:c r="AX62" s="2"/>
      <x:c r="AY62" s="2"/>
      <x:c r="AZ62" s="2"/>
      <x:c r="BA62" s="2"/>
      <x:c r="BB62" s="2"/>
      <x:c r="BC62" s="2"/>
      <x:c r="BD62" s="2"/>
      <x:c r="BE62" s="2"/>
      <x:c r="BF62" s="2"/>
      <x:c r="BG62" s="2"/>
      <x:c r="BH62" s="2"/>
      <x:c r="BI62" s="2"/>
      <x:c r="BJ62" s="2"/>
      <x:c r="BK62" s="2"/>
      <x:c r="BL62" s="2"/>
      <x:c r="BM62" s="2"/>
      <x:c r="BN62" s="2"/>
      <x:c r="BO62" s="2"/>
      <x:c r="BP62" s="2"/>
      <x:c r="BQ62" s="2"/>
      <x:c r="BR62" s="2"/>
      <x:c r="BS62" s="2"/>
      <x:c r="BT62" s="2"/>
      <x:c r="BU62" s="2"/>
      <x:c r="BV62" s="2"/>
      <x:c r="BW62" s="2"/>
      <x:c r="BX62" s="2"/>
      <x:c r="BY62" s="2"/>
      <x:c r="BZ62" s="2"/>
      <x:c r="CA62" s="2"/>
      <x:c r="CB62" s="2"/>
      <x:c r="CC62" s="2"/>
      <x:c r="CD62" s="2"/>
      <x:c r="CE62" s="2"/>
      <x:c r="CF62" s="2"/>
      <x:c r="CG62" s="2"/>
      <x:c r="CH62" s="2"/>
      <x:c r="CI62" s="2"/>
      <x:c r="CJ62" s="2"/>
      <x:c r="CK62" s="2"/>
      <x:c r="CL62" s="2"/>
      <x:c r="CM62" s="2"/>
      <x:c r="CN62" s="2"/>
      <x:c r="CO62" s="2"/>
      <x:c r="CP62" s="2"/>
      <x:c r="CQ62" s="2"/>
      <x:c r="CR62" s="2"/>
      <x:c r="CS62" s="2"/>
      <x:c r="CT62" s="2"/>
      <x:c r="CU62" s="2"/>
      <x:c r="CV62" s="2"/>
      <x:c r="CW62" s="2"/>
      <x:c r="CX62" s="2"/>
      <x:c r="CY62" s="2"/>
    </x:row>
    <x:row r="63" ht="19" customHeight="1">
      <x:c r="A63" s="1"/>
      <x:c r="B63" s="1"/>
      <x:c r="C63" s="2" t="n">
        <x:v>12</x:v>
      </x:c>
      <x:c r="D63" s="30" t="n">
        <x:f>$E$40*INDEX('Assumptions'!$F$65:$F$101,MIN(C63,36)+1)</x:f>
        <x:v>0.36</x:v>
      </x:c>
      <x:c r="E63" s="30" t="n">
        <x:f>(D63-D62)*H62</x:f>
        <x:v>0</x:v>
      </x:c>
      <x:c r="F63" s="30" t="n">
        <x:f>(1-D63-J62)*(H62-H63)+(J63-J62)*H63</x:f>
        <x:v>0</x:v>
      </x:c>
      <x:c r="G63" s="30" t="n">
        <x:f>SUM(E64:E147)</x:f>
        <x:v>0</x:v>
      </x:c>
      <x:c r="H63" s="30" t="n">
        <x:f>IF($E$42=0,1-MIN(C63,$E$43)/$E$43,((1+$E$42)^$E$43-(1+$E$42)^MIN(C63,$E$43))/((1+$E$42)^$E$43-1))</x:f>
        <x:v>0.631293089166772</x:v>
      </x:c>
      <x:c r="I63" s="30" t="n">
        <x:f>MAX(0,1-D63-J63)</x:f>
        <x:v>0</x:v>
      </x:c>
      <x:c r="J63" s="2" t="n">
        <x:f>(1-$E$40)*INDEX('Assumptions'!$I$65:$I$101,MIN(C63,36)+1)</x:f>
        <x:v>0.64</x:v>
      </x:c>
      <x:c r="K63" s="2"/>
      <x:c r="L63" s="2"/>
      <x:c r="M63" s="2"/>
      <x:c r="N63" s="2"/>
      <x:c r="O63" s="2"/>
      <x:c r="P63" s="2"/>
      <x:c r="Q63" s="2"/>
      <x:c r="R63" s="2"/>
      <x:c r="S63" s="2"/>
      <x:c r="T63" s="2"/>
      <x:c r="U63" s="2"/>
      <x:c r="V63" s="2"/>
      <x:c r="W63" s="2"/>
      <x:c r="X63" s="2"/>
      <x:c r="Y63" s="2"/>
      <x:c r="Z63" s="2"/>
      <x:c r="AA63" s="2"/>
      <x:c r="AB63" s="2"/>
      <x:c r="AC63" s="2"/>
      <x:c r="AD63" s="2"/>
      <x:c r="AE63" s="2"/>
      <x:c r="AF63" s="2"/>
      <x:c r="AG63" s="2"/>
      <x:c r="AH63" s="2"/>
      <x:c r="AI63" s="2"/>
      <x:c r="AJ63" s="2"/>
      <x:c r="AK63" s="2"/>
      <x:c r="AL63" s="2"/>
      <x:c r="AM63" s="2"/>
      <x:c r="AN63" s="2"/>
      <x:c r="AO63" s="2"/>
      <x:c r="AP63" s="2"/>
      <x:c r="AQ63" s="2"/>
      <x:c r="AR63" s="2"/>
      <x:c r="AS63" s="2"/>
      <x:c r="AT63" s="2"/>
      <x:c r="AU63" s="2"/>
      <x:c r="AV63" s="2"/>
      <x:c r="AW63" s="2"/>
      <x:c r="AX63" s="2"/>
      <x:c r="AY63" s="2"/>
      <x:c r="AZ63" s="2"/>
      <x:c r="BA63" s="2"/>
      <x:c r="BB63" s="2"/>
      <x:c r="BC63" s="2"/>
      <x:c r="BD63" s="2"/>
      <x:c r="BE63" s="2"/>
      <x:c r="BF63" s="2"/>
      <x:c r="BG63" s="2"/>
      <x:c r="BH63" s="2"/>
      <x:c r="BI63" s="2"/>
      <x:c r="BJ63" s="2"/>
      <x:c r="BK63" s="2"/>
      <x:c r="BL63" s="2"/>
      <x:c r="BM63" s="2"/>
      <x:c r="BN63" s="2"/>
      <x:c r="BO63" s="2"/>
      <x:c r="BP63" s="2"/>
      <x:c r="BQ63" s="2"/>
      <x:c r="BR63" s="2"/>
      <x:c r="BS63" s="2"/>
      <x:c r="BT63" s="2"/>
      <x:c r="BU63" s="2"/>
      <x:c r="BV63" s="2"/>
      <x:c r="BW63" s="2"/>
      <x:c r="BX63" s="2"/>
      <x:c r="BY63" s="2"/>
      <x:c r="BZ63" s="2"/>
      <x:c r="CA63" s="2"/>
      <x:c r="CB63" s="2"/>
      <x:c r="CC63" s="2"/>
      <x:c r="CD63" s="2"/>
      <x:c r="CE63" s="2"/>
      <x:c r="CF63" s="2"/>
      <x:c r="CG63" s="2"/>
      <x:c r="CH63" s="2"/>
      <x:c r="CI63" s="2"/>
      <x:c r="CJ63" s="2"/>
      <x:c r="CK63" s="2"/>
      <x:c r="CL63" s="2"/>
      <x:c r="CM63" s="2"/>
      <x:c r="CN63" s="2"/>
      <x:c r="CO63" s="2"/>
      <x:c r="CP63" s="2"/>
      <x:c r="CQ63" s="2"/>
      <x:c r="CR63" s="2"/>
      <x:c r="CS63" s="2"/>
      <x:c r="CT63" s="2"/>
      <x:c r="CU63" s="2"/>
      <x:c r="CV63" s="2"/>
      <x:c r="CW63" s="2"/>
      <x:c r="CX63" s="2"/>
      <x:c r="CY63" s="2"/>
    </x:row>
    <x:row r="64" ht="19" customHeight="1">
      <x:c r="A64" s="1"/>
      <x:c r="B64" s="1"/>
      <x:c r="C64" s="2" t="n">
        <x:v>13</x:v>
      </x:c>
      <x:c r="D64" s="30" t="n">
        <x:f>$E$40*INDEX('Assumptions'!$F$65:$F$101,MIN(C64,36)+1)</x:f>
        <x:v>0.36</x:v>
      </x:c>
      <x:c r="E64" s="30" t="n">
        <x:f>(D64-D63)*H63</x:f>
        <x:v>0</x:v>
      </x:c>
      <x:c r="F64" s="30" t="n">
        <x:f>(1-D64-J63)*(H63-H64)+(J64-J63)*H64</x:f>
        <x:v>0</x:v>
      </x:c>
      <x:c r="G64" s="30" t="n">
        <x:f>SUM(E65:E147)</x:f>
        <x:v>0</x:v>
      </x:c>
      <x:c r="H64" s="30" t="n">
        <x:f>IF($E$42=0,1-MIN(C64,$E$43)/$E$43,((1+$E$42)^$E$43-(1+$E$42)^MIN(C64,$E$43))/((1+$E$42)^$E$43-1))</x:f>
        <x:v>0.5906654212592217</x:v>
      </x:c>
      <x:c r="I64" s="30" t="n">
        <x:f>MAX(0,1-D64-J64)</x:f>
        <x:v>0</x:v>
      </x:c>
      <x:c r="J64" s="2" t="n">
        <x:f>(1-$E$40)*INDEX('Assumptions'!$I$65:$I$101,MIN(C64,36)+1)</x:f>
        <x:v>0.64</x:v>
      </x:c>
      <x:c r="K64" s="2"/>
      <x:c r="L64" s="2"/>
      <x:c r="M64" s="2"/>
      <x:c r="N64" s="2"/>
      <x:c r="O64" s="2"/>
      <x:c r="P64" s="2"/>
      <x:c r="Q64" s="2"/>
      <x:c r="R64" s="2"/>
      <x:c r="S64" s="2"/>
      <x:c r="T64" s="2"/>
      <x:c r="U64" s="2"/>
      <x:c r="V64" s="2"/>
      <x:c r="W64" s="2"/>
      <x:c r="X64" s="2"/>
      <x:c r="Y64" s="2"/>
      <x:c r="Z64" s="2"/>
      <x:c r="AA64" s="2"/>
      <x:c r="AB64" s="2"/>
      <x:c r="AC64" s="2"/>
      <x:c r="AD64" s="2"/>
      <x:c r="AE64" s="2"/>
      <x:c r="AF64" s="2"/>
      <x:c r="AG64" s="2"/>
      <x:c r="AH64" s="2"/>
      <x:c r="AI64" s="2"/>
      <x:c r="AJ64" s="2"/>
      <x:c r="AK64" s="2"/>
      <x:c r="AL64" s="2"/>
      <x:c r="AM64" s="2"/>
      <x:c r="AN64" s="2"/>
      <x:c r="AO64" s="2"/>
      <x:c r="AP64" s="2"/>
      <x:c r="AQ64" s="2"/>
      <x:c r="AR64" s="2"/>
      <x:c r="AS64" s="2"/>
      <x:c r="AT64" s="2"/>
      <x:c r="AU64" s="2"/>
      <x:c r="AV64" s="2"/>
      <x:c r="AW64" s="2"/>
      <x:c r="AX64" s="2"/>
      <x:c r="AY64" s="2"/>
      <x:c r="AZ64" s="2"/>
      <x:c r="BA64" s="2"/>
      <x:c r="BB64" s="2"/>
      <x:c r="BC64" s="2"/>
      <x:c r="BD64" s="2"/>
      <x:c r="BE64" s="2"/>
      <x:c r="BF64" s="2"/>
      <x:c r="BG64" s="2"/>
      <x:c r="BH64" s="2"/>
      <x:c r="BI64" s="2"/>
      <x:c r="BJ64" s="2"/>
      <x:c r="BK64" s="2"/>
      <x:c r="BL64" s="2"/>
      <x:c r="BM64" s="2"/>
      <x:c r="BN64" s="2"/>
      <x:c r="BO64" s="2"/>
      <x:c r="BP64" s="2"/>
      <x:c r="BQ64" s="2"/>
      <x:c r="BR64" s="2"/>
      <x:c r="BS64" s="2"/>
      <x:c r="BT64" s="2"/>
      <x:c r="BU64" s="2"/>
      <x:c r="BV64" s="2"/>
      <x:c r="BW64" s="2"/>
      <x:c r="BX64" s="2"/>
      <x:c r="BY64" s="2"/>
      <x:c r="BZ64" s="2"/>
      <x:c r="CA64" s="2"/>
      <x:c r="CB64" s="2"/>
      <x:c r="CC64" s="2"/>
      <x:c r="CD64" s="2"/>
      <x:c r="CE64" s="2"/>
      <x:c r="CF64" s="2"/>
      <x:c r="CG64" s="2"/>
      <x:c r="CH64" s="2"/>
      <x:c r="CI64" s="2"/>
      <x:c r="CJ64" s="2"/>
      <x:c r="CK64" s="2"/>
      <x:c r="CL64" s="2"/>
      <x:c r="CM64" s="2"/>
      <x:c r="CN64" s="2"/>
      <x:c r="CO64" s="2"/>
      <x:c r="CP64" s="2"/>
      <x:c r="CQ64" s="2"/>
      <x:c r="CR64" s="2"/>
      <x:c r="CS64" s="2"/>
      <x:c r="CT64" s="2"/>
      <x:c r="CU64" s="2"/>
      <x:c r="CV64" s="2"/>
      <x:c r="CW64" s="2"/>
      <x:c r="CX64" s="2"/>
      <x:c r="CY64" s="2"/>
    </x:row>
    <x:row r="65" ht="19" customHeight="1">
      <x:c r="A65" s="1"/>
      <x:c r="B65" s="1"/>
      <x:c r="C65" s="2" t="n">
        <x:v>14</x:v>
      </x:c>
      <x:c r="D65" s="30" t="n">
        <x:f>$E$40*INDEX('Assumptions'!$F$65:$F$101,MIN(C65,36)+1)</x:f>
        <x:v>0.36</x:v>
      </x:c>
      <x:c r="E65" s="30" t="n">
        <x:f>(D65-D64)*H64</x:f>
        <x:v>0</x:v>
      </x:c>
      <x:c r="F65" s="30" t="n">
        <x:f>(1-D65-J64)*(H64-H65)+(J65-J64)*H65</x:f>
        <x:v>0</x:v>
      </x:c>
      <x:c r="G65" s="30" t="n">
        <x:f>SUM(E66:E147)</x:f>
        <x:v>0</x:v>
      </x:c>
      <x:c r="H65" s="30" t="n">
        <x:f>IF($E$42=0,1-MIN(C65,$E$43)/$E$43,((1+$E$42)^$E$43-(1+$E$42)^MIN(C65,$E$43))/((1+$E$42)^$E$43-1))</x:f>
        <x:v>0.5481756519059089</x:v>
      </x:c>
      <x:c r="I65" s="30" t="n">
        <x:f>MAX(0,1-D65-J65)</x:f>
        <x:v>0</x:v>
      </x:c>
      <x:c r="J65" s="2" t="n">
        <x:f>(1-$E$40)*INDEX('Assumptions'!$I$65:$I$101,MIN(C65,36)+1)</x:f>
        <x:v>0.64</x:v>
      </x:c>
      <x:c r="K65" s="2"/>
      <x:c r="L65" s="2"/>
      <x:c r="M65" s="2"/>
      <x:c r="N65" s="2"/>
      <x:c r="O65" s="2"/>
      <x:c r="P65" s="2"/>
      <x:c r="Q65" s="2"/>
      <x:c r="R65" s="2"/>
      <x:c r="S65" s="2"/>
      <x:c r="T65" s="2"/>
      <x:c r="U65" s="2"/>
      <x:c r="V65" s="2"/>
      <x:c r="W65" s="2"/>
      <x:c r="X65" s="2"/>
      <x:c r="Y65" s="2"/>
      <x:c r="Z65" s="2"/>
      <x:c r="AA65" s="2"/>
      <x:c r="AB65" s="2"/>
      <x:c r="AC65" s="2"/>
      <x:c r="AD65" s="2"/>
      <x:c r="AE65" s="2"/>
      <x:c r="AF65" s="2"/>
      <x:c r="AG65" s="2"/>
      <x:c r="AH65" s="2"/>
      <x:c r="AI65" s="2"/>
      <x:c r="AJ65" s="2"/>
      <x:c r="AK65" s="2"/>
      <x:c r="AL65" s="2"/>
      <x:c r="AM65" s="2"/>
      <x:c r="AN65" s="2"/>
      <x:c r="AO65" s="2"/>
      <x:c r="AP65" s="2"/>
      <x:c r="AQ65" s="2"/>
      <x:c r="AR65" s="2"/>
      <x:c r="AS65" s="2"/>
      <x:c r="AT65" s="2"/>
      <x:c r="AU65" s="2"/>
      <x:c r="AV65" s="2"/>
      <x:c r="AW65" s="2"/>
      <x:c r="AX65" s="2"/>
      <x:c r="AY65" s="2"/>
      <x:c r="AZ65" s="2"/>
      <x:c r="BA65" s="2"/>
      <x:c r="BB65" s="2"/>
      <x:c r="BC65" s="2"/>
      <x:c r="BD65" s="2"/>
      <x:c r="BE65" s="2"/>
      <x:c r="BF65" s="2"/>
      <x:c r="BG65" s="2"/>
      <x:c r="BH65" s="2"/>
      <x:c r="BI65" s="2"/>
      <x:c r="BJ65" s="2"/>
      <x:c r="BK65" s="2"/>
      <x:c r="BL65" s="2"/>
      <x:c r="BM65" s="2"/>
      <x:c r="BN65" s="2"/>
      <x:c r="BO65" s="2"/>
      <x:c r="BP65" s="2"/>
      <x:c r="BQ65" s="2"/>
      <x:c r="BR65" s="2"/>
      <x:c r="BS65" s="2"/>
      <x:c r="BT65" s="2"/>
      <x:c r="BU65" s="2"/>
      <x:c r="BV65" s="2"/>
      <x:c r="BW65" s="2"/>
      <x:c r="BX65" s="2"/>
      <x:c r="BY65" s="2"/>
      <x:c r="BZ65" s="2"/>
      <x:c r="CA65" s="2"/>
      <x:c r="CB65" s="2"/>
      <x:c r="CC65" s="2"/>
      <x:c r="CD65" s="2"/>
      <x:c r="CE65" s="2"/>
      <x:c r="CF65" s="2"/>
      <x:c r="CG65" s="2"/>
      <x:c r="CH65" s="2"/>
      <x:c r="CI65" s="2"/>
      <x:c r="CJ65" s="2"/>
      <x:c r="CK65" s="2"/>
      <x:c r="CL65" s="2"/>
      <x:c r="CM65" s="2"/>
      <x:c r="CN65" s="2"/>
      <x:c r="CO65" s="2"/>
      <x:c r="CP65" s="2"/>
      <x:c r="CQ65" s="2"/>
      <x:c r="CR65" s="2"/>
      <x:c r="CS65" s="2"/>
      <x:c r="CT65" s="2"/>
      <x:c r="CU65" s="2"/>
      <x:c r="CV65" s="2"/>
      <x:c r="CW65" s="2"/>
      <x:c r="CX65" s="2"/>
      <x:c r="CY65" s="2"/>
    </x:row>
    <x:row r="66" ht="19" customHeight="1">
      <x:c r="A66" s="1"/>
      <x:c r="B66" s="1"/>
      <x:c r="C66" s="2" t="n">
        <x:v>15</x:v>
      </x:c>
      <x:c r="D66" s="30" t="n">
        <x:f>$E$40*INDEX('Assumptions'!$F$65:$F$101,MIN(C66,36)+1)</x:f>
        <x:v>0.36</x:v>
      </x:c>
      <x:c r="E66" s="30" t="n">
        <x:f>(D66-D65)*H65</x:f>
        <x:v>0</x:v>
      </x:c>
      <x:c r="F66" s="30" t="n">
        <x:f>(1-D66-J65)*(H65-H66)+(J66-J65)*H66</x:f>
        <x:v>0</x:v>
      </x:c>
      <x:c r="G66" s="30" t="n">
        <x:f>SUM(E67:E147)</x:f>
        <x:v>0</x:v>
      </x:c>
      <x:c r="H66" s="30" t="n">
        <x:f>IF($E$42=0,1-MIN(C66,$E$43)/$E$43,((1+$E$42)^$E$43-(1+$E$42)^MIN(C66,$E$43))/((1+$E$42)^$E$43-1))</x:f>
        <x:v>0.5037384347905691</x:v>
      </x:c>
      <x:c r="I66" s="30" t="n">
        <x:f>MAX(0,1-D66-J66)</x:f>
        <x:v>0</x:v>
      </x:c>
      <x:c r="J66" s="2" t="n">
        <x:f>(1-$E$40)*INDEX('Assumptions'!$I$65:$I$101,MIN(C66,36)+1)</x:f>
        <x:v>0.64</x:v>
      </x:c>
      <x:c r="K66" s="2"/>
      <x:c r="L66" s="2"/>
      <x:c r="M66" s="2"/>
      <x:c r="N66" s="2"/>
      <x:c r="O66" s="2"/>
      <x:c r="P66" s="2"/>
      <x:c r="Q66" s="2"/>
      <x:c r="R66" s="2"/>
      <x:c r="S66" s="2"/>
      <x:c r="T66" s="2"/>
      <x:c r="U66" s="2"/>
      <x:c r="V66" s="2"/>
      <x:c r="W66" s="2"/>
      <x:c r="X66" s="2"/>
      <x:c r="Y66" s="2"/>
      <x:c r="Z66" s="2"/>
      <x:c r="AA66" s="2"/>
      <x:c r="AB66" s="2"/>
      <x:c r="AC66" s="2"/>
      <x:c r="AD66" s="2"/>
      <x:c r="AE66" s="2"/>
      <x:c r="AF66" s="2"/>
      <x:c r="AG66" s="2"/>
      <x:c r="AH66" s="2"/>
      <x:c r="AI66" s="2"/>
      <x:c r="AJ66" s="2"/>
      <x:c r="AK66" s="2"/>
      <x:c r="AL66" s="2"/>
      <x:c r="AM66" s="2"/>
      <x:c r="AN66" s="2"/>
      <x:c r="AO66" s="2"/>
      <x:c r="AP66" s="2"/>
      <x:c r="AQ66" s="2"/>
      <x:c r="AR66" s="2"/>
      <x:c r="AS66" s="2"/>
      <x:c r="AT66" s="2"/>
      <x:c r="AU66" s="2"/>
      <x:c r="AV66" s="2"/>
      <x:c r="AW66" s="2"/>
      <x:c r="AX66" s="2"/>
      <x:c r="AY66" s="2"/>
      <x:c r="AZ66" s="2"/>
      <x:c r="BA66" s="2"/>
      <x:c r="BB66" s="2"/>
      <x:c r="BC66" s="2"/>
      <x:c r="BD66" s="2"/>
      <x:c r="BE66" s="2"/>
      <x:c r="BF66" s="2"/>
      <x:c r="BG66" s="2"/>
      <x:c r="BH66" s="2"/>
      <x:c r="BI66" s="2"/>
      <x:c r="BJ66" s="2"/>
      <x:c r="BK66" s="2"/>
      <x:c r="BL66" s="2"/>
      <x:c r="BM66" s="2"/>
      <x:c r="BN66" s="2"/>
      <x:c r="BO66" s="2"/>
      <x:c r="BP66" s="2"/>
      <x:c r="BQ66" s="2"/>
      <x:c r="BR66" s="2"/>
      <x:c r="BS66" s="2"/>
      <x:c r="BT66" s="2"/>
      <x:c r="BU66" s="2"/>
      <x:c r="BV66" s="2"/>
      <x:c r="BW66" s="2"/>
      <x:c r="BX66" s="2"/>
      <x:c r="BY66" s="2"/>
      <x:c r="BZ66" s="2"/>
      <x:c r="CA66" s="2"/>
      <x:c r="CB66" s="2"/>
      <x:c r="CC66" s="2"/>
      <x:c r="CD66" s="2"/>
      <x:c r="CE66" s="2"/>
      <x:c r="CF66" s="2"/>
      <x:c r="CG66" s="2"/>
      <x:c r="CH66" s="2"/>
      <x:c r="CI66" s="2"/>
      <x:c r="CJ66" s="2"/>
      <x:c r="CK66" s="2"/>
      <x:c r="CL66" s="2"/>
      <x:c r="CM66" s="2"/>
      <x:c r="CN66" s="2"/>
      <x:c r="CO66" s="2"/>
      <x:c r="CP66" s="2"/>
      <x:c r="CQ66" s="2"/>
      <x:c r="CR66" s="2"/>
      <x:c r="CS66" s="2"/>
      <x:c r="CT66" s="2"/>
      <x:c r="CU66" s="2"/>
      <x:c r="CV66" s="2"/>
      <x:c r="CW66" s="2"/>
      <x:c r="CX66" s="2"/>
      <x:c r="CY66" s="2"/>
    </x:row>
    <x:row r="67" ht="19" customHeight="1">
      <x:c r="A67" s="1"/>
      <x:c r="B67" s="1"/>
      <x:c r="C67" s="2" t="n">
        <x:v>16</x:v>
      </x:c>
      <x:c r="D67" s="30" t="n">
        <x:f>$E$40*INDEX('Assumptions'!$F$65:$F$101,MIN(C67,36)+1)</x:f>
        <x:v>0.36</x:v>
      </x:c>
      <x:c r="E67" s="30" t="n">
        <x:f>(D67-D66)*H66</x:f>
        <x:v>0</x:v>
      </x:c>
      <x:c r="F67" s="30" t="n">
        <x:f>(1-D67-J66)*(H66-H67)+(J67-J66)*H67</x:f>
        <x:v>0</x:v>
      </x:c>
      <x:c r="G67" s="30" t="n">
        <x:f>SUM(E68:E147)</x:f>
        <x:v>0</x:v>
      </x:c>
      <x:c r="H67" s="30" t="n">
        <x:f>IF($E$42=0,1-MIN(C67,$E$43)/$E$43,((1+$E$42)^$E$43-(1+$E$42)^MIN(C67,$E$43))/((1+$E$42)^$E$43-1))</x:f>
        <x:v>0.4572645118907764</x:v>
      </x:c>
      <x:c r="I67" s="30" t="n">
        <x:f>MAX(0,1-D67-J67)</x:f>
        <x:v>0</x:v>
      </x:c>
      <x:c r="J67" s="2" t="n">
        <x:f>(1-$E$40)*INDEX('Assumptions'!$I$65:$I$101,MIN(C67,36)+1)</x:f>
        <x:v>0.64</x:v>
      </x:c>
      <x:c r="K67" s="2"/>
      <x:c r="L67" s="2"/>
      <x:c r="M67" s="2"/>
      <x:c r="N67" s="2"/>
      <x:c r="O67" s="2"/>
      <x:c r="P67" s="2"/>
      <x:c r="Q67" s="2"/>
      <x:c r="R67" s="2"/>
      <x:c r="S67" s="2"/>
      <x:c r="T67" s="2"/>
      <x:c r="U67" s="2"/>
      <x:c r="V67" s="2"/>
      <x:c r="W67" s="2"/>
      <x:c r="X67" s="2"/>
      <x:c r="Y67" s="2"/>
      <x:c r="Z67" s="2"/>
      <x:c r="AA67" s="2"/>
      <x:c r="AB67" s="2"/>
      <x:c r="AC67" s="2"/>
      <x:c r="AD67" s="2"/>
      <x:c r="AE67" s="2"/>
      <x:c r="AF67" s="2"/>
      <x:c r="AG67" s="2"/>
      <x:c r="AH67" s="2"/>
      <x:c r="AI67" s="2"/>
      <x:c r="AJ67" s="2"/>
      <x:c r="AK67" s="2"/>
      <x:c r="AL67" s="2"/>
      <x:c r="AM67" s="2"/>
      <x:c r="AN67" s="2"/>
      <x:c r="AO67" s="2"/>
      <x:c r="AP67" s="2"/>
      <x:c r="AQ67" s="2"/>
      <x:c r="AR67" s="2"/>
      <x:c r="AS67" s="2"/>
      <x:c r="AT67" s="2"/>
      <x:c r="AU67" s="2"/>
      <x:c r="AV67" s="2"/>
      <x:c r="AW67" s="2"/>
      <x:c r="AX67" s="2"/>
      <x:c r="AY67" s="2"/>
      <x:c r="AZ67" s="2"/>
      <x:c r="BA67" s="2"/>
      <x:c r="BB67" s="2"/>
      <x:c r="BC67" s="2"/>
      <x:c r="BD67" s="2"/>
      <x:c r="BE67" s="2"/>
      <x:c r="BF67" s="2"/>
      <x:c r="BG67" s="2"/>
      <x:c r="BH67" s="2"/>
      <x:c r="BI67" s="2"/>
      <x:c r="BJ67" s="2"/>
      <x:c r="BK67" s="2"/>
      <x:c r="BL67" s="2"/>
      <x:c r="BM67" s="2"/>
      <x:c r="BN67" s="2"/>
      <x:c r="BO67" s="2"/>
      <x:c r="BP67" s="2"/>
      <x:c r="BQ67" s="2"/>
      <x:c r="BR67" s="2"/>
      <x:c r="BS67" s="2"/>
      <x:c r="BT67" s="2"/>
      <x:c r="BU67" s="2"/>
      <x:c r="BV67" s="2"/>
      <x:c r="BW67" s="2"/>
      <x:c r="BX67" s="2"/>
      <x:c r="BY67" s="2"/>
      <x:c r="BZ67" s="2"/>
      <x:c r="CA67" s="2"/>
      <x:c r="CB67" s="2"/>
      <x:c r="CC67" s="2"/>
      <x:c r="CD67" s="2"/>
      <x:c r="CE67" s="2"/>
      <x:c r="CF67" s="2"/>
      <x:c r="CG67" s="2"/>
      <x:c r="CH67" s="2"/>
      <x:c r="CI67" s="2"/>
      <x:c r="CJ67" s="2"/>
      <x:c r="CK67" s="2"/>
      <x:c r="CL67" s="2"/>
      <x:c r="CM67" s="2"/>
      <x:c r="CN67" s="2"/>
      <x:c r="CO67" s="2"/>
      <x:c r="CP67" s="2"/>
      <x:c r="CQ67" s="2"/>
      <x:c r="CR67" s="2"/>
      <x:c r="CS67" s="2"/>
      <x:c r="CT67" s="2"/>
      <x:c r="CU67" s="2"/>
      <x:c r="CV67" s="2"/>
      <x:c r="CW67" s="2"/>
      <x:c r="CX67" s="2"/>
      <x:c r="CY67" s="2"/>
    </x:row>
    <x:row r="68" ht="19" customHeight="1">
      <x:c r="A68" s="1"/>
      <x:c r="B68" s="1"/>
      <x:c r="C68" s="2" t="n">
        <x:v>17</x:v>
      </x:c>
      <x:c r="D68" s="30" t="n">
        <x:f>$E$40*INDEX('Assumptions'!$F$65:$F$101,MIN(C68,36)+1)</x:f>
        <x:v>0.36</x:v>
      </x:c>
      <x:c r="E68" s="30" t="n">
        <x:f>(D68-D67)*H67</x:f>
        <x:v>0</x:v>
      </x:c>
      <x:c r="F68" s="30" t="n">
        <x:f>(1-D68-J67)*(H67-H68)+(J68-J67)*H68</x:f>
        <x:v>0</x:v>
      </x:c>
      <x:c r="G68" s="30" t="n">
        <x:f>SUM(E69:E147)</x:f>
        <x:v>0</x:v>
      </x:c>
      <x:c r="H68" s="30" t="n">
        <x:f>IF($E$42=0,1-MIN(C68,$E$43)/$E$43,((1+$E$42)^$E$43-(1+$E$42)^MIN(C68,$E$43))/((1+$E$42)^$E$43-1))</x:f>
        <x:v>0.40866053419140974</x:v>
      </x:c>
      <x:c r="I68" s="30" t="n">
        <x:f>MAX(0,1-D68-J68)</x:f>
        <x:v>0</x:v>
      </x:c>
      <x:c r="J68" s="2" t="n">
        <x:f>(1-$E$40)*INDEX('Assumptions'!$I$65:$I$101,MIN(C68,36)+1)</x:f>
        <x:v>0.64</x:v>
      </x:c>
      <x:c r="K68" s="2"/>
      <x:c r="L68" s="2"/>
      <x:c r="M68" s="2"/>
      <x:c r="N68" s="2"/>
      <x:c r="O68" s="2"/>
      <x:c r="P68" s="2"/>
      <x:c r="Q68" s="2"/>
      <x:c r="R68" s="2"/>
      <x:c r="S68" s="2"/>
      <x:c r="T68" s="2"/>
      <x:c r="U68" s="2"/>
      <x:c r="V68" s="2"/>
      <x:c r="W68" s="2"/>
      <x:c r="X68" s="2"/>
      <x:c r="Y68" s="2"/>
      <x:c r="Z68" s="2"/>
      <x:c r="AA68" s="2"/>
      <x:c r="AB68" s="2"/>
      <x:c r="AC68" s="2"/>
      <x:c r="AD68" s="2"/>
      <x:c r="AE68" s="2"/>
      <x:c r="AF68" s="2"/>
      <x:c r="AG68" s="2"/>
      <x:c r="AH68" s="2"/>
      <x:c r="AI68" s="2"/>
      <x:c r="AJ68" s="2"/>
      <x:c r="AK68" s="2"/>
      <x:c r="AL68" s="2"/>
      <x:c r="AM68" s="2"/>
      <x:c r="AN68" s="2"/>
      <x:c r="AO68" s="2"/>
      <x:c r="AP68" s="2"/>
      <x:c r="AQ68" s="2"/>
      <x:c r="AR68" s="2"/>
      <x:c r="AS68" s="2"/>
      <x:c r="AT68" s="2"/>
      <x:c r="AU68" s="2"/>
      <x:c r="AV68" s="2"/>
      <x:c r="AW68" s="2"/>
      <x:c r="AX68" s="2"/>
      <x:c r="AY68" s="2"/>
      <x:c r="AZ68" s="2"/>
      <x:c r="BA68" s="2"/>
      <x:c r="BB68" s="2"/>
      <x:c r="BC68" s="2"/>
      <x:c r="BD68" s="2"/>
      <x:c r="BE68" s="2"/>
      <x:c r="BF68" s="2"/>
      <x:c r="BG68" s="2"/>
      <x:c r="BH68" s="2"/>
      <x:c r="BI68" s="2"/>
      <x:c r="BJ68" s="2"/>
      <x:c r="BK68" s="2"/>
      <x:c r="BL68" s="2"/>
      <x:c r="BM68" s="2"/>
      <x:c r="BN68" s="2"/>
      <x:c r="BO68" s="2"/>
      <x:c r="BP68" s="2"/>
      <x:c r="BQ68" s="2"/>
      <x:c r="BR68" s="2"/>
      <x:c r="BS68" s="2"/>
      <x:c r="BT68" s="2"/>
      <x:c r="BU68" s="2"/>
      <x:c r="BV68" s="2"/>
      <x:c r="BW68" s="2"/>
      <x:c r="BX68" s="2"/>
      <x:c r="BY68" s="2"/>
      <x:c r="BZ68" s="2"/>
      <x:c r="CA68" s="2"/>
      <x:c r="CB68" s="2"/>
      <x:c r="CC68" s="2"/>
      <x:c r="CD68" s="2"/>
      <x:c r="CE68" s="2"/>
      <x:c r="CF68" s="2"/>
      <x:c r="CG68" s="2"/>
      <x:c r="CH68" s="2"/>
      <x:c r="CI68" s="2"/>
      <x:c r="CJ68" s="2"/>
      <x:c r="CK68" s="2"/>
      <x:c r="CL68" s="2"/>
      <x:c r="CM68" s="2"/>
      <x:c r="CN68" s="2"/>
      <x:c r="CO68" s="2"/>
      <x:c r="CP68" s="2"/>
      <x:c r="CQ68" s="2"/>
      <x:c r="CR68" s="2"/>
      <x:c r="CS68" s="2"/>
      <x:c r="CT68" s="2"/>
      <x:c r="CU68" s="2"/>
      <x:c r="CV68" s="2"/>
      <x:c r="CW68" s="2"/>
      <x:c r="CX68" s="2"/>
      <x:c r="CY68" s="2"/>
    </x:row>
    <x:row r="69" ht="19" customHeight="1">
      <x:c r="A69" s="1"/>
      <x:c r="B69" s="1"/>
      <x:c r="C69" s="2" t="n">
        <x:v>18</x:v>
      </x:c>
      <x:c r="D69" s="30" t="n">
        <x:f>$E$40*INDEX('Assumptions'!$F$65:$F$101,MIN(C69,36)+1)</x:f>
        <x:v>0.36</x:v>
      </x:c>
      <x:c r="E69" s="30" t="n">
        <x:f>(D69-D68)*H68</x:f>
        <x:v>0</x:v>
      </x:c>
      <x:c r="F69" s="30" t="n">
        <x:f>(1-D69-J68)*(H68-H69)+(J69-J68)*H69</x:f>
        <x:v>0</x:v>
      </x:c>
      <x:c r="G69" s="30" t="n">
        <x:f>SUM(E70:E147)</x:f>
        <x:v>0</x:v>
      </x:c>
      <x:c r="H69" s="30" t="n">
        <x:f>IF($E$42=0,1-MIN(C69,$E$43)/$E$43,((1+$E$42)^$E$43-(1+$E$42)^MIN(C69,$E$43))/((1+$E$42)^$E$43-1))</x:f>
        <x:v>0.35782887418082204</x:v>
      </x:c>
      <x:c r="I69" s="30" t="n">
        <x:f>MAX(0,1-D69-J69)</x:f>
        <x:v>0</x:v>
      </x:c>
      <x:c r="J69" s="2" t="n">
        <x:f>(1-$E$40)*INDEX('Assumptions'!$I$65:$I$101,MIN(C69,36)+1)</x:f>
        <x:v>0.64</x:v>
      </x:c>
      <x:c r="K69" s="2"/>
      <x:c r="L69" s="2"/>
      <x:c r="M69" s="2"/>
      <x:c r="N69" s="2"/>
      <x:c r="O69" s="2"/>
      <x:c r="P69" s="2"/>
      <x:c r="Q69" s="2"/>
      <x:c r="R69" s="2"/>
      <x:c r="S69" s="2"/>
      <x:c r="T69" s="2"/>
      <x:c r="U69" s="2"/>
      <x:c r="V69" s="2"/>
      <x:c r="W69" s="2"/>
      <x:c r="X69" s="2"/>
      <x:c r="Y69" s="2"/>
      <x:c r="Z69" s="2"/>
      <x:c r="AA69" s="2"/>
      <x:c r="AB69" s="2"/>
      <x:c r="AC69" s="2"/>
      <x:c r="AD69" s="2"/>
      <x:c r="AE69" s="2"/>
      <x:c r="AF69" s="2"/>
      <x:c r="AG69" s="2"/>
      <x:c r="AH69" s="2"/>
      <x:c r="AI69" s="2"/>
      <x:c r="AJ69" s="2"/>
      <x:c r="AK69" s="2"/>
      <x:c r="AL69" s="2"/>
      <x:c r="AM69" s="2"/>
      <x:c r="AN69" s="2"/>
      <x:c r="AO69" s="2"/>
      <x:c r="AP69" s="2"/>
      <x:c r="AQ69" s="2"/>
      <x:c r="AR69" s="2"/>
      <x:c r="AS69" s="2"/>
      <x:c r="AT69" s="2"/>
      <x:c r="AU69" s="2"/>
      <x:c r="AV69" s="2"/>
      <x:c r="AW69" s="2"/>
      <x:c r="AX69" s="2"/>
      <x:c r="AY69" s="2"/>
      <x:c r="AZ69" s="2"/>
      <x:c r="BA69" s="2"/>
      <x:c r="BB69" s="2"/>
      <x:c r="BC69" s="2"/>
      <x:c r="BD69" s="2"/>
      <x:c r="BE69" s="2"/>
      <x:c r="BF69" s="2"/>
      <x:c r="BG69" s="2"/>
      <x:c r="BH69" s="2"/>
      <x:c r="BI69" s="2"/>
      <x:c r="BJ69" s="2"/>
      <x:c r="BK69" s="2"/>
      <x:c r="BL69" s="2"/>
      <x:c r="BM69" s="2"/>
      <x:c r="BN69" s="2"/>
      <x:c r="BO69" s="2"/>
      <x:c r="BP69" s="2"/>
      <x:c r="BQ69" s="2"/>
      <x:c r="BR69" s="2"/>
      <x:c r="BS69" s="2"/>
      <x:c r="BT69" s="2"/>
      <x:c r="BU69" s="2"/>
      <x:c r="BV69" s="2"/>
      <x:c r="BW69" s="2"/>
      <x:c r="BX69" s="2"/>
      <x:c r="BY69" s="2"/>
      <x:c r="BZ69" s="2"/>
      <x:c r="CA69" s="2"/>
      <x:c r="CB69" s="2"/>
      <x:c r="CC69" s="2"/>
      <x:c r="CD69" s="2"/>
      <x:c r="CE69" s="2"/>
      <x:c r="CF69" s="2"/>
      <x:c r="CG69" s="2"/>
      <x:c r="CH69" s="2"/>
      <x:c r="CI69" s="2"/>
      <x:c r="CJ69" s="2"/>
      <x:c r="CK69" s="2"/>
      <x:c r="CL69" s="2"/>
      <x:c r="CM69" s="2"/>
      <x:c r="CN69" s="2"/>
      <x:c r="CO69" s="2"/>
      <x:c r="CP69" s="2"/>
      <x:c r="CQ69" s="2"/>
      <x:c r="CR69" s="2"/>
      <x:c r="CS69" s="2"/>
      <x:c r="CT69" s="2"/>
      <x:c r="CU69" s="2"/>
      <x:c r="CV69" s="2"/>
      <x:c r="CW69" s="2"/>
      <x:c r="CX69" s="2"/>
      <x:c r="CY69" s="2"/>
    </x:row>
    <x:row r="70" ht="19" customHeight="1">
      <x:c r="A70" s="1"/>
      <x:c r="B70" s="1"/>
      <x:c r="C70" s="2" t="n">
        <x:v>19</x:v>
      </x:c>
      <x:c r="D70" s="30" t="n">
        <x:f>$E$40*INDEX('Assumptions'!$F$65:$F$101,MIN(C70,36)+1)</x:f>
        <x:v>0.36</x:v>
      </x:c>
      <x:c r="E70" s="30" t="n">
        <x:f>(D70-D69)*H69</x:f>
        <x:v>0</x:v>
      </x:c>
      <x:c r="F70" s="30" t="n">
        <x:f>(1-D70-J69)*(H69-H70)+(J70-J69)*H70</x:f>
        <x:v>0</x:v>
      </x:c>
      <x:c r="G70" s="30" t="n">
        <x:f>SUM(E71:E147)</x:f>
        <x:v>0</x:v>
      </x:c>
      <x:c r="H70" s="30" t="n">
        <x:f>IF($E$42=0,1-MIN(C70,$E$43)/$E$43,((1+$E$42)^$E$43-(1+$E$42)^MIN(C70,$E$43))/((1+$E$42)^$E$43-1))</x:f>
        <x:v>0.30466742975308264</x:v>
      </x:c>
      <x:c r="I70" s="30" t="n">
        <x:f>MAX(0,1-D70-J70)</x:f>
        <x:v>0</x:v>
      </x:c>
      <x:c r="J70" s="2" t="n">
        <x:f>(1-$E$40)*INDEX('Assumptions'!$I$65:$I$101,MIN(C70,36)+1)</x:f>
        <x:v>0.64</x:v>
      </x:c>
      <x:c r="K70" s="2"/>
      <x:c r="L70" s="2"/>
      <x:c r="M70" s="2"/>
      <x:c r="N70" s="2"/>
      <x:c r="O70" s="2"/>
      <x:c r="P70" s="2"/>
      <x:c r="Q70" s="2"/>
      <x:c r="R70" s="2"/>
      <x:c r="S70" s="2"/>
      <x:c r="T70" s="2"/>
      <x:c r="U70" s="2"/>
      <x:c r="V70" s="2"/>
      <x:c r="W70" s="2"/>
      <x:c r="X70" s="2"/>
      <x:c r="Y70" s="2"/>
      <x:c r="Z70" s="2"/>
      <x:c r="AA70" s="2"/>
      <x:c r="AB70" s="2"/>
      <x:c r="AC70" s="2"/>
      <x:c r="AD70" s="2"/>
      <x:c r="AE70" s="2"/>
      <x:c r="AF70" s="2"/>
      <x:c r="AG70" s="2"/>
      <x:c r="AH70" s="2"/>
      <x:c r="AI70" s="2"/>
      <x:c r="AJ70" s="2"/>
      <x:c r="AK70" s="2"/>
      <x:c r="AL70" s="2"/>
      <x:c r="AM70" s="2"/>
      <x:c r="AN70" s="2"/>
      <x:c r="AO70" s="2"/>
      <x:c r="AP70" s="2"/>
      <x:c r="AQ70" s="2"/>
      <x:c r="AR70" s="2"/>
      <x:c r="AS70" s="2"/>
      <x:c r="AT70" s="2"/>
      <x:c r="AU70" s="2"/>
      <x:c r="AV70" s="2"/>
      <x:c r="AW70" s="2"/>
      <x:c r="AX70" s="2"/>
      <x:c r="AY70" s="2"/>
      <x:c r="AZ70" s="2"/>
      <x:c r="BA70" s="2"/>
      <x:c r="BB70" s="2"/>
      <x:c r="BC70" s="2"/>
      <x:c r="BD70" s="2"/>
      <x:c r="BE70" s="2"/>
      <x:c r="BF70" s="2"/>
      <x:c r="BG70" s="2"/>
      <x:c r="BH70" s="2"/>
      <x:c r="BI70" s="2"/>
      <x:c r="BJ70" s="2"/>
      <x:c r="BK70" s="2"/>
      <x:c r="BL70" s="2"/>
      <x:c r="BM70" s="2"/>
      <x:c r="BN70" s="2"/>
      <x:c r="BO70" s="2"/>
      <x:c r="BP70" s="2"/>
      <x:c r="BQ70" s="2"/>
      <x:c r="BR70" s="2"/>
      <x:c r="BS70" s="2"/>
      <x:c r="BT70" s="2"/>
      <x:c r="BU70" s="2"/>
      <x:c r="BV70" s="2"/>
      <x:c r="BW70" s="2"/>
      <x:c r="BX70" s="2"/>
      <x:c r="BY70" s="2"/>
      <x:c r="BZ70" s="2"/>
      <x:c r="CA70" s="2"/>
      <x:c r="CB70" s="2"/>
      <x:c r="CC70" s="2"/>
      <x:c r="CD70" s="2"/>
      <x:c r="CE70" s="2"/>
      <x:c r="CF70" s="2"/>
      <x:c r="CG70" s="2"/>
      <x:c r="CH70" s="2"/>
      <x:c r="CI70" s="2"/>
      <x:c r="CJ70" s="2"/>
      <x:c r="CK70" s="2"/>
      <x:c r="CL70" s="2"/>
      <x:c r="CM70" s="2"/>
      <x:c r="CN70" s="2"/>
      <x:c r="CO70" s="2"/>
      <x:c r="CP70" s="2"/>
      <x:c r="CQ70" s="2"/>
      <x:c r="CR70" s="2"/>
      <x:c r="CS70" s="2"/>
      <x:c r="CT70" s="2"/>
      <x:c r="CU70" s="2"/>
      <x:c r="CV70" s="2"/>
      <x:c r="CW70" s="2"/>
      <x:c r="CX70" s="2"/>
      <x:c r="CY70" s="2"/>
    </x:row>
    <x:row r="71" ht="19" customHeight="1">
      <x:c r="A71" s="1"/>
      <x:c r="B71" s="1"/>
      <x:c r="C71" s="2" t="n">
        <x:v>20</x:v>
      </x:c>
      <x:c r="D71" s="30" t="n">
        <x:f>$E$40*INDEX('Assumptions'!$F$65:$F$101,MIN(C71,36)+1)</x:f>
        <x:v>0.36</x:v>
      </x:c>
      <x:c r="E71" s="30" t="n">
        <x:f>(D71-D70)*H70</x:f>
        <x:v>0</x:v>
      </x:c>
      <x:c r="F71" s="30" t="n">
        <x:f>(1-D71-J70)*(H70-H71)+(J71-J70)*H71</x:f>
        <x:v>0</x:v>
      </x:c>
      <x:c r="G71" s="30" t="n">
        <x:f>SUM(E72:E147)</x:f>
        <x:v>0</x:v>
      </x:c>
      <x:c r="H71" s="30" t="n">
        <x:f>IF($E$42=0,1-MIN(C71,$E$43)/$E$43,((1+$E$42)^$E$43-(1+$E$42)^MIN(C71,$E$43))/((1+$E$42)^$E$43-1))</x:f>
        <x:v>0.2490694191224049</x:v>
      </x:c>
      <x:c r="I71" s="30" t="n">
        <x:f>MAX(0,1-D71-J71)</x:f>
        <x:v>0</x:v>
      </x:c>
      <x:c r="J71" s="2" t="n">
        <x:f>(1-$E$40)*INDEX('Assumptions'!$I$65:$I$101,MIN(C71,36)+1)</x:f>
        <x:v>0.64</x:v>
      </x:c>
      <x:c r="K71" s="2"/>
      <x:c r="L71" s="2"/>
      <x:c r="M71" s="2"/>
      <x:c r="N71" s="2"/>
      <x:c r="O71" s="2"/>
      <x:c r="P71" s="2"/>
      <x:c r="Q71" s="2"/>
      <x:c r="R71" s="2"/>
      <x:c r="S71" s="2"/>
      <x:c r="T71" s="2"/>
      <x:c r="U71" s="2"/>
      <x:c r="V71" s="2"/>
      <x:c r="W71" s="2"/>
      <x:c r="X71" s="2"/>
      <x:c r="Y71" s="2"/>
      <x:c r="Z71" s="2"/>
      <x:c r="AA71" s="2"/>
      <x:c r="AB71" s="2"/>
      <x:c r="AC71" s="2"/>
      <x:c r="AD71" s="2"/>
      <x:c r="AE71" s="2"/>
      <x:c r="AF71" s="2"/>
      <x:c r="AG71" s="2"/>
      <x:c r="AH71" s="2"/>
      <x:c r="AI71" s="2"/>
      <x:c r="AJ71" s="2"/>
      <x:c r="AK71" s="2"/>
      <x:c r="AL71" s="2"/>
      <x:c r="AM71" s="2"/>
      <x:c r="AN71" s="2"/>
      <x:c r="AO71" s="2"/>
      <x:c r="AP71" s="2"/>
      <x:c r="AQ71" s="2"/>
      <x:c r="AR71" s="2"/>
      <x:c r="AS71" s="2"/>
      <x:c r="AT71" s="2"/>
      <x:c r="AU71" s="2"/>
      <x:c r="AV71" s="2"/>
      <x:c r="AW71" s="2"/>
      <x:c r="AX71" s="2"/>
      <x:c r="AY71" s="2"/>
      <x:c r="AZ71" s="2"/>
      <x:c r="BA71" s="2"/>
      <x:c r="BB71" s="2"/>
      <x:c r="BC71" s="2"/>
      <x:c r="BD71" s="2"/>
      <x:c r="BE71" s="2"/>
      <x:c r="BF71" s="2"/>
      <x:c r="BG71" s="2"/>
      <x:c r="BH71" s="2"/>
      <x:c r="BI71" s="2"/>
      <x:c r="BJ71" s="2"/>
      <x:c r="BK71" s="2"/>
      <x:c r="BL71" s="2"/>
      <x:c r="BM71" s="2"/>
      <x:c r="BN71" s="2"/>
      <x:c r="BO71" s="2"/>
      <x:c r="BP71" s="2"/>
      <x:c r="BQ71" s="2"/>
      <x:c r="BR71" s="2"/>
      <x:c r="BS71" s="2"/>
      <x:c r="BT71" s="2"/>
      <x:c r="BU71" s="2"/>
      <x:c r="BV71" s="2"/>
      <x:c r="BW71" s="2"/>
      <x:c r="BX71" s="2"/>
      <x:c r="BY71" s="2"/>
      <x:c r="BZ71" s="2"/>
      <x:c r="CA71" s="2"/>
      <x:c r="CB71" s="2"/>
      <x:c r="CC71" s="2"/>
      <x:c r="CD71" s="2"/>
      <x:c r="CE71" s="2"/>
      <x:c r="CF71" s="2"/>
      <x:c r="CG71" s="2"/>
      <x:c r="CH71" s="2"/>
      <x:c r="CI71" s="2"/>
      <x:c r="CJ71" s="2"/>
      <x:c r="CK71" s="2"/>
      <x:c r="CL71" s="2"/>
      <x:c r="CM71" s="2"/>
      <x:c r="CN71" s="2"/>
      <x:c r="CO71" s="2"/>
      <x:c r="CP71" s="2"/>
      <x:c r="CQ71" s="2"/>
      <x:c r="CR71" s="2"/>
      <x:c r="CS71" s="2"/>
      <x:c r="CT71" s="2"/>
      <x:c r="CU71" s="2"/>
      <x:c r="CV71" s="2"/>
      <x:c r="CW71" s="2"/>
      <x:c r="CX71" s="2"/>
      <x:c r="CY71" s="2"/>
    </x:row>
    <x:row r="72" ht="19" customHeight="1">
      <x:c r="A72" s="1"/>
      <x:c r="B72" s="1"/>
      <x:c r="C72" s="2" t="n">
        <x:v>21</x:v>
      </x:c>
      <x:c r="D72" s="30" t="n">
        <x:f>$E$40*INDEX('Assumptions'!$F$65:$F$101,MIN(C72,36)+1)</x:f>
        <x:v>0.36</x:v>
      </x:c>
      <x:c r="E72" s="30" t="n">
        <x:f>(D72-D71)*H71</x:f>
        <x:v>0</x:v>
      </x:c>
      <x:c r="F72" s="30" t="n">
        <x:f>(1-D72-J71)*(H71-H72)+(J72-J71)*H72</x:f>
        <x:v>0</x:v>
      </x:c>
      <x:c r="G72" s="30" t="n">
        <x:f>SUM(E73:E147)</x:f>
        <x:v>0</x:v>
      </x:c>
      <x:c r="H72" s="30" t="n">
        <x:f>IF($E$42=0,1-MIN(C72,$E$43)/$E$43,((1+$E$42)^$E$43-(1+$E$42)^MIN(C72,$E$43))/((1+$E$42)^$E$43-1))</x:f>
        <x:v>0.19092316633782133</x:v>
      </x:c>
      <x:c r="I72" s="30" t="n">
        <x:f>MAX(0,1-D72-J72)</x:f>
        <x:v>0</x:v>
      </x:c>
      <x:c r="J72" s="2" t="n">
        <x:f>(1-$E$40)*INDEX('Assumptions'!$I$65:$I$101,MIN(C72,36)+1)</x:f>
        <x:v>0.64</x:v>
      </x:c>
      <x:c r="K72" s="2"/>
      <x:c r="L72" s="2"/>
      <x:c r="M72" s="2"/>
      <x:c r="N72" s="2"/>
      <x:c r="O72" s="2"/>
      <x:c r="P72" s="2"/>
      <x:c r="Q72" s="2"/>
      <x:c r="R72" s="2"/>
      <x:c r="S72" s="2"/>
      <x:c r="T72" s="2"/>
      <x:c r="U72" s="2"/>
      <x:c r="V72" s="2"/>
      <x:c r="W72" s="2"/>
      <x:c r="X72" s="2"/>
      <x:c r="Y72" s="2"/>
      <x:c r="Z72" s="2"/>
      <x:c r="AA72" s="2"/>
      <x:c r="AB72" s="2"/>
      <x:c r="AC72" s="2"/>
      <x:c r="AD72" s="2"/>
      <x:c r="AE72" s="2"/>
      <x:c r="AF72" s="2"/>
      <x:c r="AG72" s="2"/>
      <x:c r="AH72" s="2"/>
      <x:c r="AI72" s="2"/>
      <x:c r="AJ72" s="2"/>
      <x:c r="AK72" s="2"/>
      <x:c r="AL72" s="2"/>
      <x:c r="AM72" s="2"/>
      <x:c r="AN72" s="2"/>
      <x:c r="AO72" s="2"/>
      <x:c r="AP72" s="2"/>
      <x:c r="AQ72" s="2"/>
      <x:c r="AR72" s="2"/>
      <x:c r="AS72" s="2"/>
      <x:c r="AT72" s="2"/>
      <x:c r="AU72" s="2"/>
      <x:c r="AV72" s="2"/>
      <x:c r="AW72" s="2"/>
      <x:c r="AX72" s="2"/>
      <x:c r="AY72" s="2"/>
      <x:c r="AZ72" s="2"/>
      <x:c r="BA72" s="2"/>
      <x:c r="BB72" s="2"/>
      <x:c r="BC72" s="2"/>
      <x:c r="BD72" s="2"/>
      <x:c r="BE72" s="2"/>
      <x:c r="BF72" s="2"/>
      <x:c r="BG72" s="2"/>
      <x:c r="BH72" s="2"/>
      <x:c r="BI72" s="2"/>
      <x:c r="BJ72" s="2"/>
      <x:c r="BK72" s="2"/>
      <x:c r="BL72" s="2"/>
      <x:c r="BM72" s="2"/>
      <x:c r="BN72" s="2"/>
      <x:c r="BO72" s="2"/>
      <x:c r="BP72" s="2"/>
      <x:c r="BQ72" s="2"/>
      <x:c r="BR72" s="2"/>
      <x:c r="BS72" s="2"/>
      <x:c r="BT72" s="2"/>
      <x:c r="BU72" s="2"/>
      <x:c r="BV72" s="2"/>
      <x:c r="BW72" s="2"/>
      <x:c r="BX72" s="2"/>
      <x:c r="BY72" s="2"/>
      <x:c r="BZ72" s="2"/>
      <x:c r="CA72" s="2"/>
      <x:c r="CB72" s="2"/>
      <x:c r="CC72" s="2"/>
      <x:c r="CD72" s="2"/>
      <x:c r="CE72" s="2"/>
      <x:c r="CF72" s="2"/>
      <x:c r="CG72" s="2"/>
      <x:c r="CH72" s="2"/>
      <x:c r="CI72" s="2"/>
      <x:c r="CJ72" s="2"/>
      <x:c r="CK72" s="2"/>
      <x:c r="CL72" s="2"/>
      <x:c r="CM72" s="2"/>
      <x:c r="CN72" s="2"/>
      <x:c r="CO72" s="2"/>
      <x:c r="CP72" s="2"/>
      <x:c r="CQ72" s="2"/>
      <x:c r="CR72" s="2"/>
      <x:c r="CS72" s="2"/>
      <x:c r="CT72" s="2"/>
      <x:c r="CU72" s="2"/>
      <x:c r="CV72" s="2"/>
      <x:c r="CW72" s="2"/>
      <x:c r="CX72" s="2"/>
      <x:c r="CY72" s="2"/>
    </x:row>
    <x:row r="73" ht="19" customHeight="1">
      <x:c r="A73" s="1"/>
      <x:c r="B73" s="1"/>
      <x:c r="C73" s="2" t="n">
        <x:v>22</x:v>
      </x:c>
      <x:c r="D73" s="30" t="n">
        <x:f>$E$40*INDEX('Assumptions'!$F$65:$F$101,MIN(C73,36)+1)</x:f>
        <x:v>0.36</x:v>
      </x:c>
      <x:c r="E73" s="30" t="n">
        <x:f>(D73-D72)*H72</x:f>
        <x:v>0</x:v>
      </x:c>
      <x:c r="F73" s="30" t="n">
        <x:f>(1-D73-J72)*(H72-H73)+(J73-J72)*H73</x:f>
        <x:v>0</x:v>
      </x:c>
      <x:c r="G73" s="30" t="n">
        <x:f>SUM(E74:E147)</x:f>
        <x:v>0</x:v>
      </x:c>
      <x:c r="H73" s="30" t="n">
        <x:f>IF($E$42=0,1-MIN(C73,$E$43)/$E$43,((1+$E$42)^$E$43-(1+$E$42)^MIN(C73,$E$43))/((1+$E$42)^$E$43-1))</x:f>
        <x:v>0.1301118769672777</x:v>
      </x:c>
      <x:c r="I73" s="30" t="n">
        <x:f>MAX(0,1-D73-J73)</x:f>
        <x:v>0</x:v>
      </x:c>
      <x:c r="J73" s="2" t="n">
        <x:f>(1-$E$40)*INDEX('Assumptions'!$I$65:$I$101,MIN(C73,36)+1)</x:f>
        <x:v>0.64</x:v>
      </x:c>
      <x:c r="K73" s="2"/>
      <x:c r="L73" s="2"/>
      <x:c r="M73" s="2"/>
      <x:c r="N73" s="2"/>
      <x:c r="O73" s="2"/>
      <x:c r="P73" s="2"/>
      <x:c r="Q73" s="2"/>
      <x:c r="R73" s="2"/>
      <x:c r="S73" s="2"/>
      <x:c r="T73" s="2"/>
      <x:c r="U73" s="2"/>
      <x:c r="V73" s="2"/>
      <x:c r="W73" s="2"/>
      <x:c r="X73" s="2"/>
      <x:c r="Y73" s="2"/>
      <x:c r="Z73" s="2"/>
      <x:c r="AA73" s="2"/>
      <x:c r="AB73" s="2"/>
      <x:c r="AC73" s="2"/>
      <x:c r="AD73" s="2"/>
      <x:c r="AE73" s="2"/>
      <x:c r="AF73" s="2"/>
      <x:c r="AG73" s="2"/>
      <x:c r="AH73" s="2"/>
      <x:c r="AI73" s="2"/>
      <x:c r="AJ73" s="2"/>
      <x:c r="AK73" s="2"/>
      <x:c r="AL73" s="2"/>
      <x:c r="AM73" s="2"/>
      <x:c r="AN73" s="2"/>
      <x:c r="AO73" s="2"/>
      <x:c r="AP73" s="2"/>
      <x:c r="AQ73" s="2"/>
      <x:c r="AR73" s="2"/>
      <x:c r="AS73" s="2"/>
      <x:c r="AT73" s="2"/>
      <x:c r="AU73" s="2"/>
      <x:c r="AV73" s="2"/>
      <x:c r="AW73" s="2"/>
      <x:c r="AX73" s="2"/>
      <x:c r="AY73" s="2"/>
      <x:c r="AZ73" s="2"/>
      <x:c r="BA73" s="2"/>
      <x:c r="BB73" s="2"/>
      <x:c r="BC73" s="2"/>
      <x:c r="BD73" s="2"/>
      <x:c r="BE73" s="2"/>
      <x:c r="BF73" s="2"/>
      <x:c r="BG73" s="2"/>
      <x:c r="BH73" s="2"/>
      <x:c r="BI73" s="2"/>
      <x:c r="BJ73" s="2"/>
      <x:c r="BK73" s="2"/>
      <x:c r="BL73" s="2"/>
      <x:c r="BM73" s="2"/>
      <x:c r="BN73" s="2"/>
      <x:c r="BO73" s="2"/>
      <x:c r="BP73" s="2"/>
      <x:c r="BQ73" s="2"/>
      <x:c r="BR73" s="2"/>
      <x:c r="BS73" s="2"/>
      <x:c r="BT73" s="2"/>
      <x:c r="BU73" s="2"/>
      <x:c r="BV73" s="2"/>
      <x:c r="BW73" s="2"/>
      <x:c r="BX73" s="2"/>
      <x:c r="BY73" s="2"/>
      <x:c r="BZ73" s="2"/>
      <x:c r="CA73" s="2"/>
      <x:c r="CB73" s="2"/>
      <x:c r="CC73" s="2"/>
      <x:c r="CD73" s="2"/>
      <x:c r="CE73" s="2"/>
      <x:c r="CF73" s="2"/>
      <x:c r="CG73" s="2"/>
      <x:c r="CH73" s="2"/>
      <x:c r="CI73" s="2"/>
      <x:c r="CJ73" s="2"/>
      <x:c r="CK73" s="2"/>
      <x:c r="CL73" s="2"/>
      <x:c r="CM73" s="2"/>
      <x:c r="CN73" s="2"/>
      <x:c r="CO73" s="2"/>
      <x:c r="CP73" s="2"/>
      <x:c r="CQ73" s="2"/>
      <x:c r="CR73" s="2"/>
      <x:c r="CS73" s="2"/>
      <x:c r="CT73" s="2"/>
      <x:c r="CU73" s="2"/>
      <x:c r="CV73" s="2"/>
      <x:c r="CW73" s="2"/>
      <x:c r="CX73" s="2"/>
      <x:c r="CY73" s="2"/>
    </x:row>
    <x:row r="74" ht="19" customHeight="1">
      <x:c r="A74" s="1"/>
      <x:c r="B74" s="1"/>
      <x:c r="C74" s="2" t="n">
        <x:v>23</x:v>
      </x:c>
      <x:c r="D74" s="30" t="n">
        <x:f>$E$40*INDEX('Assumptions'!$F$65:$F$101,MIN(C74,36)+1)</x:f>
        <x:v>0.36</x:v>
      </x:c>
      <x:c r="E74" s="30" t="n">
        <x:f>(D74-D73)*H73</x:f>
        <x:v>0</x:v>
      </x:c>
      <x:c r="F74" s="30" t="n">
        <x:f>(1-D74-J73)*(H73-H74)+(J74-J73)*H74</x:f>
        <x:v>0</x:v>
      </x:c>
      <x:c r="G74" s="30" t="n">
        <x:f>SUM(E75:E147)</x:f>
        <x:v>0</x:v>
      </x:c>
      <x:c r="H74" s="30" t="n">
        <x:f>IF($E$42=0,1-MIN(C74,$E$43)/$E$43,((1+$E$42)^$E$43-(1+$E$42)^MIN(C74,$E$43))/((1+$E$42)^$E$43-1))</x:f>
        <x:v>0.06651340350058388</x:v>
      </x:c>
      <x:c r="I74" s="30" t="n">
        <x:f>MAX(0,1-D74-J74)</x:f>
        <x:v>0</x:v>
      </x:c>
      <x:c r="J74" s="2" t="n">
        <x:f>(1-$E$40)*INDEX('Assumptions'!$I$65:$I$101,MIN(C74,36)+1)</x:f>
        <x:v>0.64</x:v>
      </x:c>
      <x:c r="K74" s="2"/>
      <x:c r="L74" s="2"/>
      <x:c r="M74" s="2"/>
      <x:c r="N74" s="2"/>
      <x:c r="O74" s="2"/>
      <x:c r="P74" s="2"/>
      <x:c r="Q74" s="2"/>
      <x:c r="R74" s="2"/>
      <x:c r="S74" s="2"/>
      <x:c r="T74" s="2"/>
      <x:c r="U74" s="2"/>
      <x:c r="V74" s="2"/>
      <x:c r="W74" s="2"/>
      <x:c r="X74" s="2"/>
      <x:c r="Y74" s="2"/>
      <x:c r="Z74" s="2"/>
      <x:c r="AA74" s="2"/>
      <x:c r="AB74" s="2"/>
      <x:c r="AC74" s="2"/>
      <x:c r="AD74" s="2"/>
      <x:c r="AE74" s="2"/>
      <x:c r="AF74" s="2"/>
      <x:c r="AG74" s="2"/>
      <x:c r="AH74" s="2"/>
      <x:c r="AI74" s="2"/>
      <x:c r="AJ74" s="2"/>
      <x:c r="AK74" s="2"/>
      <x:c r="AL74" s="2"/>
      <x:c r="AM74" s="2"/>
      <x:c r="AN74" s="2"/>
      <x:c r="AO74" s="2"/>
      <x:c r="AP74" s="2"/>
      <x:c r="AQ74" s="2"/>
      <x:c r="AR74" s="2"/>
      <x:c r="AS74" s="2"/>
      <x:c r="AT74" s="2"/>
      <x:c r="AU74" s="2"/>
      <x:c r="AV74" s="2"/>
      <x:c r="AW74" s="2"/>
      <x:c r="AX74" s="2"/>
      <x:c r="AY74" s="2"/>
      <x:c r="AZ74" s="2"/>
      <x:c r="BA74" s="2"/>
      <x:c r="BB74" s="2"/>
      <x:c r="BC74" s="2"/>
      <x:c r="BD74" s="2"/>
      <x:c r="BE74" s="2"/>
      <x:c r="BF74" s="2"/>
      <x:c r="BG74" s="2"/>
      <x:c r="BH74" s="2"/>
      <x:c r="BI74" s="2"/>
      <x:c r="BJ74" s="2"/>
      <x:c r="BK74" s="2"/>
      <x:c r="BL74" s="2"/>
      <x:c r="BM74" s="2"/>
      <x:c r="BN74" s="2"/>
      <x:c r="BO74" s="2"/>
      <x:c r="BP74" s="2"/>
      <x:c r="BQ74" s="2"/>
      <x:c r="BR74" s="2"/>
      <x:c r="BS74" s="2"/>
      <x:c r="BT74" s="2"/>
      <x:c r="BU74" s="2"/>
      <x:c r="BV74" s="2"/>
      <x:c r="BW74" s="2"/>
      <x:c r="BX74" s="2"/>
      <x:c r="BY74" s="2"/>
      <x:c r="BZ74" s="2"/>
      <x:c r="CA74" s="2"/>
      <x:c r="CB74" s="2"/>
      <x:c r="CC74" s="2"/>
      <x:c r="CD74" s="2"/>
      <x:c r="CE74" s="2"/>
      <x:c r="CF74" s="2"/>
      <x:c r="CG74" s="2"/>
      <x:c r="CH74" s="2"/>
      <x:c r="CI74" s="2"/>
      <x:c r="CJ74" s="2"/>
      <x:c r="CK74" s="2"/>
      <x:c r="CL74" s="2"/>
      <x:c r="CM74" s="2"/>
      <x:c r="CN74" s="2"/>
      <x:c r="CO74" s="2"/>
      <x:c r="CP74" s="2"/>
      <x:c r="CQ74" s="2"/>
      <x:c r="CR74" s="2"/>
      <x:c r="CS74" s="2"/>
      <x:c r="CT74" s="2"/>
      <x:c r="CU74" s="2"/>
      <x:c r="CV74" s="2"/>
      <x:c r="CW74" s="2"/>
      <x:c r="CX74" s="2"/>
      <x:c r="CY74" s="2"/>
    </x:row>
    <x:row r="75" ht="19" customHeight="1">
      <x:c r="A75" s="1"/>
      <x:c r="B75" s="1"/>
      <x:c r="C75" s="2" t="n">
        <x:v>24</x:v>
      </x:c>
      <x:c r="D75" s="30" t="n">
        <x:f>$E$40*INDEX('Assumptions'!$F$65:$F$101,MIN(C75,36)+1)</x:f>
        <x:v>0.36</x:v>
      </x:c>
      <x:c r="E75" s="30" t="n">
        <x:f>(D75-D74)*H74</x:f>
        <x:v>0</x:v>
      </x:c>
      <x:c r="F75" s="30" t="n">
        <x:f>(1-D75-J74)*(H74-H75)+(J75-J74)*H75</x:f>
        <x:v>0</x:v>
      </x:c>
      <x:c r="G75" s="30" t="n">
        <x:f>SUM(E76:E147)</x:f>
        <x:v>0</x:v>
      </x:c>
      <x:c r="H75" s="30" t="n">
        <x:f>IF($E$42=0,1-MIN(C75,$E$43)/$E$43,((1+$E$42)^$E$43-(1+$E$42)^MIN(C75,$E$43))/((1+$E$42)^$E$43-1))</x:f>
        <x:v>0</x:v>
      </x:c>
      <x:c r="I75" s="30" t="n">
        <x:f>MAX(0,1-D75-J75)</x:f>
        <x:v>0</x:v>
      </x:c>
      <x:c r="J75" s="2" t="n">
        <x:f>(1-$E$40)*INDEX('Assumptions'!$I$65:$I$101,MIN(C75,36)+1)</x:f>
        <x:v>0.64</x:v>
      </x:c>
      <x:c r="K75" s="2"/>
      <x:c r="L75" s="2"/>
      <x:c r="M75" s="2"/>
      <x:c r="N75" s="2"/>
      <x:c r="O75" s="2"/>
      <x:c r="P75" s="2"/>
      <x:c r="Q75" s="2"/>
      <x:c r="R75" s="2"/>
      <x:c r="S75" s="2"/>
      <x:c r="T75" s="2"/>
      <x:c r="U75" s="2"/>
      <x:c r="V75" s="2"/>
      <x:c r="W75" s="2"/>
      <x:c r="X75" s="2"/>
      <x:c r="Y75" s="2"/>
      <x:c r="Z75" s="2"/>
      <x:c r="AA75" s="2"/>
      <x:c r="AB75" s="2"/>
      <x:c r="AC75" s="2"/>
      <x:c r="AD75" s="2"/>
      <x:c r="AE75" s="2"/>
      <x:c r="AF75" s="2"/>
      <x:c r="AG75" s="2"/>
      <x:c r="AH75" s="2"/>
      <x:c r="AI75" s="2"/>
      <x:c r="AJ75" s="2"/>
      <x:c r="AK75" s="2"/>
      <x:c r="AL75" s="2"/>
      <x:c r="AM75" s="2"/>
      <x:c r="AN75" s="2"/>
      <x:c r="AO75" s="2"/>
      <x:c r="AP75" s="2"/>
      <x:c r="AQ75" s="2"/>
      <x:c r="AR75" s="2"/>
      <x:c r="AS75" s="2"/>
      <x:c r="AT75" s="2"/>
      <x:c r="AU75" s="2"/>
      <x:c r="AV75" s="2"/>
      <x:c r="AW75" s="2"/>
      <x:c r="AX75" s="2"/>
      <x:c r="AY75" s="2"/>
      <x:c r="AZ75" s="2"/>
      <x:c r="BA75" s="2"/>
      <x:c r="BB75" s="2"/>
      <x:c r="BC75" s="2"/>
      <x:c r="BD75" s="2"/>
      <x:c r="BE75" s="2"/>
      <x:c r="BF75" s="2"/>
      <x:c r="BG75" s="2"/>
      <x:c r="BH75" s="2"/>
      <x:c r="BI75" s="2"/>
      <x:c r="BJ75" s="2"/>
      <x:c r="BK75" s="2"/>
      <x:c r="BL75" s="2"/>
      <x:c r="BM75" s="2"/>
      <x:c r="BN75" s="2"/>
      <x:c r="BO75" s="2"/>
      <x:c r="BP75" s="2"/>
      <x:c r="BQ75" s="2"/>
      <x:c r="BR75" s="2"/>
      <x:c r="BS75" s="2"/>
      <x:c r="BT75" s="2"/>
      <x:c r="BU75" s="2"/>
      <x:c r="BV75" s="2"/>
      <x:c r="BW75" s="2"/>
      <x:c r="BX75" s="2"/>
      <x:c r="BY75" s="2"/>
      <x:c r="BZ75" s="2"/>
      <x:c r="CA75" s="2"/>
      <x:c r="CB75" s="2"/>
      <x:c r="CC75" s="2"/>
      <x:c r="CD75" s="2"/>
      <x:c r="CE75" s="2"/>
      <x:c r="CF75" s="2"/>
      <x:c r="CG75" s="2"/>
      <x:c r="CH75" s="2"/>
      <x:c r="CI75" s="2"/>
      <x:c r="CJ75" s="2"/>
      <x:c r="CK75" s="2"/>
      <x:c r="CL75" s="2"/>
      <x:c r="CM75" s="2"/>
      <x:c r="CN75" s="2"/>
      <x:c r="CO75" s="2"/>
      <x:c r="CP75" s="2"/>
      <x:c r="CQ75" s="2"/>
      <x:c r="CR75" s="2"/>
      <x:c r="CS75" s="2"/>
      <x:c r="CT75" s="2"/>
      <x:c r="CU75" s="2"/>
      <x:c r="CV75" s="2"/>
      <x:c r="CW75" s="2"/>
      <x:c r="CX75" s="2"/>
      <x:c r="CY75" s="2"/>
    </x:row>
    <x:row r="76" ht="19" customHeight="1">
      <x:c r="A76" s="1"/>
      <x:c r="B76" s="1"/>
      <x:c r="C76" s="2" t="n">
        <x:v>25</x:v>
      </x:c>
      <x:c r="D76" s="30" t="n">
        <x:f>$E$40*INDEX('Assumptions'!$F$65:$F$101,MIN(C76,36)+1)</x:f>
        <x:v>0.36</x:v>
      </x:c>
      <x:c r="E76" s="30" t="n">
        <x:f>(D76-D75)*H75</x:f>
        <x:v>0</x:v>
      </x:c>
      <x:c r="F76" s="30" t="n">
        <x:f>(1-D76-J75)*(H75-H76)+(J76-J75)*H76</x:f>
        <x:v>0</x:v>
      </x:c>
      <x:c r="G76" s="30" t="n">
        <x:f>SUM(E77:E147)</x:f>
        <x:v>0</x:v>
      </x:c>
      <x:c r="H76" s="30" t="n">
        <x:f>IF($E$42=0,1-MIN(C76,$E$43)/$E$43,((1+$E$42)^$E$43-(1+$E$42)^MIN(C76,$E$43))/((1+$E$42)^$E$43-1))</x:f>
        <x:v>0</x:v>
      </x:c>
      <x:c r="I76" s="30" t="n">
        <x:f>MAX(0,1-D76-J76)</x:f>
        <x:v>0</x:v>
      </x:c>
      <x:c r="J76" s="2" t="n">
        <x:f>(1-$E$40)*INDEX('Assumptions'!$I$65:$I$101,MIN(C76,36)+1)</x:f>
        <x:v>0.64</x:v>
      </x:c>
      <x:c r="K76" s="2"/>
      <x:c r="L76" s="2"/>
      <x:c r="M76" s="2"/>
      <x:c r="N76" s="2"/>
      <x:c r="O76" s="2"/>
      <x:c r="P76" s="2"/>
      <x:c r="Q76" s="2"/>
      <x:c r="R76" s="2"/>
      <x:c r="S76" s="2"/>
      <x:c r="T76" s="2"/>
      <x:c r="U76" s="2"/>
      <x:c r="V76" s="2"/>
      <x:c r="W76" s="2"/>
      <x:c r="X76" s="2"/>
      <x:c r="Y76" s="2"/>
      <x:c r="Z76" s="2"/>
      <x:c r="AA76" s="2"/>
      <x:c r="AB76" s="2"/>
      <x:c r="AC76" s="2"/>
      <x:c r="AD76" s="2"/>
      <x:c r="AE76" s="2"/>
      <x:c r="AF76" s="2"/>
      <x:c r="AG76" s="2"/>
      <x:c r="AH76" s="2"/>
      <x:c r="AI76" s="2"/>
      <x:c r="AJ76" s="2"/>
      <x:c r="AK76" s="2"/>
      <x:c r="AL76" s="2"/>
      <x:c r="AM76" s="2"/>
      <x:c r="AN76" s="2"/>
      <x:c r="AO76" s="2"/>
      <x:c r="AP76" s="2"/>
      <x:c r="AQ76" s="2"/>
      <x:c r="AR76" s="2"/>
      <x:c r="AS76" s="2"/>
      <x:c r="AT76" s="2"/>
      <x:c r="AU76" s="2"/>
      <x:c r="AV76" s="2"/>
      <x:c r="AW76" s="2"/>
      <x:c r="AX76" s="2"/>
      <x:c r="AY76" s="2"/>
      <x:c r="AZ76" s="2"/>
      <x:c r="BA76" s="2"/>
      <x:c r="BB76" s="2"/>
      <x:c r="BC76" s="2"/>
      <x:c r="BD76" s="2"/>
      <x:c r="BE76" s="2"/>
      <x:c r="BF76" s="2"/>
      <x:c r="BG76" s="2"/>
      <x:c r="BH76" s="2"/>
      <x:c r="BI76" s="2"/>
      <x:c r="BJ76" s="2"/>
      <x:c r="BK76" s="2"/>
      <x:c r="BL76" s="2"/>
      <x:c r="BM76" s="2"/>
      <x:c r="BN76" s="2"/>
      <x:c r="BO76" s="2"/>
      <x:c r="BP76" s="2"/>
      <x:c r="BQ76" s="2"/>
      <x:c r="BR76" s="2"/>
      <x:c r="BS76" s="2"/>
      <x:c r="BT76" s="2"/>
      <x:c r="BU76" s="2"/>
      <x:c r="BV76" s="2"/>
      <x:c r="BW76" s="2"/>
      <x:c r="BX76" s="2"/>
      <x:c r="BY76" s="2"/>
      <x:c r="BZ76" s="2"/>
      <x:c r="CA76" s="2"/>
      <x:c r="CB76" s="2"/>
      <x:c r="CC76" s="2"/>
      <x:c r="CD76" s="2"/>
      <x:c r="CE76" s="2"/>
      <x:c r="CF76" s="2"/>
      <x:c r="CG76" s="2"/>
      <x:c r="CH76" s="2"/>
      <x:c r="CI76" s="2"/>
      <x:c r="CJ76" s="2"/>
      <x:c r="CK76" s="2"/>
      <x:c r="CL76" s="2"/>
      <x:c r="CM76" s="2"/>
      <x:c r="CN76" s="2"/>
      <x:c r="CO76" s="2"/>
      <x:c r="CP76" s="2"/>
      <x:c r="CQ76" s="2"/>
      <x:c r="CR76" s="2"/>
      <x:c r="CS76" s="2"/>
      <x:c r="CT76" s="2"/>
      <x:c r="CU76" s="2"/>
      <x:c r="CV76" s="2"/>
      <x:c r="CW76" s="2"/>
      <x:c r="CX76" s="2"/>
      <x:c r="CY76" s="2"/>
    </x:row>
    <x:row r="77" ht="19" customHeight="1">
      <x:c r="A77" s="1"/>
      <x:c r="B77" s="1"/>
      <x:c r="C77" s="2" t="n">
        <x:v>26</x:v>
      </x:c>
      <x:c r="D77" s="30" t="n">
        <x:f>$E$40*INDEX('Assumptions'!$F$65:$F$101,MIN(C77,36)+1)</x:f>
        <x:v>0.36</x:v>
      </x:c>
      <x:c r="E77" s="30" t="n">
        <x:f>(D77-D76)*H76</x:f>
        <x:v>0</x:v>
      </x:c>
      <x:c r="F77" s="30" t="n">
        <x:f>(1-D77-J76)*(H76-H77)+(J77-J76)*H77</x:f>
        <x:v>0</x:v>
      </x:c>
      <x:c r="G77" s="30" t="n">
        <x:f>SUM(E78:E147)</x:f>
        <x:v>0</x:v>
      </x:c>
      <x:c r="H77" s="30" t="n">
        <x:f>IF($E$42=0,1-MIN(C77,$E$43)/$E$43,((1+$E$42)^$E$43-(1+$E$42)^MIN(C77,$E$43))/((1+$E$42)^$E$43-1))</x:f>
        <x:v>0</x:v>
      </x:c>
      <x:c r="I77" s="30" t="n">
        <x:f>MAX(0,1-D77-J77)</x:f>
        <x:v>0</x:v>
      </x:c>
      <x:c r="J77" s="2" t="n">
        <x:f>(1-$E$40)*INDEX('Assumptions'!$I$65:$I$101,MIN(C77,36)+1)</x:f>
        <x:v>0.64</x:v>
      </x:c>
      <x:c r="K77" s="2"/>
      <x:c r="L77" s="2"/>
      <x:c r="M77" s="2"/>
      <x:c r="N77" s="2"/>
      <x:c r="O77" s="2"/>
      <x:c r="P77" s="2"/>
      <x:c r="Q77" s="2"/>
      <x:c r="R77" s="2"/>
      <x:c r="S77" s="2"/>
      <x:c r="T77" s="2"/>
      <x:c r="U77" s="2"/>
      <x:c r="V77" s="2"/>
      <x:c r="W77" s="2"/>
      <x:c r="X77" s="2"/>
      <x:c r="Y77" s="2"/>
      <x:c r="Z77" s="2"/>
      <x:c r="AA77" s="2"/>
      <x:c r="AB77" s="2"/>
      <x:c r="AC77" s="2"/>
      <x:c r="AD77" s="2"/>
      <x:c r="AE77" s="2"/>
      <x:c r="AF77" s="2"/>
      <x:c r="AG77" s="2"/>
      <x:c r="AH77" s="2"/>
      <x:c r="AI77" s="2"/>
      <x:c r="AJ77" s="2"/>
      <x:c r="AK77" s="2"/>
      <x:c r="AL77" s="2"/>
      <x:c r="AM77" s="2"/>
      <x:c r="AN77" s="2"/>
      <x:c r="AO77" s="2"/>
      <x:c r="AP77" s="2"/>
      <x:c r="AQ77" s="2"/>
      <x:c r="AR77" s="2"/>
      <x:c r="AS77" s="2"/>
      <x:c r="AT77" s="2"/>
      <x:c r="AU77" s="2"/>
      <x:c r="AV77" s="2"/>
      <x:c r="AW77" s="2"/>
      <x:c r="AX77" s="2"/>
      <x:c r="AY77" s="2"/>
      <x:c r="AZ77" s="2"/>
      <x:c r="BA77" s="2"/>
      <x:c r="BB77" s="2"/>
      <x:c r="BC77" s="2"/>
      <x:c r="BD77" s="2"/>
      <x:c r="BE77" s="2"/>
      <x:c r="BF77" s="2"/>
      <x:c r="BG77" s="2"/>
      <x:c r="BH77" s="2"/>
      <x:c r="BI77" s="2"/>
      <x:c r="BJ77" s="2"/>
      <x:c r="BK77" s="2"/>
      <x:c r="BL77" s="2"/>
      <x:c r="BM77" s="2"/>
      <x:c r="BN77" s="2"/>
      <x:c r="BO77" s="2"/>
      <x:c r="BP77" s="2"/>
      <x:c r="BQ77" s="2"/>
      <x:c r="BR77" s="2"/>
      <x:c r="BS77" s="2"/>
      <x:c r="BT77" s="2"/>
      <x:c r="BU77" s="2"/>
      <x:c r="BV77" s="2"/>
      <x:c r="BW77" s="2"/>
      <x:c r="BX77" s="2"/>
      <x:c r="BY77" s="2"/>
      <x:c r="BZ77" s="2"/>
      <x:c r="CA77" s="2"/>
      <x:c r="CB77" s="2"/>
      <x:c r="CC77" s="2"/>
      <x:c r="CD77" s="2"/>
      <x:c r="CE77" s="2"/>
      <x:c r="CF77" s="2"/>
      <x:c r="CG77" s="2"/>
      <x:c r="CH77" s="2"/>
      <x:c r="CI77" s="2"/>
      <x:c r="CJ77" s="2"/>
      <x:c r="CK77" s="2"/>
      <x:c r="CL77" s="2"/>
      <x:c r="CM77" s="2"/>
      <x:c r="CN77" s="2"/>
      <x:c r="CO77" s="2"/>
      <x:c r="CP77" s="2"/>
      <x:c r="CQ77" s="2"/>
      <x:c r="CR77" s="2"/>
      <x:c r="CS77" s="2"/>
      <x:c r="CT77" s="2"/>
      <x:c r="CU77" s="2"/>
      <x:c r="CV77" s="2"/>
      <x:c r="CW77" s="2"/>
      <x:c r="CX77" s="2"/>
      <x:c r="CY77" s="2"/>
    </x:row>
    <x:row r="78" ht="19" customHeight="1">
      <x:c r="A78" s="1"/>
      <x:c r="B78" s="1"/>
      <x:c r="C78" s="2" t="n">
        <x:v>27</x:v>
      </x:c>
      <x:c r="D78" s="30" t="n">
        <x:f>$E$40*INDEX('Assumptions'!$F$65:$F$101,MIN(C78,36)+1)</x:f>
        <x:v>0.36</x:v>
      </x:c>
      <x:c r="E78" s="30" t="n">
        <x:f>(D78-D77)*H77</x:f>
        <x:v>0</x:v>
      </x:c>
      <x:c r="F78" s="30" t="n">
        <x:f>(1-D78-J77)*(H77-H78)+(J78-J77)*H78</x:f>
        <x:v>0</x:v>
      </x:c>
      <x:c r="G78" s="30" t="n">
        <x:f>SUM(E79:E147)</x:f>
        <x:v>0</x:v>
      </x:c>
      <x:c r="H78" s="30" t="n">
        <x:f>IF($E$42=0,1-MIN(C78,$E$43)/$E$43,((1+$E$42)^$E$43-(1+$E$42)^MIN(C78,$E$43))/((1+$E$42)^$E$43-1))</x:f>
        <x:v>0</x:v>
      </x:c>
      <x:c r="I78" s="30" t="n">
        <x:f>MAX(0,1-D78-J78)</x:f>
        <x:v>0</x:v>
      </x:c>
      <x:c r="J78" s="2" t="n">
        <x:f>(1-$E$40)*INDEX('Assumptions'!$I$65:$I$101,MIN(C78,36)+1)</x:f>
        <x:v>0.64</x:v>
      </x:c>
      <x:c r="K78" s="2"/>
      <x:c r="L78" s="2"/>
      <x:c r="M78" s="2"/>
      <x:c r="N78" s="2"/>
      <x:c r="O78" s="2"/>
      <x:c r="P78" s="2"/>
      <x:c r="Q78" s="2"/>
      <x:c r="R78" s="2"/>
      <x:c r="S78" s="2"/>
      <x:c r="T78" s="2"/>
      <x:c r="U78" s="2"/>
      <x:c r="V78" s="2"/>
      <x:c r="W78" s="2"/>
      <x:c r="X78" s="2"/>
      <x:c r="Y78" s="2"/>
      <x:c r="Z78" s="2"/>
      <x:c r="AA78" s="2"/>
      <x:c r="AB78" s="2"/>
      <x:c r="AC78" s="2"/>
      <x:c r="AD78" s="2"/>
      <x:c r="AE78" s="2"/>
      <x:c r="AF78" s="2"/>
      <x:c r="AG78" s="2"/>
      <x:c r="AH78" s="2"/>
      <x:c r="AI78" s="2"/>
      <x:c r="AJ78" s="2"/>
      <x:c r="AK78" s="2"/>
      <x:c r="AL78" s="2"/>
      <x:c r="AM78" s="2"/>
      <x:c r="AN78" s="2"/>
      <x:c r="AO78" s="2"/>
      <x:c r="AP78" s="2"/>
      <x:c r="AQ78" s="2"/>
      <x:c r="AR78" s="2"/>
      <x:c r="AS78" s="2"/>
      <x:c r="AT78" s="2"/>
      <x:c r="AU78" s="2"/>
      <x:c r="AV78" s="2"/>
      <x:c r="AW78" s="2"/>
      <x:c r="AX78" s="2"/>
      <x:c r="AY78" s="2"/>
      <x:c r="AZ78" s="2"/>
      <x:c r="BA78" s="2"/>
      <x:c r="BB78" s="2"/>
      <x:c r="BC78" s="2"/>
      <x:c r="BD78" s="2"/>
      <x:c r="BE78" s="2"/>
      <x:c r="BF78" s="2"/>
      <x:c r="BG78" s="2"/>
      <x:c r="BH78" s="2"/>
      <x:c r="BI78" s="2"/>
      <x:c r="BJ78" s="2"/>
      <x:c r="BK78" s="2"/>
      <x:c r="BL78" s="2"/>
      <x:c r="BM78" s="2"/>
      <x:c r="BN78" s="2"/>
      <x:c r="BO78" s="2"/>
      <x:c r="BP78" s="2"/>
      <x:c r="BQ78" s="2"/>
      <x:c r="BR78" s="2"/>
      <x:c r="BS78" s="2"/>
      <x:c r="BT78" s="2"/>
      <x:c r="BU78" s="2"/>
      <x:c r="BV78" s="2"/>
      <x:c r="BW78" s="2"/>
      <x:c r="BX78" s="2"/>
      <x:c r="BY78" s="2"/>
      <x:c r="BZ78" s="2"/>
      <x:c r="CA78" s="2"/>
      <x:c r="CB78" s="2"/>
      <x:c r="CC78" s="2"/>
      <x:c r="CD78" s="2"/>
      <x:c r="CE78" s="2"/>
      <x:c r="CF78" s="2"/>
      <x:c r="CG78" s="2"/>
      <x:c r="CH78" s="2"/>
      <x:c r="CI78" s="2"/>
      <x:c r="CJ78" s="2"/>
      <x:c r="CK78" s="2"/>
      <x:c r="CL78" s="2"/>
      <x:c r="CM78" s="2"/>
      <x:c r="CN78" s="2"/>
      <x:c r="CO78" s="2"/>
      <x:c r="CP78" s="2"/>
      <x:c r="CQ78" s="2"/>
      <x:c r="CR78" s="2"/>
      <x:c r="CS78" s="2"/>
      <x:c r="CT78" s="2"/>
      <x:c r="CU78" s="2"/>
      <x:c r="CV78" s="2"/>
      <x:c r="CW78" s="2"/>
      <x:c r="CX78" s="2"/>
      <x:c r="CY78" s="2"/>
    </x:row>
    <x:row r="79" ht="19" customHeight="1">
      <x:c r="A79" s="1"/>
      <x:c r="B79" s="1"/>
      <x:c r="C79" s="2" t="n">
        <x:v>28</x:v>
      </x:c>
      <x:c r="D79" s="30" t="n">
        <x:f>$E$40*INDEX('Assumptions'!$F$65:$F$101,MIN(C79,36)+1)</x:f>
        <x:v>0.36</x:v>
      </x:c>
      <x:c r="E79" s="30" t="n">
        <x:f>(D79-D78)*H78</x:f>
        <x:v>0</x:v>
      </x:c>
      <x:c r="F79" s="30" t="n">
        <x:f>(1-D79-J78)*(H78-H79)+(J79-J78)*H79</x:f>
        <x:v>0</x:v>
      </x:c>
      <x:c r="G79" s="30" t="n">
        <x:f>SUM(E80:E147)</x:f>
        <x:v>0</x:v>
      </x:c>
      <x:c r="H79" s="30" t="n">
        <x:f>IF($E$42=0,1-MIN(C79,$E$43)/$E$43,((1+$E$42)^$E$43-(1+$E$42)^MIN(C79,$E$43))/((1+$E$42)^$E$43-1))</x:f>
        <x:v>0</x:v>
      </x:c>
      <x:c r="I79" s="30" t="n">
        <x:f>MAX(0,1-D79-J79)</x:f>
        <x:v>0</x:v>
      </x:c>
      <x:c r="J79" s="2" t="n">
        <x:f>(1-$E$40)*INDEX('Assumptions'!$I$65:$I$101,MIN(C79,36)+1)</x:f>
        <x:v>0.64</x:v>
      </x:c>
      <x:c r="K79" s="2"/>
      <x:c r="L79" s="2"/>
      <x:c r="M79" s="2"/>
      <x:c r="N79" s="2"/>
      <x:c r="O79" s="2"/>
      <x:c r="P79" s="2"/>
      <x:c r="Q79" s="2"/>
      <x:c r="R79" s="2"/>
      <x:c r="S79" s="2"/>
      <x:c r="T79" s="2"/>
      <x:c r="U79" s="2"/>
      <x:c r="V79" s="2"/>
      <x:c r="W79" s="2"/>
      <x:c r="X79" s="2"/>
      <x:c r="Y79" s="2"/>
      <x:c r="Z79" s="2"/>
      <x:c r="AA79" s="2"/>
      <x:c r="AB79" s="2"/>
      <x:c r="AC79" s="2"/>
      <x:c r="AD79" s="2"/>
      <x:c r="AE79" s="2"/>
      <x:c r="AF79" s="2"/>
      <x:c r="AG79" s="2"/>
      <x:c r="AH79" s="2"/>
      <x:c r="AI79" s="2"/>
      <x:c r="AJ79" s="2"/>
      <x:c r="AK79" s="2"/>
      <x:c r="AL79" s="2"/>
      <x:c r="AM79" s="2"/>
      <x:c r="AN79" s="2"/>
      <x:c r="AO79" s="2"/>
      <x:c r="AP79" s="2"/>
      <x:c r="AQ79" s="2"/>
      <x:c r="AR79" s="2"/>
      <x:c r="AS79" s="2"/>
      <x:c r="AT79" s="2"/>
      <x:c r="AU79" s="2"/>
      <x:c r="AV79" s="2"/>
      <x:c r="AW79" s="2"/>
      <x:c r="AX79" s="2"/>
      <x:c r="AY79" s="2"/>
      <x:c r="AZ79" s="2"/>
      <x:c r="BA79" s="2"/>
      <x:c r="BB79" s="2"/>
      <x:c r="BC79" s="2"/>
      <x:c r="BD79" s="2"/>
      <x:c r="BE79" s="2"/>
      <x:c r="BF79" s="2"/>
      <x:c r="BG79" s="2"/>
      <x:c r="BH79" s="2"/>
      <x:c r="BI79" s="2"/>
      <x:c r="BJ79" s="2"/>
      <x:c r="BK79" s="2"/>
      <x:c r="BL79" s="2"/>
      <x:c r="BM79" s="2"/>
      <x:c r="BN79" s="2"/>
      <x:c r="BO79" s="2"/>
      <x:c r="BP79" s="2"/>
      <x:c r="BQ79" s="2"/>
      <x:c r="BR79" s="2"/>
      <x:c r="BS79" s="2"/>
      <x:c r="BT79" s="2"/>
      <x:c r="BU79" s="2"/>
      <x:c r="BV79" s="2"/>
      <x:c r="BW79" s="2"/>
      <x:c r="BX79" s="2"/>
      <x:c r="BY79" s="2"/>
      <x:c r="BZ79" s="2"/>
      <x:c r="CA79" s="2"/>
      <x:c r="CB79" s="2"/>
      <x:c r="CC79" s="2"/>
      <x:c r="CD79" s="2"/>
      <x:c r="CE79" s="2"/>
      <x:c r="CF79" s="2"/>
      <x:c r="CG79" s="2"/>
      <x:c r="CH79" s="2"/>
      <x:c r="CI79" s="2"/>
      <x:c r="CJ79" s="2"/>
      <x:c r="CK79" s="2"/>
      <x:c r="CL79" s="2"/>
      <x:c r="CM79" s="2"/>
      <x:c r="CN79" s="2"/>
      <x:c r="CO79" s="2"/>
      <x:c r="CP79" s="2"/>
      <x:c r="CQ79" s="2"/>
      <x:c r="CR79" s="2"/>
      <x:c r="CS79" s="2"/>
      <x:c r="CT79" s="2"/>
      <x:c r="CU79" s="2"/>
      <x:c r="CV79" s="2"/>
      <x:c r="CW79" s="2"/>
      <x:c r="CX79" s="2"/>
      <x:c r="CY79" s="2"/>
    </x:row>
    <x:row r="80" ht="19" customHeight="1">
      <x:c r="A80" s="1"/>
      <x:c r="B80" s="1"/>
      <x:c r="C80" s="2" t="n">
        <x:v>29</x:v>
      </x:c>
      <x:c r="D80" s="30" t="n">
        <x:f>$E$40*INDEX('Assumptions'!$F$65:$F$101,MIN(C80,36)+1)</x:f>
        <x:v>0.36</x:v>
      </x:c>
      <x:c r="E80" s="30" t="n">
        <x:f>(D80-D79)*H79</x:f>
        <x:v>0</x:v>
      </x:c>
      <x:c r="F80" s="30" t="n">
        <x:f>(1-D80-J79)*(H79-H80)+(J80-J79)*H80</x:f>
        <x:v>0</x:v>
      </x:c>
      <x:c r="G80" s="30" t="n">
        <x:f>SUM(E81:E147)</x:f>
        <x:v>0</x:v>
      </x:c>
      <x:c r="H80" s="30" t="n">
        <x:f>IF($E$42=0,1-MIN(C80,$E$43)/$E$43,((1+$E$42)^$E$43-(1+$E$42)^MIN(C80,$E$43))/((1+$E$42)^$E$43-1))</x:f>
        <x:v>0</x:v>
      </x:c>
      <x:c r="I80" s="30" t="n">
        <x:f>MAX(0,1-D80-J80)</x:f>
        <x:v>0</x:v>
      </x:c>
      <x:c r="J80" s="2" t="n">
        <x:f>(1-$E$40)*INDEX('Assumptions'!$I$65:$I$101,MIN(C80,36)+1)</x:f>
        <x:v>0.64</x:v>
      </x:c>
      <x:c r="K80" s="2"/>
      <x:c r="L80" s="2"/>
      <x:c r="M80" s="2"/>
      <x:c r="N80" s="2"/>
      <x:c r="O80" s="2"/>
      <x:c r="P80" s="2"/>
      <x:c r="Q80" s="2"/>
      <x:c r="R80" s="2"/>
      <x:c r="S80" s="2"/>
      <x:c r="T80" s="2"/>
      <x:c r="U80" s="2"/>
      <x:c r="V80" s="2"/>
      <x:c r="W80" s="2"/>
      <x:c r="X80" s="2"/>
      <x:c r="Y80" s="2"/>
      <x:c r="Z80" s="2"/>
      <x:c r="AA80" s="2"/>
      <x:c r="AB80" s="2"/>
      <x:c r="AC80" s="2"/>
      <x:c r="AD80" s="2"/>
      <x:c r="AE80" s="2"/>
      <x:c r="AF80" s="2"/>
      <x:c r="AG80" s="2"/>
      <x:c r="AH80" s="2"/>
      <x:c r="AI80" s="2"/>
      <x:c r="AJ80" s="2"/>
      <x:c r="AK80" s="2"/>
      <x:c r="AL80" s="2"/>
      <x:c r="AM80" s="2"/>
      <x:c r="AN80" s="2"/>
      <x:c r="AO80" s="2"/>
      <x:c r="AP80" s="2"/>
      <x:c r="AQ80" s="2"/>
      <x:c r="AR80" s="2"/>
      <x:c r="AS80" s="2"/>
      <x:c r="AT80" s="2"/>
      <x:c r="AU80" s="2"/>
      <x:c r="AV80" s="2"/>
      <x:c r="AW80" s="2"/>
      <x:c r="AX80" s="2"/>
      <x:c r="AY80" s="2"/>
      <x:c r="AZ80" s="2"/>
      <x:c r="BA80" s="2"/>
      <x:c r="BB80" s="2"/>
      <x:c r="BC80" s="2"/>
      <x:c r="BD80" s="2"/>
      <x:c r="BE80" s="2"/>
      <x:c r="BF80" s="2"/>
      <x:c r="BG80" s="2"/>
      <x:c r="BH80" s="2"/>
      <x:c r="BI80" s="2"/>
      <x:c r="BJ80" s="2"/>
      <x:c r="BK80" s="2"/>
      <x:c r="BL80" s="2"/>
      <x:c r="BM80" s="2"/>
      <x:c r="BN80" s="2"/>
      <x:c r="BO80" s="2"/>
      <x:c r="BP80" s="2"/>
      <x:c r="BQ80" s="2"/>
      <x:c r="BR80" s="2"/>
      <x:c r="BS80" s="2"/>
      <x:c r="BT80" s="2"/>
      <x:c r="BU80" s="2"/>
      <x:c r="BV80" s="2"/>
      <x:c r="BW80" s="2"/>
      <x:c r="BX80" s="2"/>
      <x:c r="BY80" s="2"/>
      <x:c r="BZ80" s="2"/>
      <x:c r="CA80" s="2"/>
      <x:c r="CB80" s="2"/>
      <x:c r="CC80" s="2"/>
      <x:c r="CD80" s="2"/>
      <x:c r="CE80" s="2"/>
      <x:c r="CF80" s="2"/>
      <x:c r="CG80" s="2"/>
      <x:c r="CH80" s="2"/>
      <x:c r="CI80" s="2"/>
      <x:c r="CJ80" s="2"/>
      <x:c r="CK80" s="2"/>
      <x:c r="CL80" s="2"/>
      <x:c r="CM80" s="2"/>
      <x:c r="CN80" s="2"/>
      <x:c r="CO80" s="2"/>
      <x:c r="CP80" s="2"/>
      <x:c r="CQ80" s="2"/>
      <x:c r="CR80" s="2"/>
      <x:c r="CS80" s="2"/>
      <x:c r="CT80" s="2"/>
      <x:c r="CU80" s="2"/>
      <x:c r="CV80" s="2"/>
      <x:c r="CW80" s="2"/>
      <x:c r="CX80" s="2"/>
      <x:c r="CY80" s="2"/>
    </x:row>
    <x:row r="81" ht="19" customHeight="1">
      <x:c r="A81" s="1"/>
      <x:c r="B81" s="1"/>
      <x:c r="C81" s="2" t="n">
        <x:v>30</x:v>
      </x:c>
      <x:c r="D81" s="30" t="n">
        <x:f>$E$40*INDEX('Assumptions'!$F$65:$F$101,MIN(C81,36)+1)</x:f>
        <x:v>0.36</x:v>
      </x:c>
      <x:c r="E81" s="30" t="n">
        <x:f>(D81-D80)*H80</x:f>
        <x:v>0</x:v>
      </x:c>
      <x:c r="F81" s="30" t="n">
        <x:f>(1-D81-J80)*(H80-H81)+(J81-J80)*H81</x:f>
        <x:v>0</x:v>
      </x:c>
      <x:c r="G81" s="30" t="n">
        <x:f>SUM(E82:E147)</x:f>
        <x:v>0</x:v>
      </x:c>
      <x:c r="H81" s="30" t="n">
        <x:f>IF($E$42=0,1-MIN(C81,$E$43)/$E$43,((1+$E$42)^$E$43-(1+$E$42)^MIN(C81,$E$43))/((1+$E$42)^$E$43-1))</x:f>
        <x:v>0</x:v>
      </x:c>
      <x:c r="I81" s="30" t="n">
        <x:f>MAX(0,1-D81-J81)</x:f>
        <x:v>0</x:v>
      </x:c>
      <x:c r="J81" s="2" t="n">
        <x:f>(1-$E$40)*INDEX('Assumptions'!$I$65:$I$101,MIN(C81,36)+1)</x:f>
        <x:v>0.64</x:v>
      </x:c>
      <x:c r="K81" s="2"/>
      <x:c r="L81" s="2"/>
      <x:c r="M81" s="2"/>
      <x:c r="N81" s="2"/>
      <x:c r="O81" s="2"/>
      <x:c r="P81" s="2"/>
      <x:c r="Q81" s="2"/>
      <x:c r="R81" s="2"/>
      <x:c r="S81" s="2"/>
      <x:c r="T81" s="2"/>
      <x:c r="U81" s="2"/>
      <x:c r="V81" s="2"/>
      <x:c r="W81" s="2"/>
      <x:c r="X81" s="2"/>
      <x:c r="Y81" s="2"/>
      <x:c r="Z81" s="2"/>
      <x:c r="AA81" s="2"/>
      <x:c r="AB81" s="2"/>
      <x:c r="AC81" s="2"/>
      <x:c r="AD81" s="2"/>
      <x:c r="AE81" s="2"/>
      <x:c r="AF81" s="2"/>
      <x:c r="AG81" s="2"/>
      <x:c r="AH81" s="2"/>
      <x:c r="AI81" s="2"/>
      <x:c r="AJ81" s="2"/>
      <x:c r="AK81" s="2"/>
      <x:c r="AL81" s="2"/>
      <x:c r="AM81" s="2"/>
      <x:c r="AN81" s="2"/>
      <x:c r="AO81" s="2"/>
      <x:c r="AP81" s="2"/>
      <x:c r="AQ81" s="2"/>
      <x:c r="AR81" s="2"/>
      <x:c r="AS81" s="2"/>
      <x:c r="AT81" s="2"/>
      <x:c r="AU81" s="2"/>
      <x:c r="AV81" s="2"/>
      <x:c r="AW81" s="2"/>
      <x:c r="AX81" s="2"/>
      <x:c r="AY81" s="2"/>
      <x:c r="AZ81" s="2"/>
      <x:c r="BA81" s="2"/>
      <x:c r="BB81" s="2"/>
      <x:c r="BC81" s="2"/>
      <x:c r="BD81" s="2"/>
      <x:c r="BE81" s="2"/>
      <x:c r="BF81" s="2"/>
      <x:c r="BG81" s="2"/>
      <x:c r="BH81" s="2"/>
      <x:c r="BI81" s="2"/>
      <x:c r="BJ81" s="2"/>
      <x:c r="BK81" s="2"/>
      <x:c r="BL81" s="2"/>
      <x:c r="BM81" s="2"/>
      <x:c r="BN81" s="2"/>
      <x:c r="BO81" s="2"/>
      <x:c r="BP81" s="2"/>
      <x:c r="BQ81" s="2"/>
      <x:c r="BR81" s="2"/>
      <x:c r="BS81" s="2"/>
      <x:c r="BT81" s="2"/>
      <x:c r="BU81" s="2"/>
      <x:c r="BV81" s="2"/>
      <x:c r="BW81" s="2"/>
      <x:c r="BX81" s="2"/>
      <x:c r="BY81" s="2"/>
      <x:c r="BZ81" s="2"/>
      <x:c r="CA81" s="2"/>
      <x:c r="CB81" s="2"/>
      <x:c r="CC81" s="2"/>
      <x:c r="CD81" s="2"/>
      <x:c r="CE81" s="2"/>
      <x:c r="CF81" s="2"/>
      <x:c r="CG81" s="2"/>
      <x:c r="CH81" s="2"/>
      <x:c r="CI81" s="2"/>
      <x:c r="CJ81" s="2"/>
      <x:c r="CK81" s="2"/>
      <x:c r="CL81" s="2"/>
      <x:c r="CM81" s="2"/>
      <x:c r="CN81" s="2"/>
      <x:c r="CO81" s="2"/>
      <x:c r="CP81" s="2"/>
      <x:c r="CQ81" s="2"/>
      <x:c r="CR81" s="2"/>
      <x:c r="CS81" s="2"/>
      <x:c r="CT81" s="2"/>
      <x:c r="CU81" s="2"/>
      <x:c r="CV81" s="2"/>
      <x:c r="CW81" s="2"/>
      <x:c r="CX81" s="2"/>
      <x:c r="CY81" s="2"/>
    </x:row>
    <x:row r="82" ht="19" customHeight="1">
      <x:c r="A82" s="1"/>
      <x:c r="B82" s="1"/>
      <x:c r="C82" s="2" t="n">
        <x:v>31</x:v>
      </x:c>
      <x:c r="D82" s="30" t="n">
        <x:f>$E$40*INDEX('Assumptions'!$F$65:$F$101,MIN(C82,36)+1)</x:f>
        <x:v>0.36</x:v>
      </x:c>
      <x:c r="E82" s="30" t="n">
        <x:f>(D82-D81)*H81</x:f>
        <x:v>0</x:v>
      </x:c>
      <x:c r="F82" s="30" t="n">
        <x:f>(1-D82-J81)*(H81-H82)+(J82-J81)*H82</x:f>
        <x:v>0</x:v>
      </x:c>
      <x:c r="G82" s="30" t="n">
        <x:f>SUM(E83:E147)</x:f>
        <x:v>0</x:v>
      </x:c>
      <x:c r="H82" s="30" t="n">
        <x:f>IF($E$42=0,1-MIN(C82,$E$43)/$E$43,((1+$E$42)^$E$43-(1+$E$42)^MIN(C82,$E$43))/((1+$E$42)^$E$43-1))</x:f>
        <x:v>0</x:v>
      </x:c>
      <x:c r="I82" s="30" t="n">
        <x:f>MAX(0,1-D82-J82)</x:f>
        <x:v>0</x:v>
      </x:c>
      <x:c r="J82" s="2" t="n">
        <x:f>(1-$E$40)*INDEX('Assumptions'!$I$65:$I$101,MIN(C82,36)+1)</x:f>
        <x:v>0.64</x:v>
      </x:c>
      <x:c r="K82" s="2"/>
      <x:c r="L82" s="2"/>
      <x:c r="M82" s="2"/>
      <x:c r="N82" s="2"/>
      <x:c r="O82" s="2"/>
      <x:c r="P82" s="2"/>
      <x:c r="Q82" s="2"/>
      <x:c r="R82" s="2"/>
      <x:c r="S82" s="2"/>
      <x:c r="T82" s="2"/>
      <x:c r="U82" s="2"/>
      <x:c r="V82" s="2"/>
      <x:c r="W82" s="2"/>
      <x:c r="X82" s="2"/>
      <x:c r="Y82" s="2"/>
      <x:c r="Z82" s="2"/>
      <x:c r="AA82" s="2"/>
      <x:c r="AB82" s="2"/>
      <x:c r="AC82" s="2"/>
      <x:c r="AD82" s="2"/>
      <x:c r="AE82" s="2"/>
      <x:c r="AF82" s="2"/>
      <x:c r="AG82" s="2"/>
      <x:c r="AH82" s="2"/>
      <x:c r="AI82" s="2"/>
      <x:c r="AJ82" s="2"/>
      <x:c r="AK82" s="2"/>
      <x:c r="AL82" s="2"/>
      <x:c r="AM82" s="2"/>
      <x:c r="AN82" s="2"/>
      <x:c r="AO82" s="2"/>
      <x:c r="AP82" s="2"/>
      <x:c r="AQ82" s="2"/>
      <x:c r="AR82" s="2"/>
      <x:c r="AS82" s="2"/>
      <x:c r="AT82" s="2"/>
      <x:c r="AU82" s="2"/>
      <x:c r="AV82" s="2"/>
      <x:c r="AW82" s="2"/>
      <x:c r="AX82" s="2"/>
      <x:c r="AY82" s="2"/>
      <x:c r="AZ82" s="2"/>
      <x:c r="BA82" s="2"/>
      <x:c r="BB82" s="2"/>
      <x:c r="BC82" s="2"/>
      <x:c r="BD82" s="2"/>
      <x:c r="BE82" s="2"/>
      <x:c r="BF82" s="2"/>
      <x:c r="BG82" s="2"/>
      <x:c r="BH82" s="2"/>
      <x:c r="BI82" s="2"/>
      <x:c r="BJ82" s="2"/>
      <x:c r="BK82" s="2"/>
      <x:c r="BL82" s="2"/>
      <x:c r="BM82" s="2"/>
      <x:c r="BN82" s="2"/>
      <x:c r="BO82" s="2"/>
      <x:c r="BP82" s="2"/>
      <x:c r="BQ82" s="2"/>
      <x:c r="BR82" s="2"/>
      <x:c r="BS82" s="2"/>
      <x:c r="BT82" s="2"/>
      <x:c r="BU82" s="2"/>
      <x:c r="BV82" s="2"/>
      <x:c r="BW82" s="2"/>
      <x:c r="BX82" s="2"/>
      <x:c r="BY82" s="2"/>
      <x:c r="BZ82" s="2"/>
      <x:c r="CA82" s="2"/>
      <x:c r="CB82" s="2"/>
      <x:c r="CC82" s="2"/>
      <x:c r="CD82" s="2"/>
      <x:c r="CE82" s="2"/>
      <x:c r="CF82" s="2"/>
      <x:c r="CG82" s="2"/>
      <x:c r="CH82" s="2"/>
      <x:c r="CI82" s="2"/>
      <x:c r="CJ82" s="2"/>
      <x:c r="CK82" s="2"/>
      <x:c r="CL82" s="2"/>
      <x:c r="CM82" s="2"/>
      <x:c r="CN82" s="2"/>
      <x:c r="CO82" s="2"/>
      <x:c r="CP82" s="2"/>
      <x:c r="CQ82" s="2"/>
      <x:c r="CR82" s="2"/>
      <x:c r="CS82" s="2"/>
      <x:c r="CT82" s="2"/>
      <x:c r="CU82" s="2"/>
      <x:c r="CV82" s="2"/>
      <x:c r="CW82" s="2"/>
      <x:c r="CX82" s="2"/>
      <x:c r="CY82" s="2"/>
    </x:row>
    <x:row r="83" ht="19" customHeight="1">
      <x:c r="A83" s="1"/>
      <x:c r="B83" s="1"/>
      <x:c r="C83" s="2" t="n">
        <x:v>32</x:v>
      </x:c>
      <x:c r="D83" s="30" t="n">
        <x:f>$E$40*INDEX('Assumptions'!$F$65:$F$101,MIN(C83,36)+1)</x:f>
        <x:v>0.36</x:v>
      </x:c>
      <x:c r="E83" s="30" t="n">
        <x:f>(D83-D82)*H82</x:f>
        <x:v>0</x:v>
      </x:c>
      <x:c r="F83" s="30" t="n">
        <x:f>(1-D83-J82)*(H82-H83)+(J83-J82)*H83</x:f>
        <x:v>0</x:v>
      </x:c>
      <x:c r="G83" s="30" t="n">
        <x:f>SUM(E84:E147)</x:f>
        <x:v>0</x:v>
      </x:c>
      <x:c r="H83" s="30" t="n">
        <x:f>IF($E$42=0,1-MIN(C83,$E$43)/$E$43,((1+$E$42)^$E$43-(1+$E$42)^MIN(C83,$E$43))/((1+$E$42)^$E$43-1))</x:f>
        <x:v>0</x:v>
      </x:c>
      <x:c r="I83" s="30" t="n">
        <x:f>MAX(0,1-D83-J83)</x:f>
        <x:v>0</x:v>
      </x:c>
      <x:c r="J83" s="2" t="n">
        <x:f>(1-$E$40)*INDEX('Assumptions'!$I$65:$I$101,MIN(C83,36)+1)</x:f>
        <x:v>0.64</x:v>
      </x:c>
      <x:c r="K83" s="2"/>
      <x:c r="L83" s="2"/>
      <x:c r="M83" s="2"/>
      <x:c r="N83" s="2"/>
      <x:c r="O83" s="2"/>
      <x:c r="P83" s="2"/>
      <x:c r="Q83" s="2"/>
      <x:c r="R83" s="2"/>
      <x:c r="S83" s="2"/>
      <x:c r="T83" s="2"/>
      <x:c r="U83" s="2"/>
      <x:c r="V83" s="2"/>
      <x:c r="W83" s="2"/>
      <x:c r="X83" s="2"/>
      <x:c r="Y83" s="2"/>
      <x:c r="Z83" s="2"/>
      <x:c r="AA83" s="2"/>
      <x:c r="AB83" s="2"/>
      <x:c r="AC83" s="2"/>
      <x:c r="AD83" s="2"/>
      <x:c r="AE83" s="2"/>
      <x:c r="AF83" s="2"/>
      <x:c r="AG83" s="2"/>
      <x:c r="AH83" s="2"/>
      <x:c r="AI83" s="2"/>
      <x:c r="AJ83" s="2"/>
      <x:c r="AK83" s="2"/>
      <x:c r="AL83" s="2"/>
      <x:c r="AM83" s="2"/>
      <x:c r="AN83" s="2"/>
      <x:c r="AO83" s="2"/>
      <x:c r="AP83" s="2"/>
      <x:c r="AQ83" s="2"/>
      <x:c r="AR83" s="2"/>
      <x:c r="AS83" s="2"/>
      <x:c r="AT83" s="2"/>
      <x:c r="AU83" s="2"/>
      <x:c r="AV83" s="2"/>
      <x:c r="AW83" s="2"/>
      <x:c r="AX83" s="2"/>
      <x:c r="AY83" s="2"/>
      <x:c r="AZ83" s="2"/>
      <x:c r="BA83" s="2"/>
      <x:c r="BB83" s="2"/>
      <x:c r="BC83" s="2"/>
      <x:c r="BD83" s="2"/>
      <x:c r="BE83" s="2"/>
      <x:c r="BF83" s="2"/>
      <x:c r="BG83" s="2"/>
      <x:c r="BH83" s="2"/>
      <x:c r="BI83" s="2"/>
      <x:c r="BJ83" s="2"/>
      <x:c r="BK83" s="2"/>
      <x:c r="BL83" s="2"/>
      <x:c r="BM83" s="2"/>
      <x:c r="BN83" s="2"/>
      <x:c r="BO83" s="2"/>
      <x:c r="BP83" s="2"/>
      <x:c r="BQ83" s="2"/>
      <x:c r="BR83" s="2"/>
      <x:c r="BS83" s="2"/>
      <x:c r="BT83" s="2"/>
      <x:c r="BU83" s="2"/>
      <x:c r="BV83" s="2"/>
      <x:c r="BW83" s="2"/>
      <x:c r="BX83" s="2"/>
      <x:c r="BY83" s="2"/>
      <x:c r="BZ83" s="2"/>
      <x:c r="CA83" s="2"/>
      <x:c r="CB83" s="2"/>
      <x:c r="CC83" s="2"/>
      <x:c r="CD83" s="2"/>
      <x:c r="CE83" s="2"/>
      <x:c r="CF83" s="2"/>
      <x:c r="CG83" s="2"/>
      <x:c r="CH83" s="2"/>
      <x:c r="CI83" s="2"/>
      <x:c r="CJ83" s="2"/>
      <x:c r="CK83" s="2"/>
      <x:c r="CL83" s="2"/>
      <x:c r="CM83" s="2"/>
      <x:c r="CN83" s="2"/>
      <x:c r="CO83" s="2"/>
      <x:c r="CP83" s="2"/>
      <x:c r="CQ83" s="2"/>
      <x:c r="CR83" s="2"/>
      <x:c r="CS83" s="2"/>
      <x:c r="CT83" s="2"/>
      <x:c r="CU83" s="2"/>
      <x:c r="CV83" s="2"/>
      <x:c r="CW83" s="2"/>
      <x:c r="CX83" s="2"/>
      <x:c r="CY83" s="2"/>
    </x:row>
    <x:row r="84" ht="19" customHeight="1">
      <x:c r="A84" s="1"/>
      <x:c r="B84" s="1"/>
      <x:c r="C84" s="2" t="n">
        <x:v>33</x:v>
      </x:c>
      <x:c r="D84" s="30" t="n">
        <x:f>$E$40*INDEX('Assumptions'!$F$65:$F$101,MIN(C84,36)+1)</x:f>
        <x:v>0.36</x:v>
      </x:c>
      <x:c r="E84" s="30" t="n">
        <x:f>(D84-D83)*H83</x:f>
        <x:v>0</x:v>
      </x:c>
      <x:c r="F84" s="30" t="n">
        <x:f>(1-D84-J83)*(H83-H84)+(J84-J83)*H84</x:f>
        <x:v>0</x:v>
      </x:c>
      <x:c r="G84" s="30" t="n">
        <x:f>SUM(E85:E147)</x:f>
        <x:v>0</x:v>
      </x:c>
      <x:c r="H84" s="30" t="n">
        <x:f>IF($E$42=0,1-MIN(C84,$E$43)/$E$43,((1+$E$42)^$E$43-(1+$E$42)^MIN(C84,$E$43))/((1+$E$42)^$E$43-1))</x:f>
        <x:v>0</x:v>
      </x:c>
      <x:c r="I84" s="30" t="n">
        <x:f>MAX(0,1-D84-J84)</x:f>
        <x:v>0</x:v>
      </x:c>
      <x:c r="J84" s="2" t="n">
        <x:f>(1-$E$40)*INDEX('Assumptions'!$I$65:$I$101,MIN(C84,36)+1)</x:f>
        <x:v>0.64</x:v>
      </x:c>
      <x:c r="K84" s="2"/>
      <x:c r="L84" s="2"/>
      <x:c r="M84" s="2"/>
      <x:c r="N84" s="2"/>
      <x:c r="O84" s="2"/>
      <x:c r="P84" s="2"/>
      <x:c r="Q84" s="2"/>
      <x:c r="R84" s="2"/>
      <x:c r="S84" s="2"/>
      <x:c r="T84" s="2"/>
      <x:c r="U84" s="2"/>
      <x:c r="V84" s="2"/>
      <x:c r="W84" s="2"/>
      <x:c r="X84" s="2"/>
      <x:c r="Y84" s="2"/>
      <x:c r="Z84" s="2"/>
      <x:c r="AA84" s="2"/>
      <x:c r="AB84" s="2"/>
      <x:c r="AC84" s="2"/>
      <x:c r="AD84" s="2"/>
      <x:c r="AE84" s="2"/>
      <x:c r="AF84" s="2"/>
      <x:c r="AG84" s="2"/>
      <x:c r="AH84" s="2"/>
      <x:c r="AI84" s="2"/>
      <x:c r="AJ84" s="2"/>
      <x:c r="AK84" s="2"/>
      <x:c r="AL84" s="2"/>
      <x:c r="AM84" s="2"/>
      <x:c r="AN84" s="2"/>
      <x:c r="AO84" s="2"/>
      <x:c r="AP84" s="2"/>
      <x:c r="AQ84" s="2"/>
      <x:c r="AR84" s="2"/>
      <x:c r="AS84" s="2"/>
      <x:c r="AT84" s="2"/>
      <x:c r="AU84" s="2"/>
      <x:c r="AV84" s="2"/>
      <x:c r="AW84" s="2"/>
      <x:c r="AX84" s="2"/>
      <x:c r="AY84" s="2"/>
      <x:c r="AZ84" s="2"/>
      <x:c r="BA84" s="2"/>
      <x:c r="BB84" s="2"/>
      <x:c r="BC84" s="2"/>
      <x:c r="BD84" s="2"/>
      <x:c r="BE84" s="2"/>
      <x:c r="BF84" s="2"/>
      <x:c r="BG84" s="2"/>
      <x:c r="BH84" s="2"/>
      <x:c r="BI84" s="2"/>
      <x:c r="BJ84" s="2"/>
      <x:c r="BK84" s="2"/>
      <x:c r="BL84" s="2"/>
      <x:c r="BM84" s="2"/>
      <x:c r="BN84" s="2"/>
      <x:c r="BO84" s="2"/>
      <x:c r="BP84" s="2"/>
      <x:c r="BQ84" s="2"/>
      <x:c r="BR84" s="2"/>
      <x:c r="BS84" s="2"/>
      <x:c r="BT84" s="2"/>
      <x:c r="BU84" s="2"/>
      <x:c r="BV84" s="2"/>
      <x:c r="BW84" s="2"/>
      <x:c r="BX84" s="2"/>
      <x:c r="BY84" s="2"/>
      <x:c r="BZ84" s="2"/>
      <x:c r="CA84" s="2"/>
      <x:c r="CB84" s="2"/>
      <x:c r="CC84" s="2"/>
      <x:c r="CD84" s="2"/>
      <x:c r="CE84" s="2"/>
      <x:c r="CF84" s="2"/>
      <x:c r="CG84" s="2"/>
      <x:c r="CH84" s="2"/>
      <x:c r="CI84" s="2"/>
      <x:c r="CJ84" s="2"/>
      <x:c r="CK84" s="2"/>
      <x:c r="CL84" s="2"/>
      <x:c r="CM84" s="2"/>
      <x:c r="CN84" s="2"/>
      <x:c r="CO84" s="2"/>
      <x:c r="CP84" s="2"/>
      <x:c r="CQ84" s="2"/>
      <x:c r="CR84" s="2"/>
      <x:c r="CS84" s="2"/>
      <x:c r="CT84" s="2"/>
      <x:c r="CU84" s="2"/>
      <x:c r="CV84" s="2"/>
      <x:c r="CW84" s="2"/>
      <x:c r="CX84" s="2"/>
      <x:c r="CY84" s="2"/>
    </x:row>
    <x:row r="85" ht="19" customHeight="1">
      <x:c r="A85" s="1"/>
      <x:c r="B85" s="1"/>
      <x:c r="C85" s="2" t="n">
        <x:v>34</x:v>
      </x:c>
      <x:c r="D85" s="30" t="n">
        <x:f>$E$40*INDEX('Assumptions'!$F$65:$F$101,MIN(C85,36)+1)</x:f>
        <x:v>0.36</x:v>
      </x:c>
      <x:c r="E85" s="30" t="n">
        <x:f>(D85-D84)*H84</x:f>
        <x:v>0</x:v>
      </x:c>
      <x:c r="F85" s="30" t="n">
        <x:f>(1-D85-J84)*(H84-H85)+(J85-J84)*H85</x:f>
        <x:v>0</x:v>
      </x:c>
      <x:c r="G85" s="30" t="n">
        <x:f>SUM(E86:E147)</x:f>
        <x:v>0</x:v>
      </x:c>
      <x:c r="H85" s="30" t="n">
        <x:f>IF($E$42=0,1-MIN(C85,$E$43)/$E$43,((1+$E$42)^$E$43-(1+$E$42)^MIN(C85,$E$43))/((1+$E$42)^$E$43-1))</x:f>
        <x:v>0</x:v>
      </x:c>
      <x:c r="I85" s="30" t="n">
        <x:f>MAX(0,1-D85-J85)</x:f>
        <x:v>0</x:v>
      </x:c>
      <x:c r="J85" s="2" t="n">
        <x:f>(1-$E$40)*INDEX('Assumptions'!$I$65:$I$101,MIN(C85,36)+1)</x:f>
        <x:v>0.64</x:v>
      </x:c>
      <x:c r="K85" s="2"/>
      <x:c r="L85" s="2"/>
      <x:c r="M85" s="2"/>
      <x:c r="N85" s="2"/>
      <x:c r="O85" s="2"/>
      <x:c r="P85" s="2"/>
      <x:c r="Q85" s="2"/>
      <x:c r="R85" s="2"/>
      <x:c r="S85" s="2"/>
      <x:c r="T85" s="2"/>
      <x:c r="U85" s="2"/>
      <x:c r="V85" s="2"/>
      <x:c r="W85" s="2"/>
      <x:c r="X85" s="2"/>
      <x:c r="Y85" s="2"/>
      <x:c r="Z85" s="2"/>
      <x:c r="AA85" s="2"/>
      <x:c r="AB85" s="2"/>
      <x:c r="AC85" s="2"/>
      <x:c r="AD85" s="2"/>
      <x:c r="AE85" s="2"/>
      <x:c r="AF85" s="2"/>
      <x:c r="AG85" s="2"/>
      <x:c r="AH85" s="2"/>
      <x:c r="AI85" s="2"/>
      <x:c r="AJ85" s="2"/>
      <x:c r="AK85" s="2"/>
      <x:c r="AL85" s="2"/>
      <x:c r="AM85" s="2"/>
      <x:c r="AN85" s="2"/>
      <x:c r="AO85" s="2"/>
      <x:c r="AP85" s="2"/>
      <x:c r="AQ85" s="2"/>
      <x:c r="AR85" s="2"/>
      <x:c r="AS85" s="2"/>
      <x:c r="AT85" s="2"/>
      <x:c r="AU85" s="2"/>
      <x:c r="AV85" s="2"/>
      <x:c r="AW85" s="2"/>
      <x:c r="AX85" s="2"/>
      <x:c r="AY85" s="2"/>
      <x:c r="AZ85" s="2"/>
      <x:c r="BA85" s="2"/>
      <x:c r="BB85" s="2"/>
      <x:c r="BC85" s="2"/>
      <x:c r="BD85" s="2"/>
      <x:c r="BE85" s="2"/>
      <x:c r="BF85" s="2"/>
      <x:c r="BG85" s="2"/>
      <x:c r="BH85" s="2"/>
      <x:c r="BI85" s="2"/>
      <x:c r="BJ85" s="2"/>
      <x:c r="BK85" s="2"/>
      <x:c r="BL85" s="2"/>
      <x:c r="BM85" s="2"/>
      <x:c r="BN85" s="2"/>
      <x:c r="BO85" s="2"/>
      <x:c r="BP85" s="2"/>
      <x:c r="BQ85" s="2"/>
      <x:c r="BR85" s="2"/>
      <x:c r="BS85" s="2"/>
      <x:c r="BT85" s="2"/>
      <x:c r="BU85" s="2"/>
      <x:c r="BV85" s="2"/>
      <x:c r="BW85" s="2"/>
      <x:c r="BX85" s="2"/>
      <x:c r="BY85" s="2"/>
      <x:c r="BZ85" s="2"/>
      <x:c r="CA85" s="2"/>
      <x:c r="CB85" s="2"/>
      <x:c r="CC85" s="2"/>
      <x:c r="CD85" s="2"/>
      <x:c r="CE85" s="2"/>
      <x:c r="CF85" s="2"/>
      <x:c r="CG85" s="2"/>
      <x:c r="CH85" s="2"/>
      <x:c r="CI85" s="2"/>
      <x:c r="CJ85" s="2"/>
      <x:c r="CK85" s="2"/>
      <x:c r="CL85" s="2"/>
      <x:c r="CM85" s="2"/>
      <x:c r="CN85" s="2"/>
      <x:c r="CO85" s="2"/>
      <x:c r="CP85" s="2"/>
      <x:c r="CQ85" s="2"/>
      <x:c r="CR85" s="2"/>
      <x:c r="CS85" s="2"/>
      <x:c r="CT85" s="2"/>
      <x:c r="CU85" s="2"/>
      <x:c r="CV85" s="2"/>
      <x:c r="CW85" s="2"/>
      <x:c r="CX85" s="2"/>
      <x:c r="CY85" s="2"/>
    </x:row>
    <x:row r="86" ht="19" customHeight="1">
      <x:c r="A86" s="1"/>
      <x:c r="B86" s="1"/>
      <x:c r="C86" s="2" t="n">
        <x:v>35</x:v>
      </x:c>
      <x:c r="D86" s="30" t="n">
        <x:f>$E$40*INDEX('Assumptions'!$F$65:$F$101,MIN(C86,36)+1)</x:f>
        <x:v>0.36</x:v>
      </x:c>
      <x:c r="E86" s="30" t="n">
        <x:f>(D86-D85)*H85</x:f>
        <x:v>0</x:v>
      </x:c>
      <x:c r="F86" s="30" t="n">
        <x:f>(1-D86-J85)*(H85-H86)+(J86-J85)*H86</x:f>
        <x:v>0</x:v>
      </x:c>
      <x:c r="G86" s="30" t="n">
        <x:f>SUM(E87:E147)</x:f>
        <x:v>0</x:v>
      </x:c>
      <x:c r="H86" s="30" t="n">
        <x:f>IF($E$42=0,1-MIN(C86,$E$43)/$E$43,((1+$E$42)^$E$43-(1+$E$42)^MIN(C86,$E$43))/((1+$E$42)^$E$43-1))</x:f>
        <x:v>0</x:v>
      </x:c>
      <x:c r="I86" s="30" t="n">
        <x:f>MAX(0,1-D86-J86)</x:f>
        <x:v>0</x:v>
      </x:c>
      <x:c r="J86" s="2" t="n">
        <x:f>(1-$E$40)*INDEX('Assumptions'!$I$65:$I$101,MIN(C86,36)+1)</x:f>
        <x:v>0.64</x:v>
      </x:c>
      <x:c r="K86" s="2"/>
      <x:c r="L86" s="2"/>
      <x:c r="M86" s="2"/>
      <x:c r="N86" s="2"/>
      <x:c r="O86" s="2"/>
      <x:c r="P86" s="2"/>
      <x:c r="Q86" s="2"/>
      <x:c r="R86" s="2"/>
      <x:c r="S86" s="2"/>
      <x:c r="T86" s="2"/>
      <x:c r="U86" s="2"/>
      <x:c r="V86" s="2"/>
      <x:c r="W86" s="2"/>
      <x:c r="X86" s="2"/>
      <x:c r="Y86" s="2"/>
      <x:c r="Z86" s="2"/>
      <x:c r="AA86" s="2"/>
      <x:c r="AB86" s="2"/>
      <x:c r="AC86" s="2"/>
      <x:c r="AD86" s="2"/>
      <x:c r="AE86" s="2"/>
      <x:c r="AF86" s="2"/>
      <x:c r="AG86" s="2"/>
      <x:c r="AH86" s="2"/>
      <x:c r="AI86" s="2"/>
      <x:c r="AJ86" s="2"/>
      <x:c r="AK86" s="2"/>
      <x:c r="AL86" s="2"/>
      <x:c r="AM86" s="2"/>
      <x:c r="AN86" s="2"/>
      <x:c r="AO86" s="2"/>
      <x:c r="AP86" s="2"/>
      <x:c r="AQ86" s="2"/>
      <x:c r="AR86" s="2"/>
      <x:c r="AS86" s="2"/>
      <x:c r="AT86" s="2"/>
      <x:c r="AU86" s="2"/>
      <x:c r="AV86" s="2"/>
      <x:c r="AW86" s="2"/>
      <x:c r="AX86" s="2"/>
      <x:c r="AY86" s="2"/>
      <x:c r="AZ86" s="2"/>
      <x:c r="BA86" s="2"/>
      <x:c r="BB86" s="2"/>
      <x:c r="BC86" s="2"/>
      <x:c r="BD86" s="2"/>
      <x:c r="BE86" s="2"/>
      <x:c r="BF86" s="2"/>
      <x:c r="BG86" s="2"/>
      <x:c r="BH86" s="2"/>
      <x:c r="BI86" s="2"/>
      <x:c r="BJ86" s="2"/>
      <x:c r="BK86" s="2"/>
      <x:c r="BL86" s="2"/>
      <x:c r="BM86" s="2"/>
      <x:c r="BN86" s="2"/>
      <x:c r="BO86" s="2"/>
      <x:c r="BP86" s="2"/>
      <x:c r="BQ86" s="2"/>
      <x:c r="BR86" s="2"/>
      <x:c r="BS86" s="2"/>
      <x:c r="BT86" s="2"/>
      <x:c r="BU86" s="2"/>
      <x:c r="BV86" s="2"/>
      <x:c r="BW86" s="2"/>
      <x:c r="BX86" s="2"/>
      <x:c r="BY86" s="2"/>
      <x:c r="BZ86" s="2"/>
      <x:c r="CA86" s="2"/>
      <x:c r="CB86" s="2"/>
      <x:c r="CC86" s="2"/>
      <x:c r="CD86" s="2"/>
      <x:c r="CE86" s="2"/>
      <x:c r="CF86" s="2"/>
      <x:c r="CG86" s="2"/>
      <x:c r="CH86" s="2"/>
      <x:c r="CI86" s="2"/>
      <x:c r="CJ86" s="2"/>
      <x:c r="CK86" s="2"/>
      <x:c r="CL86" s="2"/>
      <x:c r="CM86" s="2"/>
      <x:c r="CN86" s="2"/>
      <x:c r="CO86" s="2"/>
      <x:c r="CP86" s="2"/>
      <x:c r="CQ86" s="2"/>
      <x:c r="CR86" s="2"/>
      <x:c r="CS86" s="2"/>
      <x:c r="CT86" s="2"/>
      <x:c r="CU86" s="2"/>
      <x:c r="CV86" s="2"/>
      <x:c r="CW86" s="2"/>
      <x:c r="CX86" s="2"/>
      <x:c r="CY86" s="2"/>
    </x:row>
    <x:row r="87" ht="19" customHeight="1">
      <x:c r="A87" s="1"/>
      <x:c r="B87" s="1"/>
      <x:c r="C87" s="2" t="n">
        <x:v>36</x:v>
      </x:c>
      <x:c r="D87" s="30" t="n">
        <x:f>$E$40*INDEX('Assumptions'!$F$65:$F$101,MIN(C87,36)+1)</x:f>
        <x:v>0.36</x:v>
      </x:c>
      <x:c r="E87" s="30" t="n">
        <x:f>(D87-D86)*H86</x:f>
        <x:v>0</x:v>
      </x:c>
      <x:c r="F87" s="30" t="n">
        <x:f>(1-D87-J86)*(H86-H87)+(J87-J86)*H87</x:f>
        <x:v>0</x:v>
      </x:c>
      <x:c r="G87" s="30" t="n">
        <x:f>SUM(E88:E147)</x:f>
        <x:v>0</x:v>
      </x:c>
      <x:c r="H87" s="30" t="n">
        <x:f>IF($E$42=0,1-MIN(C87,$E$43)/$E$43,((1+$E$42)^$E$43-(1+$E$42)^MIN(C87,$E$43))/((1+$E$42)^$E$43-1))</x:f>
        <x:v>0</x:v>
      </x:c>
      <x:c r="I87" s="30" t="n">
        <x:f>MAX(0,1-D87-J87)</x:f>
        <x:v>0</x:v>
      </x:c>
      <x:c r="J87" s="2" t="n">
        <x:f>(1-$E$40)*INDEX('Assumptions'!$I$65:$I$101,MIN(C87,36)+1)</x:f>
        <x:v>0.64</x:v>
      </x:c>
      <x:c r="K87" s="2"/>
      <x:c r="L87" s="2"/>
      <x:c r="M87" s="2"/>
      <x:c r="N87" s="2"/>
      <x:c r="O87" s="2"/>
      <x:c r="P87" s="2"/>
      <x:c r="Q87" s="2"/>
      <x:c r="R87" s="2"/>
      <x:c r="S87" s="2"/>
      <x:c r="T87" s="2"/>
      <x:c r="U87" s="2"/>
      <x:c r="V87" s="2"/>
      <x:c r="W87" s="2"/>
      <x:c r="X87" s="2"/>
      <x:c r="Y87" s="2"/>
      <x:c r="Z87" s="2"/>
      <x:c r="AA87" s="2"/>
      <x:c r="AB87" s="2"/>
      <x:c r="AC87" s="2"/>
      <x:c r="AD87" s="2"/>
      <x:c r="AE87" s="2"/>
      <x:c r="AF87" s="2"/>
      <x:c r="AG87" s="2"/>
      <x:c r="AH87" s="2"/>
      <x:c r="AI87" s="2"/>
      <x:c r="AJ87" s="2"/>
      <x:c r="AK87" s="2"/>
      <x:c r="AL87" s="2"/>
      <x:c r="AM87" s="2"/>
      <x:c r="AN87" s="2"/>
      <x:c r="AO87" s="2"/>
      <x:c r="AP87" s="2"/>
      <x:c r="AQ87" s="2"/>
      <x:c r="AR87" s="2"/>
      <x:c r="AS87" s="2"/>
      <x:c r="AT87" s="2"/>
      <x:c r="AU87" s="2"/>
      <x:c r="AV87" s="2"/>
      <x:c r="AW87" s="2"/>
      <x:c r="AX87" s="2"/>
      <x:c r="AY87" s="2"/>
      <x:c r="AZ87" s="2"/>
      <x:c r="BA87" s="2"/>
      <x:c r="BB87" s="2"/>
      <x:c r="BC87" s="2"/>
      <x:c r="BD87" s="2"/>
      <x:c r="BE87" s="2"/>
      <x:c r="BF87" s="2"/>
      <x:c r="BG87" s="2"/>
      <x:c r="BH87" s="2"/>
      <x:c r="BI87" s="2"/>
      <x:c r="BJ87" s="2"/>
      <x:c r="BK87" s="2"/>
      <x:c r="BL87" s="2"/>
      <x:c r="BM87" s="2"/>
      <x:c r="BN87" s="2"/>
      <x:c r="BO87" s="2"/>
      <x:c r="BP87" s="2"/>
      <x:c r="BQ87" s="2"/>
      <x:c r="BR87" s="2"/>
      <x:c r="BS87" s="2"/>
      <x:c r="BT87" s="2"/>
      <x:c r="BU87" s="2"/>
      <x:c r="BV87" s="2"/>
      <x:c r="BW87" s="2"/>
      <x:c r="BX87" s="2"/>
      <x:c r="BY87" s="2"/>
      <x:c r="BZ87" s="2"/>
      <x:c r="CA87" s="2"/>
      <x:c r="CB87" s="2"/>
      <x:c r="CC87" s="2"/>
      <x:c r="CD87" s="2"/>
      <x:c r="CE87" s="2"/>
      <x:c r="CF87" s="2"/>
      <x:c r="CG87" s="2"/>
      <x:c r="CH87" s="2"/>
      <x:c r="CI87" s="2"/>
      <x:c r="CJ87" s="2"/>
      <x:c r="CK87" s="2"/>
      <x:c r="CL87" s="2"/>
      <x:c r="CM87" s="2"/>
      <x:c r="CN87" s="2"/>
      <x:c r="CO87" s="2"/>
      <x:c r="CP87" s="2"/>
      <x:c r="CQ87" s="2"/>
      <x:c r="CR87" s="2"/>
      <x:c r="CS87" s="2"/>
      <x:c r="CT87" s="2"/>
      <x:c r="CU87" s="2"/>
      <x:c r="CV87" s="2"/>
      <x:c r="CW87" s="2"/>
      <x:c r="CX87" s="2"/>
      <x:c r="CY87" s="2"/>
    </x:row>
    <x:row r="88" ht="19" customHeight="1">
      <x:c r="A88" s="1"/>
      <x:c r="B88" s="1"/>
      <x:c r="C88" s="2" t="n">
        <x:v>37</x:v>
      </x:c>
      <x:c r="D88" s="30" t="n">
        <x:f>$E$40*INDEX('Assumptions'!$F$65:$F$101,MIN(C88,36)+1)</x:f>
        <x:v>0.36</x:v>
      </x:c>
      <x:c r="E88" s="30" t="n">
        <x:f>(D88-D87)*H87</x:f>
        <x:v>0</x:v>
      </x:c>
      <x:c r="F88" s="30" t="n">
        <x:f>(1-D88-J87)*(H87-H88)+(J88-J87)*H88</x:f>
        <x:v>0</x:v>
      </x:c>
      <x:c r="G88" s="30" t="n">
        <x:f>SUM(E89:E147)</x:f>
        <x:v>0</x:v>
      </x:c>
      <x:c r="H88" s="30" t="n">
        <x:f>IF($E$42=0,1-MIN(C88,$E$43)/$E$43,((1+$E$42)^$E$43-(1+$E$42)^MIN(C88,$E$43))/((1+$E$42)^$E$43-1))</x:f>
        <x:v>0</x:v>
      </x:c>
      <x:c r="I88" s="30" t="n">
        <x:f>MAX(0,1-D88-J88)</x:f>
        <x:v>0</x:v>
      </x:c>
      <x:c r="J88" s="2" t="n">
        <x:f>(1-$E$40)*INDEX('Assumptions'!$I$65:$I$101,MIN(C88,36)+1)</x:f>
        <x:v>0.64</x:v>
      </x:c>
      <x:c r="K88" s="2"/>
      <x:c r="L88" s="2"/>
      <x:c r="M88" s="2"/>
      <x:c r="N88" s="2"/>
      <x:c r="O88" s="2"/>
      <x:c r="P88" s="2"/>
      <x:c r="Q88" s="2"/>
      <x:c r="R88" s="2"/>
      <x:c r="S88" s="2"/>
      <x:c r="T88" s="2"/>
      <x:c r="U88" s="2"/>
      <x:c r="V88" s="2"/>
      <x:c r="W88" s="2"/>
      <x:c r="X88" s="2"/>
      <x:c r="Y88" s="2"/>
      <x:c r="Z88" s="2"/>
      <x:c r="AA88" s="2"/>
      <x:c r="AB88" s="2"/>
      <x:c r="AC88" s="2"/>
      <x:c r="AD88" s="2"/>
      <x:c r="AE88" s="2"/>
      <x:c r="AF88" s="2"/>
      <x:c r="AG88" s="2"/>
      <x:c r="AH88" s="2"/>
      <x:c r="AI88" s="2"/>
      <x:c r="AJ88" s="2"/>
      <x:c r="AK88" s="2"/>
      <x:c r="AL88" s="2"/>
      <x:c r="AM88" s="2"/>
      <x:c r="AN88" s="2"/>
      <x:c r="AO88" s="2"/>
      <x:c r="AP88" s="2"/>
      <x:c r="AQ88" s="2"/>
      <x:c r="AR88" s="2"/>
      <x:c r="AS88" s="2"/>
      <x:c r="AT88" s="2"/>
      <x:c r="AU88" s="2"/>
      <x:c r="AV88" s="2"/>
      <x:c r="AW88" s="2"/>
      <x:c r="AX88" s="2"/>
      <x:c r="AY88" s="2"/>
      <x:c r="AZ88" s="2"/>
      <x:c r="BA88" s="2"/>
      <x:c r="BB88" s="2"/>
      <x:c r="BC88" s="2"/>
      <x:c r="BD88" s="2"/>
      <x:c r="BE88" s="2"/>
      <x:c r="BF88" s="2"/>
      <x:c r="BG88" s="2"/>
      <x:c r="BH88" s="2"/>
      <x:c r="BI88" s="2"/>
      <x:c r="BJ88" s="2"/>
      <x:c r="BK88" s="2"/>
      <x:c r="BL88" s="2"/>
      <x:c r="BM88" s="2"/>
      <x:c r="BN88" s="2"/>
      <x:c r="BO88" s="2"/>
      <x:c r="BP88" s="2"/>
      <x:c r="BQ88" s="2"/>
      <x:c r="BR88" s="2"/>
      <x:c r="BS88" s="2"/>
      <x:c r="BT88" s="2"/>
      <x:c r="BU88" s="2"/>
      <x:c r="BV88" s="2"/>
      <x:c r="BW88" s="2"/>
      <x:c r="BX88" s="2"/>
      <x:c r="BY88" s="2"/>
      <x:c r="BZ88" s="2"/>
      <x:c r="CA88" s="2"/>
      <x:c r="CB88" s="2"/>
      <x:c r="CC88" s="2"/>
      <x:c r="CD88" s="2"/>
      <x:c r="CE88" s="2"/>
      <x:c r="CF88" s="2"/>
      <x:c r="CG88" s="2"/>
      <x:c r="CH88" s="2"/>
      <x:c r="CI88" s="2"/>
      <x:c r="CJ88" s="2"/>
      <x:c r="CK88" s="2"/>
      <x:c r="CL88" s="2"/>
      <x:c r="CM88" s="2"/>
      <x:c r="CN88" s="2"/>
      <x:c r="CO88" s="2"/>
      <x:c r="CP88" s="2"/>
      <x:c r="CQ88" s="2"/>
      <x:c r="CR88" s="2"/>
      <x:c r="CS88" s="2"/>
      <x:c r="CT88" s="2"/>
      <x:c r="CU88" s="2"/>
      <x:c r="CV88" s="2"/>
      <x:c r="CW88" s="2"/>
      <x:c r="CX88" s="2"/>
      <x:c r="CY88" s="2"/>
    </x:row>
    <x:row r="89" ht="19" customHeight="1">
      <x:c r="A89" s="1"/>
      <x:c r="B89" s="1"/>
      <x:c r="C89" s="2" t="n">
        <x:v>38</x:v>
      </x:c>
      <x:c r="D89" s="30" t="n">
        <x:f>$E$40*INDEX('Assumptions'!$F$65:$F$101,MIN(C89,36)+1)</x:f>
        <x:v>0.36</x:v>
      </x:c>
      <x:c r="E89" s="30" t="n">
        <x:f>(D89-D88)*H88</x:f>
        <x:v>0</x:v>
      </x:c>
      <x:c r="F89" s="30" t="n">
        <x:f>(1-D89-J88)*(H88-H89)+(J89-J88)*H89</x:f>
        <x:v>0</x:v>
      </x:c>
      <x:c r="G89" s="30" t="n">
        <x:f>SUM(E90:E147)</x:f>
        <x:v>0</x:v>
      </x:c>
      <x:c r="H89" s="30" t="n">
        <x:f>IF($E$42=0,1-MIN(C89,$E$43)/$E$43,((1+$E$42)^$E$43-(1+$E$42)^MIN(C89,$E$43))/((1+$E$42)^$E$43-1))</x:f>
        <x:v>0</x:v>
      </x:c>
      <x:c r="I89" s="30" t="n">
        <x:f>MAX(0,1-D89-J89)</x:f>
        <x:v>0</x:v>
      </x:c>
      <x:c r="J89" s="2" t="n">
        <x:f>(1-$E$40)*INDEX('Assumptions'!$I$65:$I$101,MIN(C89,36)+1)</x:f>
        <x:v>0.64</x:v>
      </x:c>
      <x:c r="K89" s="2"/>
      <x:c r="L89" s="2"/>
      <x:c r="M89" s="2"/>
      <x:c r="N89" s="2"/>
      <x:c r="O89" s="2"/>
      <x:c r="P89" s="2"/>
      <x:c r="Q89" s="2"/>
      <x:c r="R89" s="2"/>
      <x:c r="S89" s="2"/>
      <x:c r="T89" s="2"/>
      <x:c r="U89" s="2"/>
      <x:c r="V89" s="2"/>
      <x:c r="W89" s="2"/>
      <x:c r="X89" s="2"/>
      <x:c r="Y89" s="2"/>
      <x:c r="Z89" s="2"/>
      <x:c r="AA89" s="2"/>
      <x:c r="AB89" s="2"/>
      <x:c r="AC89" s="2"/>
      <x:c r="AD89" s="2"/>
      <x:c r="AE89" s="2"/>
      <x:c r="AF89" s="2"/>
      <x:c r="AG89" s="2"/>
      <x:c r="AH89" s="2"/>
      <x:c r="AI89" s="2"/>
      <x:c r="AJ89" s="2"/>
      <x:c r="AK89" s="2"/>
      <x:c r="AL89" s="2"/>
      <x:c r="AM89" s="2"/>
      <x:c r="AN89" s="2"/>
      <x:c r="AO89" s="2"/>
      <x:c r="AP89" s="2"/>
      <x:c r="AQ89" s="2"/>
      <x:c r="AR89" s="2"/>
      <x:c r="AS89" s="2"/>
      <x:c r="AT89" s="2"/>
      <x:c r="AU89" s="2"/>
      <x:c r="AV89" s="2"/>
      <x:c r="AW89" s="2"/>
      <x:c r="AX89" s="2"/>
      <x:c r="AY89" s="2"/>
      <x:c r="AZ89" s="2"/>
      <x:c r="BA89" s="2"/>
      <x:c r="BB89" s="2"/>
      <x:c r="BC89" s="2"/>
      <x:c r="BD89" s="2"/>
      <x:c r="BE89" s="2"/>
      <x:c r="BF89" s="2"/>
      <x:c r="BG89" s="2"/>
      <x:c r="BH89" s="2"/>
      <x:c r="BI89" s="2"/>
      <x:c r="BJ89" s="2"/>
      <x:c r="BK89" s="2"/>
      <x:c r="BL89" s="2"/>
      <x:c r="BM89" s="2"/>
      <x:c r="BN89" s="2"/>
      <x:c r="BO89" s="2"/>
      <x:c r="BP89" s="2"/>
      <x:c r="BQ89" s="2"/>
      <x:c r="BR89" s="2"/>
      <x:c r="BS89" s="2"/>
      <x:c r="BT89" s="2"/>
      <x:c r="BU89" s="2"/>
      <x:c r="BV89" s="2"/>
      <x:c r="BW89" s="2"/>
      <x:c r="BX89" s="2"/>
      <x:c r="BY89" s="2"/>
      <x:c r="BZ89" s="2"/>
      <x:c r="CA89" s="2"/>
      <x:c r="CB89" s="2"/>
      <x:c r="CC89" s="2"/>
      <x:c r="CD89" s="2"/>
      <x:c r="CE89" s="2"/>
      <x:c r="CF89" s="2"/>
      <x:c r="CG89" s="2"/>
      <x:c r="CH89" s="2"/>
      <x:c r="CI89" s="2"/>
      <x:c r="CJ89" s="2"/>
      <x:c r="CK89" s="2"/>
      <x:c r="CL89" s="2"/>
      <x:c r="CM89" s="2"/>
      <x:c r="CN89" s="2"/>
      <x:c r="CO89" s="2"/>
      <x:c r="CP89" s="2"/>
      <x:c r="CQ89" s="2"/>
      <x:c r="CR89" s="2"/>
      <x:c r="CS89" s="2"/>
      <x:c r="CT89" s="2"/>
      <x:c r="CU89" s="2"/>
      <x:c r="CV89" s="2"/>
      <x:c r="CW89" s="2"/>
      <x:c r="CX89" s="2"/>
      <x:c r="CY89" s="2"/>
    </x:row>
    <x:row r="90" ht="19" customHeight="1">
      <x:c r="A90" s="1"/>
      <x:c r="B90" s="1"/>
      <x:c r="C90" s="2" t="n">
        <x:v>39</x:v>
      </x:c>
      <x:c r="D90" s="30" t="n">
        <x:f>$E$40*INDEX('Assumptions'!$F$65:$F$101,MIN(C90,36)+1)</x:f>
        <x:v>0.36</x:v>
      </x:c>
      <x:c r="E90" s="30" t="n">
        <x:f>(D90-D89)*H89</x:f>
        <x:v>0</x:v>
      </x:c>
      <x:c r="F90" s="30" t="n">
        <x:f>(1-D90-J89)*(H89-H90)+(J90-J89)*H90</x:f>
        <x:v>0</x:v>
      </x:c>
      <x:c r="G90" s="30" t="n">
        <x:f>SUM(E91:E147)</x:f>
        <x:v>0</x:v>
      </x:c>
      <x:c r="H90" s="30" t="n">
        <x:f>IF($E$42=0,1-MIN(C90,$E$43)/$E$43,((1+$E$42)^$E$43-(1+$E$42)^MIN(C90,$E$43))/((1+$E$42)^$E$43-1))</x:f>
        <x:v>0</x:v>
      </x:c>
      <x:c r="I90" s="30" t="n">
        <x:f>MAX(0,1-D90-J90)</x:f>
        <x:v>0</x:v>
      </x:c>
      <x:c r="J90" s="2" t="n">
        <x:f>(1-$E$40)*INDEX('Assumptions'!$I$65:$I$101,MIN(C90,36)+1)</x:f>
        <x:v>0.64</x:v>
      </x:c>
      <x:c r="K90" s="2"/>
      <x:c r="L90" s="2"/>
      <x:c r="M90" s="2"/>
      <x:c r="N90" s="2"/>
      <x:c r="O90" s="2"/>
      <x:c r="P90" s="2"/>
      <x:c r="Q90" s="2"/>
      <x:c r="R90" s="2"/>
      <x:c r="S90" s="2"/>
      <x:c r="T90" s="2"/>
      <x:c r="U90" s="2"/>
      <x:c r="V90" s="2"/>
      <x:c r="W90" s="2"/>
      <x:c r="X90" s="2"/>
      <x:c r="Y90" s="2"/>
      <x:c r="Z90" s="2"/>
      <x:c r="AA90" s="2"/>
      <x:c r="AB90" s="2"/>
      <x:c r="AC90" s="2"/>
      <x:c r="AD90" s="2"/>
      <x:c r="AE90" s="2"/>
      <x:c r="AF90" s="2"/>
      <x:c r="AG90" s="2"/>
      <x:c r="AH90" s="2"/>
      <x:c r="AI90" s="2"/>
      <x:c r="AJ90" s="2"/>
      <x:c r="AK90" s="2"/>
      <x:c r="AL90" s="2"/>
      <x:c r="AM90" s="2"/>
      <x:c r="AN90" s="2"/>
      <x:c r="AO90" s="2"/>
      <x:c r="AP90" s="2"/>
      <x:c r="AQ90" s="2"/>
      <x:c r="AR90" s="2"/>
      <x:c r="AS90" s="2"/>
      <x:c r="AT90" s="2"/>
      <x:c r="AU90" s="2"/>
      <x:c r="AV90" s="2"/>
      <x:c r="AW90" s="2"/>
      <x:c r="AX90" s="2"/>
      <x:c r="AY90" s="2"/>
      <x:c r="AZ90" s="2"/>
      <x:c r="BA90" s="2"/>
      <x:c r="BB90" s="2"/>
      <x:c r="BC90" s="2"/>
      <x:c r="BD90" s="2"/>
      <x:c r="BE90" s="2"/>
      <x:c r="BF90" s="2"/>
      <x:c r="BG90" s="2"/>
      <x:c r="BH90" s="2"/>
      <x:c r="BI90" s="2"/>
      <x:c r="BJ90" s="2"/>
      <x:c r="BK90" s="2"/>
      <x:c r="BL90" s="2"/>
      <x:c r="BM90" s="2"/>
      <x:c r="BN90" s="2"/>
      <x:c r="BO90" s="2"/>
      <x:c r="BP90" s="2"/>
      <x:c r="BQ90" s="2"/>
      <x:c r="BR90" s="2"/>
      <x:c r="BS90" s="2"/>
      <x:c r="BT90" s="2"/>
      <x:c r="BU90" s="2"/>
      <x:c r="BV90" s="2"/>
      <x:c r="BW90" s="2"/>
      <x:c r="BX90" s="2"/>
      <x:c r="BY90" s="2"/>
      <x:c r="BZ90" s="2"/>
      <x:c r="CA90" s="2"/>
      <x:c r="CB90" s="2"/>
      <x:c r="CC90" s="2"/>
      <x:c r="CD90" s="2"/>
      <x:c r="CE90" s="2"/>
      <x:c r="CF90" s="2"/>
      <x:c r="CG90" s="2"/>
      <x:c r="CH90" s="2"/>
      <x:c r="CI90" s="2"/>
      <x:c r="CJ90" s="2"/>
      <x:c r="CK90" s="2"/>
      <x:c r="CL90" s="2"/>
      <x:c r="CM90" s="2"/>
      <x:c r="CN90" s="2"/>
      <x:c r="CO90" s="2"/>
      <x:c r="CP90" s="2"/>
      <x:c r="CQ90" s="2"/>
      <x:c r="CR90" s="2"/>
      <x:c r="CS90" s="2"/>
      <x:c r="CT90" s="2"/>
      <x:c r="CU90" s="2"/>
      <x:c r="CV90" s="2"/>
      <x:c r="CW90" s="2"/>
      <x:c r="CX90" s="2"/>
      <x:c r="CY90" s="2"/>
    </x:row>
    <x:row r="91" ht="19" customHeight="1">
      <x:c r="A91" s="1"/>
      <x:c r="B91" s="1"/>
      <x:c r="C91" s="2" t="n">
        <x:v>40</x:v>
      </x:c>
      <x:c r="D91" s="30" t="n">
        <x:f>$E$40*INDEX('Assumptions'!$F$65:$F$101,MIN(C91,36)+1)</x:f>
        <x:v>0.36</x:v>
      </x:c>
      <x:c r="E91" s="30" t="n">
        <x:f>(D91-D90)*H90</x:f>
        <x:v>0</x:v>
      </x:c>
      <x:c r="F91" s="30" t="n">
        <x:f>(1-D91-J90)*(H90-H91)+(J91-J90)*H91</x:f>
        <x:v>0</x:v>
      </x:c>
      <x:c r="G91" s="30" t="n">
        <x:f>SUM(E92:E147)</x:f>
        <x:v>0</x:v>
      </x:c>
      <x:c r="H91" s="30" t="n">
        <x:f>IF($E$42=0,1-MIN(C91,$E$43)/$E$43,((1+$E$42)^$E$43-(1+$E$42)^MIN(C91,$E$43))/((1+$E$42)^$E$43-1))</x:f>
        <x:v>0</x:v>
      </x:c>
      <x:c r="I91" s="30" t="n">
        <x:f>MAX(0,1-D91-J91)</x:f>
        <x:v>0</x:v>
      </x:c>
      <x:c r="J91" s="2" t="n">
        <x:f>(1-$E$40)*INDEX('Assumptions'!$I$65:$I$101,MIN(C91,36)+1)</x:f>
        <x:v>0.64</x:v>
      </x:c>
      <x:c r="K91" s="2"/>
      <x:c r="L91" s="2"/>
      <x:c r="M91" s="2"/>
      <x:c r="N91" s="2"/>
      <x:c r="O91" s="2"/>
      <x:c r="P91" s="2"/>
      <x:c r="Q91" s="2"/>
      <x:c r="R91" s="2"/>
      <x:c r="S91" s="2"/>
      <x:c r="T91" s="2"/>
      <x:c r="U91" s="2"/>
      <x:c r="V91" s="2"/>
      <x:c r="W91" s="2"/>
      <x:c r="X91" s="2"/>
      <x:c r="Y91" s="2"/>
      <x:c r="Z91" s="2"/>
      <x:c r="AA91" s="2"/>
      <x:c r="AB91" s="2"/>
      <x:c r="AC91" s="2"/>
      <x:c r="AD91" s="2"/>
      <x:c r="AE91" s="2"/>
      <x:c r="AF91" s="2"/>
      <x:c r="AG91" s="2"/>
      <x:c r="AH91" s="2"/>
      <x:c r="AI91" s="2"/>
      <x:c r="AJ91" s="2"/>
      <x:c r="AK91" s="2"/>
      <x:c r="AL91" s="2"/>
      <x:c r="AM91" s="2"/>
      <x:c r="AN91" s="2"/>
      <x:c r="AO91" s="2"/>
      <x:c r="AP91" s="2"/>
      <x:c r="AQ91" s="2"/>
      <x:c r="AR91" s="2"/>
      <x:c r="AS91" s="2"/>
      <x:c r="AT91" s="2"/>
      <x:c r="AU91" s="2"/>
      <x:c r="AV91" s="2"/>
      <x:c r="AW91" s="2"/>
      <x:c r="AX91" s="2"/>
      <x:c r="AY91" s="2"/>
      <x:c r="AZ91" s="2"/>
      <x:c r="BA91" s="2"/>
      <x:c r="BB91" s="2"/>
      <x:c r="BC91" s="2"/>
      <x:c r="BD91" s="2"/>
      <x:c r="BE91" s="2"/>
      <x:c r="BF91" s="2"/>
      <x:c r="BG91" s="2"/>
      <x:c r="BH91" s="2"/>
      <x:c r="BI91" s="2"/>
      <x:c r="BJ91" s="2"/>
      <x:c r="BK91" s="2"/>
      <x:c r="BL91" s="2"/>
      <x:c r="BM91" s="2"/>
      <x:c r="BN91" s="2"/>
      <x:c r="BO91" s="2"/>
      <x:c r="BP91" s="2"/>
      <x:c r="BQ91" s="2"/>
      <x:c r="BR91" s="2"/>
      <x:c r="BS91" s="2"/>
      <x:c r="BT91" s="2"/>
      <x:c r="BU91" s="2"/>
      <x:c r="BV91" s="2"/>
      <x:c r="BW91" s="2"/>
      <x:c r="BX91" s="2"/>
      <x:c r="BY91" s="2"/>
      <x:c r="BZ91" s="2"/>
      <x:c r="CA91" s="2"/>
      <x:c r="CB91" s="2"/>
      <x:c r="CC91" s="2"/>
      <x:c r="CD91" s="2"/>
      <x:c r="CE91" s="2"/>
      <x:c r="CF91" s="2"/>
      <x:c r="CG91" s="2"/>
      <x:c r="CH91" s="2"/>
      <x:c r="CI91" s="2"/>
      <x:c r="CJ91" s="2"/>
      <x:c r="CK91" s="2"/>
      <x:c r="CL91" s="2"/>
      <x:c r="CM91" s="2"/>
      <x:c r="CN91" s="2"/>
      <x:c r="CO91" s="2"/>
      <x:c r="CP91" s="2"/>
      <x:c r="CQ91" s="2"/>
      <x:c r="CR91" s="2"/>
      <x:c r="CS91" s="2"/>
      <x:c r="CT91" s="2"/>
      <x:c r="CU91" s="2"/>
      <x:c r="CV91" s="2"/>
      <x:c r="CW91" s="2"/>
      <x:c r="CX91" s="2"/>
      <x:c r="CY91" s="2"/>
    </x:row>
    <x:row r="92" ht="19" customHeight="1">
      <x:c r="A92" s="1"/>
      <x:c r="B92" s="1"/>
      <x:c r="C92" s="2" t="n">
        <x:v>41</x:v>
      </x:c>
      <x:c r="D92" s="30" t="n">
        <x:f>$E$40*INDEX('Assumptions'!$F$65:$F$101,MIN(C92,36)+1)</x:f>
        <x:v>0.36</x:v>
      </x:c>
      <x:c r="E92" s="30" t="n">
        <x:f>(D92-D91)*H91</x:f>
        <x:v>0</x:v>
      </x:c>
      <x:c r="F92" s="30" t="n">
        <x:f>(1-D92-J91)*(H91-H92)+(J92-J91)*H92</x:f>
        <x:v>0</x:v>
      </x:c>
      <x:c r="G92" s="30" t="n">
        <x:f>SUM(E93:E147)</x:f>
        <x:v>0</x:v>
      </x:c>
      <x:c r="H92" s="30" t="n">
        <x:f>IF($E$42=0,1-MIN(C92,$E$43)/$E$43,((1+$E$42)^$E$43-(1+$E$42)^MIN(C92,$E$43))/((1+$E$42)^$E$43-1))</x:f>
        <x:v>0</x:v>
      </x:c>
      <x:c r="I92" s="30" t="n">
        <x:f>MAX(0,1-D92-J92)</x:f>
        <x:v>0</x:v>
      </x:c>
      <x:c r="J92" s="2" t="n">
        <x:f>(1-$E$40)*INDEX('Assumptions'!$I$65:$I$101,MIN(C92,36)+1)</x:f>
        <x:v>0.64</x:v>
      </x:c>
      <x:c r="K92" s="2"/>
      <x:c r="L92" s="2"/>
      <x:c r="M92" s="2"/>
      <x:c r="N92" s="2"/>
      <x:c r="O92" s="2"/>
      <x:c r="P92" s="2"/>
      <x:c r="Q92" s="2"/>
      <x:c r="R92" s="2"/>
      <x:c r="S92" s="2"/>
      <x:c r="T92" s="2"/>
      <x:c r="U92" s="2"/>
      <x:c r="V92" s="2"/>
      <x:c r="W92" s="2"/>
      <x:c r="X92" s="2"/>
      <x:c r="Y92" s="2"/>
      <x:c r="Z92" s="2"/>
      <x:c r="AA92" s="2"/>
      <x:c r="AB92" s="2"/>
      <x:c r="AC92" s="2"/>
      <x:c r="AD92" s="2"/>
      <x:c r="AE92" s="2"/>
      <x:c r="AF92" s="2"/>
      <x:c r="AG92" s="2"/>
      <x:c r="AH92" s="2"/>
      <x:c r="AI92" s="2"/>
      <x:c r="AJ92" s="2"/>
      <x:c r="AK92" s="2"/>
      <x:c r="AL92" s="2"/>
      <x:c r="AM92" s="2"/>
      <x:c r="AN92" s="2"/>
      <x:c r="AO92" s="2"/>
      <x:c r="AP92" s="2"/>
      <x:c r="AQ92" s="2"/>
      <x:c r="AR92" s="2"/>
      <x:c r="AS92" s="2"/>
      <x:c r="AT92" s="2"/>
      <x:c r="AU92" s="2"/>
      <x:c r="AV92" s="2"/>
      <x:c r="AW92" s="2"/>
      <x:c r="AX92" s="2"/>
      <x:c r="AY92" s="2"/>
      <x:c r="AZ92" s="2"/>
      <x:c r="BA92" s="2"/>
      <x:c r="BB92" s="2"/>
      <x:c r="BC92" s="2"/>
      <x:c r="BD92" s="2"/>
      <x:c r="BE92" s="2"/>
      <x:c r="BF92" s="2"/>
      <x:c r="BG92" s="2"/>
      <x:c r="BH92" s="2"/>
      <x:c r="BI92" s="2"/>
      <x:c r="BJ92" s="2"/>
      <x:c r="BK92" s="2"/>
      <x:c r="BL92" s="2"/>
      <x:c r="BM92" s="2"/>
      <x:c r="BN92" s="2"/>
      <x:c r="BO92" s="2"/>
      <x:c r="BP92" s="2"/>
      <x:c r="BQ92" s="2"/>
      <x:c r="BR92" s="2"/>
      <x:c r="BS92" s="2"/>
      <x:c r="BT92" s="2"/>
      <x:c r="BU92" s="2"/>
      <x:c r="BV92" s="2"/>
      <x:c r="BW92" s="2"/>
      <x:c r="BX92" s="2"/>
      <x:c r="BY92" s="2"/>
      <x:c r="BZ92" s="2"/>
      <x:c r="CA92" s="2"/>
      <x:c r="CB92" s="2"/>
      <x:c r="CC92" s="2"/>
      <x:c r="CD92" s="2"/>
      <x:c r="CE92" s="2"/>
      <x:c r="CF92" s="2"/>
      <x:c r="CG92" s="2"/>
      <x:c r="CH92" s="2"/>
      <x:c r="CI92" s="2"/>
      <x:c r="CJ92" s="2"/>
      <x:c r="CK92" s="2"/>
      <x:c r="CL92" s="2"/>
      <x:c r="CM92" s="2"/>
      <x:c r="CN92" s="2"/>
      <x:c r="CO92" s="2"/>
      <x:c r="CP92" s="2"/>
      <x:c r="CQ92" s="2"/>
      <x:c r="CR92" s="2"/>
      <x:c r="CS92" s="2"/>
      <x:c r="CT92" s="2"/>
      <x:c r="CU92" s="2"/>
      <x:c r="CV92" s="2"/>
      <x:c r="CW92" s="2"/>
      <x:c r="CX92" s="2"/>
      <x:c r="CY92" s="2"/>
    </x:row>
    <x:row r="93" ht="19" customHeight="1">
      <x:c r="A93" s="1"/>
      <x:c r="B93" s="1"/>
      <x:c r="C93" s="2" t="n">
        <x:v>42</x:v>
      </x:c>
      <x:c r="D93" s="30" t="n">
        <x:f>$E$40*INDEX('Assumptions'!$F$65:$F$101,MIN(C93,36)+1)</x:f>
        <x:v>0.36</x:v>
      </x:c>
      <x:c r="E93" s="30" t="n">
        <x:f>(D93-D92)*H92</x:f>
        <x:v>0</x:v>
      </x:c>
      <x:c r="F93" s="30" t="n">
        <x:f>(1-D93-J92)*(H92-H93)+(J93-J92)*H93</x:f>
        <x:v>0</x:v>
      </x:c>
      <x:c r="G93" s="30" t="n">
        <x:f>SUM(E94:E147)</x:f>
        <x:v>0</x:v>
      </x:c>
      <x:c r="H93" s="30" t="n">
        <x:f>IF($E$42=0,1-MIN(C93,$E$43)/$E$43,((1+$E$42)^$E$43-(1+$E$42)^MIN(C93,$E$43))/((1+$E$42)^$E$43-1))</x:f>
        <x:v>0</x:v>
      </x:c>
      <x:c r="I93" s="30" t="n">
        <x:f>MAX(0,1-D93-J93)</x:f>
        <x:v>0</x:v>
      </x:c>
      <x:c r="J93" s="2" t="n">
        <x:f>(1-$E$40)*INDEX('Assumptions'!$I$65:$I$101,MIN(C93,36)+1)</x:f>
        <x:v>0.64</x:v>
      </x:c>
      <x:c r="K93" s="2"/>
      <x:c r="L93" s="2"/>
      <x:c r="M93" s="2"/>
      <x:c r="N93" s="2"/>
      <x:c r="O93" s="2"/>
      <x:c r="P93" s="2"/>
      <x:c r="Q93" s="2"/>
      <x:c r="R93" s="2"/>
      <x:c r="S93" s="2"/>
      <x:c r="T93" s="2"/>
      <x:c r="U93" s="2"/>
      <x:c r="V93" s="2"/>
      <x:c r="W93" s="2"/>
      <x:c r="X93" s="2"/>
      <x:c r="Y93" s="2"/>
      <x:c r="Z93" s="2"/>
      <x:c r="AA93" s="2"/>
      <x:c r="AB93" s="2"/>
      <x:c r="AC93" s="2"/>
      <x:c r="AD93" s="2"/>
      <x:c r="AE93" s="2"/>
      <x:c r="AF93" s="2"/>
      <x:c r="AG93" s="2"/>
      <x:c r="AH93" s="2"/>
      <x:c r="AI93" s="2"/>
      <x:c r="AJ93" s="2"/>
      <x:c r="AK93" s="2"/>
      <x:c r="AL93" s="2"/>
      <x:c r="AM93" s="2"/>
      <x:c r="AN93" s="2"/>
      <x:c r="AO93" s="2"/>
      <x:c r="AP93" s="2"/>
      <x:c r="AQ93" s="2"/>
      <x:c r="AR93" s="2"/>
      <x:c r="AS93" s="2"/>
      <x:c r="AT93" s="2"/>
      <x:c r="AU93" s="2"/>
      <x:c r="AV93" s="2"/>
      <x:c r="AW93" s="2"/>
      <x:c r="AX93" s="2"/>
      <x:c r="AY93" s="2"/>
      <x:c r="AZ93" s="2"/>
      <x:c r="BA93" s="2"/>
      <x:c r="BB93" s="2"/>
      <x:c r="BC93" s="2"/>
      <x:c r="BD93" s="2"/>
      <x:c r="BE93" s="2"/>
      <x:c r="BF93" s="2"/>
      <x:c r="BG93" s="2"/>
      <x:c r="BH93" s="2"/>
      <x:c r="BI93" s="2"/>
      <x:c r="BJ93" s="2"/>
      <x:c r="BK93" s="2"/>
      <x:c r="BL93" s="2"/>
      <x:c r="BM93" s="2"/>
      <x:c r="BN93" s="2"/>
      <x:c r="BO93" s="2"/>
      <x:c r="BP93" s="2"/>
      <x:c r="BQ93" s="2"/>
      <x:c r="BR93" s="2"/>
      <x:c r="BS93" s="2"/>
      <x:c r="BT93" s="2"/>
      <x:c r="BU93" s="2"/>
      <x:c r="BV93" s="2"/>
      <x:c r="BW93" s="2"/>
      <x:c r="BX93" s="2"/>
      <x:c r="BY93" s="2"/>
      <x:c r="BZ93" s="2"/>
      <x:c r="CA93" s="2"/>
      <x:c r="CB93" s="2"/>
      <x:c r="CC93" s="2"/>
      <x:c r="CD93" s="2"/>
      <x:c r="CE93" s="2"/>
      <x:c r="CF93" s="2"/>
      <x:c r="CG93" s="2"/>
      <x:c r="CH93" s="2"/>
      <x:c r="CI93" s="2"/>
      <x:c r="CJ93" s="2"/>
      <x:c r="CK93" s="2"/>
      <x:c r="CL93" s="2"/>
      <x:c r="CM93" s="2"/>
      <x:c r="CN93" s="2"/>
      <x:c r="CO93" s="2"/>
      <x:c r="CP93" s="2"/>
      <x:c r="CQ93" s="2"/>
      <x:c r="CR93" s="2"/>
      <x:c r="CS93" s="2"/>
      <x:c r="CT93" s="2"/>
      <x:c r="CU93" s="2"/>
      <x:c r="CV93" s="2"/>
      <x:c r="CW93" s="2"/>
      <x:c r="CX93" s="2"/>
      <x:c r="CY93" s="2"/>
    </x:row>
    <x:row r="94" ht="19" customHeight="1">
      <x:c r="A94" s="1"/>
      <x:c r="B94" s="1"/>
      <x:c r="C94" s="2" t="n">
        <x:v>43</x:v>
      </x:c>
      <x:c r="D94" s="30" t="n">
        <x:f>$E$40*INDEX('Assumptions'!$F$65:$F$101,MIN(C94,36)+1)</x:f>
        <x:v>0.36</x:v>
      </x:c>
      <x:c r="E94" s="30" t="n">
        <x:f>(D94-D93)*H93</x:f>
        <x:v>0</x:v>
      </x:c>
      <x:c r="F94" s="30" t="n">
        <x:f>(1-D94-J93)*(H93-H94)+(J94-J93)*H94</x:f>
        <x:v>0</x:v>
      </x:c>
      <x:c r="G94" s="30" t="n">
        <x:f>SUM(E95:E147)</x:f>
        <x:v>0</x:v>
      </x:c>
      <x:c r="H94" s="30" t="n">
        <x:f>IF($E$42=0,1-MIN(C94,$E$43)/$E$43,((1+$E$42)^$E$43-(1+$E$42)^MIN(C94,$E$43))/((1+$E$42)^$E$43-1))</x:f>
        <x:v>0</x:v>
      </x:c>
      <x:c r="I94" s="30" t="n">
        <x:f>MAX(0,1-D94-J94)</x:f>
        <x:v>0</x:v>
      </x:c>
      <x:c r="J94" s="2" t="n">
        <x:f>(1-$E$40)*INDEX('Assumptions'!$I$65:$I$101,MIN(C94,36)+1)</x:f>
        <x:v>0.64</x:v>
      </x:c>
      <x:c r="K94" s="2"/>
      <x:c r="L94" s="2"/>
      <x:c r="M94" s="2"/>
      <x:c r="N94" s="2"/>
      <x:c r="O94" s="2"/>
      <x:c r="P94" s="2"/>
      <x:c r="Q94" s="2"/>
      <x:c r="R94" s="2"/>
      <x:c r="S94" s="2"/>
      <x:c r="T94" s="2"/>
      <x:c r="U94" s="2"/>
      <x:c r="V94" s="2"/>
      <x:c r="W94" s="2"/>
      <x:c r="X94" s="2"/>
      <x:c r="Y94" s="2"/>
      <x:c r="Z94" s="2"/>
      <x:c r="AA94" s="2"/>
      <x:c r="AB94" s="2"/>
      <x:c r="AC94" s="2"/>
      <x:c r="AD94" s="2"/>
      <x:c r="AE94" s="2"/>
      <x:c r="AF94" s="2"/>
      <x:c r="AG94" s="2"/>
      <x:c r="AH94" s="2"/>
      <x:c r="AI94" s="2"/>
      <x:c r="AJ94" s="2"/>
      <x:c r="AK94" s="2"/>
      <x:c r="AL94" s="2"/>
      <x:c r="AM94" s="2"/>
      <x:c r="AN94" s="2"/>
      <x:c r="AO94" s="2"/>
      <x:c r="AP94" s="2"/>
      <x:c r="AQ94" s="2"/>
      <x:c r="AR94" s="2"/>
      <x:c r="AS94" s="2"/>
      <x:c r="AT94" s="2"/>
      <x:c r="AU94" s="2"/>
      <x:c r="AV94" s="2"/>
      <x:c r="AW94" s="2"/>
      <x:c r="AX94" s="2"/>
      <x:c r="AY94" s="2"/>
      <x:c r="AZ94" s="2"/>
      <x:c r="BA94" s="2"/>
      <x:c r="BB94" s="2"/>
      <x:c r="BC94" s="2"/>
      <x:c r="BD94" s="2"/>
      <x:c r="BE94" s="2"/>
      <x:c r="BF94" s="2"/>
      <x:c r="BG94" s="2"/>
      <x:c r="BH94" s="2"/>
      <x:c r="BI94" s="2"/>
      <x:c r="BJ94" s="2"/>
      <x:c r="BK94" s="2"/>
      <x:c r="BL94" s="2"/>
      <x:c r="BM94" s="2"/>
      <x:c r="BN94" s="2"/>
      <x:c r="BO94" s="2"/>
      <x:c r="BP94" s="2"/>
      <x:c r="BQ94" s="2"/>
      <x:c r="BR94" s="2"/>
      <x:c r="BS94" s="2"/>
      <x:c r="BT94" s="2"/>
      <x:c r="BU94" s="2"/>
      <x:c r="BV94" s="2"/>
      <x:c r="BW94" s="2"/>
      <x:c r="BX94" s="2"/>
      <x:c r="BY94" s="2"/>
      <x:c r="BZ94" s="2"/>
      <x:c r="CA94" s="2"/>
      <x:c r="CB94" s="2"/>
      <x:c r="CC94" s="2"/>
      <x:c r="CD94" s="2"/>
      <x:c r="CE94" s="2"/>
      <x:c r="CF94" s="2"/>
      <x:c r="CG94" s="2"/>
      <x:c r="CH94" s="2"/>
      <x:c r="CI94" s="2"/>
      <x:c r="CJ94" s="2"/>
      <x:c r="CK94" s="2"/>
      <x:c r="CL94" s="2"/>
      <x:c r="CM94" s="2"/>
      <x:c r="CN94" s="2"/>
      <x:c r="CO94" s="2"/>
      <x:c r="CP94" s="2"/>
      <x:c r="CQ94" s="2"/>
      <x:c r="CR94" s="2"/>
      <x:c r="CS94" s="2"/>
      <x:c r="CT94" s="2"/>
      <x:c r="CU94" s="2"/>
      <x:c r="CV94" s="2"/>
      <x:c r="CW94" s="2"/>
      <x:c r="CX94" s="2"/>
      <x:c r="CY94" s="2"/>
    </x:row>
    <x:row r="95" ht="19" customHeight="1">
      <x:c r="A95" s="1"/>
      <x:c r="B95" s="1"/>
      <x:c r="C95" s="2" t="n">
        <x:v>44</x:v>
      </x:c>
      <x:c r="D95" s="30" t="n">
        <x:f>$E$40*INDEX('Assumptions'!$F$65:$F$101,MIN(C95,36)+1)</x:f>
        <x:v>0.36</x:v>
      </x:c>
      <x:c r="E95" s="30" t="n">
        <x:f>(D95-D94)*H94</x:f>
        <x:v>0</x:v>
      </x:c>
      <x:c r="F95" s="30" t="n">
        <x:f>(1-D95-J94)*(H94-H95)+(J95-J94)*H95</x:f>
        <x:v>0</x:v>
      </x:c>
      <x:c r="G95" s="30" t="n">
        <x:f>SUM(E96:E147)</x:f>
        <x:v>0</x:v>
      </x:c>
      <x:c r="H95" s="30" t="n">
        <x:f>IF($E$42=0,1-MIN(C95,$E$43)/$E$43,((1+$E$42)^$E$43-(1+$E$42)^MIN(C95,$E$43))/((1+$E$42)^$E$43-1))</x:f>
        <x:v>0</x:v>
      </x:c>
      <x:c r="I95" s="30" t="n">
        <x:f>MAX(0,1-D95-J95)</x:f>
        <x:v>0</x:v>
      </x:c>
      <x:c r="J95" s="2" t="n">
        <x:f>(1-$E$40)*INDEX('Assumptions'!$I$65:$I$101,MIN(C95,36)+1)</x:f>
        <x:v>0.64</x:v>
      </x:c>
      <x:c r="K95" s="2"/>
      <x:c r="L95" s="2"/>
      <x:c r="M95" s="2"/>
      <x:c r="N95" s="2"/>
      <x:c r="O95" s="2"/>
      <x:c r="P95" s="2"/>
      <x:c r="Q95" s="2"/>
      <x:c r="R95" s="2"/>
      <x:c r="S95" s="2"/>
      <x:c r="T95" s="2"/>
      <x:c r="U95" s="2"/>
      <x:c r="V95" s="2"/>
      <x:c r="W95" s="2"/>
      <x:c r="X95" s="2"/>
      <x:c r="Y95" s="2"/>
      <x:c r="Z95" s="2"/>
      <x:c r="AA95" s="2"/>
      <x:c r="AB95" s="2"/>
      <x:c r="AC95" s="2"/>
      <x:c r="AD95" s="2"/>
      <x:c r="AE95" s="2"/>
      <x:c r="AF95" s="2"/>
      <x:c r="AG95" s="2"/>
      <x:c r="AH95" s="2"/>
      <x:c r="AI95" s="2"/>
      <x:c r="AJ95" s="2"/>
      <x:c r="AK95" s="2"/>
      <x:c r="AL95" s="2"/>
      <x:c r="AM95" s="2"/>
      <x:c r="AN95" s="2"/>
      <x:c r="AO95" s="2"/>
      <x:c r="AP95" s="2"/>
      <x:c r="AQ95" s="2"/>
      <x:c r="AR95" s="2"/>
      <x:c r="AS95" s="2"/>
      <x:c r="AT95" s="2"/>
      <x:c r="AU95" s="2"/>
      <x:c r="AV95" s="2"/>
      <x:c r="AW95" s="2"/>
      <x:c r="AX95" s="2"/>
      <x:c r="AY95" s="2"/>
      <x:c r="AZ95" s="2"/>
      <x:c r="BA95" s="2"/>
      <x:c r="BB95" s="2"/>
      <x:c r="BC95" s="2"/>
      <x:c r="BD95" s="2"/>
      <x:c r="BE95" s="2"/>
      <x:c r="BF95" s="2"/>
      <x:c r="BG95" s="2"/>
      <x:c r="BH95" s="2"/>
      <x:c r="BI95" s="2"/>
      <x:c r="BJ95" s="2"/>
      <x:c r="BK95" s="2"/>
      <x:c r="BL95" s="2"/>
      <x:c r="BM95" s="2"/>
      <x:c r="BN95" s="2"/>
      <x:c r="BO95" s="2"/>
      <x:c r="BP95" s="2"/>
      <x:c r="BQ95" s="2"/>
      <x:c r="BR95" s="2"/>
      <x:c r="BS95" s="2"/>
      <x:c r="BT95" s="2"/>
      <x:c r="BU95" s="2"/>
      <x:c r="BV95" s="2"/>
      <x:c r="BW95" s="2"/>
      <x:c r="BX95" s="2"/>
      <x:c r="BY95" s="2"/>
      <x:c r="BZ95" s="2"/>
      <x:c r="CA95" s="2"/>
      <x:c r="CB95" s="2"/>
      <x:c r="CC95" s="2"/>
      <x:c r="CD95" s="2"/>
      <x:c r="CE95" s="2"/>
      <x:c r="CF95" s="2"/>
      <x:c r="CG95" s="2"/>
      <x:c r="CH95" s="2"/>
      <x:c r="CI95" s="2"/>
      <x:c r="CJ95" s="2"/>
      <x:c r="CK95" s="2"/>
      <x:c r="CL95" s="2"/>
      <x:c r="CM95" s="2"/>
      <x:c r="CN95" s="2"/>
      <x:c r="CO95" s="2"/>
      <x:c r="CP95" s="2"/>
      <x:c r="CQ95" s="2"/>
      <x:c r="CR95" s="2"/>
      <x:c r="CS95" s="2"/>
      <x:c r="CT95" s="2"/>
      <x:c r="CU95" s="2"/>
      <x:c r="CV95" s="2"/>
      <x:c r="CW95" s="2"/>
      <x:c r="CX95" s="2"/>
      <x:c r="CY95" s="2"/>
    </x:row>
    <x:row r="96" ht="19" customHeight="1">
      <x:c r="A96" s="1"/>
      <x:c r="B96" s="1"/>
      <x:c r="C96" s="2" t="n">
        <x:v>45</x:v>
      </x:c>
      <x:c r="D96" s="30" t="n">
        <x:f>$E$40*INDEX('Assumptions'!$F$65:$F$101,MIN(C96,36)+1)</x:f>
        <x:v>0.36</x:v>
      </x:c>
      <x:c r="E96" s="30" t="n">
        <x:f>(D96-D95)*H95</x:f>
        <x:v>0</x:v>
      </x:c>
      <x:c r="F96" s="30" t="n">
        <x:f>(1-D96-J95)*(H95-H96)+(J96-J95)*H96</x:f>
        <x:v>0</x:v>
      </x:c>
      <x:c r="G96" s="30" t="n">
        <x:f>SUM(E97:E147)</x:f>
        <x:v>0</x:v>
      </x:c>
      <x:c r="H96" s="30" t="n">
        <x:f>IF($E$42=0,1-MIN(C96,$E$43)/$E$43,((1+$E$42)^$E$43-(1+$E$42)^MIN(C96,$E$43))/((1+$E$42)^$E$43-1))</x:f>
        <x:v>0</x:v>
      </x:c>
      <x:c r="I96" s="30" t="n">
        <x:f>MAX(0,1-D96-J96)</x:f>
        <x:v>0</x:v>
      </x:c>
      <x:c r="J96" s="2" t="n">
        <x:f>(1-$E$40)*INDEX('Assumptions'!$I$65:$I$101,MIN(C96,36)+1)</x:f>
        <x:v>0.64</x:v>
      </x:c>
      <x:c r="K96" s="2"/>
      <x:c r="L96" s="2"/>
      <x:c r="M96" s="2"/>
      <x:c r="N96" s="2"/>
      <x:c r="O96" s="2"/>
      <x:c r="P96" s="2"/>
      <x:c r="Q96" s="2"/>
      <x:c r="R96" s="2"/>
      <x:c r="S96" s="2"/>
      <x:c r="T96" s="2"/>
      <x:c r="U96" s="2"/>
      <x:c r="V96" s="2"/>
      <x:c r="W96" s="2"/>
      <x:c r="X96" s="2"/>
      <x:c r="Y96" s="2"/>
      <x:c r="Z96" s="2"/>
      <x:c r="AA96" s="2"/>
      <x:c r="AB96" s="2"/>
      <x:c r="AC96" s="2"/>
      <x:c r="AD96" s="2"/>
      <x:c r="AE96" s="2"/>
      <x:c r="AF96" s="2"/>
      <x:c r="AG96" s="2"/>
      <x:c r="AH96" s="2"/>
      <x:c r="AI96" s="2"/>
      <x:c r="AJ96" s="2"/>
      <x:c r="AK96" s="2"/>
      <x:c r="AL96" s="2"/>
      <x:c r="AM96" s="2"/>
      <x:c r="AN96" s="2"/>
      <x:c r="AO96" s="2"/>
      <x:c r="AP96" s="2"/>
      <x:c r="AQ96" s="2"/>
      <x:c r="AR96" s="2"/>
      <x:c r="AS96" s="2"/>
      <x:c r="AT96" s="2"/>
      <x:c r="AU96" s="2"/>
      <x:c r="AV96" s="2"/>
      <x:c r="AW96" s="2"/>
      <x:c r="AX96" s="2"/>
      <x:c r="AY96" s="2"/>
      <x:c r="AZ96" s="2"/>
      <x:c r="BA96" s="2"/>
      <x:c r="BB96" s="2"/>
      <x:c r="BC96" s="2"/>
      <x:c r="BD96" s="2"/>
      <x:c r="BE96" s="2"/>
      <x:c r="BF96" s="2"/>
      <x:c r="BG96" s="2"/>
      <x:c r="BH96" s="2"/>
      <x:c r="BI96" s="2"/>
      <x:c r="BJ96" s="2"/>
      <x:c r="BK96" s="2"/>
      <x:c r="BL96" s="2"/>
      <x:c r="BM96" s="2"/>
      <x:c r="BN96" s="2"/>
      <x:c r="BO96" s="2"/>
      <x:c r="BP96" s="2"/>
      <x:c r="BQ96" s="2"/>
      <x:c r="BR96" s="2"/>
      <x:c r="BS96" s="2"/>
      <x:c r="BT96" s="2"/>
      <x:c r="BU96" s="2"/>
      <x:c r="BV96" s="2"/>
      <x:c r="BW96" s="2"/>
      <x:c r="BX96" s="2"/>
      <x:c r="BY96" s="2"/>
      <x:c r="BZ96" s="2"/>
      <x:c r="CA96" s="2"/>
      <x:c r="CB96" s="2"/>
      <x:c r="CC96" s="2"/>
      <x:c r="CD96" s="2"/>
      <x:c r="CE96" s="2"/>
      <x:c r="CF96" s="2"/>
      <x:c r="CG96" s="2"/>
      <x:c r="CH96" s="2"/>
      <x:c r="CI96" s="2"/>
      <x:c r="CJ96" s="2"/>
      <x:c r="CK96" s="2"/>
      <x:c r="CL96" s="2"/>
      <x:c r="CM96" s="2"/>
      <x:c r="CN96" s="2"/>
      <x:c r="CO96" s="2"/>
      <x:c r="CP96" s="2"/>
      <x:c r="CQ96" s="2"/>
      <x:c r="CR96" s="2"/>
      <x:c r="CS96" s="2"/>
      <x:c r="CT96" s="2"/>
      <x:c r="CU96" s="2"/>
      <x:c r="CV96" s="2"/>
      <x:c r="CW96" s="2"/>
      <x:c r="CX96" s="2"/>
      <x:c r="CY96" s="2"/>
    </x:row>
    <x:row r="97" ht="19" customHeight="1">
      <x:c r="A97" s="1"/>
      <x:c r="B97" s="1"/>
      <x:c r="C97" s="2" t="n">
        <x:v>46</x:v>
      </x:c>
      <x:c r="D97" s="30" t="n">
        <x:f>$E$40*INDEX('Assumptions'!$F$65:$F$101,MIN(C97,36)+1)</x:f>
        <x:v>0.36</x:v>
      </x:c>
      <x:c r="E97" s="30" t="n">
        <x:f>(D97-D96)*H96</x:f>
        <x:v>0</x:v>
      </x:c>
      <x:c r="F97" s="30" t="n">
        <x:f>(1-D97-J96)*(H96-H97)+(J97-J96)*H97</x:f>
        <x:v>0</x:v>
      </x:c>
      <x:c r="G97" s="30" t="n">
        <x:f>SUM(E98:E147)</x:f>
        <x:v>0</x:v>
      </x:c>
      <x:c r="H97" s="30" t="n">
        <x:f>IF($E$42=0,1-MIN(C97,$E$43)/$E$43,((1+$E$42)^$E$43-(1+$E$42)^MIN(C97,$E$43))/((1+$E$42)^$E$43-1))</x:f>
        <x:v>0</x:v>
      </x:c>
      <x:c r="I97" s="30" t="n">
        <x:f>MAX(0,1-D97-J97)</x:f>
        <x:v>0</x:v>
      </x:c>
      <x:c r="J97" s="2" t="n">
        <x:f>(1-$E$40)*INDEX('Assumptions'!$I$65:$I$101,MIN(C97,36)+1)</x:f>
        <x:v>0.64</x:v>
      </x:c>
      <x:c r="K97" s="2"/>
      <x:c r="L97" s="2"/>
      <x:c r="M97" s="2"/>
      <x:c r="N97" s="2"/>
      <x:c r="O97" s="2"/>
      <x:c r="P97" s="2"/>
      <x:c r="Q97" s="2"/>
      <x:c r="R97" s="2"/>
      <x:c r="S97" s="2"/>
      <x:c r="T97" s="2"/>
      <x:c r="U97" s="2"/>
      <x:c r="V97" s="2"/>
      <x:c r="W97" s="2"/>
      <x:c r="X97" s="2"/>
      <x:c r="Y97" s="2"/>
      <x:c r="Z97" s="2"/>
      <x:c r="AA97" s="2"/>
      <x:c r="AB97" s="2"/>
      <x:c r="AC97" s="2"/>
      <x:c r="AD97" s="2"/>
      <x:c r="AE97" s="2"/>
      <x:c r="AF97" s="2"/>
      <x:c r="AG97" s="2"/>
      <x:c r="AH97" s="2"/>
      <x:c r="AI97" s="2"/>
      <x:c r="AJ97" s="2"/>
      <x:c r="AK97" s="2"/>
      <x:c r="AL97" s="2"/>
      <x:c r="AM97" s="2"/>
      <x:c r="AN97" s="2"/>
      <x:c r="AO97" s="2"/>
      <x:c r="AP97" s="2"/>
      <x:c r="AQ97" s="2"/>
      <x:c r="AR97" s="2"/>
      <x:c r="AS97" s="2"/>
      <x:c r="AT97" s="2"/>
      <x:c r="AU97" s="2"/>
      <x:c r="AV97" s="2"/>
      <x:c r="AW97" s="2"/>
      <x:c r="AX97" s="2"/>
      <x:c r="AY97" s="2"/>
      <x:c r="AZ97" s="2"/>
      <x:c r="BA97" s="2"/>
      <x:c r="BB97" s="2"/>
      <x:c r="BC97" s="2"/>
      <x:c r="BD97" s="2"/>
      <x:c r="BE97" s="2"/>
      <x:c r="BF97" s="2"/>
      <x:c r="BG97" s="2"/>
      <x:c r="BH97" s="2"/>
      <x:c r="BI97" s="2"/>
      <x:c r="BJ97" s="2"/>
      <x:c r="BK97" s="2"/>
      <x:c r="BL97" s="2"/>
      <x:c r="BM97" s="2"/>
      <x:c r="BN97" s="2"/>
      <x:c r="BO97" s="2"/>
      <x:c r="BP97" s="2"/>
      <x:c r="BQ97" s="2"/>
      <x:c r="BR97" s="2"/>
      <x:c r="BS97" s="2"/>
      <x:c r="BT97" s="2"/>
      <x:c r="BU97" s="2"/>
      <x:c r="BV97" s="2"/>
      <x:c r="BW97" s="2"/>
      <x:c r="BX97" s="2"/>
      <x:c r="BY97" s="2"/>
      <x:c r="BZ97" s="2"/>
      <x:c r="CA97" s="2"/>
      <x:c r="CB97" s="2"/>
      <x:c r="CC97" s="2"/>
      <x:c r="CD97" s="2"/>
      <x:c r="CE97" s="2"/>
      <x:c r="CF97" s="2"/>
      <x:c r="CG97" s="2"/>
      <x:c r="CH97" s="2"/>
      <x:c r="CI97" s="2"/>
      <x:c r="CJ97" s="2"/>
      <x:c r="CK97" s="2"/>
      <x:c r="CL97" s="2"/>
      <x:c r="CM97" s="2"/>
      <x:c r="CN97" s="2"/>
      <x:c r="CO97" s="2"/>
      <x:c r="CP97" s="2"/>
      <x:c r="CQ97" s="2"/>
      <x:c r="CR97" s="2"/>
      <x:c r="CS97" s="2"/>
      <x:c r="CT97" s="2"/>
      <x:c r="CU97" s="2"/>
      <x:c r="CV97" s="2"/>
      <x:c r="CW97" s="2"/>
      <x:c r="CX97" s="2"/>
      <x:c r="CY97" s="2"/>
    </x:row>
    <x:row r="98" ht="19" customHeight="1">
      <x:c r="A98" s="1"/>
      <x:c r="B98" s="1"/>
      <x:c r="C98" s="2" t="n">
        <x:v>47</x:v>
      </x:c>
      <x:c r="D98" s="30" t="n">
        <x:f>$E$40*INDEX('Assumptions'!$F$65:$F$101,MIN(C98,36)+1)</x:f>
        <x:v>0.36</x:v>
      </x:c>
      <x:c r="E98" s="30" t="n">
        <x:f>(D98-D97)*H97</x:f>
        <x:v>0</x:v>
      </x:c>
      <x:c r="F98" s="30" t="n">
        <x:f>(1-D98-J97)*(H97-H98)+(J98-J97)*H98</x:f>
        <x:v>0</x:v>
      </x:c>
      <x:c r="G98" s="30" t="n">
        <x:f>SUM(E99:E147)</x:f>
        <x:v>0</x:v>
      </x:c>
      <x:c r="H98" s="30" t="n">
        <x:f>IF($E$42=0,1-MIN(C98,$E$43)/$E$43,((1+$E$42)^$E$43-(1+$E$42)^MIN(C98,$E$43))/((1+$E$42)^$E$43-1))</x:f>
        <x:v>0</x:v>
      </x:c>
      <x:c r="I98" s="30" t="n">
        <x:f>MAX(0,1-D98-J98)</x:f>
        <x:v>0</x:v>
      </x:c>
      <x:c r="J98" s="2" t="n">
        <x:f>(1-$E$40)*INDEX('Assumptions'!$I$65:$I$101,MIN(C98,36)+1)</x:f>
        <x:v>0.64</x:v>
      </x:c>
      <x:c r="K98" s="2"/>
      <x:c r="L98" s="2"/>
      <x:c r="M98" s="2"/>
      <x:c r="N98" s="2"/>
      <x:c r="O98" s="2"/>
      <x:c r="P98" s="2"/>
      <x:c r="Q98" s="2"/>
      <x:c r="R98" s="2"/>
      <x:c r="S98" s="2"/>
      <x:c r="T98" s="2"/>
      <x:c r="U98" s="2"/>
      <x:c r="V98" s="2"/>
      <x:c r="W98" s="2"/>
      <x:c r="X98" s="2"/>
      <x:c r="Y98" s="2"/>
      <x:c r="Z98" s="2"/>
      <x:c r="AA98" s="2"/>
      <x:c r="AB98" s="2"/>
      <x:c r="AC98" s="2"/>
      <x:c r="AD98" s="2"/>
      <x:c r="AE98" s="2"/>
      <x:c r="AF98" s="2"/>
      <x:c r="AG98" s="2"/>
      <x:c r="AH98" s="2"/>
      <x:c r="AI98" s="2"/>
      <x:c r="AJ98" s="2"/>
      <x:c r="AK98" s="2"/>
      <x:c r="AL98" s="2"/>
      <x:c r="AM98" s="2"/>
      <x:c r="AN98" s="2"/>
      <x:c r="AO98" s="2"/>
      <x:c r="AP98" s="2"/>
      <x:c r="AQ98" s="2"/>
      <x:c r="AR98" s="2"/>
      <x:c r="AS98" s="2"/>
      <x:c r="AT98" s="2"/>
      <x:c r="AU98" s="2"/>
      <x:c r="AV98" s="2"/>
      <x:c r="AW98" s="2"/>
      <x:c r="AX98" s="2"/>
      <x:c r="AY98" s="2"/>
      <x:c r="AZ98" s="2"/>
      <x:c r="BA98" s="2"/>
      <x:c r="BB98" s="2"/>
      <x:c r="BC98" s="2"/>
      <x:c r="BD98" s="2"/>
      <x:c r="BE98" s="2"/>
      <x:c r="BF98" s="2"/>
      <x:c r="BG98" s="2"/>
      <x:c r="BH98" s="2"/>
      <x:c r="BI98" s="2"/>
      <x:c r="BJ98" s="2"/>
      <x:c r="BK98" s="2"/>
      <x:c r="BL98" s="2"/>
      <x:c r="BM98" s="2"/>
      <x:c r="BN98" s="2"/>
      <x:c r="BO98" s="2"/>
      <x:c r="BP98" s="2"/>
      <x:c r="BQ98" s="2"/>
      <x:c r="BR98" s="2"/>
      <x:c r="BS98" s="2"/>
      <x:c r="BT98" s="2"/>
      <x:c r="BU98" s="2"/>
      <x:c r="BV98" s="2"/>
      <x:c r="BW98" s="2"/>
      <x:c r="BX98" s="2"/>
      <x:c r="BY98" s="2"/>
      <x:c r="BZ98" s="2"/>
      <x:c r="CA98" s="2"/>
      <x:c r="CB98" s="2"/>
      <x:c r="CC98" s="2"/>
      <x:c r="CD98" s="2"/>
      <x:c r="CE98" s="2"/>
      <x:c r="CF98" s="2"/>
      <x:c r="CG98" s="2"/>
      <x:c r="CH98" s="2"/>
      <x:c r="CI98" s="2"/>
      <x:c r="CJ98" s="2"/>
      <x:c r="CK98" s="2"/>
      <x:c r="CL98" s="2"/>
      <x:c r="CM98" s="2"/>
      <x:c r="CN98" s="2"/>
      <x:c r="CO98" s="2"/>
      <x:c r="CP98" s="2"/>
      <x:c r="CQ98" s="2"/>
      <x:c r="CR98" s="2"/>
      <x:c r="CS98" s="2"/>
      <x:c r="CT98" s="2"/>
      <x:c r="CU98" s="2"/>
      <x:c r="CV98" s="2"/>
      <x:c r="CW98" s="2"/>
      <x:c r="CX98" s="2"/>
      <x:c r="CY98" s="2"/>
    </x:row>
    <x:row r="99" ht="19" customHeight="1">
      <x:c r="A99" s="1"/>
      <x:c r="B99" s="1"/>
      <x:c r="C99" s="2" t="n">
        <x:v>48</x:v>
      </x:c>
      <x:c r="D99" s="30" t="n">
        <x:f>$E$40*INDEX('Assumptions'!$F$65:$F$101,MIN(C99,36)+1)</x:f>
        <x:v>0.36</x:v>
      </x:c>
      <x:c r="E99" s="30" t="n">
        <x:f>(D99-D98)*H98</x:f>
        <x:v>0</x:v>
      </x:c>
      <x:c r="F99" s="30" t="n">
        <x:f>(1-D99-J98)*(H98-H99)+(J99-J98)*H99</x:f>
        <x:v>0</x:v>
      </x:c>
      <x:c r="G99" s="30" t="n">
        <x:f>SUM(E100:E147)</x:f>
        <x:v>0</x:v>
      </x:c>
      <x:c r="H99" s="30" t="n">
        <x:f>IF($E$42=0,1-MIN(C99,$E$43)/$E$43,((1+$E$42)^$E$43-(1+$E$42)^MIN(C99,$E$43))/((1+$E$42)^$E$43-1))</x:f>
        <x:v>0</x:v>
      </x:c>
      <x:c r="I99" s="30" t="n">
        <x:f>MAX(0,1-D99-J99)</x:f>
        <x:v>0</x:v>
      </x:c>
      <x:c r="J99" s="2" t="n">
        <x:f>(1-$E$40)*INDEX('Assumptions'!$I$65:$I$101,MIN(C99,36)+1)</x:f>
        <x:v>0.64</x:v>
      </x:c>
      <x:c r="K99" s="2"/>
      <x:c r="L99" s="2"/>
      <x:c r="M99" s="2"/>
      <x:c r="N99" s="2"/>
      <x:c r="O99" s="2"/>
      <x:c r="P99" s="2"/>
      <x:c r="Q99" s="2"/>
      <x:c r="R99" s="2"/>
      <x:c r="S99" s="2"/>
      <x:c r="T99" s="2"/>
      <x:c r="U99" s="2"/>
      <x:c r="V99" s="2"/>
      <x:c r="W99" s="2"/>
      <x:c r="X99" s="2"/>
      <x:c r="Y99" s="2"/>
      <x:c r="Z99" s="2"/>
      <x:c r="AA99" s="2"/>
      <x:c r="AB99" s="2"/>
      <x:c r="AC99" s="2"/>
      <x:c r="AD99" s="2"/>
      <x:c r="AE99" s="2"/>
      <x:c r="AF99" s="2"/>
      <x:c r="AG99" s="2"/>
      <x:c r="AH99" s="2"/>
      <x:c r="AI99" s="2"/>
      <x:c r="AJ99" s="2"/>
      <x:c r="AK99" s="2"/>
      <x:c r="AL99" s="2"/>
      <x:c r="AM99" s="2"/>
      <x:c r="AN99" s="2"/>
      <x:c r="AO99" s="2"/>
      <x:c r="AP99" s="2"/>
      <x:c r="AQ99" s="2"/>
      <x:c r="AR99" s="2"/>
      <x:c r="AS99" s="2"/>
      <x:c r="AT99" s="2"/>
      <x:c r="AU99" s="2"/>
      <x:c r="AV99" s="2"/>
      <x:c r="AW99" s="2"/>
      <x:c r="AX99" s="2"/>
      <x:c r="AY99" s="2"/>
      <x:c r="AZ99" s="2"/>
      <x:c r="BA99" s="2"/>
      <x:c r="BB99" s="2"/>
      <x:c r="BC99" s="2"/>
      <x:c r="BD99" s="2"/>
      <x:c r="BE99" s="2"/>
      <x:c r="BF99" s="2"/>
      <x:c r="BG99" s="2"/>
      <x:c r="BH99" s="2"/>
      <x:c r="BI99" s="2"/>
      <x:c r="BJ99" s="2"/>
      <x:c r="BK99" s="2"/>
      <x:c r="BL99" s="2"/>
      <x:c r="BM99" s="2"/>
      <x:c r="BN99" s="2"/>
      <x:c r="BO99" s="2"/>
      <x:c r="BP99" s="2"/>
      <x:c r="BQ99" s="2"/>
      <x:c r="BR99" s="2"/>
      <x:c r="BS99" s="2"/>
      <x:c r="BT99" s="2"/>
      <x:c r="BU99" s="2"/>
      <x:c r="BV99" s="2"/>
      <x:c r="BW99" s="2"/>
      <x:c r="BX99" s="2"/>
      <x:c r="BY99" s="2"/>
      <x:c r="BZ99" s="2"/>
      <x:c r="CA99" s="2"/>
      <x:c r="CB99" s="2"/>
      <x:c r="CC99" s="2"/>
      <x:c r="CD99" s="2"/>
      <x:c r="CE99" s="2"/>
      <x:c r="CF99" s="2"/>
      <x:c r="CG99" s="2"/>
      <x:c r="CH99" s="2"/>
      <x:c r="CI99" s="2"/>
      <x:c r="CJ99" s="2"/>
      <x:c r="CK99" s="2"/>
      <x:c r="CL99" s="2"/>
      <x:c r="CM99" s="2"/>
      <x:c r="CN99" s="2"/>
      <x:c r="CO99" s="2"/>
      <x:c r="CP99" s="2"/>
      <x:c r="CQ99" s="2"/>
      <x:c r="CR99" s="2"/>
      <x:c r="CS99" s="2"/>
      <x:c r="CT99" s="2"/>
      <x:c r="CU99" s="2"/>
      <x:c r="CV99" s="2"/>
      <x:c r="CW99" s="2"/>
      <x:c r="CX99" s="2"/>
      <x:c r="CY99" s="2"/>
    </x:row>
    <x:row r="100" ht="19" customHeight="1">
      <x:c r="A100" s="1"/>
      <x:c r="B100" s="1"/>
      <x:c r="C100" s="2" t="n">
        <x:v>49</x:v>
      </x:c>
      <x:c r="D100" s="30" t="n">
        <x:f>$E$40*INDEX('Assumptions'!$F$65:$F$101,MIN(C100,36)+1)</x:f>
        <x:v>0.36</x:v>
      </x:c>
      <x:c r="E100" s="30" t="n">
        <x:f>(D100-D99)*H99</x:f>
        <x:v>0</x:v>
      </x:c>
      <x:c r="F100" s="30" t="n">
        <x:f>(1-D100-J99)*(H99-H100)+(J100-J99)*H100</x:f>
        <x:v>0</x:v>
      </x:c>
      <x:c r="G100" s="30" t="n">
        <x:f>SUM(E101:E147)</x:f>
        <x:v>0</x:v>
      </x:c>
      <x:c r="H100" s="30" t="n">
        <x:f>IF($E$42=0,1-MIN(C100,$E$43)/$E$43,((1+$E$42)^$E$43-(1+$E$42)^MIN(C100,$E$43))/((1+$E$42)^$E$43-1))</x:f>
        <x:v>0</x:v>
      </x:c>
      <x:c r="I100" s="30" t="n">
        <x:f>MAX(0,1-D100-J100)</x:f>
        <x:v>0</x:v>
      </x:c>
      <x:c r="J100" s="2" t="n">
        <x:f>(1-$E$40)*INDEX('Assumptions'!$I$65:$I$101,MIN(C100,36)+1)</x:f>
        <x:v>0.64</x:v>
      </x:c>
      <x:c r="K100" s="2"/>
      <x:c r="L100" s="2"/>
      <x:c r="M100" s="2"/>
      <x:c r="N100" s="2"/>
      <x:c r="O100" s="2"/>
      <x:c r="P100" s="2"/>
      <x:c r="Q100" s="2"/>
      <x:c r="R100" s="2"/>
      <x:c r="S100" s="2"/>
      <x:c r="T100" s="2"/>
      <x:c r="U100" s="2"/>
      <x:c r="V100" s="2"/>
      <x:c r="W100" s="2"/>
      <x:c r="X100" s="2"/>
      <x:c r="Y100" s="2"/>
      <x:c r="Z100" s="2"/>
      <x:c r="AA100" s="2"/>
      <x:c r="AB100" s="2"/>
      <x:c r="AC100" s="2"/>
      <x:c r="AD100" s="2"/>
      <x:c r="AE100" s="2"/>
      <x:c r="AF100" s="2"/>
      <x:c r="AG100" s="2"/>
      <x:c r="AH100" s="2"/>
      <x:c r="AI100" s="2"/>
      <x:c r="AJ100" s="2"/>
      <x:c r="AK100" s="2"/>
      <x:c r="AL100" s="2"/>
      <x:c r="AM100" s="2"/>
      <x:c r="AN100" s="2"/>
      <x:c r="AO100" s="2"/>
      <x:c r="AP100" s="2"/>
      <x:c r="AQ100" s="2"/>
      <x:c r="AR100" s="2"/>
      <x:c r="AS100" s="2"/>
      <x:c r="AT100" s="2"/>
      <x:c r="AU100" s="2"/>
      <x:c r="AV100" s="2"/>
      <x:c r="AW100" s="2"/>
      <x:c r="AX100" s="2"/>
      <x:c r="AY100" s="2"/>
      <x:c r="AZ100" s="2"/>
      <x:c r="BA100" s="2"/>
      <x:c r="BB100" s="2"/>
      <x:c r="BC100" s="2"/>
      <x:c r="BD100" s="2"/>
      <x:c r="BE100" s="2"/>
      <x:c r="BF100" s="2"/>
      <x:c r="BG100" s="2"/>
      <x:c r="BH100" s="2"/>
      <x:c r="BI100" s="2"/>
      <x:c r="BJ100" s="2"/>
      <x:c r="BK100" s="2"/>
      <x:c r="BL100" s="2"/>
      <x:c r="BM100" s="2"/>
      <x:c r="BN100" s="2"/>
      <x:c r="BO100" s="2"/>
      <x:c r="BP100" s="2"/>
      <x:c r="BQ100" s="2"/>
      <x:c r="BR100" s="2"/>
      <x:c r="BS100" s="2"/>
      <x:c r="BT100" s="2"/>
      <x:c r="BU100" s="2"/>
      <x:c r="BV100" s="2"/>
      <x:c r="BW100" s="2"/>
      <x:c r="BX100" s="2"/>
      <x:c r="BY100" s="2"/>
      <x:c r="BZ100" s="2"/>
      <x:c r="CA100" s="2"/>
      <x:c r="CB100" s="2"/>
      <x:c r="CC100" s="2"/>
      <x:c r="CD100" s="2"/>
      <x:c r="CE100" s="2"/>
      <x:c r="CF100" s="2"/>
      <x:c r="CG100" s="2"/>
      <x:c r="CH100" s="2"/>
      <x:c r="CI100" s="2"/>
      <x:c r="CJ100" s="2"/>
      <x:c r="CK100" s="2"/>
      <x:c r="CL100" s="2"/>
      <x:c r="CM100" s="2"/>
      <x:c r="CN100" s="2"/>
      <x:c r="CO100" s="2"/>
      <x:c r="CP100" s="2"/>
      <x:c r="CQ100" s="2"/>
      <x:c r="CR100" s="2"/>
      <x:c r="CS100" s="2"/>
      <x:c r="CT100" s="2"/>
      <x:c r="CU100" s="2"/>
      <x:c r="CV100" s="2"/>
      <x:c r="CW100" s="2"/>
      <x:c r="CX100" s="2"/>
      <x:c r="CY100" s="2"/>
    </x:row>
    <x:row r="101" ht="19" customHeight="1">
      <x:c r="A101" s="1"/>
      <x:c r="B101" s="1"/>
      <x:c r="C101" s="2" t="n">
        <x:v>50</x:v>
      </x:c>
      <x:c r="D101" s="30" t="n">
        <x:f>$E$40*INDEX('Assumptions'!$F$65:$F$101,MIN(C101,36)+1)</x:f>
        <x:v>0.36</x:v>
      </x:c>
      <x:c r="E101" s="30" t="n">
        <x:f>(D101-D100)*H100</x:f>
        <x:v>0</x:v>
      </x:c>
      <x:c r="F101" s="30" t="n">
        <x:f>(1-D101-J100)*(H100-H101)+(J101-J100)*H101</x:f>
        <x:v>0</x:v>
      </x:c>
      <x:c r="G101" s="30" t="n">
        <x:f>SUM(E102:E147)</x:f>
        <x:v>0</x:v>
      </x:c>
      <x:c r="H101" s="30" t="n">
        <x:f>IF($E$42=0,1-MIN(C101,$E$43)/$E$43,((1+$E$42)^$E$43-(1+$E$42)^MIN(C101,$E$43))/((1+$E$42)^$E$43-1))</x:f>
        <x:v>0</x:v>
      </x:c>
      <x:c r="I101" s="30" t="n">
        <x:f>MAX(0,1-D101-J101)</x:f>
        <x:v>0</x:v>
      </x:c>
      <x:c r="J101" s="2" t="n">
        <x:f>(1-$E$40)*INDEX('Assumptions'!$I$65:$I$101,MIN(C101,36)+1)</x:f>
        <x:v>0.64</x:v>
      </x:c>
      <x:c r="K101" s="2"/>
      <x:c r="L101" s="2"/>
      <x:c r="M101" s="2"/>
      <x:c r="N101" s="2"/>
      <x:c r="O101" s="2"/>
      <x:c r="P101" s="2"/>
      <x:c r="Q101" s="2"/>
      <x:c r="R101" s="2"/>
      <x:c r="S101" s="2"/>
      <x:c r="T101" s="2"/>
      <x:c r="U101" s="2"/>
      <x:c r="V101" s="2"/>
      <x:c r="W101" s="2"/>
      <x:c r="X101" s="2"/>
      <x:c r="Y101" s="2"/>
      <x:c r="Z101" s="2"/>
      <x:c r="AA101" s="2"/>
      <x:c r="AB101" s="2"/>
      <x:c r="AC101" s="2"/>
      <x:c r="AD101" s="2"/>
      <x:c r="AE101" s="2"/>
      <x:c r="AF101" s="2"/>
      <x:c r="AG101" s="2"/>
      <x:c r="AH101" s="2"/>
      <x:c r="AI101" s="2"/>
      <x:c r="AJ101" s="2"/>
      <x:c r="AK101" s="2"/>
      <x:c r="AL101" s="2"/>
      <x:c r="AM101" s="2"/>
      <x:c r="AN101" s="2"/>
      <x:c r="AO101" s="2"/>
      <x:c r="AP101" s="2"/>
      <x:c r="AQ101" s="2"/>
      <x:c r="AR101" s="2"/>
      <x:c r="AS101" s="2"/>
      <x:c r="AT101" s="2"/>
      <x:c r="AU101" s="2"/>
      <x:c r="AV101" s="2"/>
      <x:c r="AW101" s="2"/>
      <x:c r="AX101" s="2"/>
      <x:c r="AY101" s="2"/>
      <x:c r="AZ101" s="2"/>
      <x:c r="BA101" s="2"/>
      <x:c r="BB101" s="2"/>
      <x:c r="BC101" s="2"/>
      <x:c r="BD101" s="2"/>
      <x:c r="BE101" s="2"/>
      <x:c r="BF101" s="2"/>
      <x:c r="BG101" s="2"/>
      <x:c r="BH101" s="2"/>
      <x:c r="BI101" s="2"/>
      <x:c r="BJ101" s="2"/>
      <x:c r="BK101" s="2"/>
      <x:c r="BL101" s="2"/>
      <x:c r="BM101" s="2"/>
      <x:c r="BN101" s="2"/>
      <x:c r="BO101" s="2"/>
      <x:c r="BP101" s="2"/>
      <x:c r="BQ101" s="2"/>
      <x:c r="BR101" s="2"/>
      <x:c r="BS101" s="2"/>
      <x:c r="BT101" s="2"/>
      <x:c r="BU101" s="2"/>
      <x:c r="BV101" s="2"/>
      <x:c r="BW101" s="2"/>
      <x:c r="BX101" s="2"/>
      <x:c r="BY101" s="2"/>
      <x:c r="BZ101" s="2"/>
      <x:c r="CA101" s="2"/>
      <x:c r="CB101" s="2"/>
      <x:c r="CC101" s="2"/>
      <x:c r="CD101" s="2"/>
      <x:c r="CE101" s="2"/>
      <x:c r="CF101" s="2"/>
      <x:c r="CG101" s="2"/>
      <x:c r="CH101" s="2"/>
      <x:c r="CI101" s="2"/>
      <x:c r="CJ101" s="2"/>
      <x:c r="CK101" s="2"/>
      <x:c r="CL101" s="2"/>
      <x:c r="CM101" s="2"/>
      <x:c r="CN101" s="2"/>
      <x:c r="CO101" s="2"/>
      <x:c r="CP101" s="2"/>
      <x:c r="CQ101" s="2"/>
      <x:c r="CR101" s="2"/>
      <x:c r="CS101" s="2"/>
      <x:c r="CT101" s="2"/>
      <x:c r="CU101" s="2"/>
      <x:c r="CV101" s="2"/>
      <x:c r="CW101" s="2"/>
      <x:c r="CX101" s="2"/>
      <x:c r="CY101" s="2"/>
    </x:row>
    <x:row r="102" ht="19" customHeight="1">
      <x:c r="A102" s="1"/>
      <x:c r="B102" s="1"/>
      <x:c r="C102" s="2" t="n">
        <x:v>51</x:v>
      </x:c>
      <x:c r="D102" s="30" t="n">
        <x:f>$E$40*INDEX('Assumptions'!$F$65:$F$101,MIN(C102,36)+1)</x:f>
        <x:v>0.36</x:v>
      </x:c>
      <x:c r="E102" s="30" t="n">
        <x:f>(D102-D101)*H101</x:f>
        <x:v>0</x:v>
      </x:c>
      <x:c r="F102" s="30" t="n">
        <x:f>(1-D102-J101)*(H101-H102)+(J102-J101)*H102</x:f>
        <x:v>0</x:v>
      </x:c>
      <x:c r="G102" s="30" t="n">
        <x:f>SUM(E103:E147)</x:f>
        <x:v>0</x:v>
      </x:c>
      <x:c r="H102" s="30" t="n">
        <x:f>IF($E$42=0,1-MIN(C102,$E$43)/$E$43,((1+$E$42)^$E$43-(1+$E$42)^MIN(C102,$E$43))/((1+$E$42)^$E$43-1))</x:f>
        <x:v>0</x:v>
      </x:c>
      <x:c r="I102" s="30" t="n">
        <x:f>MAX(0,1-D102-J102)</x:f>
        <x:v>0</x:v>
      </x:c>
      <x:c r="J102" s="2" t="n">
        <x:f>(1-$E$40)*INDEX('Assumptions'!$I$65:$I$101,MIN(C102,36)+1)</x:f>
        <x:v>0.64</x:v>
      </x:c>
      <x:c r="K102" s="2"/>
      <x:c r="L102" s="2"/>
      <x:c r="M102" s="2"/>
      <x:c r="N102" s="2"/>
      <x:c r="O102" s="2"/>
      <x:c r="P102" s="2"/>
      <x:c r="Q102" s="2"/>
      <x:c r="R102" s="2"/>
      <x:c r="S102" s="2"/>
      <x:c r="T102" s="2"/>
      <x:c r="U102" s="2"/>
      <x:c r="V102" s="2"/>
      <x:c r="W102" s="2"/>
      <x:c r="X102" s="2"/>
      <x:c r="Y102" s="2"/>
      <x:c r="Z102" s="2"/>
      <x:c r="AA102" s="2"/>
      <x:c r="AB102" s="2"/>
      <x:c r="AC102" s="2"/>
      <x:c r="AD102" s="2"/>
      <x:c r="AE102" s="2"/>
      <x:c r="AF102" s="2"/>
      <x:c r="AG102" s="2"/>
      <x:c r="AH102" s="2"/>
      <x:c r="AI102" s="2"/>
      <x:c r="AJ102" s="2"/>
      <x:c r="AK102" s="2"/>
      <x:c r="AL102" s="2"/>
      <x:c r="AM102" s="2"/>
      <x:c r="AN102" s="2"/>
      <x:c r="AO102" s="2"/>
      <x:c r="AP102" s="2"/>
      <x:c r="AQ102" s="2"/>
      <x:c r="AR102" s="2"/>
      <x:c r="AS102" s="2"/>
      <x:c r="AT102" s="2"/>
      <x:c r="AU102" s="2"/>
      <x:c r="AV102" s="2"/>
      <x:c r="AW102" s="2"/>
      <x:c r="AX102" s="2"/>
      <x:c r="AY102" s="2"/>
      <x:c r="AZ102" s="2"/>
      <x:c r="BA102" s="2"/>
      <x:c r="BB102" s="2"/>
      <x:c r="BC102" s="2"/>
      <x:c r="BD102" s="2"/>
      <x:c r="BE102" s="2"/>
      <x:c r="BF102" s="2"/>
      <x:c r="BG102" s="2"/>
      <x:c r="BH102" s="2"/>
      <x:c r="BI102" s="2"/>
      <x:c r="BJ102" s="2"/>
      <x:c r="BK102" s="2"/>
      <x:c r="BL102" s="2"/>
      <x:c r="BM102" s="2"/>
      <x:c r="BN102" s="2"/>
      <x:c r="BO102" s="2"/>
      <x:c r="BP102" s="2"/>
      <x:c r="BQ102" s="2"/>
      <x:c r="BR102" s="2"/>
      <x:c r="BS102" s="2"/>
      <x:c r="BT102" s="2"/>
      <x:c r="BU102" s="2"/>
      <x:c r="BV102" s="2"/>
      <x:c r="BW102" s="2"/>
      <x:c r="BX102" s="2"/>
      <x:c r="BY102" s="2"/>
      <x:c r="BZ102" s="2"/>
      <x:c r="CA102" s="2"/>
      <x:c r="CB102" s="2"/>
      <x:c r="CC102" s="2"/>
      <x:c r="CD102" s="2"/>
      <x:c r="CE102" s="2"/>
      <x:c r="CF102" s="2"/>
      <x:c r="CG102" s="2"/>
      <x:c r="CH102" s="2"/>
      <x:c r="CI102" s="2"/>
      <x:c r="CJ102" s="2"/>
      <x:c r="CK102" s="2"/>
      <x:c r="CL102" s="2"/>
      <x:c r="CM102" s="2"/>
      <x:c r="CN102" s="2"/>
      <x:c r="CO102" s="2"/>
      <x:c r="CP102" s="2"/>
      <x:c r="CQ102" s="2"/>
      <x:c r="CR102" s="2"/>
      <x:c r="CS102" s="2"/>
      <x:c r="CT102" s="2"/>
      <x:c r="CU102" s="2"/>
      <x:c r="CV102" s="2"/>
      <x:c r="CW102" s="2"/>
      <x:c r="CX102" s="2"/>
      <x:c r="CY102" s="2"/>
    </x:row>
    <x:row r="103" ht="19" customHeight="1">
      <x:c r="A103" s="1"/>
      <x:c r="B103" s="1"/>
      <x:c r="C103" s="2" t="n">
        <x:v>52</x:v>
      </x:c>
      <x:c r="D103" s="30" t="n">
        <x:f>$E$40*INDEX('Assumptions'!$F$65:$F$101,MIN(C103,36)+1)</x:f>
        <x:v>0.36</x:v>
      </x:c>
      <x:c r="E103" s="30" t="n">
        <x:f>(D103-D102)*H102</x:f>
        <x:v>0</x:v>
      </x:c>
      <x:c r="F103" s="30" t="n">
        <x:f>(1-D103-J102)*(H102-H103)+(J103-J102)*H103</x:f>
        <x:v>0</x:v>
      </x:c>
      <x:c r="G103" s="30" t="n">
        <x:f>SUM(E104:E147)</x:f>
        <x:v>0</x:v>
      </x:c>
      <x:c r="H103" s="30" t="n">
        <x:f>IF($E$42=0,1-MIN(C103,$E$43)/$E$43,((1+$E$42)^$E$43-(1+$E$42)^MIN(C103,$E$43))/((1+$E$42)^$E$43-1))</x:f>
        <x:v>0</x:v>
      </x:c>
      <x:c r="I103" s="30" t="n">
        <x:f>MAX(0,1-D103-J103)</x:f>
        <x:v>0</x:v>
      </x:c>
      <x:c r="J103" s="2" t="n">
        <x:f>(1-$E$40)*INDEX('Assumptions'!$I$65:$I$101,MIN(C103,36)+1)</x:f>
        <x:v>0.64</x:v>
      </x:c>
      <x:c r="K103" s="2"/>
      <x:c r="L103" s="2"/>
      <x:c r="M103" s="2"/>
      <x:c r="N103" s="2"/>
      <x:c r="O103" s="2"/>
      <x:c r="P103" s="2"/>
      <x:c r="Q103" s="2"/>
      <x:c r="R103" s="2"/>
      <x:c r="S103" s="2"/>
      <x:c r="T103" s="2"/>
      <x:c r="U103" s="2"/>
      <x:c r="V103" s="2"/>
      <x:c r="W103" s="2"/>
      <x:c r="X103" s="2"/>
      <x:c r="Y103" s="2"/>
      <x:c r="Z103" s="2"/>
      <x:c r="AA103" s="2"/>
      <x:c r="AB103" s="2"/>
      <x:c r="AC103" s="2"/>
      <x:c r="AD103" s="2"/>
      <x:c r="AE103" s="2"/>
      <x:c r="AF103" s="2"/>
      <x:c r="AG103" s="2"/>
      <x:c r="AH103" s="2"/>
      <x:c r="AI103" s="2"/>
      <x:c r="AJ103" s="2"/>
      <x:c r="AK103" s="2"/>
      <x:c r="AL103" s="2"/>
      <x:c r="AM103" s="2"/>
      <x:c r="AN103" s="2"/>
      <x:c r="AO103" s="2"/>
      <x:c r="AP103" s="2"/>
      <x:c r="AQ103" s="2"/>
      <x:c r="AR103" s="2"/>
      <x:c r="AS103" s="2"/>
      <x:c r="AT103" s="2"/>
      <x:c r="AU103" s="2"/>
      <x:c r="AV103" s="2"/>
      <x:c r="AW103" s="2"/>
      <x:c r="AX103" s="2"/>
      <x:c r="AY103" s="2"/>
      <x:c r="AZ103" s="2"/>
      <x:c r="BA103" s="2"/>
      <x:c r="BB103" s="2"/>
      <x:c r="BC103" s="2"/>
      <x:c r="BD103" s="2"/>
      <x:c r="BE103" s="2"/>
      <x:c r="BF103" s="2"/>
      <x:c r="BG103" s="2"/>
      <x:c r="BH103" s="2"/>
      <x:c r="BI103" s="2"/>
      <x:c r="BJ103" s="2"/>
      <x:c r="BK103" s="2"/>
      <x:c r="BL103" s="2"/>
      <x:c r="BM103" s="2"/>
      <x:c r="BN103" s="2"/>
      <x:c r="BO103" s="2"/>
      <x:c r="BP103" s="2"/>
      <x:c r="BQ103" s="2"/>
      <x:c r="BR103" s="2"/>
      <x:c r="BS103" s="2"/>
      <x:c r="BT103" s="2"/>
      <x:c r="BU103" s="2"/>
      <x:c r="BV103" s="2"/>
      <x:c r="BW103" s="2"/>
      <x:c r="BX103" s="2"/>
      <x:c r="BY103" s="2"/>
      <x:c r="BZ103" s="2"/>
      <x:c r="CA103" s="2"/>
      <x:c r="CB103" s="2"/>
      <x:c r="CC103" s="2"/>
      <x:c r="CD103" s="2"/>
      <x:c r="CE103" s="2"/>
      <x:c r="CF103" s="2"/>
      <x:c r="CG103" s="2"/>
      <x:c r="CH103" s="2"/>
      <x:c r="CI103" s="2"/>
      <x:c r="CJ103" s="2"/>
      <x:c r="CK103" s="2"/>
      <x:c r="CL103" s="2"/>
      <x:c r="CM103" s="2"/>
      <x:c r="CN103" s="2"/>
      <x:c r="CO103" s="2"/>
      <x:c r="CP103" s="2"/>
      <x:c r="CQ103" s="2"/>
      <x:c r="CR103" s="2"/>
      <x:c r="CS103" s="2"/>
      <x:c r="CT103" s="2"/>
      <x:c r="CU103" s="2"/>
      <x:c r="CV103" s="2"/>
      <x:c r="CW103" s="2"/>
      <x:c r="CX103" s="2"/>
      <x:c r="CY103" s="2"/>
    </x:row>
    <x:row r="104" ht="19" customHeight="1">
      <x:c r="A104" s="1"/>
      <x:c r="B104" s="1"/>
      <x:c r="C104" s="2" t="n">
        <x:v>53</x:v>
      </x:c>
      <x:c r="D104" s="30" t="n">
        <x:f>$E$40*INDEX('Assumptions'!$F$65:$F$101,MIN(C104,36)+1)</x:f>
        <x:v>0.36</x:v>
      </x:c>
      <x:c r="E104" s="30" t="n">
        <x:f>(D104-D103)*H103</x:f>
        <x:v>0</x:v>
      </x:c>
      <x:c r="F104" s="30" t="n">
        <x:f>(1-D104-J103)*(H103-H104)+(J104-J103)*H104</x:f>
        <x:v>0</x:v>
      </x:c>
      <x:c r="G104" s="30" t="n">
        <x:f>SUM(E105:E147)</x:f>
        <x:v>0</x:v>
      </x:c>
      <x:c r="H104" s="30" t="n">
        <x:f>IF($E$42=0,1-MIN(C104,$E$43)/$E$43,((1+$E$42)^$E$43-(1+$E$42)^MIN(C104,$E$43))/((1+$E$42)^$E$43-1))</x:f>
        <x:v>0</x:v>
      </x:c>
      <x:c r="I104" s="30" t="n">
        <x:f>MAX(0,1-D104-J104)</x:f>
        <x:v>0</x:v>
      </x:c>
      <x:c r="J104" s="2" t="n">
        <x:f>(1-$E$40)*INDEX('Assumptions'!$I$65:$I$101,MIN(C104,36)+1)</x:f>
        <x:v>0.64</x:v>
      </x:c>
      <x:c r="K104" s="2"/>
      <x:c r="L104" s="2"/>
      <x:c r="M104" s="2"/>
      <x:c r="N104" s="2"/>
      <x:c r="O104" s="2"/>
      <x:c r="P104" s="2"/>
      <x:c r="Q104" s="2"/>
      <x:c r="R104" s="2"/>
      <x:c r="S104" s="2"/>
      <x:c r="T104" s="2"/>
      <x:c r="U104" s="2"/>
      <x:c r="V104" s="2"/>
      <x:c r="W104" s="2"/>
      <x:c r="X104" s="2"/>
      <x:c r="Y104" s="2"/>
      <x:c r="Z104" s="2"/>
      <x:c r="AA104" s="2"/>
      <x:c r="AB104" s="2"/>
      <x:c r="AC104" s="2"/>
      <x:c r="AD104" s="2"/>
      <x:c r="AE104" s="2"/>
      <x:c r="AF104" s="2"/>
      <x:c r="AG104" s="2"/>
      <x:c r="AH104" s="2"/>
      <x:c r="AI104" s="2"/>
      <x:c r="AJ104" s="2"/>
      <x:c r="AK104" s="2"/>
      <x:c r="AL104" s="2"/>
      <x:c r="AM104" s="2"/>
      <x:c r="AN104" s="2"/>
      <x:c r="AO104" s="2"/>
      <x:c r="AP104" s="2"/>
      <x:c r="AQ104" s="2"/>
      <x:c r="AR104" s="2"/>
      <x:c r="AS104" s="2"/>
      <x:c r="AT104" s="2"/>
      <x:c r="AU104" s="2"/>
      <x:c r="AV104" s="2"/>
      <x:c r="AW104" s="2"/>
      <x:c r="AX104" s="2"/>
      <x:c r="AY104" s="2"/>
      <x:c r="AZ104" s="2"/>
      <x:c r="BA104" s="2"/>
      <x:c r="BB104" s="2"/>
      <x:c r="BC104" s="2"/>
      <x:c r="BD104" s="2"/>
      <x:c r="BE104" s="2"/>
      <x:c r="BF104" s="2"/>
      <x:c r="BG104" s="2"/>
      <x:c r="BH104" s="2"/>
      <x:c r="BI104" s="2"/>
      <x:c r="BJ104" s="2"/>
      <x:c r="BK104" s="2"/>
      <x:c r="BL104" s="2"/>
      <x:c r="BM104" s="2"/>
      <x:c r="BN104" s="2"/>
      <x:c r="BO104" s="2"/>
      <x:c r="BP104" s="2"/>
      <x:c r="BQ104" s="2"/>
      <x:c r="BR104" s="2"/>
      <x:c r="BS104" s="2"/>
      <x:c r="BT104" s="2"/>
      <x:c r="BU104" s="2"/>
      <x:c r="BV104" s="2"/>
      <x:c r="BW104" s="2"/>
      <x:c r="BX104" s="2"/>
      <x:c r="BY104" s="2"/>
      <x:c r="BZ104" s="2"/>
      <x:c r="CA104" s="2"/>
      <x:c r="CB104" s="2"/>
      <x:c r="CC104" s="2"/>
      <x:c r="CD104" s="2"/>
      <x:c r="CE104" s="2"/>
      <x:c r="CF104" s="2"/>
      <x:c r="CG104" s="2"/>
      <x:c r="CH104" s="2"/>
      <x:c r="CI104" s="2"/>
      <x:c r="CJ104" s="2"/>
      <x:c r="CK104" s="2"/>
      <x:c r="CL104" s="2"/>
      <x:c r="CM104" s="2"/>
      <x:c r="CN104" s="2"/>
      <x:c r="CO104" s="2"/>
      <x:c r="CP104" s="2"/>
      <x:c r="CQ104" s="2"/>
      <x:c r="CR104" s="2"/>
      <x:c r="CS104" s="2"/>
      <x:c r="CT104" s="2"/>
      <x:c r="CU104" s="2"/>
      <x:c r="CV104" s="2"/>
      <x:c r="CW104" s="2"/>
      <x:c r="CX104" s="2"/>
      <x:c r="CY104" s="2"/>
    </x:row>
    <x:row r="105" ht="19" customHeight="1">
      <x:c r="A105" s="1"/>
      <x:c r="B105" s="1"/>
      <x:c r="C105" s="2" t="n">
        <x:v>54</x:v>
      </x:c>
      <x:c r="D105" s="30" t="n">
        <x:f>$E$40*INDEX('Assumptions'!$F$65:$F$101,MIN(C105,36)+1)</x:f>
        <x:v>0.36</x:v>
      </x:c>
      <x:c r="E105" s="30" t="n">
        <x:f>(D105-D104)*H104</x:f>
        <x:v>0</x:v>
      </x:c>
      <x:c r="F105" s="30" t="n">
        <x:f>(1-D105-J104)*(H104-H105)+(J105-J104)*H105</x:f>
        <x:v>0</x:v>
      </x:c>
      <x:c r="G105" s="30" t="n">
        <x:f>SUM(E106:E147)</x:f>
        <x:v>0</x:v>
      </x:c>
      <x:c r="H105" s="30" t="n">
        <x:f>IF($E$42=0,1-MIN(C105,$E$43)/$E$43,((1+$E$42)^$E$43-(1+$E$42)^MIN(C105,$E$43))/((1+$E$42)^$E$43-1))</x:f>
        <x:v>0</x:v>
      </x:c>
      <x:c r="I105" s="30" t="n">
        <x:f>MAX(0,1-D105-J105)</x:f>
        <x:v>0</x:v>
      </x:c>
      <x:c r="J105" s="2" t="n">
        <x:f>(1-$E$40)*INDEX('Assumptions'!$I$65:$I$101,MIN(C105,36)+1)</x:f>
        <x:v>0.64</x:v>
      </x:c>
      <x:c r="K105" s="2"/>
      <x:c r="L105" s="2"/>
      <x:c r="M105" s="2"/>
      <x:c r="N105" s="2"/>
      <x:c r="O105" s="2"/>
      <x:c r="P105" s="2"/>
      <x:c r="Q105" s="2"/>
      <x:c r="R105" s="2"/>
      <x:c r="S105" s="2"/>
      <x:c r="T105" s="2"/>
      <x:c r="U105" s="2"/>
      <x:c r="V105" s="2"/>
      <x:c r="W105" s="2"/>
      <x:c r="X105" s="2"/>
      <x:c r="Y105" s="2"/>
      <x:c r="Z105" s="2"/>
      <x:c r="AA105" s="2"/>
      <x:c r="AB105" s="2"/>
      <x:c r="AC105" s="2"/>
      <x:c r="AD105" s="2"/>
      <x:c r="AE105" s="2"/>
      <x:c r="AF105" s="2"/>
      <x:c r="AG105" s="2"/>
      <x:c r="AH105" s="2"/>
      <x:c r="AI105" s="2"/>
      <x:c r="AJ105" s="2"/>
      <x:c r="AK105" s="2"/>
      <x:c r="AL105" s="2"/>
      <x:c r="AM105" s="2"/>
      <x:c r="AN105" s="2"/>
      <x:c r="AO105" s="2"/>
      <x:c r="AP105" s="2"/>
      <x:c r="AQ105" s="2"/>
      <x:c r="AR105" s="2"/>
      <x:c r="AS105" s="2"/>
      <x:c r="AT105" s="2"/>
      <x:c r="AU105" s="2"/>
      <x:c r="AV105" s="2"/>
      <x:c r="AW105" s="2"/>
      <x:c r="AX105" s="2"/>
      <x:c r="AY105" s="2"/>
      <x:c r="AZ105" s="2"/>
      <x:c r="BA105" s="2"/>
      <x:c r="BB105" s="2"/>
      <x:c r="BC105" s="2"/>
      <x:c r="BD105" s="2"/>
      <x:c r="BE105" s="2"/>
      <x:c r="BF105" s="2"/>
      <x:c r="BG105" s="2"/>
      <x:c r="BH105" s="2"/>
      <x:c r="BI105" s="2"/>
      <x:c r="BJ105" s="2"/>
      <x:c r="BK105" s="2"/>
      <x:c r="BL105" s="2"/>
      <x:c r="BM105" s="2"/>
      <x:c r="BN105" s="2"/>
      <x:c r="BO105" s="2"/>
      <x:c r="BP105" s="2"/>
      <x:c r="BQ105" s="2"/>
      <x:c r="BR105" s="2"/>
      <x:c r="BS105" s="2"/>
      <x:c r="BT105" s="2"/>
      <x:c r="BU105" s="2"/>
      <x:c r="BV105" s="2"/>
      <x:c r="BW105" s="2"/>
      <x:c r="BX105" s="2"/>
      <x:c r="BY105" s="2"/>
      <x:c r="BZ105" s="2"/>
      <x:c r="CA105" s="2"/>
      <x:c r="CB105" s="2"/>
      <x:c r="CC105" s="2"/>
      <x:c r="CD105" s="2"/>
      <x:c r="CE105" s="2"/>
      <x:c r="CF105" s="2"/>
      <x:c r="CG105" s="2"/>
      <x:c r="CH105" s="2"/>
      <x:c r="CI105" s="2"/>
      <x:c r="CJ105" s="2"/>
      <x:c r="CK105" s="2"/>
      <x:c r="CL105" s="2"/>
      <x:c r="CM105" s="2"/>
      <x:c r="CN105" s="2"/>
      <x:c r="CO105" s="2"/>
      <x:c r="CP105" s="2"/>
      <x:c r="CQ105" s="2"/>
      <x:c r="CR105" s="2"/>
      <x:c r="CS105" s="2"/>
      <x:c r="CT105" s="2"/>
      <x:c r="CU105" s="2"/>
      <x:c r="CV105" s="2"/>
      <x:c r="CW105" s="2"/>
      <x:c r="CX105" s="2"/>
      <x:c r="CY105" s="2"/>
    </x:row>
    <x:row r="106" ht="19" customHeight="1">
      <x:c r="A106" s="1"/>
      <x:c r="B106" s="1"/>
      <x:c r="C106" s="2" t="n">
        <x:v>55</x:v>
      </x:c>
      <x:c r="D106" s="30" t="n">
        <x:f>$E$40*INDEX('Assumptions'!$F$65:$F$101,MIN(C106,36)+1)</x:f>
        <x:v>0.36</x:v>
      </x:c>
      <x:c r="E106" s="30" t="n">
        <x:f>(D106-D105)*H105</x:f>
        <x:v>0</x:v>
      </x:c>
      <x:c r="F106" s="30" t="n">
        <x:f>(1-D106-J105)*(H105-H106)+(J106-J105)*H106</x:f>
        <x:v>0</x:v>
      </x:c>
      <x:c r="G106" s="30" t="n">
        <x:f>SUM(E107:E147)</x:f>
        <x:v>0</x:v>
      </x:c>
      <x:c r="H106" s="30" t="n">
        <x:f>IF($E$42=0,1-MIN(C106,$E$43)/$E$43,((1+$E$42)^$E$43-(1+$E$42)^MIN(C106,$E$43))/((1+$E$42)^$E$43-1))</x:f>
        <x:v>0</x:v>
      </x:c>
      <x:c r="I106" s="30" t="n">
        <x:f>MAX(0,1-D106-J106)</x:f>
        <x:v>0</x:v>
      </x:c>
      <x:c r="J106" s="2" t="n">
        <x:f>(1-$E$40)*INDEX('Assumptions'!$I$65:$I$101,MIN(C106,36)+1)</x:f>
        <x:v>0.64</x:v>
      </x:c>
      <x:c r="K106" s="2"/>
      <x:c r="L106" s="2"/>
      <x:c r="M106" s="2"/>
      <x:c r="N106" s="2"/>
      <x:c r="O106" s="2"/>
      <x:c r="P106" s="2"/>
      <x:c r="Q106" s="2"/>
      <x:c r="R106" s="2"/>
      <x:c r="S106" s="2"/>
      <x:c r="T106" s="2"/>
      <x:c r="U106" s="2"/>
      <x:c r="V106" s="2"/>
      <x:c r="W106" s="2"/>
      <x:c r="X106" s="2"/>
      <x:c r="Y106" s="2"/>
      <x:c r="Z106" s="2"/>
      <x:c r="AA106" s="2"/>
      <x:c r="AB106" s="2"/>
      <x:c r="AC106" s="2"/>
      <x:c r="AD106" s="2"/>
      <x:c r="AE106" s="2"/>
      <x:c r="AF106" s="2"/>
      <x:c r="AG106" s="2"/>
      <x:c r="AH106" s="2"/>
      <x:c r="AI106" s="2"/>
      <x:c r="AJ106" s="2"/>
      <x:c r="AK106" s="2"/>
      <x:c r="AL106" s="2"/>
      <x:c r="AM106" s="2"/>
      <x:c r="AN106" s="2"/>
      <x:c r="AO106" s="2"/>
      <x:c r="AP106" s="2"/>
      <x:c r="AQ106" s="2"/>
      <x:c r="AR106" s="2"/>
      <x:c r="AS106" s="2"/>
      <x:c r="AT106" s="2"/>
      <x:c r="AU106" s="2"/>
      <x:c r="AV106" s="2"/>
      <x:c r="AW106" s="2"/>
      <x:c r="AX106" s="2"/>
      <x:c r="AY106" s="2"/>
      <x:c r="AZ106" s="2"/>
      <x:c r="BA106" s="2"/>
      <x:c r="BB106" s="2"/>
      <x:c r="BC106" s="2"/>
      <x:c r="BD106" s="2"/>
      <x:c r="BE106" s="2"/>
      <x:c r="BF106" s="2"/>
      <x:c r="BG106" s="2"/>
      <x:c r="BH106" s="2"/>
      <x:c r="BI106" s="2"/>
      <x:c r="BJ106" s="2"/>
      <x:c r="BK106" s="2"/>
      <x:c r="BL106" s="2"/>
      <x:c r="BM106" s="2"/>
      <x:c r="BN106" s="2"/>
      <x:c r="BO106" s="2"/>
      <x:c r="BP106" s="2"/>
      <x:c r="BQ106" s="2"/>
      <x:c r="BR106" s="2"/>
      <x:c r="BS106" s="2"/>
      <x:c r="BT106" s="2"/>
      <x:c r="BU106" s="2"/>
      <x:c r="BV106" s="2"/>
      <x:c r="BW106" s="2"/>
      <x:c r="BX106" s="2"/>
      <x:c r="BY106" s="2"/>
      <x:c r="BZ106" s="2"/>
      <x:c r="CA106" s="2"/>
      <x:c r="CB106" s="2"/>
      <x:c r="CC106" s="2"/>
      <x:c r="CD106" s="2"/>
      <x:c r="CE106" s="2"/>
      <x:c r="CF106" s="2"/>
      <x:c r="CG106" s="2"/>
      <x:c r="CH106" s="2"/>
      <x:c r="CI106" s="2"/>
      <x:c r="CJ106" s="2"/>
      <x:c r="CK106" s="2"/>
      <x:c r="CL106" s="2"/>
      <x:c r="CM106" s="2"/>
      <x:c r="CN106" s="2"/>
      <x:c r="CO106" s="2"/>
      <x:c r="CP106" s="2"/>
      <x:c r="CQ106" s="2"/>
      <x:c r="CR106" s="2"/>
      <x:c r="CS106" s="2"/>
      <x:c r="CT106" s="2"/>
      <x:c r="CU106" s="2"/>
      <x:c r="CV106" s="2"/>
      <x:c r="CW106" s="2"/>
      <x:c r="CX106" s="2"/>
      <x:c r="CY106" s="2"/>
    </x:row>
    <x:row r="107" ht="19" customHeight="1">
      <x:c r="A107" s="1"/>
      <x:c r="B107" s="1"/>
      <x:c r="C107" s="2" t="n">
        <x:v>56</x:v>
      </x:c>
      <x:c r="D107" s="30" t="n">
        <x:f>$E$40*INDEX('Assumptions'!$F$65:$F$101,MIN(C107,36)+1)</x:f>
        <x:v>0.36</x:v>
      </x:c>
      <x:c r="E107" s="30" t="n">
        <x:f>(D107-D106)*H106</x:f>
        <x:v>0</x:v>
      </x:c>
      <x:c r="F107" s="30" t="n">
        <x:f>(1-D107-J106)*(H106-H107)+(J107-J106)*H107</x:f>
        <x:v>0</x:v>
      </x:c>
      <x:c r="G107" s="30" t="n">
        <x:f>SUM(E108:E147)</x:f>
        <x:v>0</x:v>
      </x:c>
      <x:c r="H107" s="30" t="n">
        <x:f>IF($E$42=0,1-MIN(C107,$E$43)/$E$43,((1+$E$42)^$E$43-(1+$E$42)^MIN(C107,$E$43))/((1+$E$42)^$E$43-1))</x:f>
        <x:v>0</x:v>
      </x:c>
      <x:c r="I107" s="30" t="n">
        <x:f>MAX(0,1-D107-J107)</x:f>
        <x:v>0</x:v>
      </x:c>
      <x:c r="J107" s="2" t="n">
        <x:f>(1-$E$40)*INDEX('Assumptions'!$I$65:$I$101,MIN(C107,36)+1)</x:f>
        <x:v>0.64</x:v>
      </x:c>
      <x:c r="K107" s="2"/>
      <x:c r="L107" s="2"/>
      <x:c r="M107" s="2"/>
      <x:c r="N107" s="2"/>
      <x:c r="O107" s="2"/>
      <x:c r="P107" s="2"/>
      <x:c r="Q107" s="2"/>
      <x:c r="R107" s="2"/>
      <x:c r="S107" s="2"/>
      <x:c r="T107" s="2"/>
      <x:c r="U107" s="2"/>
      <x:c r="V107" s="2"/>
      <x:c r="W107" s="2"/>
      <x:c r="X107" s="2"/>
      <x:c r="Y107" s="2"/>
      <x:c r="Z107" s="2"/>
      <x:c r="AA107" s="2"/>
      <x:c r="AB107" s="2"/>
      <x:c r="AC107" s="2"/>
      <x:c r="AD107" s="2"/>
      <x:c r="AE107" s="2"/>
      <x:c r="AF107" s="2"/>
      <x:c r="AG107" s="2"/>
      <x:c r="AH107" s="2"/>
      <x:c r="AI107" s="2"/>
      <x:c r="AJ107" s="2"/>
      <x:c r="AK107" s="2"/>
      <x:c r="AL107" s="2"/>
      <x:c r="AM107" s="2"/>
      <x:c r="AN107" s="2"/>
      <x:c r="AO107" s="2"/>
      <x:c r="AP107" s="2"/>
      <x:c r="AQ107" s="2"/>
      <x:c r="AR107" s="2"/>
      <x:c r="AS107" s="2"/>
      <x:c r="AT107" s="2"/>
      <x:c r="AU107" s="2"/>
      <x:c r="AV107" s="2"/>
      <x:c r="AW107" s="2"/>
      <x:c r="AX107" s="2"/>
      <x:c r="AY107" s="2"/>
      <x:c r="AZ107" s="2"/>
      <x:c r="BA107" s="2"/>
      <x:c r="BB107" s="2"/>
      <x:c r="BC107" s="2"/>
      <x:c r="BD107" s="2"/>
      <x:c r="BE107" s="2"/>
      <x:c r="BF107" s="2"/>
      <x:c r="BG107" s="2"/>
      <x:c r="BH107" s="2"/>
      <x:c r="BI107" s="2"/>
      <x:c r="BJ107" s="2"/>
      <x:c r="BK107" s="2"/>
      <x:c r="BL107" s="2"/>
      <x:c r="BM107" s="2"/>
      <x:c r="BN107" s="2"/>
      <x:c r="BO107" s="2"/>
      <x:c r="BP107" s="2"/>
      <x:c r="BQ107" s="2"/>
      <x:c r="BR107" s="2"/>
      <x:c r="BS107" s="2"/>
      <x:c r="BT107" s="2"/>
      <x:c r="BU107" s="2"/>
      <x:c r="BV107" s="2"/>
      <x:c r="BW107" s="2"/>
      <x:c r="BX107" s="2"/>
      <x:c r="BY107" s="2"/>
      <x:c r="BZ107" s="2"/>
      <x:c r="CA107" s="2"/>
      <x:c r="CB107" s="2"/>
      <x:c r="CC107" s="2"/>
      <x:c r="CD107" s="2"/>
      <x:c r="CE107" s="2"/>
      <x:c r="CF107" s="2"/>
      <x:c r="CG107" s="2"/>
      <x:c r="CH107" s="2"/>
      <x:c r="CI107" s="2"/>
      <x:c r="CJ107" s="2"/>
      <x:c r="CK107" s="2"/>
      <x:c r="CL107" s="2"/>
      <x:c r="CM107" s="2"/>
      <x:c r="CN107" s="2"/>
      <x:c r="CO107" s="2"/>
      <x:c r="CP107" s="2"/>
      <x:c r="CQ107" s="2"/>
      <x:c r="CR107" s="2"/>
      <x:c r="CS107" s="2"/>
      <x:c r="CT107" s="2"/>
      <x:c r="CU107" s="2"/>
      <x:c r="CV107" s="2"/>
      <x:c r="CW107" s="2"/>
      <x:c r="CX107" s="2"/>
      <x:c r="CY107" s="2"/>
    </x:row>
    <x:row r="108" ht="19" customHeight="1">
      <x:c r="A108" s="1"/>
      <x:c r="B108" s="1"/>
      <x:c r="C108" s="2" t="n">
        <x:v>57</x:v>
      </x:c>
      <x:c r="D108" s="30" t="n">
        <x:f>$E$40*INDEX('Assumptions'!$F$65:$F$101,MIN(C108,36)+1)</x:f>
        <x:v>0.36</x:v>
      </x:c>
      <x:c r="E108" s="30" t="n">
        <x:f>(D108-D107)*H107</x:f>
        <x:v>0</x:v>
      </x:c>
      <x:c r="F108" s="30" t="n">
        <x:f>(1-D108-J107)*(H107-H108)+(J108-J107)*H108</x:f>
        <x:v>0</x:v>
      </x:c>
      <x:c r="G108" s="30" t="n">
        <x:f>SUM(E109:E147)</x:f>
        <x:v>0</x:v>
      </x:c>
      <x:c r="H108" s="30" t="n">
        <x:f>IF($E$42=0,1-MIN(C108,$E$43)/$E$43,((1+$E$42)^$E$43-(1+$E$42)^MIN(C108,$E$43))/((1+$E$42)^$E$43-1))</x:f>
        <x:v>0</x:v>
      </x:c>
      <x:c r="I108" s="30" t="n">
        <x:f>MAX(0,1-D108-J108)</x:f>
        <x:v>0</x:v>
      </x:c>
      <x:c r="J108" s="2" t="n">
        <x:f>(1-$E$40)*INDEX('Assumptions'!$I$65:$I$101,MIN(C108,36)+1)</x:f>
        <x:v>0.64</x:v>
      </x:c>
      <x:c r="K108" s="2"/>
      <x:c r="L108" s="2"/>
      <x:c r="M108" s="2"/>
      <x:c r="N108" s="2"/>
      <x:c r="O108" s="2"/>
      <x:c r="P108" s="2"/>
      <x:c r="Q108" s="2"/>
      <x:c r="R108" s="2"/>
      <x:c r="S108" s="2"/>
      <x:c r="T108" s="2"/>
      <x:c r="U108" s="2"/>
      <x:c r="V108" s="2"/>
      <x:c r="W108" s="2"/>
      <x:c r="X108" s="2"/>
      <x:c r="Y108" s="2"/>
      <x:c r="Z108" s="2"/>
      <x:c r="AA108" s="2"/>
      <x:c r="AB108" s="2"/>
      <x:c r="AC108" s="2"/>
      <x:c r="AD108" s="2"/>
      <x:c r="AE108" s="2"/>
      <x:c r="AF108" s="2"/>
      <x:c r="AG108" s="2"/>
      <x:c r="AH108" s="2"/>
      <x:c r="AI108" s="2"/>
      <x:c r="AJ108" s="2"/>
      <x:c r="AK108" s="2"/>
      <x:c r="AL108" s="2"/>
      <x:c r="AM108" s="2"/>
      <x:c r="AN108" s="2"/>
      <x:c r="AO108" s="2"/>
      <x:c r="AP108" s="2"/>
      <x:c r="AQ108" s="2"/>
      <x:c r="AR108" s="2"/>
      <x:c r="AS108" s="2"/>
      <x:c r="AT108" s="2"/>
      <x:c r="AU108" s="2"/>
      <x:c r="AV108" s="2"/>
      <x:c r="AW108" s="2"/>
      <x:c r="AX108" s="2"/>
      <x:c r="AY108" s="2"/>
      <x:c r="AZ108" s="2"/>
      <x:c r="BA108" s="2"/>
      <x:c r="BB108" s="2"/>
      <x:c r="BC108" s="2"/>
      <x:c r="BD108" s="2"/>
      <x:c r="BE108" s="2"/>
      <x:c r="BF108" s="2"/>
      <x:c r="BG108" s="2"/>
      <x:c r="BH108" s="2"/>
      <x:c r="BI108" s="2"/>
      <x:c r="BJ108" s="2"/>
      <x:c r="BK108" s="2"/>
      <x:c r="BL108" s="2"/>
      <x:c r="BM108" s="2"/>
      <x:c r="BN108" s="2"/>
      <x:c r="BO108" s="2"/>
      <x:c r="BP108" s="2"/>
      <x:c r="BQ108" s="2"/>
      <x:c r="BR108" s="2"/>
      <x:c r="BS108" s="2"/>
      <x:c r="BT108" s="2"/>
      <x:c r="BU108" s="2"/>
      <x:c r="BV108" s="2"/>
      <x:c r="BW108" s="2"/>
      <x:c r="BX108" s="2"/>
      <x:c r="BY108" s="2"/>
      <x:c r="BZ108" s="2"/>
      <x:c r="CA108" s="2"/>
      <x:c r="CB108" s="2"/>
      <x:c r="CC108" s="2"/>
      <x:c r="CD108" s="2"/>
      <x:c r="CE108" s="2"/>
      <x:c r="CF108" s="2"/>
      <x:c r="CG108" s="2"/>
      <x:c r="CH108" s="2"/>
      <x:c r="CI108" s="2"/>
      <x:c r="CJ108" s="2"/>
      <x:c r="CK108" s="2"/>
      <x:c r="CL108" s="2"/>
      <x:c r="CM108" s="2"/>
      <x:c r="CN108" s="2"/>
      <x:c r="CO108" s="2"/>
      <x:c r="CP108" s="2"/>
      <x:c r="CQ108" s="2"/>
      <x:c r="CR108" s="2"/>
      <x:c r="CS108" s="2"/>
      <x:c r="CT108" s="2"/>
      <x:c r="CU108" s="2"/>
      <x:c r="CV108" s="2"/>
      <x:c r="CW108" s="2"/>
      <x:c r="CX108" s="2"/>
      <x:c r="CY108" s="2"/>
    </x:row>
    <x:row r="109" ht="19" customHeight="1">
      <x:c r="A109" s="1"/>
      <x:c r="B109" s="1"/>
      <x:c r="C109" s="2" t="n">
        <x:v>58</x:v>
      </x:c>
      <x:c r="D109" s="30" t="n">
        <x:f>$E$40*INDEX('Assumptions'!$F$65:$F$101,MIN(C109,36)+1)</x:f>
        <x:v>0.36</x:v>
      </x:c>
      <x:c r="E109" s="30" t="n">
        <x:f>(D109-D108)*H108</x:f>
        <x:v>0</x:v>
      </x:c>
      <x:c r="F109" s="30" t="n">
        <x:f>(1-D109-J108)*(H108-H109)+(J109-J108)*H109</x:f>
        <x:v>0</x:v>
      </x:c>
      <x:c r="G109" s="30" t="n">
        <x:f>SUM(E110:E147)</x:f>
        <x:v>0</x:v>
      </x:c>
      <x:c r="H109" s="30" t="n">
        <x:f>IF($E$42=0,1-MIN(C109,$E$43)/$E$43,((1+$E$42)^$E$43-(1+$E$42)^MIN(C109,$E$43))/((1+$E$42)^$E$43-1))</x:f>
        <x:v>0</x:v>
      </x:c>
      <x:c r="I109" s="30" t="n">
        <x:f>MAX(0,1-D109-J109)</x:f>
        <x:v>0</x:v>
      </x:c>
      <x:c r="J109" s="2" t="n">
        <x:f>(1-$E$40)*INDEX('Assumptions'!$I$65:$I$101,MIN(C109,36)+1)</x:f>
        <x:v>0.64</x:v>
      </x:c>
      <x:c r="K109" s="2"/>
      <x:c r="L109" s="2"/>
      <x:c r="M109" s="2"/>
      <x:c r="N109" s="2"/>
      <x:c r="O109" s="2"/>
      <x:c r="P109" s="2"/>
      <x:c r="Q109" s="2"/>
      <x:c r="R109" s="2"/>
      <x:c r="S109" s="2"/>
      <x:c r="T109" s="2"/>
      <x:c r="U109" s="2"/>
      <x:c r="V109" s="2"/>
      <x:c r="W109" s="2"/>
      <x:c r="X109" s="2"/>
      <x:c r="Y109" s="2"/>
      <x:c r="Z109" s="2"/>
      <x:c r="AA109" s="2"/>
      <x:c r="AB109" s="2"/>
      <x:c r="AC109" s="2"/>
      <x:c r="AD109" s="2"/>
      <x:c r="AE109" s="2"/>
      <x:c r="AF109" s="2"/>
      <x:c r="AG109" s="2"/>
      <x:c r="AH109" s="2"/>
      <x:c r="AI109" s="2"/>
      <x:c r="AJ109" s="2"/>
      <x:c r="AK109" s="2"/>
      <x:c r="AL109" s="2"/>
      <x:c r="AM109" s="2"/>
      <x:c r="AN109" s="2"/>
      <x:c r="AO109" s="2"/>
      <x:c r="AP109" s="2"/>
      <x:c r="AQ109" s="2"/>
      <x:c r="AR109" s="2"/>
      <x:c r="AS109" s="2"/>
      <x:c r="AT109" s="2"/>
      <x:c r="AU109" s="2"/>
      <x:c r="AV109" s="2"/>
      <x:c r="AW109" s="2"/>
      <x:c r="AX109" s="2"/>
      <x:c r="AY109" s="2"/>
      <x:c r="AZ109" s="2"/>
      <x:c r="BA109" s="2"/>
      <x:c r="BB109" s="2"/>
      <x:c r="BC109" s="2"/>
      <x:c r="BD109" s="2"/>
      <x:c r="BE109" s="2"/>
      <x:c r="BF109" s="2"/>
      <x:c r="BG109" s="2"/>
      <x:c r="BH109" s="2"/>
      <x:c r="BI109" s="2"/>
      <x:c r="BJ109" s="2"/>
      <x:c r="BK109" s="2"/>
      <x:c r="BL109" s="2"/>
      <x:c r="BM109" s="2"/>
      <x:c r="BN109" s="2"/>
      <x:c r="BO109" s="2"/>
      <x:c r="BP109" s="2"/>
      <x:c r="BQ109" s="2"/>
      <x:c r="BR109" s="2"/>
      <x:c r="BS109" s="2"/>
      <x:c r="BT109" s="2"/>
      <x:c r="BU109" s="2"/>
      <x:c r="BV109" s="2"/>
      <x:c r="BW109" s="2"/>
      <x:c r="BX109" s="2"/>
      <x:c r="BY109" s="2"/>
      <x:c r="BZ109" s="2"/>
      <x:c r="CA109" s="2"/>
      <x:c r="CB109" s="2"/>
      <x:c r="CC109" s="2"/>
      <x:c r="CD109" s="2"/>
      <x:c r="CE109" s="2"/>
      <x:c r="CF109" s="2"/>
      <x:c r="CG109" s="2"/>
      <x:c r="CH109" s="2"/>
      <x:c r="CI109" s="2"/>
      <x:c r="CJ109" s="2"/>
      <x:c r="CK109" s="2"/>
      <x:c r="CL109" s="2"/>
      <x:c r="CM109" s="2"/>
      <x:c r="CN109" s="2"/>
      <x:c r="CO109" s="2"/>
      <x:c r="CP109" s="2"/>
      <x:c r="CQ109" s="2"/>
      <x:c r="CR109" s="2"/>
      <x:c r="CS109" s="2"/>
      <x:c r="CT109" s="2"/>
      <x:c r="CU109" s="2"/>
      <x:c r="CV109" s="2"/>
      <x:c r="CW109" s="2"/>
      <x:c r="CX109" s="2"/>
      <x:c r="CY109" s="2"/>
    </x:row>
    <x:row r="110" ht="19" customHeight="1">
      <x:c r="A110" s="1"/>
      <x:c r="B110" s="1"/>
      <x:c r="C110" s="2" t="n">
        <x:v>59</x:v>
      </x:c>
      <x:c r="D110" s="30" t="n">
        <x:f>$E$40*INDEX('Assumptions'!$F$65:$F$101,MIN(C110,36)+1)</x:f>
        <x:v>0.36</x:v>
      </x:c>
      <x:c r="E110" s="30" t="n">
        <x:f>(D110-D109)*H109</x:f>
        <x:v>0</x:v>
      </x:c>
      <x:c r="F110" s="30" t="n">
        <x:f>(1-D110-J109)*(H109-H110)+(J110-J109)*H110</x:f>
        <x:v>0</x:v>
      </x:c>
      <x:c r="G110" s="30" t="n">
        <x:f>SUM(E111:E147)</x:f>
        <x:v>0</x:v>
      </x:c>
      <x:c r="H110" s="30" t="n">
        <x:f>IF($E$42=0,1-MIN(C110,$E$43)/$E$43,((1+$E$42)^$E$43-(1+$E$42)^MIN(C110,$E$43))/((1+$E$42)^$E$43-1))</x:f>
        <x:v>0</x:v>
      </x:c>
      <x:c r="I110" s="30" t="n">
        <x:f>MAX(0,1-D110-J110)</x:f>
        <x:v>0</x:v>
      </x:c>
      <x:c r="J110" s="2" t="n">
        <x:f>(1-$E$40)*INDEX('Assumptions'!$I$65:$I$101,MIN(C110,36)+1)</x:f>
        <x:v>0.64</x:v>
      </x:c>
      <x:c r="K110" s="2"/>
      <x:c r="L110" s="2"/>
      <x:c r="M110" s="2"/>
      <x:c r="N110" s="2"/>
      <x:c r="O110" s="2"/>
      <x:c r="P110" s="2"/>
      <x:c r="Q110" s="2"/>
      <x:c r="R110" s="2"/>
      <x:c r="S110" s="2"/>
      <x:c r="T110" s="2"/>
      <x:c r="U110" s="2"/>
      <x:c r="V110" s="2"/>
      <x:c r="W110" s="2"/>
      <x:c r="X110" s="2"/>
      <x:c r="Y110" s="2"/>
      <x:c r="Z110" s="2"/>
      <x:c r="AA110" s="2"/>
      <x:c r="AB110" s="2"/>
      <x:c r="AC110" s="2"/>
      <x:c r="AD110" s="2"/>
      <x:c r="AE110" s="2"/>
      <x:c r="AF110" s="2"/>
      <x:c r="AG110" s="2"/>
      <x:c r="AH110" s="2"/>
      <x:c r="AI110" s="2"/>
      <x:c r="AJ110" s="2"/>
      <x:c r="AK110" s="2"/>
      <x:c r="AL110" s="2"/>
      <x:c r="AM110" s="2"/>
      <x:c r="AN110" s="2"/>
      <x:c r="AO110" s="2"/>
      <x:c r="AP110" s="2"/>
      <x:c r="AQ110" s="2"/>
      <x:c r="AR110" s="2"/>
      <x:c r="AS110" s="2"/>
      <x:c r="AT110" s="2"/>
      <x:c r="AU110" s="2"/>
      <x:c r="AV110" s="2"/>
      <x:c r="AW110" s="2"/>
      <x:c r="AX110" s="2"/>
      <x:c r="AY110" s="2"/>
      <x:c r="AZ110" s="2"/>
      <x:c r="BA110" s="2"/>
      <x:c r="BB110" s="2"/>
      <x:c r="BC110" s="2"/>
      <x:c r="BD110" s="2"/>
      <x:c r="BE110" s="2"/>
      <x:c r="BF110" s="2"/>
      <x:c r="BG110" s="2"/>
      <x:c r="BH110" s="2"/>
      <x:c r="BI110" s="2"/>
      <x:c r="BJ110" s="2"/>
      <x:c r="BK110" s="2"/>
      <x:c r="BL110" s="2"/>
      <x:c r="BM110" s="2"/>
      <x:c r="BN110" s="2"/>
      <x:c r="BO110" s="2"/>
      <x:c r="BP110" s="2"/>
      <x:c r="BQ110" s="2"/>
      <x:c r="BR110" s="2"/>
      <x:c r="BS110" s="2"/>
      <x:c r="BT110" s="2"/>
      <x:c r="BU110" s="2"/>
      <x:c r="BV110" s="2"/>
      <x:c r="BW110" s="2"/>
      <x:c r="BX110" s="2"/>
      <x:c r="BY110" s="2"/>
      <x:c r="BZ110" s="2"/>
      <x:c r="CA110" s="2"/>
      <x:c r="CB110" s="2"/>
      <x:c r="CC110" s="2"/>
      <x:c r="CD110" s="2"/>
      <x:c r="CE110" s="2"/>
      <x:c r="CF110" s="2"/>
      <x:c r="CG110" s="2"/>
      <x:c r="CH110" s="2"/>
      <x:c r="CI110" s="2"/>
      <x:c r="CJ110" s="2"/>
      <x:c r="CK110" s="2"/>
      <x:c r="CL110" s="2"/>
      <x:c r="CM110" s="2"/>
      <x:c r="CN110" s="2"/>
      <x:c r="CO110" s="2"/>
      <x:c r="CP110" s="2"/>
      <x:c r="CQ110" s="2"/>
      <x:c r="CR110" s="2"/>
      <x:c r="CS110" s="2"/>
      <x:c r="CT110" s="2"/>
      <x:c r="CU110" s="2"/>
      <x:c r="CV110" s="2"/>
      <x:c r="CW110" s="2"/>
      <x:c r="CX110" s="2"/>
      <x:c r="CY110" s="2"/>
    </x:row>
    <x:row r="111" ht="19" customHeight="1">
      <x:c r="A111" s="1"/>
      <x:c r="B111" s="1"/>
      <x:c r="C111" s="2" t="n">
        <x:v>60</x:v>
      </x:c>
      <x:c r="D111" s="30" t="n">
        <x:f>$E$40*INDEX('Assumptions'!$F$65:$F$101,MIN(C111,36)+1)</x:f>
        <x:v>0.36</x:v>
      </x:c>
      <x:c r="E111" s="30" t="n">
        <x:f>(D111-D110)*H110</x:f>
        <x:v>0</x:v>
      </x:c>
      <x:c r="F111" s="30" t="n">
        <x:f>(1-D111-J110)*(H110-H111)+(J111-J110)*H111</x:f>
        <x:v>0</x:v>
      </x:c>
      <x:c r="G111" s="30" t="n">
        <x:f>SUM(E112:E147)</x:f>
        <x:v>0</x:v>
      </x:c>
      <x:c r="H111" s="30" t="n">
        <x:f>IF($E$42=0,1-MIN(C111,$E$43)/$E$43,((1+$E$42)^$E$43-(1+$E$42)^MIN(C111,$E$43))/((1+$E$42)^$E$43-1))</x:f>
        <x:v>0</x:v>
      </x:c>
      <x:c r="I111" s="30" t="n">
        <x:f>MAX(0,1-D111-J111)</x:f>
        <x:v>0</x:v>
      </x:c>
      <x:c r="J111" s="2" t="n">
        <x:f>(1-$E$40)*INDEX('Assumptions'!$I$65:$I$101,MIN(C111,36)+1)</x:f>
        <x:v>0.64</x:v>
      </x:c>
      <x:c r="K111" s="2"/>
      <x:c r="L111" s="2"/>
      <x:c r="M111" s="2"/>
      <x:c r="N111" s="2"/>
      <x:c r="O111" s="2"/>
      <x:c r="P111" s="2"/>
      <x:c r="Q111" s="2"/>
      <x:c r="R111" s="2"/>
      <x:c r="S111" s="2"/>
      <x:c r="T111" s="2"/>
      <x:c r="U111" s="2"/>
      <x:c r="V111" s="2"/>
      <x:c r="W111" s="2"/>
      <x:c r="X111" s="2"/>
      <x:c r="Y111" s="2"/>
      <x:c r="Z111" s="2"/>
      <x:c r="AA111" s="2"/>
      <x:c r="AB111" s="2"/>
      <x:c r="AC111" s="2"/>
      <x:c r="AD111" s="2"/>
      <x:c r="AE111" s="2"/>
      <x:c r="AF111" s="2"/>
      <x:c r="AG111" s="2"/>
      <x:c r="AH111" s="2"/>
      <x:c r="AI111" s="2"/>
      <x:c r="AJ111" s="2"/>
      <x:c r="AK111" s="2"/>
      <x:c r="AL111" s="2"/>
      <x:c r="AM111" s="2"/>
      <x:c r="AN111" s="2"/>
      <x:c r="AO111" s="2"/>
      <x:c r="AP111" s="2"/>
      <x:c r="AQ111" s="2"/>
      <x:c r="AR111" s="2"/>
      <x:c r="AS111" s="2"/>
      <x:c r="AT111" s="2"/>
      <x:c r="AU111" s="2"/>
      <x:c r="AV111" s="2"/>
      <x:c r="AW111" s="2"/>
      <x:c r="AX111" s="2"/>
      <x:c r="AY111" s="2"/>
      <x:c r="AZ111" s="2"/>
      <x:c r="BA111" s="2"/>
      <x:c r="BB111" s="2"/>
      <x:c r="BC111" s="2"/>
      <x:c r="BD111" s="2"/>
      <x:c r="BE111" s="2"/>
      <x:c r="BF111" s="2"/>
      <x:c r="BG111" s="2"/>
      <x:c r="BH111" s="2"/>
      <x:c r="BI111" s="2"/>
      <x:c r="BJ111" s="2"/>
      <x:c r="BK111" s="2"/>
      <x:c r="BL111" s="2"/>
      <x:c r="BM111" s="2"/>
      <x:c r="BN111" s="2"/>
      <x:c r="BO111" s="2"/>
      <x:c r="BP111" s="2"/>
      <x:c r="BQ111" s="2"/>
      <x:c r="BR111" s="2"/>
      <x:c r="BS111" s="2"/>
      <x:c r="BT111" s="2"/>
      <x:c r="BU111" s="2"/>
      <x:c r="BV111" s="2"/>
      <x:c r="BW111" s="2"/>
      <x:c r="BX111" s="2"/>
      <x:c r="BY111" s="2"/>
      <x:c r="BZ111" s="2"/>
      <x:c r="CA111" s="2"/>
      <x:c r="CB111" s="2"/>
      <x:c r="CC111" s="2"/>
      <x:c r="CD111" s="2"/>
      <x:c r="CE111" s="2"/>
      <x:c r="CF111" s="2"/>
      <x:c r="CG111" s="2"/>
      <x:c r="CH111" s="2"/>
      <x:c r="CI111" s="2"/>
      <x:c r="CJ111" s="2"/>
      <x:c r="CK111" s="2"/>
      <x:c r="CL111" s="2"/>
      <x:c r="CM111" s="2"/>
      <x:c r="CN111" s="2"/>
      <x:c r="CO111" s="2"/>
      <x:c r="CP111" s="2"/>
      <x:c r="CQ111" s="2"/>
      <x:c r="CR111" s="2"/>
      <x:c r="CS111" s="2"/>
      <x:c r="CT111" s="2"/>
      <x:c r="CU111" s="2"/>
      <x:c r="CV111" s="2"/>
      <x:c r="CW111" s="2"/>
      <x:c r="CX111" s="2"/>
      <x:c r="CY111" s="2"/>
    </x:row>
    <x:row r="112" ht="19" customHeight="1">
      <x:c r="A112" s="1"/>
      <x:c r="B112" s="1"/>
      <x:c r="C112" s="2" t="n">
        <x:v>61</x:v>
      </x:c>
      <x:c r="D112" s="30" t="n">
        <x:f>$E$40*INDEX('Assumptions'!$F$65:$F$101,MIN(C112,36)+1)</x:f>
        <x:v>0.36</x:v>
      </x:c>
      <x:c r="E112" s="30" t="n">
        <x:f>(D112-D111)*H111</x:f>
        <x:v>0</x:v>
      </x:c>
      <x:c r="F112" s="30" t="n">
        <x:f>(1-D112-J111)*(H111-H112)+(J112-J111)*H112</x:f>
        <x:v>0</x:v>
      </x:c>
      <x:c r="G112" s="30" t="n">
        <x:f>SUM(E113:E147)</x:f>
        <x:v>0</x:v>
      </x:c>
      <x:c r="H112" s="30" t="n">
        <x:f>IF($E$42=0,1-MIN(C112,$E$43)/$E$43,((1+$E$42)^$E$43-(1+$E$42)^MIN(C112,$E$43))/((1+$E$42)^$E$43-1))</x:f>
        <x:v>0</x:v>
      </x:c>
      <x:c r="I112" s="30" t="n">
        <x:f>MAX(0,1-D112-J112)</x:f>
        <x:v>0</x:v>
      </x:c>
      <x:c r="J112" s="2" t="n">
        <x:f>(1-$E$40)*INDEX('Assumptions'!$I$65:$I$101,MIN(C112,36)+1)</x:f>
        <x:v>0.64</x:v>
      </x:c>
      <x:c r="K112" s="2"/>
      <x:c r="L112" s="2"/>
      <x:c r="M112" s="2"/>
      <x:c r="N112" s="2"/>
      <x:c r="O112" s="2"/>
      <x:c r="P112" s="2"/>
      <x:c r="Q112" s="2"/>
      <x:c r="R112" s="2"/>
      <x:c r="S112" s="2"/>
      <x:c r="T112" s="2"/>
      <x:c r="U112" s="2"/>
      <x:c r="V112" s="2"/>
      <x:c r="W112" s="2"/>
      <x:c r="X112" s="2"/>
      <x:c r="Y112" s="2"/>
      <x:c r="Z112" s="2"/>
      <x:c r="AA112" s="2"/>
      <x:c r="AB112" s="2"/>
      <x:c r="AC112" s="2"/>
      <x:c r="AD112" s="2"/>
      <x:c r="AE112" s="2"/>
      <x:c r="AF112" s="2"/>
      <x:c r="AG112" s="2"/>
      <x:c r="AH112" s="2"/>
      <x:c r="AI112" s="2"/>
      <x:c r="AJ112" s="2"/>
      <x:c r="AK112" s="2"/>
      <x:c r="AL112" s="2"/>
      <x:c r="AM112" s="2"/>
      <x:c r="AN112" s="2"/>
      <x:c r="AO112" s="2"/>
      <x:c r="AP112" s="2"/>
      <x:c r="AQ112" s="2"/>
      <x:c r="AR112" s="2"/>
      <x:c r="AS112" s="2"/>
      <x:c r="AT112" s="2"/>
      <x:c r="AU112" s="2"/>
      <x:c r="AV112" s="2"/>
      <x:c r="AW112" s="2"/>
      <x:c r="AX112" s="2"/>
      <x:c r="AY112" s="2"/>
      <x:c r="AZ112" s="2"/>
      <x:c r="BA112" s="2"/>
      <x:c r="BB112" s="2"/>
      <x:c r="BC112" s="2"/>
      <x:c r="BD112" s="2"/>
      <x:c r="BE112" s="2"/>
      <x:c r="BF112" s="2"/>
      <x:c r="BG112" s="2"/>
      <x:c r="BH112" s="2"/>
      <x:c r="BI112" s="2"/>
      <x:c r="BJ112" s="2"/>
      <x:c r="BK112" s="2"/>
      <x:c r="BL112" s="2"/>
      <x:c r="BM112" s="2"/>
      <x:c r="BN112" s="2"/>
      <x:c r="BO112" s="2"/>
      <x:c r="BP112" s="2"/>
      <x:c r="BQ112" s="2"/>
      <x:c r="BR112" s="2"/>
      <x:c r="BS112" s="2"/>
      <x:c r="BT112" s="2"/>
      <x:c r="BU112" s="2"/>
      <x:c r="BV112" s="2"/>
      <x:c r="BW112" s="2"/>
      <x:c r="BX112" s="2"/>
      <x:c r="BY112" s="2"/>
      <x:c r="BZ112" s="2"/>
      <x:c r="CA112" s="2"/>
      <x:c r="CB112" s="2"/>
      <x:c r="CC112" s="2"/>
      <x:c r="CD112" s="2"/>
      <x:c r="CE112" s="2"/>
      <x:c r="CF112" s="2"/>
      <x:c r="CG112" s="2"/>
      <x:c r="CH112" s="2"/>
      <x:c r="CI112" s="2"/>
      <x:c r="CJ112" s="2"/>
      <x:c r="CK112" s="2"/>
      <x:c r="CL112" s="2"/>
      <x:c r="CM112" s="2"/>
      <x:c r="CN112" s="2"/>
      <x:c r="CO112" s="2"/>
      <x:c r="CP112" s="2"/>
      <x:c r="CQ112" s="2"/>
      <x:c r="CR112" s="2"/>
      <x:c r="CS112" s="2"/>
      <x:c r="CT112" s="2"/>
      <x:c r="CU112" s="2"/>
      <x:c r="CV112" s="2"/>
      <x:c r="CW112" s="2"/>
      <x:c r="CX112" s="2"/>
      <x:c r="CY112" s="2"/>
    </x:row>
    <x:row r="113" ht="19" customHeight="1">
      <x:c r="A113" s="1"/>
      <x:c r="B113" s="1"/>
      <x:c r="C113" s="2" t="n">
        <x:v>62</x:v>
      </x:c>
      <x:c r="D113" s="30" t="n">
        <x:f>$E$40*INDEX('Assumptions'!$F$65:$F$101,MIN(C113,36)+1)</x:f>
        <x:v>0.36</x:v>
      </x:c>
      <x:c r="E113" s="30" t="n">
        <x:f>(D113-D112)*H112</x:f>
        <x:v>0</x:v>
      </x:c>
      <x:c r="F113" s="30" t="n">
        <x:f>(1-D113-J112)*(H112-H113)+(J113-J112)*H113</x:f>
        <x:v>0</x:v>
      </x:c>
      <x:c r="G113" s="30" t="n">
        <x:f>SUM(E114:E147)</x:f>
        <x:v>0</x:v>
      </x:c>
      <x:c r="H113" s="30" t="n">
        <x:f>IF($E$42=0,1-MIN(C113,$E$43)/$E$43,((1+$E$42)^$E$43-(1+$E$42)^MIN(C113,$E$43))/((1+$E$42)^$E$43-1))</x:f>
        <x:v>0</x:v>
      </x:c>
      <x:c r="I113" s="30" t="n">
        <x:f>MAX(0,1-D113-J113)</x:f>
        <x:v>0</x:v>
      </x:c>
      <x:c r="J113" s="2" t="n">
        <x:f>(1-$E$40)*INDEX('Assumptions'!$I$65:$I$101,MIN(C113,36)+1)</x:f>
        <x:v>0.64</x:v>
      </x:c>
      <x:c r="K113" s="2"/>
      <x:c r="L113" s="2"/>
      <x:c r="M113" s="2"/>
      <x:c r="N113" s="2"/>
      <x:c r="O113" s="2"/>
      <x:c r="P113" s="2"/>
      <x:c r="Q113" s="2"/>
      <x:c r="R113" s="2"/>
      <x:c r="S113" s="2"/>
      <x:c r="T113" s="2"/>
      <x:c r="U113" s="2"/>
      <x:c r="V113" s="2"/>
      <x:c r="W113" s="2"/>
      <x:c r="X113" s="2"/>
      <x:c r="Y113" s="2"/>
      <x:c r="Z113" s="2"/>
      <x:c r="AA113" s="2"/>
      <x:c r="AB113" s="2"/>
      <x:c r="AC113" s="2"/>
      <x:c r="AD113" s="2"/>
      <x:c r="AE113" s="2"/>
      <x:c r="AF113" s="2"/>
      <x:c r="AG113" s="2"/>
      <x:c r="AH113" s="2"/>
      <x:c r="AI113" s="2"/>
      <x:c r="AJ113" s="2"/>
      <x:c r="AK113" s="2"/>
      <x:c r="AL113" s="2"/>
      <x:c r="AM113" s="2"/>
      <x:c r="AN113" s="2"/>
      <x:c r="AO113" s="2"/>
      <x:c r="AP113" s="2"/>
      <x:c r="AQ113" s="2"/>
      <x:c r="AR113" s="2"/>
      <x:c r="AS113" s="2"/>
      <x:c r="AT113" s="2"/>
      <x:c r="AU113" s="2"/>
      <x:c r="AV113" s="2"/>
      <x:c r="AW113" s="2"/>
      <x:c r="AX113" s="2"/>
      <x:c r="AY113" s="2"/>
      <x:c r="AZ113" s="2"/>
      <x:c r="BA113" s="2"/>
      <x:c r="BB113" s="2"/>
      <x:c r="BC113" s="2"/>
      <x:c r="BD113" s="2"/>
      <x:c r="BE113" s="2"/>
      <x:c r="BF113" s="2"/>
      <x:c r="BG113" s="2"/>
      <x:c r="BH113" s="2"/>
      <x:c r="BI113" s="2"/>
      <x:c r="BJ113" s="2"/>
      <x:c r="BK113" s="2"/>
      <x:c r="BL113" s="2"/>
      <x:c r="BM113" s="2"/>
      <x:c r="BN113" s="2"/>
      <x:c r="BO113" s="2"/>
      <x:c r="BP113" s="2"/>
      <x:c r="BQ113" s="2"/>
      <x:c r="BR113" s="2"/>
      <x:c r="BS113" s="2"/>
      <x:c r="BT113" s="2"/>
      <x:c r="BU113" s="2"/>
      <x:c r="BV113" s="2"/>
      <x:c r="BW113" s="2"/>
      <x:c r="BX113" s="2"/>
      <x:c r="BY113" s="2"/>
      <x:c r="BZ113" s="2"/>
      <x:c r="CA113" s="2"/>
      <x:c r="CB113" s="2"/>
      <x:c r="CC113" s="2"/>
      <x:c r="CD113" s="2"/>
      <x:c r="CE113" s="2"/>
      <x:c r="CF113" s="2"/>
      <x:c r="CG113" s="2"/>
      <x:c r="CH113" s="2"/>
      <x:c r="CI113" s="2"/>
      <x:c r="CJ113" s="2"/>
      <x:c r="CK113" s="2"/>
      <x:c r="CL113" s="2"/>
      <x:c r="CM113" s="2"/>
      <x:c r="CN113" s="2"/>
      <x:c r="CO113" s="2"/>
      <x:c r="CP113" s="2"/>
      <x:c r="CQ113" s="2"/>
      <x:c r="CR113" s="2"/>
      <x:c r="CS113" s="2"/>
      <x:c r="CT113" s="2"/>
      <x:c r="CU113" s="2"/>
      <x:c r="CV113" s="2"/>
      <x:c r="CW113" s="2"/>
      <x:c r="CX113" s="2"/>
      <x:c r="CY113" s="2"/>
    </x:row>
    <x:row r="114" ht="19" customHeight="1">
      <x:c r="A114" s="1"/>
      <x:c r="B114" s="1"/>
      <x:c r="C114" s="2" t="n">
        <x:v>63</x:v>
      </x:c>
      <x:c r="D114" s="30" t="n">
        <x:f>$E$40*INDEX('Assumptions'!$F$65:$F$101,MIN(C114,36)+1)</x:f>
        <x:v>0.36</x:v>
      </x:c>
      <x:c r="E114" s="30" t="n">
        <x:f>(D114-D113)*H113</x:f>
        <x:v>0</x:v>
      </x:c>
      <x:c r="F114" s="30" t="n">
        <x:f>(1-D114-J113)*(H113-H114)+(J114-J113)*H114</x:f>
        <x:v>0</x:v>
      </x:c>
      <x:c r="G114" s="30" t="n">
        <x:f>SUM(E115:E147)</x:f>
        <x:v>0</x:v>
      </x:c>
      <x:c r="H114" s="30" t="n">
        <x:f>IF($E$42=0,1-MIN(C114,$E$43)/$E$43,((1+$E$42)^$E$43-(1+$E$42)^MIN(C114,$E$43))/((1+$E$42)^$E$43-1))</x:f>
        <x:v>0</x:v>
      </x:c>
      <x:c r="I114" s="30" t="n">
        <x:f>MAX(0,1-D114-J114)</x:f>
        <x:v>0</x:v>
      </x:c>
      <x:c r="J114" s="2" t="n">
        <x:f>(1-$E$40)*INDEX('Assumptions'!$I$65:$I$101,MIN(C114,36)+1)</x:f>
        <x:v>0.64</x:v>
      </x:c>
      <x:c r="K114" s="2"/>
      <x:c r="L114" s="2"/>
      <x:c r="M114" s="2"/>
      <x:c r="N114" s="2"/>
      <x:c r="O114" s="2"/>
      <x:c r="P114" s="2"/>
      <x:c r="Q114" s="2"/>
      <x:c r="R114" s="2"/>
      <x:c r="S114" s="2"/>
      <x:c r="T114" s="2"/>
      <x:c r="U114" s="2"/>
      <x:c r="V114" s="2"/>
      <x:c r="W114" s="2"/>
      <x:c r="X114" s="2"/>
      <x:c r="Y114" s="2"/>
      <x:c r="Z114" s="2"/>
      <x:c r="AA114" s="2"/>
      <x:c r="AB114" s="2"/>
      <x:c r="AC114" s="2"/>
      <x:c r="AD114" s="2"/>
      <x:c r="AE114" s="2"/>
      <x:c r="AF114" s="2"/>
      <x:c r="AG114" s="2"/>
      <x:c r="AH114" s="2"/>
      <x:c r="AI114" s="2"/>
      <x:c r="AJ114" s="2"/>
      <x:c r="AK114" s="2"/>
      <x:c r="AL114" s="2"/>
      <x:c r="AM114" s="2"/>
      <x:c r="AN114" s="2"/>
      <x:c r="AO114" s="2"/>
      <x:c r="AP114" s="2"/>
      <x:c r="AQ114" s="2"/>
      <x:c r="AR114" s="2"/>
      <x:c r="AS114" s="2"/>
      <x:c r="AT114" s="2"/>
      <x:c r="AU114" s="2"/>
      <x:c r="AV114" s="2"/>
      <x:c r="AW114" s="2"/>
      <x:c r="AX114" s="2"/>
      <x:c r="AY114" s="2"/>
      <x:c r="AZ114" s="2"/>
      <x:c r="BA114" s="2"/>
      <x:c r="BB114" s="2"/>
      <x:c r="BC114" s="2"/>
      <x:c r="BD114" s="2"/>
      <x:c r="BE114" s="2"/>
      <x:c r="BF114" s="2"/>
      <x:c r="BG114" s="2"/>
      <x:c r="BH114" s="2"/>
      <x:c r="BI114" s="2"/>
      <x:c r="BJ114" s="2"/>
      <x:c r="BK114" s="2"/>
      <x:c r="BL114" s="2"/>
      <x:c r="BM114" s="2"/>
      <x:c r="BN114" s="2"/>
      <x:c r="BO114" s="2"/>
      <x:c r="BP114" s="2"/>
      <x:c r="BQ114" s="2"/>
      <x:c r="BR114" s="2"/>
      <x:c r="BS114" s="2"/>
      <x:c r="BT114" s="2"/>
      <x:c r="BU114" s="2"/>
      <x:c r="BV114" s="2"/>
      <x:c r="BW114" s="2"/>
      <x:c r="BX114" s="2"/>
      <x:c r="BY114" s="2"/>
      <x:c r="BZ114" s="2"/>
      <x:c r="CA114" s="2"/>
      <x:c r="CB114" s="2"/>
      <x:c r="CC114" s="2"/>
      <x:c r="CD114" s="2"/>
      <x:c r="CE114" s="2"/>
      <x:c r="CF114" s="2"/>
      <x:c r="CG114" s="2"/>
      <x:c r="CH114" s="2"/>
      <x:c r="CI114" s="2"/>
      <x:c r="CJ114" s="2"/>
      <x:c r="CK114" s="2"/>
      <x:c r="CL114" s="2"/>
      <x:c r="CM114" s="2"/>
      <x:c r="CN114" s="2"/>
      <x:c r="CO114" s="2"/>
      <x:c r="CP114" s="2"/>
      <x:c r="CQ114" s="2"/>
      <x:c r="CR114" s="2"/>
      <x:c r="CS114" s="2"/>
      <x:c r="CT114" s="2"/>
      <x:c r="CU114" s="2"/>
      <x:c r="CV114" s="2"/>
      <x:c r="CW114" s="2"/>
      <x:c r="CX114" s="2"/>
      <x:c r="CY114" s="2"/>
    </x:row>
    <x:row r="115" ht="19" customHeight="1">
      <x:c r="A115" s="1"/>
      <x:c r="B115" s="1"/>
      <x:c r="C115" s="2" t="n">
        <x:v>64</x:v>
      </x:c>
      <x:c r="D115" s="30" t="n">
        <x:f>$E$40*INDEX('Assumptions'!$F$65:$F$101,MIN(C115,36)+1)</x:f>
        <x:v>0.36</x:v>
      </x:c>
      <x:c r="E115" s="30" t="n">
        <x:f>(D115-D114)*H114</x:f>
        <x:v>0</x:v>
      </x:c>
      <x:c r="F115" s="30" t="n">
        <x:f>(1-D115-J114)*(H114-H115)+(J115-J114)*H115</x:f>
        <x:v>0</x:v>
      </x:c>
      <x:c r="G115" s="30" t="n">
        <x:f>SUM(E116:E147)</x:f>
        <x:v>0</x:v>
      </x:c>
      <x:c r="H115" s="30" t="n">
        <x:f>IF($E$42=0,1-MIN(C115,$E$43)/$E$43,((1+$E$42)^$E$43-(1+$E$42)^MIN(C115,$E$43))/((1+$E$42)^$E$43-1))</x:f>
        <x:v>0</x:v>
      </x:c>
      <x:c r="I115" s="30" t="n">
        <x:f>MAX(0,1-D115-J115)</x:f>
        <x:v>0</x:v>
      </x:c>
      <x:c r="J115" s="2" t="n">
        <x:f>(1-$E$40)*INDEX('Assumptions'!$I$65:$I$101,MIN(C115,36)+1)</x:f>
        <x:v>0.64</x:v>
      </x:c>
      <x:c r="K115" s="2"/>
      <x:c r="L115" s="2"/>
      <x:c r="M115" s="2"/>
      <x:c r="N115" s="2"/>
      <x:c r="O115" s="2"/>
      <x:c r="P115" s="2"/>
      <x:c r="Q115" s="2"/>
      <x:c r="R115" s="2"/>
      <x:c r="S115" s="2"/>
      <x:c r="T115" s="2"/>
      <x:c r="U115" s="2"/>
      <x:c r="V115" s="2"/>
      <x:c r="W115" s="2"/>
      <x:c r="X115" s="2"/>
      <x:c r="Y115" s="2"/>
      <x:c r="Z115" s="2"/>
      <x:c r="AA115" s="2"/>
      <x:c r="AB115" s="2"/>
      <x:c r="AC115" s="2"/>
      <x:c r="AD115" s="2"/>
      <x:c r="AE115" s="2"/>
      <x:c r="AF115" s="2"/>
      <x:c r="AG115" s="2"/>
      <x:c r="AH115" s="2"/>
      <x:c r="AI115" s="2"/>
      <x:c r="AJ115" s="2"/>
      <x:c r="AK115" s="2"/>
      <x:c r="AL115" s="2"/>
      <x:c r="AM115" s="2"/>
      <x:c r="AN115" s="2"/>
      <x:c r="AO115" s="2"/>
      <x:c r="AP115" s="2"/>
      <x:c r="AQ115" s="2"/>
      <x:c r="AR115" s="2"/>
      <x:c r="AS115" s="2"/>
      <x:c r="AT115" s="2"/>
      <x:c r="AU115" s="2"/>
      <x:c r="AV115" s="2"/>
      <x:c r="AW115" s="2"/>
      <x:c r="AX115" s="2"/>
      <x:c r="AY115" s="2"/>
      <x:c r="AZ115" s="2"/>
      <x:c r="BA115" s="2"/>
      <x:c r="BB115" s="2"/>
      <x:c r="BC115" s="2"/>
      <x:c r="BD115" s="2"/>
      <x:c r="BE115" s="2"/>
      <x:c r="BF115" s="2"/>
      <x:c r="BG115" s="2"/>
      <x:c r="BH115" s="2"/>
      <x:c r="BI115" s="2"/>
      <x:c r="BJ115" s="2"/>
      <x:c r="BK115" s="2"/>
      <x:c r="BL115" s="2"/>
      <x:c r="BM115" s="2"/>
      <x:c r="BN115" s="2"/>
      <x:c r="BO115" s="2"/>
      <x:c r="BP115" s="2"/>
      <x:c r="BQ115" s="2"/>
      <x:c r="BR115" s="2"/>
      <x:c r="BS115" s="2"/>
      <x:c r="BT115" s="2"/>
      <x:c r="BU115" s="2"/>
      <x:c r="BV115" s="2"/>
      <x:c r="BW115" s="2"/>
      <x:c r="BX115" s="2"/>
      <x:c r="BY115" s="2"/>
      <x:c r="BZ115" s="2"/>
      <x:c r="CA115" s="2"/>
      <x:c r="CB115" s="2"/>
      <x:c r="CC115" s="2"/>
      <x:c r="CD115" s="2"/>
      <x:c r="CE115" s="2"/>
      <x:c r="CF115" s="2"/>
      <x:c r="CG115" s="2"/>
      <x:c r="CH115" s="2"/>
      <x:c r="CI115" s="2"/>
      <x:c r="CJ115" s="2"/>
      <x:c r="CK115" s="2"/>
      <x:c r="CL115" s="2"/>
      <x:c r="CM115" s="2"/>
      <x:c r="CN115" s="2"/>
      <x:c r="CO115" s="2"/>
      <x:c r="CP115" s="2"/>
      <x:c r="CQ115" s="2"/>
      <x:c r="CR115" s="2"/>
      <x:c r="CS115" s="2"/>
      <x:c r="CT115" s="2"/>
      <x:c r="CU115" s="2"/>
      <x:c r="CV115" s="2"/>
      <x:c r="CW115" s="2"/>
      <x:c r="CX115" s="2"/>
      <x:c r="CY115" s="2"/>
    </x:row>
    <x:row r="116" ht="19" customHeight="1">
      <x:c r="A116" s="1"/>
      <x:c r="B116" s="1"/>
      <x:c r="C116" s="2" t="n">
        <x:v>65</x:v>
      </x:c>
      <x:c r="D116" s="30" t="n">
        <x:f>$E$40*INDEX('Assumptions'!$F$65:$F$101,MIN(C116,36)+1)</x:f>
        <x:v>0.36</x:v>
      </x:c>
      <x:c r="E116" s="30" t="n">
        <x:f>(D116-D115)*H115</x:f>
        <x:v>0</x:v>
      </x:c>
      <x:c r="F116" s="30" t="n">
        <x:f>(1-D116-J115)*(H115-H116)+(J116-J115)*H116</x:f>
        <x:v>0</x:v>
      </x:c>
      <x:c r="G116" s="30" t="n">
        <x:f>SUM(E117:E147)</x:f>
        <x:v>0</x:v>
      </x:c>
      <x:c r="H116" s="30" t="n">
        <x:f>IF($E$42=0,1-MIN(C116,$E$43)/$E$43,((1+$E$42)^$E$43-(1+$E$42)^MIN(C116,$E$43))/((1+$E$42)^$E$43-1))</x:f>
        <x:v>0</x:v>
      </x:c>
      <x:c r="I116" s="30" t="n">
        <x:f>MAX(0,1-D116-J116)</x:f>
        <x:v>0</x:v>
      </x:c>
      <x:c r="J116" s="2" t="n">
        <x:f>(1-$E$40)*INDEX('Assumptions'!$I$65:$I$101,MIN(C116,36)+1)</x:f>
        <x:v>0.64</x:v>
      </x:c>
      <x:c r="K116" s="2"/>
      <x:c r="L116" s="2"/>
      <x:c r="M116" s="2"/>
      <x:c r="N116" s="2"/>
      <x:c r="O116" s="2"/>
      <x:c r="P116" s="2"/>
      <x:c r="Q116" s="2"/>
      <x:c r="R116" s="2"/>
      <x:c r="S116" s="2"/>
      <x:c r="T116" s="2"/>
      <x:c r="U116" s="2"/>
      <x:c r="V116" s="2"/>
      <x:c r="W116" s="2"/>
      <x:c r="X116" s="2"/>
      <x:c r="Y116" s="2"/>
      <x:c r="Z116" s="2"/>
      <x:c r="AA116" s="2"/>
      <x:c r="AB116" s="2"/>
      <x:c r="AC116" s="2"/>
      <x:c r="AD116" s="2"/>
      <x:c r="AE116" s="2"/>
      <x:c r="AF116" s="2"/>
      <x:c r="AG116" s="2"/>
      <x:c r="AH116" s="2"/>
      <x:c r="AI116" s="2"/>
      <x:c r="AJ116" s="2"/>
      <x:c r="AK116" s="2"/>
      <x:c r="AL116" s="2"/>
      <x:c r="AM116" s="2"/>
      <x:c r="AN116" s="2"/>
      <x:c r="AO116" s="2"/>
      <x:c r="AP116" s="2"/>
      <x:c r="AQ116" s="2"/>
      <x:c r="AR116" s="2"/>
      <x:c r="AS116" s="2"/>
      <x:c r="AT116" s="2"/>
      <x:c r="AU116" s="2"/>
      <x:c r="AV116" s="2"/>
      <x:c r="AW116" s="2"/>
      <x:c r="AX116" s="2"/>
      <x:c r="AY116" s="2"/>
      <x:c r="AZ116" s="2"/>
      <x:c r="BA116" s="2"/>
      <x:c r="BB116" s="2"/>
      <x:c r="BC116" s="2"/>
      <x:c r="BD116" s="2"/>
      <x:c r="BE116" s="2"/>
      <x:c r="BF116" s="2"/>
      <x:c r="BG116" s="2"/>
      <x:c r="BH116" s="2"/>
      <x:c r="BI116" s="2"/>
      <x:c r="BJ116" s="2"/>
      <x:c r="BK116" s="2"/>
      <x:c r="BL116" s="2"/>
      <x:c r="BM116" s="2"/>
      <x:c r="BN116" s="2"/>
      <x:c r="BO116" s="2"/>
      <x:c r="BP116" s="2"/>
      <x:c r="BQ116" s="2"/>
      <x:c r="BR116" s="2"/>
      <x:c r="BS116" s="2"/>
      <x:c r="BT116" s="2"/>
      <x:c r="BU116" s="2"/>
      <x:c r="BV116" s="2"/>
      <x:c r="BW116" s="2"/>
      <x:c r="BX116" s="2"/>
      <x:c r="BY116" s="2"/>
      <x:c r="BZ116" s="2"/>
      <x:c r="CA116" s="2"/>
      <x:c r="CB116" s="2"/>
      <x:c r="CC116" s="2"/>
      <x:c r="CD116" s="2"/>
      <x:c r="CE116" s="2"/>
      <x:c r="CF116" s="2"/>
      <x:c r="CG116" s="2"/>
      <x:c r="CH116" s="2"/>
      <x:c r="CI116" s="2"/>
      <x:c r="CJ116" s="2"/>
      <x:c r="CK116" s="2"/>
      <x:c r="CL116" s="2"/>
      <x:c r="CM116" s="2"/>
      <x:c r="CN116" s="2"/>
      <x:c r="CO116" s="2"/>
      <x:c r="CP116" s="2"/>
      <x:c r="CQ116" s="2"/>
      <x:c r="CR116" s="2"/>
      <x:c r="CS116" s="2"/>
      <x:c r="CT116" s="2"/>
      <x:c r="CU116" s="2"/>
      <x:c r="CV116" s="2"/>
      <x:c r="CW116" s="2"/>
      <x:c r="CX116" s="2"/>
      <x:c r="CY116" s="2"/>
    </x:row>
    <x:row r="117" ht="19" customHeight="1">
      <x:c r="A117" s="1"/>
      <x:c r="B117" s="1"/>
      <x:c r="C117" s="2" t="n">
        <x:v>66</x:v>
      </x:c>
      <x:c r="D117" s="30" t="n">
        <x:f>$E$40*INDEX('Assumptions'!$F$65:$F$101,MIN(C117,36)+1)</x:f>
        <x:v>0.36</x:v>
      </x:c>
      <x:c r="E117" s="30" t="n">
        <x:f>(D117-D116)*H116</x:f>
        <x:v>0</x:v>
      </x:c>
      <x:c r="F117" s="30" t="n">
        <x:f>(1-D117-J116)*(H116-H117)+(J117-J116)*H117</x:f>
        <x:v>0</x:v>
      </x:c>
      <x:c r="G117" s="30" t="n">
        <x:f>SUM(E118:E147)</x:f>
        <x:v>0</x:v>
      </x:c>
      <x:c r="H117" s="30" t="n">
        <x:f>IF($E$42=0,1-MIN(C117,$E$43)/$E$43,((1+$E$42)^$E$43-(1+$E$42)^MIN(C117,$E$43))/((1+$E$42)^$E$43-1))</x:f>
        <x:v>0</x:v>
      </x:c>
      <x:c r="I117" s="30" t="n">
        <x:f>MAX(0,1-D117-J117)</x:f>
        <x:v>0</x:v>
      </x:c>
      <x:c r="J117" s="2" t="n">
        <x:f>(1-$E$40)*INDEX('Assumptions'!$I$65:$I$101,MIN(C117,36)+1)</x:f>
        <x:v>0.64</x:v>
      </x:c>
      <x:c r="K117" s="2"/>
      <x:c r="L117" s="2"/>
      <x:c r="M117" s="2"/>
      <x:c r="N117" s="2"/>
      <x:c r="O117" s="2"/>
      <x:c r="P117" s="2"/>
      <x:c r="Q117" s="2"/>
      <x:c r="R117" s="2"/>
      <x:c r="S117" s="2"/>
      <x:c r="T117" s="2"/>
      <x:c r="U117" s="2"/>
      <x:c r="V117" s="2"/>
      <x:c r="W117" s="2"/>
      <x:c r="X117" s="2"/>
      <x:c r="Y117" s="2"/>
      <x:c r="Z117" s="2"/>
      <x:c r="AA117" s="2"/>
      <x:c r="AB117" s="2"/>
      <x:c r="AC117" s="2"/>
      <x:c r="AD117" s="2"/>
      <x:c r="AE117" s="2"/>
      <x:c r="AF117" s="2"/>
      <x:c r="AG117" s="2"/>
      <x:c r="AH117" s="2"/>
      <x:c r="AI117" s="2"/>
      <x:c r="AJ117" s="2"/>
      <x:c r="AK117" s="2"/>
      <x:c r="AL117" s="2"/>
      <x:c r="AM117" s="2"/>
      <x:c r="AN117" s="2"/>
      <x:c r="AO117" s="2"/>
      <x:c r="AP117" s="2"/>
      <x:c r="AQ117" s="2"/>
      <x:c r="AR117" s="2"/>
      <x:c r="AS117" s="2"/>
      <x:c r="AT117" s="2"/>
      <x:c r="AU117" s="2"/>
      <x:c r="AV117" s="2"/>
      <x:c r="AW117" s="2"/>
      <x:c r="AX117" s="2"/>
      <x:c r="AY117" s="2"/>
      <x:c r="AZ117" s="2"/>
      <x:c r="BA117" s="2"/>
      <x:c r="BB117" s="2"/>
      <x:c r="BC117" s="2"/>
      <x:c r="BD117" s="2"/>
      <x:c r="BE117" s="2"/>
      <x:c r="BF117" s="2"/>
      <x:c r="BG117" s="2"/>
      <x:c r="BH117" s="2"/>
      <x:c r="BI117" s="2"/>
      <x:c r="BJ117" s="2"/>
      <x:c r="BK117" s="2"/>
      <x:c r="BL117" s="2"/>
      <x:c r="BM117" s="2"/>
      <x:c r="BN117" s="2"/>
      <x:c r="BO117" s="2"/>
      <x:c r="BP117" s="2"/>
      <x:c r="BQ117" s="2"/>
      <x:c r="BR117" s="2"/>
      <x:c r="BS117" s="2"/>
      <x:c r="BT117" s="2"/>
      <x:c r="BU117" s="2"/>
      <x:c r="BV117" s="2"/>
      <x:c r="BW117" s="2"/>
      <x:c r="BX117" s="2"/>
      <x:c r="BY117" s="2"/>
      <x:c r="BZ117" s="2"/>
      <x:c r="CA117" s="2"/>
      <x:c r="CB117" s="2"/>
      <x:c r="CC117" s="2"/>
      <x:c r="CD117" s="2"/>
      <x:c r="CE117" s="2"/>
      <x:c r="CF117" s="2"/>
      <x:c r="CG117" s="2"/>
      <x:c r="CH117" s="2"/>
      <x:c r="CI117" s="2"/>
      <x:c r="CJ117" s="2"/>
      <x:c r="CK117" s="2"/>
      <x:c r="CL117" s="2"/>
      <x:c r="CM117" s="2"/>
      <x:c r="CN117" s="2"/>
      <x:c r="CO117" s="2"/>
      <x:c r="CP117" s="2"/>
      <x:c r="CQ117" s="2"/>
      <x:c r="CR117" s="2"/>
      <x:c r="CS117" s="2"/>
      <x:c r="CT117" s="2"/>
      <x:c r="CU117" s="2"/>
      <x:c r="CV117" s="2"/>
      <x:c r="CW117" s="2"/>
      <x:c r="CX117" s="2"/>
      <x:c r="CY117" s="2"/>
    </x:row>
    <x:row r="118" ht="19" customHeight="1">
      <x:c r="A118" s="1"/>
      <x:c r="B118" s="1"/>
      <x:c r="C118" s="2" t="n">
        <x:v>67</x:v>
      </x:c>
      <x:c r="D118" s="30" t="n">
        <x:f>$E$40*INDEX('Assumptions'!$F$65:$F$101,MIN(C118,36)+1)</x:f>
        <x:v>0.36</x:v>
      </x:c>
      <x:c r="E118" s="30" t="n">
        <x:f>(D118-D117)*H117</x:f>
        <x:v>0</x:v>
      </x:c>
      <x:c r="F118" s="30" t="n">
        <x:f>(1-D118-J117)*(H117-H118)+(J118-J117)*H118</x:f>
        <x:v>0</x:v>
      </x:c>
      <x:c r="G118" s="30" t="n">
        <x:f>SUM(E119:E147)</x:f>
        <x:v>0</x:v>
      </x:c>
      <x:c r="H118" s="30" t="n">
        <x:f>IF($E$42=0,1-MIN(C118,$E$43)/$E$43,((1+$E$42)^$E$43-(1+$E$42)^MIN(C118,$E$43))/((1+$E$42)^$E$43-1))</x:f>
        <x:v>0</x:v>
      </x:c>
      <x:c r="I118" s="30" t="n">
        <x:f>MAX(0,1-D118-J118)</x:f>
        <x:v>0</x:v>
      </x:c>
      <x:c r="J118" s="2" t="n">
        <x:f>(1-$E$40)*INDEX('Assumptions'!$I$65:$I$101,MIN(C118,36)+1)</x:f>
        <x:v>0.64</x:v>
      </x:c>
      <x:c r="K118" s="2"/>
      <x:c r="L118" s="2"/>
      <x:c r="M118" s="2"/>
      <x:c r="N118" s="2"/>
      <x:c r="O118" s="2"/>
      <x:c r="P118" s="2"/>
      <x:c r="Q118" s="2"/>
      <x:c r="R118" s="2"/>
      <x:c r="S118" s="2"/>
      <x:c r="T118" s="2"/>
      <x:c r="U118" s="2"/>
      <x:c r="V118" s="2"/>
      <x:c r="W118" s="2"/>
      <x:c r="X118" s="2"/>
      <x:c r="Y118" s="2"/>
      <x:c r="Z118" s="2"/>
      <x:c r="AA118" s="2"/>
      <x:c r="AB118" s="2"/>
      <x:c r="AC118" s="2"/>
      <x:c r="AD118" s="2"/>
      <x:c r="AE118" s="2"/>
      <x:c r="AF118" s="2"/>
      <x:c r="AG118" s="2"/>
      <x:c r="AH118" s="2"/>
      <x:c r="AI118" s="2"/>
      <x:c r="AJ118" s="2"/>
      <x:c r="AK118" s="2"/>
      <x:c r="AL118" s="2"/>
      <x:c r="AM118" s="2"/>
      <x:c r="AN118" s="2"/>
      <x:c r="AO118" s="2"/>
      <x:c r="AP118" s="2"/>
      <x:c r="AQ118" s="2"/>
      <x:c r="AR118" s="2"/>
      <x:c r="AS118" s="2"/>
      <x:c r="AT118" s="2"/>
      <x:c r="AU118" s="2"/>
      <x:c r="AV118" s="2"/>
      <x:c r="AW118" s="2"/>
      <x:c r="AX118" s="2"/>
      <x:c r="AY118" s="2"/>
      <x:c r="AZ118" s="2"/>
      <x:c r="BA118" s="2"/>
      <x:c r="BB118" s="2"/>
      <x:c r="BC118" s="2"/>
      <x:c r="BD118" s="2"/>
      <x:c r="BE118" s="2"/>
      <x:c r="BF118" s="2"/>
      <x:c r="BG118" s="2"/>
      <x:c r="BH118" s="2"/>
      <x:c r="BI118" s="2"/>
      <x:c r="BJ118" s="2"/>
      <x:c r="BK118" s="2"/>
      <x:c r="BL118" s="2"/>
      <x:c r="BM118" s="2"/>
      <x:c r="BN118" s="2"/>
      <x:c r="BO118" s="2"/>
      <x:c r="BP118" s="2"/>
      <x:c r="BQ118" s="2"/>
      <x:c r="BR118" s="2"/>
      <x:c r="BS118" s="2"/>
      <x:c r="BT118" s="2"/>
      <x:c r="BU118" s="2"/>
      <x:c r="BV118" s="2"/>
      <x:c r="BW118" s="2"/>
      <x:c r="BX118" s="2"/>
      <x:c r="BY118" s="2"/>
      <x:c r="BZ118" s="2"/>
      <x:c r="CA118" s="2"/>
      <x:c r="CB118" s="2"/>
      <x:c r="CC118" s="2"/>
      <x:c r="CD118" s="2"/>
      <x:c r="CE118" s="2"/>
      <x:c r="CF118" s="2"/>
      <x:c r="CG118" s="2"/>
      <x:c r="CH118" s="2"/>
      <x:c r="CI118" s="2"/>
      <x:c r="CJ118" s="2"/>
      <x:c r="CK118" s="2"/>
      <x:c r="CL118" s="2"/>
      <x:c r="CM118" s="2"/>
      <x:c r="CN118" s="2"/>
      <x:c r="CO118" s="2"/>
      <x:c r="CP118" s="2"/>
      <x:c r="CQ118" s="2"/>
      <x:c r="CR118" s="2"/>
      <x:c r="CS118" s="2"/>
      <x:c r="CT118" s="2"/>
      <x:c r="CU118" s="2"/>
      <x:c r="CV118" s="2"/>
      <x:c r="CW118" s="2"/>
      <x:c r="CX118" s="2"/>
      <x:c r="CY118" s="2"/>
    </x:row>
    <x:row r="119" ht="19" customHeight="1">
      <x:c r="A119" s="1"/>
      <x:c r="B119" s="1"/>
      <x:c r="C119" s="2" t="n">
        <x:v>68</x:v>
      </x:c>
      <x:c r="D119" s="30" t="n">
        <x:f>$E$40*INDEX('Assumptions'!$F$65:$F$101,MIN(C119,36)+1)</x:f>
        <x:v>0.36</x:v>
      </x:c>
      <x:c r="E119" s="30" t="n">
        <x:f>(D119-D118)*H118</x:f>
        <x:v>0</x:v>
      </x:c>
      <x:c r="F119" s="30" t="n">
        <x:f>(1-D119-J118)*(H118-H119)+(J119-J118)*H119</x:f>
        <x:v>0</x:v>
      </x:c>
      <x:c r="G119" s="30" t="n">
        <x:f>SUM(E120:E147)</x:f>
        <x:v>0</x:v>
      </x:c>
      <x:c r="H119" s="30" t="n">
        <x:f>IF($E$42=0,1-MIN(C119,$E$43)/$E$43,((1+$E$42)^$E$43-(1+$E$42)^MIN(C119,$E$43))/((1+$E$42)^$E$43-1))</x:f>
        <x:v>0</x:v>
      </x:c>
      <x:c r="I119" s="30" t="n">
        <x:f>MAX(0,1-D119-J119)</x:f>
        <x:v>0</x:v>
      </x:c>
      <x:c r="J119" s="2" t="n">
        <x:f>(1-$E$40)*INDEX('Assumptions'!$I$65:$I$101,MIN(C119,36)+1)</x:f>
        <x:v>0.64</x:v>
      </x:c>
      <x:c r="K119" s="2"/>
      <x:c r="L119" s="2"/>
      <x:c r="M119" s="2"/>
      <x:c r="N119" s="2"/>
      <x:c r="O119" s="2"/>
      <x:c r="P119" s="2"/>
      <x:c r="Q119" s="2"/>
      <x:c r="R119" s="2"/>
      <x:c r="S119" s="2"/>
      <x:c r="T119" s="2"/>
      <x:c r="U119" s="2"/>
      <x:c r="V119" s="2"/>
      <x:c r="W119" s="2"/>
      <x:c r="X119" s="2"/>
      <x:c r="Y119" s="2"/>
      <x:c r="Z119" s="2"/>
      <x:c r="AA119" s="2"/>
      <x:c r="AB119" s="2"/>
      <x:c r="AC119" s="2"/>
      <x:c r="AD119" s="2"/>
      <x:c r="AE119" s="2"/>
      <x:c r="AF119" s="2"/>
      <x:c r="AG119" s="2"/>
      <x:c r="AH119" s="2"/>
      <x:c r="AI119" s="2"/>
      <x:c r="AJ119" s="2"/>
      <x:c r="AK119" s="2"/>
      <x:c r="AL119" s="2"/>
      <x:c r="AM119" s="2"/>
      <x:c r="AN119" s="2"/>
      <x:c r="AO119" s="2"/>
      <x:c r="AP119" s="2"/>
      <x:c r="AQ119" s="2"/>
      <x:c r="AR119" s="2"/>
      <x:c r="AS119" s="2"/>
      <x:c r="AT119" s="2"/>
      <x:c r="AU119" s="2"/>
      <x:c r="AV119" s="2"/>
      <x:c r="AW119" s="2"/>
      <x:c r="AX119" s="2"/>
      <x:c r="AY119" s="2"/>
      <x:c r="AZ119" s="2"/>
      <x:c r="BA119" s="2"/>
      <x:c r="BB119" s="2"/>
      <x:c r="BC119" s="2"/>
      <x:c r="BD119" s="2"/>
      <x:c r="BE119" s="2"/>
      <x:c r="BF119" s="2"/>
      <x:c r="BG119" s="2"/>
      <x:c r="BH119" s="2"/>
      <x:c r="BI119" s="2"/>
      <x:c r="BJ119" s="2"/>
      <x:c r="BK119" s="2"/>
      <x:c r="BL119" s="2"/>
      <x:c r="BM119" s="2"/>
      <x:c r="BN119" s="2"/>
      <x:c r="BO119" s="2"/>
      <x:c r="BP119" s="2"/>
      <x:c r="BQ119" s="2"/>
      <x:c r="BR119" s="2"/>
      <x:c r="BS119" s="2"/>
      <x:c r="BT119" s="2"/>
      <x:c r="BU119" s="2"/>
      <x:c r="BV119" s="2"/>
      <x:c r="BW119" s="2"/>
      <x:c r="BX119" s="2"/>
      <x:c r="BY119" s="2"/>
      <x:c r="BZ119" s="2"/>
      <x:c r="CA119" s="2"/>
      <x:c r="CB119" s="2"/>
      <x:c r="CC119" s="2"/>
      <x:c r="CD119" s="2"/>
      <x:c r="CE119" s="2"/>
      <x:c r="CF119" s="2"/>
      <x:c r="CG119" s="2"/>
      <x:c r="CH119" s="2"/>
      <x:c r="CI119" s="2"/>
      <x:c r="CJ119" s="2"/>
      <x:c r="CK119" s="2"/>
      <x:c r="CL119" s="2"/>
      <x:c r="CM119" s="2"/>
      <x:c r="CN119" s="2"/>
      <x:c r="CO119" s="2"/>
      <x:c r="CP119" s="2"/>
      <x:c r="CQ119" s="2"/>
      <x:c r="CR119" s="2"/>
      <x:c r="CS119" s="2"/>
      <x:c r="CT119" s="2"/>
      <x:c r="CU119" s="2"/>
      <x:c r="CV119" s="2"/>
      <x:c r="CW119" s="2"/>
      <x:c r="CX119" s="2"/>
      <x:c r="CY119" s="2"/>
    </x:row>
    <x:row r="120" ht="19" customHeight="1">
      <x:c r="A120" s="1"/>
      <x:c r="B120" s="1"/>
      <x:c r="C120" s="2" t="n">
        <x:v>69</x:v>
      </x:c>
      <x:c r="D120" s="30" t="n">
        <x:f>$E$40*INDEX('Assumptions'!$F$65:$F$101,MIN(C120,36)+1)</x:f>
        <x:v>0.36</x:v>
      </x:c>
      <x:c r="E120" s="30" t="n">
        <x:f>(D120-D119)*H119</x:f>
        <x:v>0</x:v>
      </x:c>
      <x:c r="F120" s="30" t="n">
        <x:f>(1-D120-J119)*(H119-H120)+(J120-J119)*H120</x:f>
        <x:v>0</x:v>
      </x:c>
      <x:c r="G120" s="30" t="n">
        <x:f>SUM(E121:E147)</x:f>
        <x:v>0</x:v>
      </x:c>
      <x:c r="H120" s="30" t="n">
        <x:f>IF($E$42=0,1-MIN(C120,$E$43)/$E$43,((1+$E$42)^$E$43-(1+$E$42)^MIN(C120,$E$43))/((1+$E$42)^$E$43-1))</x:f>
        <x:v>0</x:v>
      </x:c>
      <x:c r="I120" s="30" t="n">
        <x:f>MAX(0,1-D120-J120)</x:f>
        <x:v>0</x:v>
      </x:c>
      <x:c r="J120" s="2" t="n">
        <x:f>(1-$E$40)*INDEX('Assumptions'!$I$65:$I$101,MIN(C120,36)+1)</x:f>
        <x:v>0.64</x:v>
      </x:c>
      <x:c r="K120" s="2"/>
      <x:c r="L120" s="2"/>
      <x:c r="M120" s="2"/>
      <x:c r="N120" s="2"/>
      <x:c r="O120" s="2"/>
      <x:c r="P120" s="2"/>
      <x:c r="Q120" s="2"/>
      <x:c r="R120" s="2"/>
      <x:c r="S120" s="2"/>
      <x:c r="T120" s="2"/>
      <x:c r="U120" s="2"/>
      <x:c r="V120" s="2"/>
      <x:c r="W120" s="2"/>
      <x:c r="X120" s="2"/>
      <x:c r="Y120" s="2"/>
      <x:c r="Z120" s="2"/>
      <x:c r="AA120" s="2"/>
      <x:c r="AB120" s="2"/>
      <x:c r="AC120" s="2"/>
      <x:c r="AD120" s="2"/>
      <x:c r="AE120" s="2"/>
      <x:c r="AF120" s="2"/>
      <x:c r="AG120" s="2"/>
      <x:c r="AH120" s="2"/>
      <x:c r="AI120" s="2"/>
      <x:c r="AJ120" s="2"/>
      <x:c r="AK120" s="2"/>
      <x:c r="AL120" s="2"/>
      <x:c r="AM120" s="2"/>
      <x:c r="AN120" s="2"/>
      <x:c r="AO120" s="2"/>
      <x:c r="AP120" s="2"/>
      <x:c r="AQ120" s="2"/>
      <x:c r="AR120" s="2"/>
      <x:c r="AS120" s="2"/>
      <x:c r="AT120" s="2"/>
      <x:c r="AU120" s="2"/>
      <x:c r="AV120" s="2"/>
      <x:c r="AW120" s="2"/>
      <x:c r="AX120" s="2"/>
      <x:c r="AY120" s="2"/>
      <x:c r="AZ120" s="2"/>
      <x:c r="BA120" s="2"/>
      <x:c r="BB120" s="2"/>
      <x:c r="BC120" s="2"/>
      <x:c r="BD120" s="2"/>
      <x:c r="BE120" s="2"/>
      <x:c r="BF120" s="2"/>
      <x:c r="BG120" s="2"/>
      <x:c r="BH120" s="2"/>
      <x:c r="BI120" s="2"/>
      <x:c r="BJ120" s="2"/>
      <x:c r="BK120" s="2"/>
      <x:c r="BL120" s="2"/>
      <x:c r="BM120" s="2"/>
      <x:c r="BN120" s="2"/>
      <x:c r="BO120" s="2"/>
      <x:c r="BP120" s="2"/>
      <x:c r="BQ120" s="2"/>
      <x:c r="BR120" s="2"/>
      <x:c r="BS120" s="2"/>
      <x:c r="BT120" s="2"/>
      <x:c r="BU120" s="2"/>
      <x:c r="BV120" s="2"/>
      <x:c r="BW120" s="2"/>
      <x:c r="BX120" s="2"/>
      <x:c r="BY120" s="2"/>
      <x:c r="BZ120" s="2"/>
      <x:c r="CA120" s="2"/>
      <x:c r="CB120" s="2"/>
      <x:c r="CC120" s="2"/>
      <x:c r="CD120" s="2"/>
      <x:c r="CE120" s="2"/>
      <x:c r="CF120" s="2"/>
      <x:c r="CG120" s="2"/>
      <x:c r="CH120" s="2"/>
      <x:c r="CI120" s="2"/>
      <x:c r="CJ120" s="2"/>
      <x:c r="CK120" s="2"/>
      <x:c r="CL120" s="2"/>
      <x:c r="CM120" s="2"/>
      <x:c r="CN120" s="2"/>
      <x:c r="CO120" s="2"/>
      <x:c r="CP120" s="2"/>
      <x:c r="CQ120" s="2"/>
      <x:c r="CR120" s="2"/>
      <x:c r="CS120" s="2"/>
      <x:c r="CT120" s="2"/>
      <x:c r="CU120" s="2"/>
      <x:c r="CV120" s="2"/>
      <x:c r="CW120" s="2"/>
      <x:c r="CX120" s="2"/>
      <x:c r="CY120" s="2"/>
    </x:row>
    <x:row r="121" ht="19" customHeight="1">
      <x:c r="A121" s="1"/>
      <x:c r="B121" s="1"/>
      <x:c r="C121" s="2" t="n">
        <x:v>70</x:v>
      </x:c>
      <x:c r="D121" s="30" t="n">
        <x:f>$E$40*INDEX('Assumptions'!$F$65:$F$101,MIN(C121,36)+1)</x:f>
        <x:v>0.36</x:v>
      </x:c>
      <x:c r="E121" s="30" t="n">
        <x:f>(D121-D120)*H120</x:f>
        <x:v>0</x:v>
      </x:c>
      <x:c r="F121" s="30" t="n">
        <x:f>(1-D121-J120)*(H120-H121)+(J121-J120)*H121</x:f>
        <x:v>0</x:v>
      </x:c>
      <x:c r="G121" s="30" t="n">
        <x:f>SUM(E122:E147)</x:f>
        <x:v>0</x:v>
      </x:c>
      <x:c r="H121" s="30" t="n">
        <x:f>IF($E$42=0,1-MIN(C121,$E$43)/$E$43,((1+$E$42)^$E$43-(1+$E$42)^MIN(C121,$E$43))/((1+$E$42)^$E$43-1))</x:f>
        <x:v>0</x:v>
      </x:c>
      <x:c r="I121" s="30" t="n">
        <x:f>MAX(0,1-D121-J121)</x:f>
        <x:v>0</x:v>
      </x:c>
      <x:c r="J121" s="2" t="n">
        <x:f>(1-$E$40)*INDEX('Assumptions'!$I$65:$I$101,MIN(C121,36)+1)</x:f>
        <x:v>0.64</x:v>
      </x:c>
      <x:c r="K121" s="2"/>
      <x:c r="L121" s="2"/>
      <x:c r="M121" s="2"/>
      <x:c r="N121" s="2"/>
      <x:c r="O121" s="2"/>
      <x:c r="P121" s="2"/>
      <x:c r="Q121" s="2"/>
      <x:c r="R121" s="2"/>
      <x:c r="S121" s="2"/>
      <x:c r="T121" s="2"/>
      <x:c r="U121" s="2"/>
      <x:c r="V121" s="2"/>
      <x:c r="W121" s="2"/>
      <x:c r="X121" s="2"/>
      <x:c r="Y121" s="2"/>
      <x:c r="Z121" s="2"/>
      <x:c r="AA121" s="2"/>
      <x:c r="AB121" s="2"/>
      <x:c r="AC121" s="2"/>
      <x:c r="AD121" s="2"/>
      <x:c r="AE121" s="2"/>
      <x:c r="AF121" s="2"/>
      <x:c r="AG121" s="2"/>
      <x:c r="AH121" s="2"/>
      <x:c r="AI121" s="2"/>
      <x:c r="AJ121" s="2"/>
      <x:c r="AK121" s="2"/>
      <x:c r="AL121" s="2"/>
      <x:c r="AM121" s="2"/>
      <x:c r="AN121" s="2"/>
      <x:c r="AO121" s="2"/>
      <x:c r="AP121" s="2"/>
      <x:c r="AQ121" s="2"/>
      <x:c r="AR121" s="2"/>
      <x:c r="AS121" s="2"/>
      <x:c r="AT121" s="2"/>
      <x:c r="AU121" s="2"/>
      <x:c r="AV121" s="2"/>
      <x:c r="AW121" s="2"/>
      <x:c r="AX121" s="2"/>
      <x:c r="AY121" s="2"/>
      <x:c r="AZ121" s="2"/>
      <x:c r="BA121" s="2"/>
      <x:c r="BB121" s="2"/>
      <x:c r="BC121" s="2"/>
      <x:c r="BD121" s="2"/>
      <x:c r="BE121" s="2"/>
      <x:c r="BF121" s="2"/>
      <x:c r="BG121" s="2"/>
      <x:c r="BH121" s="2"/>
      <x:c r="BI121" s="2"/>
      <x:c r="BJ121" s="2"/>
      <x:c r="BK121" s="2"/>
      <x:c r="BL121" s="2"/>
      <x:c r="BM121" s="2"/>
      <x:c r="BN121" s="2"/>
      <x:c r="BO121" s="2"/>
      <x:c r="BP121" s="2"/>
      <x:c r="BQ121" s="2"/>
      <x:c r="BR121" s="2"/>
      <x:c r="BS121" s="2"/>
      <x:c r="BT121" s="2"/>
      <x:c r="BU121" s="2"/>
      <x:c r="BV121" s="2"/>
      <x:c r="BW121" s="2"/>
      <x:c r="BX121" s="2"/>
      <x:c r="BY121" s="2"/>
      <x:c r="BZ121" s="2"/>
      <x:c r="CA121" s="2"/>
      <x:c r="CB121" s="2"/>
      <x:c r="CC121" s="2"/>
      <x:c r="CD121" s="2"/>
      <x:c r="CE121" s="2"/>
      <x:c r="CF121" s="2"/>
      <x:c r="CG121" s="2"/>
      <x:c r="CH121" s="2"/>
      <x:c r="CI121" s="2"/>
      <x:c r="CJ121" s="2"/>
      <x:c r="CK121" s="2"/>
      <x:c r="CL121" s="2"/>
      <x:c r="CM121" s="2"/>
      <x:c r="CN121" s="2"/>
      <x:c r="CO121" s="2"/>
      <x:c r="CP121" s="2"/>
      <x:c r="CQ121" s="2"/>
      <x:c r="CR121" s="2"/>
      <x:c r="CS121" s="2"/>
      <x:c r="CT121" s="2"/>
      <x:c r="CU121" s="2"/>
      <x:c r="CV121" s="2"/>
      <x:c r="CW121" s="2"/>
      <x:c r="CX121" s="2"/>
      <x:c r="CY121" s="2"/>
    </x:row>
    <x:row r="122" ht="19" customHeight="1">
      <x:c r="A122" s="1"/>
      <x:c r="B122" s="1"/>
      <x:c r="C122" s="2" t="n">
        <x:v>71</x:v>
      </x:c>
      <x:c r="D122" s="30" t="n">
        <x:f>$E$40*INDEX('Assumptions'!$F$65:$F$101,MIN(C122,36)+1)</x:f>
        <x:v>0.36</x:v>
      </x:c>
      <x:c r="E122" s="30" t="n">
        <x:f>(D122-D121)*H121</x:f>
        <x:v>0</x:v>
      </x:c>
      <x:c r="F122" s="30" t="n">
        <x:f>(1-D122-J121)*(H121-H122)+(J122-J121)*H122</x:f>
        <x:v>0</x:v>
      </x:c>
      <x:c r="G122" s="30" t="n">
        <x:f>SUM(E123:E147)</x:f>
        <x:v>0</x:v>
      </x:c>
      <x:c r="H122" s="30" t="n">
        <x:f>IF($E$42=0,1-MIN(C122,$E$43)/$E$43,((1+$E$42)^$E$43-(1+$E$42)^MIN(C122,$E$43))/((1+$E$42)^$E$43-1))</x:f>
        <x:v>0</x:v>
      </x:c>
      <x:c r="I122" s="30" t="n">
        <x:f>MAX(0,1-D122-J122)</x:f>
        <x:v>0</x:v>
      </x:c>
      <x:c r="J122" s="2" t="n">
        <x:f>(1-$E$40)*INDEX('Assumptions'!$I$65:$I$101,MIN(C122,36)+1)</x:f>
        <x:v>0.64</x:v>
      </x:c>
      <x:c r="K122" s="2"/>
      <x:c r="L122" s="2"/>
      <x:c r="M122" s="2"/>
      <x:c r="N122" s="2"/>
      <x:c r="O122" s="2"/>
      <x:c r="P122" s="2"/>
      <x:c r="Q122" s="2"/>
      <x:c r="R122" s="2"/>
      <x:c r="S122" s="2"/>
      <x:c r="T122" s="2"/>
      <x:c r="U122" s="2"/>
      <x:c r="V122" s="2"/>
      <x:c r="W122" s="2"/>
      <x:c r="X122" s="2"/>
      <x:c r="Y122" s="2"/>
      <x:c r="Z122" s="2"/>
      <x:c r="AA122" s="2"/>
      <x:c r="AB122" s="2"/>
      <x:c r="AC122" s="2"/>
      <x:c r="AD122" s="2"/>
      <x:c r="AE122" s="2"/>
      <x:c r="AF122" s="2"/>
      <x:c r="AG122" s="2"/>
      <x:c r="AH122" s="2"/>
      <x:c r="AI122" s="2"/>
      <x:c r="AJ122" s="2"/>
      <x:c r="AK122" s="2"/>
      <x:c r="AL122" s="2"/>
      <x:c r="AM122" s="2"/>
      <x:c r="AN122" s="2"/>
      <x:c r="AO122" s="2"/>
      <x:c r="AP122" s="2"/>
      <x:c r="AQ122" s="2"/>
      <x:c r="AR122" s="2"/>
      <x:c r="AS122" s="2"/>
      <x:c r="AT122" s="2"/>
      <x:c r="AU122" s="2"/>
      <x:c r="AV122" s="2"/>
      <x:c r="AW122" s="2"/>
      <x:c r="AX122" s="2"/>
      <x:c r="AY122" s="2"/>
      <x:c r="AZ122" s="2"/>
      <x:c r="BA122" s="2"/>
      <x:c r="BB122" s="2"/>
      <x:c r="BC122" s="2"/>
      <x:c r="BD122" s="2"/>
      <x:c r="BE122" s="2"/>
      <x:c r="BF122" s="2"/>
      <x:c r="BG122" s="2"/>
      <x:c r="BH122" s="2"/>
      <x:c r="BI122" s="2"/>
      <x:c r="BJ122" s="2"/>
      <x:c r="BK122" s="2"/>
      <x:c r="BL122" s="2"/>
      <x:c r="BM122" s="2"/>
      <x:c r="BN122" s="2"/>
      <x:c r="BO122" s="2"/>
      <x:c r="BP122" s="2"/>
      <x:c r="BQ122" s="2"/>
      <x:c r="BR122" s="2"/>
      <x:c r="BS122" s="2"/>
      <x:c r="BT122" s="2"/>
      <x:c r="BU122" s="2"/>
      <x:c r="BV122" s="2"/>
      <x:c r="BW122" s="2"/>
      <x:c r="BX122" s="2"/>
      <x:c r="BY122" s="2"/>
      <x:c r="BZ122" s="2"/>
      <x:c r="CA122" s="2"/>
      <x:c r="CB122" s="2"/>
      <x:c r="CC122" s="2"/>
      <x:c r="CD122" s="2"/>
      <x:c r="CE122" s="2"/>
      <x:c r="CF122" s="2"/>
      <x:c r="CG122" s="2"/>
      <x:c r="CH122" s="2"/>
      <x:c r="CI122" s="2"/>
      <x:c r="CJ122" s="2"/>
      <x:c r="CK122" s="2"/>
      <x:c r="CL122" s="2"/>
      <x:c r="CM122" s="2"/>
      <x:c r="CN122" s="2"/>
      <x:c r="CO122" s="2"/>
      <x:c r="CP122" s="2"/>
      <x:c r="CQ122" s="2"/>
      <x:c r="CR122" s="2"/>
      <x:c r="CS122" s="2"/>
      <x:c r="CT122" s="2"/>
      <x:c r="CU122" s="2"/>
      <x:c r="CV122" s="2"/>
      <x:c r="CW122" s="2"/>
      <x:c r="CX122" s="2"/>
      <x:c r="CY122" s="2"/>
    </x:row>
    <x:row r="123" ht="19" customHeight="1">
      <x:c r="A123" s="1"/>
      <x:c r="B123" s="1"/>
      <x:c r="C123" s="2" t="n">
        <x:v>72</x:v>
      </x:c>
      <x:c r="D123" s="30" t="n">
        <x:f>$E$40*INDEX('Assumptions'!$F$65:$F$101,MIN(C123,36)+1)</x:f>
        <x:v>0.36</x:v>
      </x:c>
      <x:c r="E123" s="30" t="n">
        <x:f>(D123-D122)*H122</x:f>
        <x:v>0</x:v>
      </x:c>
      <x:c r="F123" s="30" t="n">
        <x:f>(1-D123-J122)*(H122-H123)+(J123-J122)*H123</x:f>
        <x:v>0</x:v>
      </x:c>
      <x:c r="G123" s="30" t="n">
        <x:f>SUM(E124:E147)</x:f>
        <x:v>0</x:v>
      </x:c>
      <x:c r="H123" s="30" t="n">
        <x:f>IF($E$42=0,1-MIN(C123,$E$43)/$E$43,((1+$E$42)^$E$43-(1+$E$42)^MIN(C123,$E$43))/((1+$E$42)^$E$43-1))</x:f>
        <x:v>0</x:v>
      </x:c>
      <x:c r="I123" s="30" t="n">
        <x:f>MAX(0,1-D123-J123)</x:f>
        <x:v>0</x:v>
      </x:c>
      <x:c r="J123" s="2" t="n">
        <x:f>(1-$E$40)*INDEX('Assumptions'!$I$65:$I$101,MIN(C123,36)+1)</x:f>
        <x:v>0.64</x:v>
      </x:c>
      <x:c r="K123" s="2"/>
      <x:c r="L123" s="2"/>
      <x:c r="M123" s="2"/>
      <x:c r="N123" s="2"/>
      <x:c r="O123" s="2"/>
      <x:c r="P123" s="2"/>
      <x:c r="Q123" s="2"/>
      <x:c r="R123" s="2"/>
      <x:c r="S123" s="2"/>
      <x:c r="T123" s="2"/>
      <x:c r="U123" s="2"/>
      <x:c r="V123" s="2"/>
      <x:c r="W123" s="2"/>
      <x:c r="X123" s="2"/>
      <x:c r="Y123" s="2"/>
      <x:c r="Z123" s="2"/>
      <x:c r="AA123" s="2"/>
      <x:c r="AB123" s="2"/>
      <x:c r="AC123" s="2"/>
      <x:c r="AD123" s="2"/>
      <x:c r="AE123" s="2"/>
      <x:c r="AF123" s="2"/>
      <x:c r="AG123" s="2"/>
      <x:c r="AH123" s="2"/>
      <x:c r="AI123" s="2"/>
      <x:c r="AJ123" s="2"/>
      <x:c r="AK123" s="2"/>
      <x:c r="AL123" s="2"/>
      <x:c r="AM123" s="2"/>
      <x:c r="AN123" s="2"/>
      <x:c r="AO123" s="2"/>
      <x:c r="AP123" s="2"/>
      <x:c r="AQ123" s="2"/>
      <x:c r="AR123" s="2"/>
      <x:c r="AS123" s="2"/>
      <x:c r="AT123" s="2"/>
      <x:c r="AU123" s="2"/>
      <x:c r="AV123" s="2"/>
      <x:c r="AW123" s="2"/>
      <x:c r="AX123" s="2"/>
      <x:c r="AY123" s="2"/>
      <x:c r="AZ123" s="2"/>
      <x:c r="BA123" s="2"/>
      <x:c r="BB123" s="2"/>
      <x:c r="BC123" s="2"/>
      <x:c r="BD123" s="2"/>
      <x:c r="BE123" s="2"/>
      <x:c r="BF123" s="2"/>
      <x:c r="BG123" s="2"/>
      <x:c r="BH123" s="2"/>
      <x:c r="BI123" s="2"/>
      <x:c r="BJ123" s="2"/>
      <x:c r="BK123" s="2"/>
      <x:c r="BL123" s="2"/>
      <x:c r="BM123" s="2"/>
      <x:c r="BN123" s="2"/>
      <x:c r="BO123" s="2"/>
      <x:c r="BP123" s="2"/>
      <x:c r="BQ123" s="2"/>
      <x:c r="BR123" s="2"/>
      <x:c r="BS123" s="2"/>
      <x:c r="BT123" s="2"/>
      <x:c r="BU123" s="2"/>
      <x:c r="BV123" s="2"/>
      <x:c r="BW123" s="2"/>
      <x:c r="BX123" s="2"/>
      <x:c r="BY123" s="2"/>
      <x:c r="BZ123" s="2"/>
      <x:c r="CA123" s="2"/>
      <x:c r="CB123" s="2"/>
      <x:c r="CC123" s="2"/>
      <x:c r="CD123" s="2"/>
      <x:c r="CE123" s="2"/>
      <x:c r="CF123" s="2"/>
      <x:c r="CG123" s="2"/>
      <x:c r="CH123" s="2"/>
      <x:c r="CI123" s="2"/>
      <x:c r="CJ123" s="2"/>
      <x:c r="CK123" s="2"/>
      <x:c r="CL123" s="2"/>
      <x:c r="CM123" s="2"/>
      <x:c r="CN123" s="2"/>
      <x:c r="CO123" s="2"/>
      <x:c r="CP123" s="2"/>
      <x:c r="CQ123" s="2"/>
      <x:c r="CR123" s="2"/>
      <x:c r="CS123" s="2"/>
      <x:c r="CT123" s="2"/>
      <x:c r="CU123" s="2"/>
      <x:c r="CV123" s="2"/>
      <x:c r="CW123" s="2"/>
      <x:c r="CX123" s="2"/>
      <x:c r="CY123" s="2"/>
    </x:row>
    <x:row r="124" ht="19" customHeight="1">
      <x:c r="A124" s="1"/>
      <x:c r="B124" s="1"/>
      <x:c r="C124" s="2" t="n">
        <x:v>73</x:v>
      </x:c>
      <x:c r="D124" s="30" t="n">
        <x:f>$E$40*INDEX('Assumptions'!$F$65:$F$101,MIN(C124,36)+1)</x:f>
        <x:v>0.36</x:v>
      </x:c>
      <x:c r="E124" s="30" t="n">
        <x:f>(D124-D123)*H123</x:f>
        <x:v>0</x:v>
      </x:c>
      <x:c r="F124" s="30" t="n">
        <x:f>(1-D124-J123)*(H123-H124)+(J124-J123)*H124</x:f>
        <x:v>0</x:v>
      </x:c>
      <x:c r="G124" s="30" t="n">
        <x:f>SUM(E125:E147)</x:f>
        <x:v>0</x:v>
      </x:c>
      <x:c r="H124" s="30" t="n">
        <x:f>IF($E$42=0,1-MIN(C124,$E$43)/$E$43,((1+$E$42)^$E$43-(1+$E$42)^MIN(C124,$E$43))/((1+$E$42)^$E$43-1))</x:f>
        <x:v>0</x:v>
      </x:c>
      <x:c r="I124" s="30" t="n">
        <x:f>MAX(0,1-D124-J124)</x:f>
        <x:v>0</x:v>
      </x:c>
      <x:c r="J124" s="2" t="n">
        <x:f>(1-$E$40)*INDEX('Assumptions'!$I$65:$I$101,MIN(C124,36)+1)</x:f>
        <x:v>0.64</x:v>
      </x:c>
      <x:c r="K124" s="2"/>
      <x:c r="L124" s="2"/>
      <x:c r="M124" s="2"/>
      <x:c r="N124" s="2"/>
      <x:c r="O124" s="2"/>
      <x:c r="P124" s="2"/>
      <x:c r="Q124" s="2"/>
      <x:c r="R124" s="2"/>
      <x:c r="S124" s="2"/>
      <x:c r="T124" s="2"/>
      <x:c r="U124" s="2"/>
      <x:c r="V124" s="2"/>
      <x:c r="W124" s="2"/>
      <x:c r="X124" s="2"/>
      <x:c r="Y124" s="2"/>
      <x:c r="Z124" s="2"/>
      <x:c r="AA124" s="2"/>
      <x:c r="AB124" s="2"/>
      <x:c r="AC124" s="2"/>
      <x:c r="AD124" s="2"/>
      <x:c r="AE124" s="2"/>
      <x:c r="AF124" s="2"/>
      <x:c r="AG124" s="2"/>
      <x:c r="AH124" s="2"/>
      <x:c r="AI124" s="2"/>
      <x:c r="AJ124" s="2"/>
      <x:c r="AK124" s="2"/>
      <x:c r="AL124" s="2"/>
      <x:c r="AM124" s="2"/>
      <x:c r="AN124" s="2"/>
      <x:c r="AO124" s="2"/>
      <x:c r="AP124" s="2"/>
      <x:c r="AQ124" s="2"/>
      <x:c r="AR124" s="2"/>
      <x:c r="AS124" s="2"/>
      <x:c r="AT124" s="2"/>
      <x:c r="AU124" s="2"/>
      <x:c r="AV124" s="2"/>
      <x:c r="AW124" s="2"/>
      <x:c r="AX124" s="2"/>
      <x:c r="AY124" s="2"/>
      <x:c r="AZ124" s="2"/>
      <x:c r="BA124" s="2"/>
      <x:c r="BB124" s="2"/>
      <x:c r="BC124" s="2"/>
      <x:c r="BD124" s="2"/>
      <x:c r="BE124" s="2"/>
      <x:c r="BF124" s="2"/>
      <x:c r="BG124" s="2"/>
      <x:c r="BH124" s="2"/>
      <x:c r="BI124" s="2"/>
      <x:c r="BJ124" s="2"/>
      <x:c r="BK124" s="2"/>
      <x:c r="BL124" s="2"/>
      <x:c r="BM124" s="2"/>
      <x:c r="BN124" s="2"/>
      <x:c r="BO124" s="2"/>
      <x:c r="BP124" s="2"/>
      <x:c r="BQ124" s="2"/>
      <x:c r="BR124" s="2"/>
      <x:c r="BS124" s="2"/>
      <x:c r="BT124" s="2"/>
      <x:c r="BU124" s="2"/>
      <x:c r="BV124" s="2"/>
      <x:c r="BW124" s="2"/>
      <x:c r="BX124" s="2"/>
      <x:c r="BY124" s="2"/>
      <x:c r="BZ124" s="2"/>
      <x:c r="CA124" s="2"/>
      <x:c r="CB124" s="2"/>
      <x:c r="CC124" s="2"/>
      <x:c r="CD124" s="2"/>
      <x:c r="CE124" s="2"/>
      <x:c r="CF124" s="2"/>
      <x:c r="CG124" s="2"/>
      <x:c r="CH124" s="2"/>
      <x:c r="CI124" s="2"/>
      <x:c r="CJ124" s="2"/>
      <x:c r="CK124" s="2"/>
      <x:c r="CL124" s="2"/>
      <x:c r="CM124" s="2"/>
      <x:c r="CN124" s="2"/>
      <x:c r="CO124" s="2"/>
      <x:c r="CP124" s="2"/>
      <x:c r="CQ124" s="2"/>
      <x:c r="CR124" s="2"/>
      <x:c r="CS124" s="2"/>
      <x:c r="CT124" s="2"/>
      <x:c r="CU124" s="2"/>
      <x:c r="CV124" s="2"/>
      <x:c r="CW124" s="2"/>
      <x:c r="CX124" s="2"/>
      <x:c r="CY124" s="2"/>
    </x:row>
    <x:row r="125" ht="19" customHeight="1">
      <x:c r="A125" s="1"/>
      <x:c r="B125" s="1"/>
      <x:c r="C125" s="2" t="n">
        <x:v>74</x:v>
      </x:c>
      <x:c r="D125" s="30" t="n">
        <x:f>$E$40*INDEX('Assumptions'!$F$65:$F$101,MIN(C125,36)+1)</x:f>
        <x:v>0.36</x:v>
      </x:c>
      <x:c r="E125" s="30" t="n">
        <x:f>(D125-D124)*H124</x:f>
        <x:v>0</x:v>
      </x:c>
      <x:c r="F125" s="30" t="n">
        <x:f>(1-D125-J124)*(H124-H125)+(J125-J124)*H125</x:f>
        <x:v>0</x:v>
      </x:c>
      <x:c r="G125" s="30" t="n">
        <x:f>SUM(E126:E147)</x:f>
        <x:v>0</x:v>
      </x:c>
      <x:c r="H125" s="30" t="n">
        <x:f>IF($E$42=0,1-MIN(C125,$E$43)/$E$43,((1+$E$42)^$E$43-(1+$E$42)^MIN(C125,$E$43))/((1+$E$42)^$E$43-1))</x:f>
        <x:v>0</x:v>
      </x:c>
      <x:c r="I125" s="30" t="n">
        <x:f>MAX(0,1-D125-J125)</x:f>
        <x:v>0</x:v>
      </x:c>
      <x:c r="J125" s="2" t="n">
        <x:f>(1-$E$40)*INDEX('Assumptions'!$I$65:$I$101,MIN(C125,36)+1)</x:f>
        <x:v>0.64</x:v>
      </x:c>
      <x:c r="K125" s="2"/>
      <x:c r="L125" s="2"/>
      <x:c r="M125" s="2"/>
      <x:c r="N125" s="2"/>
      <x:c r="O125" s="2"/>
      <x:c r="P125" s="2"/>
      <x:c r="Q125" s="2"/>
      <x:c r="R125" s="2"/>
      <x:c r="S125" s="2"/>
      <x:c r="T125" s="2"/>
      <x:c r="U125" s="2"/>
      <x:c r="V125" s="2"/>
      <x:c r="W125" s="2"/>
      <x:c r="X125" s="2"/>
      <x:c r="Y125" s="2"/>
      <x:c r="Z125" s="2"/>
      <x:c r="AA125" s="2"/>
      <x:c r="AB125" s="2"/>
      <x:c r="AC125" s="2"/>
      <x:c r="AD125" s="2"/>
      <x:c r="AE125" s="2"/>
      <x:c r="AF125" s="2"/>
      <x:c r="AG125" s="2"/>
      <x:c r="AH125" s="2"/>
      <x:c r="AI125" s="2"/>
      <x:c r="AJ125" s="2"/>
      <x:c r="AK125" s="2"/>
      <x:c r="AL125" s="2"/>
      <x:c r="AM125" s="2"/>
      <x:c r="AN125" s="2"/>
      <x:c r="AO125" s="2"/>
      <x:c r="AP125" s="2"/>
      <x:c r="AQ125" s="2"/>
      <x:c r="AR125" s="2"/>
      <x:c r="AS125" s="2"/>
      <x:c r="AT125" s="2"/>
      <x:c r="AU125" s="2"/>
      <x:c r="AV125" s="2"/>
      <x:c r="AW125" s="2"/>
      <x:c r="AX125" s="2"/>
      <x:c r="AY125" s="2"/>
      <x:c r="AZ125" s="2"/>
      <x:c r="BA125" s="2"/>
      <x:c r="BB125" s="2"/>
      <x:c r="BC125" s="2"/>
      <x:c r="BD125" s="2"/>
      <x:c r="BE125" s="2"/>
      <x:c r="BF125" s="2"/>
      <x:c r="BG125" s="2"/>
      <x:c r="BH125" s="2"/>
      <x:c r="BI125" s="2"/>
      <x:c r="BJ125" s="2"/>
      <x:c r="BK125" s="2"/>
      <x:c r="BL125" s="2"/>
      <x:c r="BM125" s="2"/>
      <x:c r="BN125" s="2"/>
      <x:c r="BO125" s="2"/>
      <x:c r="BP125" s="2"/>
      <x:c r="BQ125" s="2"/>
      <x:c r="BR125" s="2"/>
      <x:c r="BS125" s="2"/>
      <x:c r="BT125" s="2"/>
      <x:c r="BU125" s="2"/>
      <x:c r="BV125" s="2"/>
      <x:c r="BW125" s="2"/>
      <x:c r="BX125" s="2"/>
      <x:c r="BY125" s="2"/>
      <x:c r="BZ125" s="2"/>
      <x:c r="CA125" s="2"/>
      <x:c r="CB125" s="2"/>
      <x:c r="CC125" s="2"/>
      <x:c r="CD125" s="2"/>
      <x:c r="CE125" s="2"/>
      <x:c r="CF125" s="2"/>
      <x:c r="CG125" s="2"/>
      <x:c r="CH125" s="2"/>
      <x:c r="CI125" s="2"/>
      <x:c r="CJ125" s="2"/>
      <x:c r="CK125" s="2"/>
      <x:c r="CL125" s="2"/>
      <x:c r="CM125" s="2"/>
      <x:c r="CN125" s="2"/>
      <x:c r="CO125" s="2"/>
      <x:c r="CP125" s="2"/>
      <x:c r="CQ125" s="2"/>
      <x:c r="CR125" s="2"/>
      <x:c r="CS125" s="2"/>
      <x:c r="CT125" s="2"/>
      <x:c r="CU125" s="2"/>
      <x:c r="CV125" s="2"/>
      <x:c r="CW125" s="2"/>
      <x:c r="CX125" s="2"/>
      <x:c r="CY125" s="2"/>
    </x:row>
    <x:row r="126" ht="19" customHeight="1">
      <x:c r="A126" s="1"/>
      <x:c r="B126" s="1"/>
      <x:c r="C126" s="2" t="n">
        <x:v>75</x:v>
      </x:c>
      <x:c r="D126" s="30" t="n">
        <x:f>$E$40*INDEX('Assumptions'!$F$65:$F$101,MIN(C126,36)+1)</x:f>
        <x:v>0.36</x:v>
      </x:c>
      <x:c r="E126" s="30" t="n">
        <x:f>(D126-D125)*H125</x:f>
        <x:v>0</x:v>
      </x:c>
      <x:c r="F126" s="30" t="n">
        <x:f>(1-D126-J125)*(H125-H126)+(J126-J125)*H126</x:f>
        <x:v>0</x:v>
      </x:c>
      <x:c r="G126" s="30" t="n">
        <x:f>SUM(E127:E147)</x:f>
        <x:v>0</x:v>
      </x:c>
      <x:c r="H126" s="30" t="n">
        <x:f>IF($E$42=0,1-MIN(C126,$E$43)/$E$43,((1+$E$42)^$E$43-(1+$E$42)^MIN(C126,$E$43))/((1+$E$42)^$E$43-1))</x:f>
        <x:v>0</x:v>
      </x:c>
      <x:c r="I126" s="30" t="n">
        <x:f>MAX(0,1-D126-J126)</x:f>
        <x:v>0</x:v>
      </x:c>
      <x:c r="J126" s="2" t="n">
        <x:f>(1-$E$40)*INDEX('Assumptions'!$I$65:$I$101,MIN(C126,36)+1)</x:f>
        <x:v>0.64</x:v>
      </x:c>
      <x:c r="K126" s="2"/>
      <x:c r="L126" s="2"/>
      <x:c r="M126" s="2"/>
      <x:c r="N126" s="2"/>
      <x:c r="O126" s="2"/>
      <x:c r="P126" s="2"/>
      <x:c r="Q126" s="2"/>
      <x:c r="R126" s="2"/>
      <x:c r="S126" s="2"/>
      <x:c r="T126" s="2"/>
      <x:c r="U126" s="2"/>
      <x:c r="V126" s="2"/>
      <x:c r="W126" s="2"/>
      <x:c r="X126" s="2"/>
      <x:c r="Y126" s="2"/>
      <x:c r="Z126" s="2"/>
      <x:c r="AA126" s="2"/>
      <x:c r="AB126" s="2"/>
      <x:c r="AC126" s="2"/>
      <x:c r="AD126" s="2"/>
      <x:c r="AE126" s="2"/>
      <x:c r="AF126" s="2"/>
      <x:c r="AG126" s="2"/>
      <x:c r="AH126" s="2"/>
      <x:c r="AI126" s="2"/>
      <x:c r="AJ126" s="2"/>
      <x:c r="AK126" s="2"/>
      <x:c r="AL126" s="2"/>
      <x:c r="AM126" s="2"/>
      <x:c r="AN126" s="2"/>
      <x:c r="AO126" s="2"/>
      <x:c r="AP126" s="2"/>
      <x:c r="AQ126" s="2"/>
      <x:c r="AR126" s="2"/>
      <x:c r="AS126" s="2"/>
      <x:c r="AT126" s="2"/>
      <x:c r="AU126" s="2"/>
      <x:c r="AV126" s="2"/>
      <x:c r="AW126" s="2"/>
      <x:c r="AX126" s="2"/>
      <x:c r="AY126" s="2"/>
      <x:c r="AZ126" s="2"/>
      <x:c r="BA126" s="2"/>
      <x:c r="BB126" s="2"/>
      <x:c r="BC126" s="2"/>
      <x:c r="BD126" s="2"/>
      <x:c r="BE126" s="2"/>
      <x:c r="BF126" s="2"/>
      <x:c r="BG126" s="2"/>
      <x:c r="BH126" s="2"/>
      <x:c r="BI126" s="2"/>
      <x:c r="BJ126" s="2"/>
      <x:c r="BK126" s="2"/>
      <x:c r="BL126" s="2"/>
      <x:c r="BM126" s="2"/>
      <x:c r="BN126" s="2"/>
      <x:c r="BO126" s="2"/>
      <x:c r="BP126" s="2"/>
      <x:c r="BQ126" s="2"/>
      <x:c r="BR126" s="2"/>
      <x:c r="BS126" s="2"/>
      <x:c r="BT126" s="2"/>
      <x:c r="BU126" s="2"/>
      <x:c r="BV126" s="2"/>
      <x:c r="BW126" s="2"/>
      <x:c r="BX126" s="2"/>
      <x:c r="BY126" s="2"/>
      <x:c r="BZ126" s="2"/>
      <x:c r="CA126" s="2"/>
      <x:c r="CB126" s="2"/>
      <x:c r="CC126" s="2"/>
      <x:c r="CD126" s="2"/>
      <x:c r="CE126" s="2"/>
      <x:c r="CF126" s="2"/>
      <x:c r="CG126" s="2"/>
      <x:c r="CH126" s="2"/>
      <x:c r="CI126" s="2"/>
      <x:c r="CJ126" s="2"/>
      <x:c r="CK126" s="2"/>
      <x:c r="CL126" s="2"/>
      <x:c r="CM126" s="2"/>
      <x:c r="CN126" s="2"/>
      <x:c r="CO126" s="2"/>
      <x:c r="CP126" s="2"/>
      <x:c r="CQ126" s="2"/>
      <x:c r="CR126" s="2"/>
      <x:c r="CS126" s="2"/>
      <x:c r="CT126" s="2"/>
      <x:c r="CU126" s="2"/>
      <x:c r="CV126" s="2"/>
      <x:c r="CW126" s="2"/>
      <x:c r="CX126" s="2"/>
      <x:c r="CY126" s="2"/>
    </x:row>
    <x:row r="127" ht="19" customHeight="1">
      <x:c r="A127" s="1"/>
      <x:c r="B127" s="1"/>
      <x:c r="C127" s="2" t="n">
        <x:v>76</x:v>
      </x:c>
      <x:c r="D127" s="30" t="n">
        <x:f>$E$40*INDEX('Assumptions'!$F$65:$F$101,MIN(C127,36)+1)</x:f>
        <x:v>0.36</x:v>
      </x:c>
      <x:c r="E127" s="30" t="n">
        <x:f>(D127-D126)*H126</x:f>
        <x:v>0</x:v>
      </x:c>
      <x:c r="F127" s="30" t="n">
        <x:f>(1-D127-J126)*(H126-H127)+(J127-J126)*H127</x:f>
        <x:v>0</x:v>
      </x:c>
      <x:c r="G127" s="30" t="n">
        <x:f>SUM(E128:E147)</x:f>
        <x:v>0</x:v>
      </x:c>
      <x:c r="H127" s="30" t="n">
        <x:f>IF($E$42=0,1-MIN(C127,$E$43)/$E$43,((1+$E$42)^$E$43-(1+$E$42)^MIN(C127,$E$43))/((1+$E$42)^$E$43-1))</x:f>
        <x:v>0</x:v>
      </x:c>
      <x:c r="I127" s="30" t="n">
        <x:f>MAX(0,1-D127-J127)</x:f>
        <x:v>0</x:v>
      </x:c>
      <x:c r="J127" s="2" t="n">
        <x:f>(1-$E$40)*INDEX('Assumptions'!$I$65:$I$101,MIN(C127,36)+1)</x:f>
        <x:v>0.64</x:v>
      </x:c>
      <x:c r="K127" s="2"/>
      <x:c r="L127" s="2"/>
      <x:c r="M127" s="2"/>
      <x:c r="N127" s="2"/>
      <x:c r="O127" s="2"/>
      <x:c r="P127" s="2"/>
      <x:c r="Q127" s="2"/>
      <x:c r="R127" s="2"/>
      <x:c r="S127" s="2"/>
      <x:c r="T127" s="2"/>
      <x:c r="U127" s="2"/>
      <x:c r="V127" s="2"/>
      <x:c r="W127" s="2"/>
      <x:c r="X127" s="2"/>
      <x:c r="Y127" s="2"/>
      <x:c r="Z127" s="2"/>
      <x:c r="AA127" s="2"/>
      <x:c r="AB127" s="2"/>
      <x:c r="AC127" s="2"/>
      <x:c r="AD127" s="2"/>
      <x:c r="AE127" s="2"/>
      <x:c r="AF127" s="2"/>
      <x:c r="AG127" s="2"/>
      <x:c r="AH127" s="2"/>
      <x:c r="AI127" s="2"/>
      <x:c r="AJ127" s="2"/>
      <x:c r="AK127" s="2"/>
      <x:c r="AL127" s="2"/>
      <x:c r="AM127" s="2"/>
      <x:c r="AN127" s="2"/>
      <x:c r="AO127" s="2"/>
      <x:c r="AP127" s="2"/>
      <x:c r="AQ127" s="2"/>
      <x:c r="AR127" s="2"/>
      <x:c r="AS127" s="2"/>
      <x:c r="AT127" s="2"/>
      <x:c r="AU127" s="2"/>
      <x:c r="AV127" s="2"/>
      <x:c r="AW127" s="2"/>
      <x:c r="AX127" s="2"/>
      <x:c r="AY127" s="2"/>
      <x:c r="AZ127" s="2"/>
      <x:c r="BA127" s="2"/>
      <x:c r="BB127" s="2"/>
      <x:c r="BC127" s="2"/>
      <x:c r="BD127" s="2"/>
      <x:c r="BE127" s="2"/>
      <x:c r="BF127" s="2"/>
      <x:c r="BG127" s="2"/>
      <x:c r="BH127" s="2"/>
      <x:c r="BI127" s="2"/>
      <x:c r="BJ127" s="2"/>
      <x:c r="BK127" s="2"/>
      <x:c r="BL127" s="2"/>
      <x:c r="BM127" s="2"/>
      <x:c r="BN127" s="2"/>
      <x:c r="BO127" s="2"/>
      <x:c r="BP127" s="2"/>
      <x:c r="BQ127" s="2"/>
      <x:c r="BR127" s="2"/>
      <x:c r="BS127" s="2"/>
      <x:c r="BT127" s="2"/>
      <x:c r="BU127" s="2"/>
      <x:c r="BV127" s="2"/>
      <x:c r="BW127" s="2"/>
      <x:c r="BX127" s="2"/>
      <x:c r="BY127" s="2"/>
      <x:c r="BZ127" s="2"/>
      <x:c r="CA127" s="2"/>
      <x:c r="CB127" s="2"/>
      <x:c r="CC127" s="2"/>
      <x:c r="CD127" s="2"/>
      <x:c r="CE127" s="2"/>
      <x:c r="CF127" s="2"/>
      <x:c r="CG127" s="2"/>
      <x:c r="CH127" s="2"/>
      <x:c r="CI127" s="2"/>
      <x:c r="CJ127" s="2"/>
      <x:c r="CK127" s="2"/>
      <x:c r="CL127" s="2"/>
      <x:c r="CM127" s="2"/>
      <x:c r="CN127" s="2"/>
      <x:c r="CO127" s="2"/>
      <x:c r="CP127" s="2"/>
      <x:c r="CQ127" s="2"/>
      <x:c r="CR127" s="2"/>
      <x:c r="CS127" s="2"/>
      <x:c r="CT127" s="2"/>
      <x:c r="CU127" s="2"/>
      <x:c r="CV127" s="2"/>
      <x:c r="CW127" s="2"/>
      <x:c r="CX127" s="2"/>
      <x:c r="CY127" s="2"/>
    </x:row>
    <x:row r="128" ht="19" customHeight="1">
      <x:c r="A128" s="1"/>
      <x:c r="B128" s="1"/>
      <x:c r="C128" s="2" t="n">
        <x:v>77</x:v>
      </x:c>
      <x:c r="D128" s="30" t="n">
        <x:f>$E$40*INDEX('Assumptions'!$F$65:$F$101,MIN(C128,36)+1)</x:f>
        <x:v>0.36</x:v>
      </x:c>
      <x:c r="E128" s="30" t="n">
        <x:f>(D128-D127)*H127</x:f>
        <x:v>0</x:v>
      </x:c>
      <x:c r="F128" s="30" t="n">
        <x:f>(1-D128-J127)*(H127-H128)+(J128-J127)*H128</x:f>
        <x:v>0</x:v>
      </x:c>
      <x:c r="G128" s="30" t="n">
        <x:f>SUM(E129:E147)</x:f>
        <x:v>0</x:v>
      </x:c>
      <x:c r="H128" s="30" t="n">
        <x:f>IF($E$42=0,1-MIN(C128,$E$43)/$E$43,((1+$E$42)^$E$43-(1+$E$42)^MIN(C128,$E$43))/((1+$E$42)^$E$43-1))</x:f>
        <x:v>0</x:v>
      </x:c>
      <x:c r="I128" s="30" t="n">
        <x:f>MAX(0,1-D128-J128)</x:f>
        <x:v>0</x:v>
      </x:c>
      <x:c r="J128" s="2" t="n">
        <x:f>(1-$E$40)*INDEX('Assumptions'!$I$65:$I$101,MIN(C128,36)+1)</x:f>
        <x:v>0.64</x:v>
      </x:c>
      <x:c r="K128" s="2"/>
      <x:c r="L128" s="2"/>
      <x:c r="M128" s="2"/>
      <x:c r="N128" s="2"/>
      <x:c r="O128" s="2"/>
      <x:c r="P128" s="2"/>
      <x:c r="Q128" s="2"/>
      <x:c r="R128" s="2"/>
      <x:c r="S128" s="2"/>
      <x:c r="T128" s="2"/>
      <x:c r="U128" s="2"/>
      <x:c r="V128" s="2"/>
      <x:c r="W128" s="2"/>
      <x:c r="X128" s="2"/>
      <x:c r="Y128" s="2"/>
      <x:c r="Z128" s="2"/>
      <x:c r="AA128" s="2"/>
      <x:c r="AB128" s="2"/>
      <x:c r="AC128" s="2"/>
      <x:c r="AD128" s="2"/>
      <x:c r="AE128" s="2"/>
      <x:c r="AF128" s="2"/>
      <x:c r="AG128" s="2"/>
      <x:c r="AH128" s="2"/>
      <x:c r="AI128" s="2"/>
      <x:c r="AJ128" s="2"/>
      <x:c r="AK128" s="2"/>
      <x:c r="AL128" s="2"/>
      <x:c r="AM128" s="2"/>
      <x:c r="AN128" s="2"/>
      <x:c r="AO128" s="2"/>
      <x:c r="AP128" s="2"/>
      <x:c r="AQ128" s="2"/>
      <x:c r="AR128" s="2"/>
      <x:c r="AS128" s="2"/>
      <x:c r="AT128" s="2"/>
      <x:c r="AU128" s="2"/>
      <x:c r="AV128" s="2"/>
      <x:c r="AW128" s="2"/>
      <x:c r="AX128" s="2"/>
      <x:c r="AY128" s="2"/>
      <x:c r="AZ128" s="2"/>
      <x:c r="BA128" s="2"/>
      <x:c r="BB128" s="2"/>
      <x:c r="BC128" s="2"/>
      <x:c r="BD128" s="2"/>
      <x:c r="BE128" s="2"/>
      <x:c r="BF128" s="2"/>
      <x:c r="BG128" s="2"/>
      <x:c r="BH128" s="2"/>
      <x:c r="BI128" s="2"/>
      <x:c r="BJ128" s="2"/>
      <x:c r="BK128" s="2"/>
      <x:c r="BL128" s="2"/>
      <x:c r="BM128" s="2"/>
      <x:c r="BN128" s="2"/>
      <x:c r="BO128" s="2"/>
      <x:c r="BP128" s="2"/>
      <x:c r="BQ128" s="2"/>
      <x:c r="BR128" s="2"/>
      <x:c r="BS128" s="2"/>
      <x:c r="BT128" s="2"/>
      <x:c r="BU128" s="2"/>
      <x:c r="BV128" s="2"/>
      <x:c r="BW128" s="2"/>
      <x:c r="BX128" s="2"/>
      <x:c r="BY128" s="2"/>
      <x:c r="BZ128" s="2"/>
      <x:c r="CA128" s="2"/>
      <x:c r="CB128" s="2"/>
      <x:c r="CC128" s="2"/>
      <x:c r="CD128" s="2"/>
      <x:c r="CE128" s="2"/>
      <x:c r="CF128" s="2"/>
      <x:c r="CG128" s="2"/>
      <x:c r="CH128" s="2"/>
      <x:c r="CI128" s="2"/>
      <x:c r="CJ128" s="2"/>
      <x:c r="CK128" s="2"/>
      <x:c r="CL128" s="2"/>
      <x:c r="CM128" s="2"/>
      <x:c r="CN128" s="2"/>
      <x:c r="CO128" s="2"/>
      <x:c r="CP128" s="2"/>
      <x:c r="CQ128" s="2"/>
      <x:c r="CR128" s="2"/>
      <x:c r="CS128" s="2"/>
      <x:c r="CT128" s="2"/>
      <x:c r="CU128" s="2"/>
      <x:c r="CV128" s="2"/>
      <x:c r="CW128" s="2"/>
      <x:c r="CX128" s="2"/>
      <x:c r="CY128" s="2"/>
    </x:row>
    <x:row r="129" ht="19" customHeight="1">
      <x:c r="A129" s="1"/>
      <x:c r="B129" s="1"/>
      <x:c r="C129" s="2" t="n">
        <x:v>78</x:v>
      </x:c>
      <x:c r="D129" s="30" t="n">
        <x:f>$E$40*INDEX('Assumptions'!$F$65:$F$101,MIN(C129,36)+1)</x:f>
        <x:v>0.36</x:v>
      </x:c>
      <x:c r="E129" s="30" t="n">
        <x:f>(D129-D128)*H128</x:f>
        <x:v>0</x:v>
      </x:c>
      <x:c r="F129" s="30" t="n">
        <x:f>(1-D129-J128)*(H128-H129)+(J129-J128)*H129</x:f>
        <x:v>0</x:v>
      </x:c>
      <x:c r="G129" s="30" t="n">
        <x:f>SUM(E130:E147)</x:f>
        <x:v>0</x:v>
      </x:c>
      <x:c r="H129" s="30" t="n">
        <x:f>IF($E$42=0,1-MIN(C129,$E$43)/$E$43,((1+$E$42)^$E$43-(1+$E$42)^MIN(C129,$E$43))/((1+$E$42)^$E$43-1))</x:f>
        <x:v>0</x:v>
      </x:c>
      <x:c r="I129" s="30" t="n">
        <x:f>MAX(0,1-D129-J129)</x:f>
        <x:v>0</x:v>
      </x:c>
      <x:c r="J129" s="2" t="n">
        <x:f>(1-$E$40)*INDEX('Assumptions'!$I$65:$I$101,MIN(C129,36)+1)</x:f>
        <x:v>0.64</x:v>
      </x:c>
      <x:c r="K129" s="2"/>
      <x:c r="L129" s="2"/>
      <x:c r="M129" s="2"/>
      <x:c r="N129" s="2"/>
      <x:c r="O129" s="2"/>
      <x:c r="P129" s="2"/>
      <x:c r="Q129" s="2"/>
      <x:c r="R129" s="2"/>
      <x:c r="S129" s="2"/>
      <x:c r="T129" s="2"/>
      <x:c r="U129" s="2"/>
      <x:c r="V129" s="2"/>
      <x:c r="W129" s="2"/>
      <x:c r="X129" s="2"/>
      <x:c r="Y129" s="2"/>
      <x:c r="Z129" s="2"/>
      <x:c r="AA129" s="2"/>
      <x:c r="AB129" s="2"/>
      <x:c r="AC129" s="2"/>
      <x:c r="AD129" s="2"/>
      <x:c r="AE129" s="2"/>
      <x:c r="AF129" s="2"/>
      <x:c r="AG129" s="2"/>
      <x:c r="AH129" s="2"/>
      <x:c r="AI129" s="2"/>
      <x:c r="AJ129" s="2"/>
      <x:c r="AK129" s="2"/>
      <x:c r="AL129" s="2"/>
      <x:c r="AM129" s="2"/>
      <x:c r="AN129" s="2"/>
      <x:c r="AO129" s="2"/>
      <x:c r="AP129" s="2"/>
      <x:c r="AQ129" s="2"/>
      <x:c r="AR129" s="2"/>
      <x:c r="AS129" s="2"/>
      <x:c r="AT129" s="2"/>
      <x:c r="AU129" s="2"/>
      <x:c r="AV129" s="2"/>
      <x:c r="AW129" s="2"/>
      <x:c r="AX129" s="2"/>
      <x:c r="AY129" s="2"/>
      <x:c r="AZ129" s="2"/>
      <x:c r="BA129" s="2"/>
      <x:c r="BB129" s="2"/>
      <x:c r="BC129" s="2"/>
      <x:c r="BD129" s="2"/>
      <x:c r="BE129" s="2"/>
      <x:c r="BF129" s="2"/>
      <x:c r="BG129" s="2"/>
      <x:c r="BH129" s="2"/>
      <x:c r="BI129" s="2"/>
      <x:c r="BJ129" s="2"/>
      <x:c r="BK129" s="2"/>
      <x:c r="BL129" s="2"/>
      <x:c r="BM129" s="2"/>
      <x:c r="BN129" s="2"/>
      <x:c r="BO129" s="2"/>
      <x:c r="BP129" s="2"/>
      <x:c r="BQ129" s="2"/>
      <x:c r="BR129" s="2"/>
      <x:c r="BS129" s="2"/>
      <x:c r="BT129" s="2"/>
      <x:c r="BU129" s="2"/>
      <x:c r="BV129" s="2"/>
      <x:c r="BW129" s="2"/>
      <x:c r="BX129" s="2"/>
      <x:c r="BY129" s="2"/>
      <x:c r="BZ129" s="2"/>
      <x:c r="CA129" s="2"/>
      <x:c r="CB129" s="2"/>
      <x:c r="CC129" s="2"/>
      <x:c r="CD129" s="2"/>
      <x:c r="CE129" s="2"/>
      <x:c r="CF129" s="2"/>
      <x:c r="CG129" s="2"/>
      <x:c r="CH129" s="2"/>
      <x:c r="CI129" s="2"/>
      <x:c r="CJ129" s="2"/>
      <x:c r="CK129" s="2"/>
      <x:c r="CL129" s="2"/>
      <x:c r="CM129" s="2"/>
      <x:c r="CN129" s="2"/>
      <x:c r="CO129" s="2"/>
      <x:c r="CP129" s="2"/>
      <x:c r="CQ129" s="2"/>
      <x:c r="CR129" s="2"/>
      <x:c r="CS129" s="2"/>
      <x:c r="CT129" s="2"/>
      <x:c r="CU129" s="2"/>
      <x:c r="CV129" s="2"/>
      <x:c r="CW129" s="2"/>
      <x:c r="CX129" s="2"/>
      <x:c r="CY129" s="2"/>
    </x:row>
    <x:row r="130" ht="19" customHeight="1">
      <x:c r="A130" s="1"/>
      <x:c r="B130" s="1"/>
      <x:c r="C130" s="2" t="n">
        <x:v>79</x:v>
      </x:c>
      <x:c r="D130" s="30" t="n">
        <x:f>$E$40*INDEX('Assumptions'!$F$65:$F$101,MIN(C130,36)+1)</x:f>
        <x:v>0.36</x:v>
      </x:c>
      <x:c r="E130" s="30" t="n">
        <x:f>(D130-D129)*H129</x:f>
        <x:v>0</x:v>
      </x:c>
      <x:c r="F130" s="30" t="n">
        <x:f>(1-D130-J129)*(H129-H130)+(J130-J129)*H130</x:f>
        <x:v>0</x:v>
      </x:c>
      <x:c r="G130" s="30" t="n">
        <x:f>SUM(E131:E147)</x:f>
        <x:v>0</x:v>
      </x:c>
      <x:c r="H130" s="30" t="n">
        <x:f>IF($E$42=0,1-MIN(C130,$E$43)/$E$43,((1+$E$42)^$E$43-(1+$E$42)^MIN(C130,$E$43))/((1+$E$42)^$E$43-1))</x:f>
        <x:v>0</x:v>
      </x:c>
      <x:c r="I130" s="30" t="n">
        <x:f>MAX(0,1-D130-J130)</x:f>
        <x:v>0</x:v>
      </x:c>
      <x:c r="J130" s="2" t="n">
        <x:f>(1-$E$40)*INDEX('Assumptions'!$I$65:$I$101,MIN(C130,36)+1)</x:f>
        <x:v>0.64</x:v>
      </x:c>
      <x:c r="K130" s="2"/>
      <x:c r="L130" s="2"/>
      <x:c r="M130" s="2"/>
      <x:c r="N130" s="2"/>
      <x:c r="O130" s="2"/>
      <x:c r="P130" s="2"/>
      <x:c r="Q130" s="2"/>
      <x:c r="R130" s="2"/>
      <x:c r="S130" s="2"/>
      <x:c r="T130" s="2"/>
      <x:c r="U130" s="2"/>
      <x:c r="V130" s="2"/>
      <x:c r="W130" s="2"/>
      <x:c r="X130" s="2"/>
      <x:c r="Y130" s="2"/>
      <x:c r="Z130" s="2"/>
      <x:c r="AA130" s="2"/>
      <x:c r="AB130" s="2"/>
      <x:c r="AC130" s="2"/>
      <x:c r="AD130" s="2"/>
      <x:c r="AE130" s="2"/>
      <x:c r="AF130" s="2"/>
      <x:c r="AG130" s="2"/>
      <x:c r="AH130" s="2"/>
      <x:c r="AI130" s="2"/>
      <x:c r="AJ130" s="2"/>
      <x:c r="AK130" s="2"/>
      <x:c r="AL130" s="2"/>
      <x:c r="AM130" s="2"/>
      <x:c r="AN130" s="2"/>
      <x:c r="AO130" s="2"/>
      <x:c r="AP130" s="2"/>
      <x:c r="AQ130" s="2"/>
      <x:c r="AR130" s="2"/>
      <x:c r="AS130" s="2"/>
      <x:c r="AT130" s="2"/>
      <x:c r="AU130" s="2"/>
      <x:c r="AV130" s="2"/>
      <x:c r="AW130" s="2"/>
      <x:c r="AX130" s="2"/>
      <x:c r="AY130" s="2"/>
      <x:c r="AZ130" s="2"/>
      <x:c r="BA130" s="2"/>
      <x:c r="BB130" s="2"/>
      <x:c r="BC130" s="2"/>
      <x:c r="BD130" s="2"/>
      <x:c r="BE130" s="2"/>
      <x:c r="BF130" s="2"/>
      <x:c r="BG130" s="2"/>
      <x:c r="BH130" s="2"/>
      <x:c r="BI130" s="2"/>
      <x:c r="BJ130" s="2"/>
      <x:c r="BK130" s="2"/>
      <x:c r="BL130" s="2"/>
      <x:c r="BM130" s="2"/>
      <x:c r="BN130" s="2"/>
      <x:c r="BO130" s="2"/>
      <x:c r="BP130" s="2"/>
      <x:c r="BQ130" s="2"/>
      <x:c r="BR130" s="2"/>
      <x:c r="BS130" s="2"/>
      <x:c r="BT130" s="2"/>
      <x:c r="BU130" s="2"/>
      <x:c r="BV130" s="2"/>
      <x:c r="BW130" s="2"/>
      <x:c r="BX130" s="2"/>
      <x:c r="BY130" s="2"/>
      <x:c r="BZ130" s="2"/>
      <x:c r="CA130" s="2"/>
      <x:c r="CB130" s="2"/>
      <x:c r="CC130" s="2"/>
      <x:c r="CD130" s="2"/>
      <x:c r="CE130" s="2"/>
      <x:c r="CF130" s="2"/>
      <x:c r="CG130" s="2"/>
      <x:c r="CH130" s="2"/>
      <x:c r="CI130" s="2"/>
      <x:c r="CJ130" s="2"/>
      <x:c r="CK130" s="2"/>
      <x:c r="CL130" s="2"/>
      <x:c r="CM130" s="2"/>
      <x:c r="CN130" s="2"/>
      <x:c r="CO130" s="2"/>
      <x:c r="CP130" s="2"/>
      <x:c r="CQ130" s="2"/>
      <x:c r="CR130" s="2"/>
      <x:c r="CS130" s="2"/>
      <x:c r="CT130" s="2"/>
      <x:c r="CU130" s="2"/>
      <x:c r="CV130" s="2"/>
      <x:c r="CW130" s="2"/>
      <x:c r="CX130" s="2"/>
      <x:c r="CY130" s="2"/>
    </x:row>
    <x:row r="131" ht="19" customHeight="1">
      <x:c r="A131" s="1"/>
      <x:c r="B131" s="1"/>
      <x:c r="C131" s="2" t="n">
        <x:v>80</x:v>
      </x:c>
      <x:c r="D131" s="30" t="n">
        <x:f>$E$40*INDEX('Assumptions'!$F$65:$F$101,MIN(C131,36)+1)</x:f>
        <x:v>0.36</x:v>
      </x:c>
      <x:c r="E131" s="30" t="n">
        <x:f>(D131-D130)*H130</x:f>
        <x:v>0</x:v>
      </x:c>
      <x:c r="F131" s="30" t="n">
        <x:f>(1-D131-J130)*(H130-H131)+(J131-J130)*H131</x:f>
        <x:v>0</x:v>
      </x:c>
      <x:c r="G131" s="30" t="n">
        <x:f>SUM(E132:E147)</x:f>
        <x:v>0</x:v>
      </x:c>
      <x:c r="H131" s="30" t="n">
        <x:f>IF($E$42=0,1-MIN(C131,$E$43)/$E$43,((1+$E$42)^$E$43-(1+$E$42)^MIN(C131,$E$43))/((1+$E$42)^$E$43-1))</x:f>
        <x:v>0</x:v>
      </x:c>
      <x:c r="I131" s="30" t="n">
        <x:f>MAX(0,1-D131-J131)</x:f>
        <x:v>0</x:v>
      </x:c>
      <x:c r="J131" s="2" t="n">
        <x:f>(1-$E$40)*INDEX('Assumptions'!$I$65:$I$101,MIN(C131,36)+1)</x:f>
        <x:v>0.64</x:v>
      </x:c>
      <x:c r="K131" s="2"/>
      <x:c r="L131" s="2"/>
      <x:c r="M131" s="2"/>
      <x:c r="N131" s="2"/>
      <x:c r="O131" s="2"/>
      <x:c r="P131" s="2"/>
      <x:c r="Q131" s="2"/>
      <x:c r="R131" s="2"/>
      <x:c r="S131" s="2"/>
      <x:c r="T131" s="2"/>
      <x:c r="U131" s="2"/>
      <x:c r="V131" s="2"/>
      <x:c r="W131" s="2"/>
      <x:c r="X131" s="2"/>
      <x:c r="Y131" s="2"/>
      <x:c r="Z131" s="2"/>
      <x:c r="AA131" s="2"/>
      <x:c r="AB131" s="2"/>
      <x:c r="AC131" s="2"/>
      <x:c r="AD131" s="2"/>
      <x:c r="AE131" s="2"/>
      <x:c r="AF131" s="2"/>
      <x:c r="AG131" s="2"/>
      <x:c r="AH131" s="2"/>
      <x:c r="AI131" s="2"/>
      <x:c r="AJ131" s="2"/>
      <x:c r="AK131" s="2"/>
      <x:c r="AL131" s="2"/>
      <x:c r="AM131" s="2"/>
      <x:c r="AN131" s="2"/>
      <x:c r="AO131" s="2"/>
      <x:c r="AP131" s="2"/>
      <x:c r="AQ131" s="2"/>
      <x:c r="AR131" s="2"/>
      <x:c r="AS131" s="2"/>
      <x:c r="AT131" s="2"/>
      <x:c r="AU131" s="2"/>
      <x:c r="AV131" s="2"/>
      <x:c r="AW131" s="2"/>
      <x:c r="AX131" s="2"/>
      <x:c r="AY131" s="2"/>
      <x:c r="AZ131" s="2"/>
      <x:c r="BA131" s="2"/>
      <x:c r="BB131" s="2"/>
      <x:c r="BC131" s="2"/>
      <x:c r="BD131" s="2"/>
      <x:c r="BE131" s="2"/>
      <x:c r="BF131" s="2"/>
      <x:c r="BG131" s="2"/>
      <x:c r="BH131" s="2"/>
      <x:c r="BI131" s="2"/>
      <x:c r="BJ131" s="2"/>
      <x:c r="BK131" s="2"/>
      <x:c r="BL131" s="2"/>
      <x:c r="BM131" s="2"/>
      <x:c r="BN131" s="2"/>
      <x:c r="BO131" s="2"/>
      <x:c r="BP131" s="2"/>
      <x:c r="BQ131" s="2"/>
      <x:c r="BR131" s="2"/>
      <x:c r="BS131" s="2"/>
      <x:c r="BT131" s="2"/>
      <x:c r="BU131" s="2"/>
      <x:c r="BV131" s="2"/>
      <x:c r="BW131" s="2"/>
      <x:c r="BX131" s="2"/>
      <x:c r="BY131" s="2"/>
      <x:c r="BZ131" s="2"/>
      <x:c r="CA131" s="2"/>
      <x:c r="CB131" s="2"/>
      <x:c r="CC131" s="2"/>
      <x:c r="CD131" s="2"/>
      <x:c r="CE131" s="2"/>
      <x:c r="CF131" s="2"/>
      <x:c r="CG131" s="2"/>
      <x:c r="CH131" s="2"/>
      <x:c r="CI131" s="2"/>
      <x:c r="CJ131" s="2"/>
      <x:c r="CK131" s="2"/>
      <x:c r="CL131" s="2"/>
      <x:c r="CM131" s="2"/>
      <x:c r="CN131" s="2"/>
      <x:c r="CO131" s="2"/>
      <x:c r="CP131" s="2"/>
      <x:c r="CQ131" s="2"/>
      <x:c r="CR131" s="2"/>
      <x:c r="CS131" s="2"/>
      <x:c r="CT131" s="2"/>
      <x:c r="CU131" s="2"/>
      <x:c r="CV131" s="2"/>
      <x:c r="CW131" s="2"/>
      <x:c r="CX131" s="2"/>
      <x:c r="CY131" s="2"/>
    </x:row>
    <x:row r="132" ht="19" customHeight="1">
      <x:c r="A132" s="1"/>
      <x:c r="B132" s="1"/>
      <x:c r="C132" s="2" t="n">
        <x:v>81</x:v>
      </x:c>
      <x:c r="D132" s="30" t="n">
        <x:f>$E$40*INDEX('Assumptions'!$F$65:$F$101,MIN(C132,36)+1)</x:f>
        <x:v>0.36</x:v>
      </x:c>
      <x:c r="E132" s="30" t="n">
        <x:f>(D132-D131)*H131</x:f>
        <x:v>0</x:v>
      </x:c>
      <x:c r="F132" s="30" t="n">
        <x:f>(1-D132-J131)*(H131-H132)+(J132-J131)*H132</x:f>
        <x:v>0</x:v>
      </x:c>
      <x:c r="G132" s="30" t="n">
        <x:f>SUM(E133:E147)</x:f>
        <x:v>0</x:v>
      </x:c>
      <x:c r="H132" s="30" t="n">
        <x:f>IF($E$42=0,1-MIN(C132,$E$43)/$E$43,((1+$E$42)^$E$43-(1+$E$42)^MIN(C132,$E$43))/((1+$E$42)^$E$43-1))</x:f>
        <x:v>0</x:v>
      </x:c>
      <x:c r="I132" s="30" t="n">
        <x:f>MAX(0,1-D132-J132)</x:f>
        <x:v>0</x:v>
      </x:c>
      <x:c r="J132" s="2" t="n">
        <x:f>(1-$E$40)*INDEX('Assumptions'!$I$65:$I$101,MIN(C132,36)+1)</x:f>
        <x:v>0.64</x:v>
      </x:c>
      <x:c r="K132" s="2"/>
      <x:c r="L132" s="2"/>
      <x:c r="M132" s="2"/>
      <x:c r="N132" s="2"/>
      <x:c r="O132" s="2"/>
      <x:c r="P132" s="2"/>
      <x:c r="Q132" s="2"/>
      <x:c r="R132" s="2"/>
      <x:c r="S132" s="2"/>
      <x:c r="T132" s="2"/>
      <x:c r="U132" s="2"/>
      <x:c r="V132" s="2"/>
      <x:c r="W132" s="2"/>
      <x:c r="X132" s="2"/>
      <x:c r="Y132" s="2"/>
      <x:c r="Z132" s="2"/>
      <x:c r="AA132" s="2"/>
      <x:c r="AB132" s="2"/>
      <x:c r="AC132" s="2"/>
      <x:c r="AD132" s="2"/>
      <x:c r="AE132" s="2"/>
      <x:c r="AF132" s="2"/>
      <x:c r="AG132" s="2"/>
      <x:c r="AH132" s="2"/>
      <x:c r="AI132" s="2"/>
      <x:c r="AJ132" s="2"/>
      <x:c r="AK132" s="2"/>
      <x:c r="AL132" s="2"/>
      <x:c r="AM132" s="2"/>
      <x:c r="AN132" s="2"/>
      <x:c r="AO132" s="2"/>
      <x:c r="AP132" s="2"/>
      <x:c r="AQ132" s="2"/>
      <x:c r="AR132" s="2"/>
      <x:c r="AS132" s="2"/>
      <x:c r="AT132" s="2"/>
      <x:c r="AU132" s="2"/>
      <x:c r="AV132" s="2"/>
      <x:c r="AW132" s="2"/>
      <x:c r="AX132" s="2"/>
      <x:c r="AY132" s="2"/>
      <x:c r="AZ132" s="2"/>
      <x:c r="BA132" s="2"/>
      <x:c r="BB132" s="2"/>
      <x:c r="BC132" s="2"/>
      <x:c r="BD132" s="2"/>
      <x:c r="BE132" s="2"/>
      <x:c r="BF132" s="2"/>
      <x:c r="BG132" s="2"/>
      <x:c r="BH132" s="2"/>
      <x:c r="BI132" s="2"/>
      <x:c r="BJ132" s="2"/>
      <x:c r="BK132" s="2"/>
      <x:c r="BL132" s="2"/>
      <x:c r="BM132" s="2"/>
      <x:c r="BN132" s="2"/>
      <x:c r="BO132" s="2"/>
      <x:c r="BP132" s="2"/>
      <x:c r="BQ132" s="2"/>
      <x:c r="BR132" s="2"/>
      <x:c r="BS132" s="2"/>
      <x:c r="BT132" s="2"/>
      <x:c r="BU132" s="2"/>
      <x:c r="BV132" s="2"/>
      <x:c r="BW132" s="2"/>
      <x:c r="BX132" s="2"/>
      <x:c r="BY132" s="2"/>
      <x:c r="BZ132" s="2"/>
      <x:c r="CA132" s="2"/>
      <x:c r="CB132" s="2"/>
      <x:c r="CC132" s="2"/>
      <x:c r="CD132" s="2"/>
      <x:c r="CE132" s="2"/>
      <x:c r="CF132" s="2"/>
      <x:c r="CG132" s="2"/>
      <x:c r="CH132" s="2"/>
      <x:c r="CI132" s="2"/>
      <x:c r="CJ132" s="2"/>
      <x:c r="CK132" s="2"/>
      <x:c r="CL132" s="2"/>
      <x:c r="CM132" s="2"/>
      <x:c r="CN132" s="2"/>
      <x:c r="CO132" s="2"/>
      <x:c r="CP132" s="2"/>
      <x:c r="CQ132" s="2"/>
      <x:c r="CR132" s="2"/>
      <x:c r="CS132" s="2"/>
      <x:c r="CT132" s="2"/>
      <x:c r="CU132" s="2"/>
      <x:c r="CV132" s="2"/>
      <x:c r="CW132" s="2"/>
      <x:c r="CX132" s="2"/>
      <x:c r="CY132" s="2"/>
    </x:row>
    <x:row r="133" ht="19" customHeight="1">
      <x:c r="A133" s="1"/>
      <x:c r="B133" s="1"/>
      <x:c r="C133" s="2" t="n">
        <x:v>82</x:v>
      </x:c>
      <x:c r="D133" s="30" t="n">
        <x:f>$E$40*INDEX('Assumptions'!$F$65:$F$101,MIN(C133,36)+1)</x:f>
        <x:v>0.36</x:v>
      </x:c>
      <x:c r="E133" s="30" t="n">
        <x:f>(D133-D132)*H132</x:f>
        <x:v>0</x:v>
      </x:c>
      <x:c r="F133" s="30" t="n">
        <x:f>(1-D133-J132)*(H132-H133)+(J133-J132)*H133</x:f>
        <x:v>0</x:v>
      </x:c>
      <x:c r="G133" s="30" t="n">
        <x:f>SUM(E134:E147)</x:f>
        <x:v>0</x:v>
      </x:c>
      <x:c r="H133" s="30" t="n">
        <x:f>IF($E$42=0,1-MIN(C133,$E$43)/$E$43,((1+$E$42)^$E$43-(1+$E$42)^MIN(C133,$E$43))/((1+$E$42)^$E$43-1))</x:f>
        <x:v>0</x:v>
      </x:c>
      <x:c r="I133" s="30" t="n">
        <x:f>MAX(0,1-D133-J133)</x:f>
        <x:v>0</x:v>
      </x:c>
      <x:c r="J133" s="2" t="n">
        <x:f>(1-$E$40)*INDEX('Assumptions'!$I$65:$I$101,MIN(C133,36)+1)</x:f>
        <x:v>0.64</x:v>
      </x:c>
      <x:c r="K133" s="2"/>
      <x:c r="L133" s="2"/>
      <x:c r="M133" s="2"/>
      <x:c r="N133" s="2"/>
      <x:c r="O133" s="2"/>
      <x:c r="P133" s="2"/>
      <x:c r="Q133" s="2"/>
      <x:c r="R133" s="2"/>
      <x:c r="S133" s="2"/>
      <x:c r="T133" s="2"/>
      <x:c r="U133" s="2"/>
      <x:c r="V133" s="2"/>
      <x:c r="W133" s="2"/>
      <x:c r="X133" s="2"/>
      <x:c r="Y133" s="2"/>
      <x:c r="Z133" s="2"/>
      <x:c r="AA133" s="2"/>
      <x:c r="AB133" s="2"/>
      <x:c r="AC133" s="2"/>
      <x:c r="AD133" s="2"/>
      <x:c r="AE133" s="2"/>
      <x:c r="AF133" s="2"/>
      <x:c r="AG133" s="2"/>
      <x:c r="AH133" s="2"/>
      <x:c r="AI133" s="2"/>
      <x:c r="AJ133" s="2"/>
      <x:c r="AK133" s="2"/>
      <x:c r="AL133" s="2"/>
      <x:c r="AM133" s="2"/>
      <x:c r="AN133" s="2"/>
      <x:c r="AO133" s="2"/>
      <x:c r="AP133" s="2"/>
      <x:c r="AQ133" s="2"/>
      <x:c r="AR133" s="2"/>
      <x:c r="AS133" s="2"/>
      <x:c r="AT133" s="2"/>
      <x:c r="AU133" s="2"/>
      <x:c r="AV133" s="2"/>
      <x:c r="AW133" s="2"/>
      <x:c r="AX133" s="2"/>
      <x:c r="AY133" s="2"/>
      <x:c r="AZ133" s="2"/>
      <x:c r="BA133" s="2"/>
      <x:c r="BB133" s="2"/>
      <x:c r="BC133" s="2"/>
      <x:c r="BD133" s="2"/>
      <x:c r="BE133" s="2"/>
      <x:c r="BF133" s="2"/>
      <x:c r="BG133" s="2"/>
      <x:c r="BH133" s="2"/>
      <x:c r="BI133" s="2"/>
      <x:c r="BJ133" s="2"/>
      <x:c r="BK133" s="2"/>
      <x:c r="BL133" s="2"/>
      <x:c r="BM133" s="2"/>
      <x:c r="BN133" s="2"/>
      <x:c r="BO133" s="2"/>
      <x:c r="BP133" s="2"/>
      <x:c r="BQ133" s="2"/>
      <x:c r="BR133" s="2"/>
      <x:c r="BS133" s="2"/>
      <x:c r="BT133" s="2"/>
      <x:c r="BU133" s="2"/>
      <x:c r="BV133" s="2"/>
      <x:c r="BW133" s="2"/>
      <x:c r="BX133" s="2"/>
      <x:c r="BY133" s="2"/>
      <x:c r="BZ133" s="2"/>
      <x:c r="CA133" s="2"/>
      <x:c r="CB133" s="2"/>
      <x:c r="CC133" s="2"/>
      <x:c r="CD133" s="2"/>
      <x:c r="CE133" s="2"/>
      <x:c r="CF133" s="2"/>
      <x:c r="CG133" s="2"/>
      <x:c r="CH133" s="2"/>
      <x:c r="CI133" s="2"/>
      <x:c r="CJ133" s="2"/>
      <x:c r="CK133" s="2"/>
      <x:c r="CL133" s="2"/>
      <x:c r="CM133" s="2"/>
      <x:c r="CN133" s="2"/>
      <x:c r="CO133" s="2"/>
      <x:c r="CP133" s="2"/>
      <x:c r="CQ133" s="2"/>
      <x:c r="CR133" s="2"/>
      <x:c r="CS133" s="2"/>
      <x:c r="CT133" s="2"/>
      <x:c r="CU133" s="2"/>
      <x:c r="CV133" s="2"/>
      <x:c r="CW133" s="2"/>
      <x:c r="CX133" s="2"/>
      <x:c r="CY133" s="2"/>
    </x:row>
    <x:row r="134" ht="19" customHeight="1">
      <x:c r="A134" s="1"/>
      <x:c r="B134" s="1"/>
      <x:c r="C134" s="2" t="n">
        <x:v>83</x:v>
      </x:c>
      <x:c r="D134" s="30" t="n">
        <x:f>$E$40*INDEX('Assumptions'!$F$65:$F$101,MIN(C134,36)+1)</x:f>
        <x:v>0.36</x:v>
      </x:c>
      <x:c r="E134" s="30" t="n">
        <x:f>(D134-D133)*H133</x:f>
        <x:v>0</x:v>
      </x:c>
      <x:c r="F134" s="30" t="n">
        <x:f>(1-D134-J133)*(H133-H134)+(J134-J133)*H134</x:f>
        <x:v>0</x:v>
      </x:c>
      <x:c r="G134" s="30" t="n">
        <x:f>SUM(E135:E147)</x:f>
        <x:v>0</x:v>
      </x:c>
      <x:c r="H134" s="30" t="n">
        <x:f>IF($E$42=0,1-MIN(C134,$E$43)/$E$43,((1+$E$42)^$E$43-(1+$E$42)^MIN(C134,$E$43))/((1+$E$42)^$E$43-1))</x:f>
        <x:v>0</x:v>
      </x:c>
      <x:c r="I134" s="30" t="n">
        <x:f>MAX(0,1-D134-J134)</x:f>
        <x:v>0</x:v>
      </x:c>
      <x:c r="J134" s="2" t="n">
        <x:f>(1-$E$40)*INDEX('Assumptions'!$I$65:$I$101,MIN(C134,36)+1)</x:f>
        <x:v>0.64</x:v>
      </x:c>
      <x:c r="K134" s="2"/>
      <x:c r="L134" s="2"/>
      <x:c r="M134" s="2"/>
      <x:c r="N134" s="2"/>
      <x:c r="O134" s="2"/>
      <x:c r="P134" s="2"/>
      <x:c r="Q134" s="2"/>
      <x:c r="R134" s="2"/>
      <x:c r="S134" s="2"/>
      <x:c r="T134" s="2"/>
      <x:c r="U134" s="2"/>
      <x:c r="V134" s="2"/>
      <x:c r="W134" s="2"/>
      <x:c r="X134" s="2"/>
      <x:c r="Y134" s="2"/>
      <x:c r="Z134" s="2"/>
      <x:c r="AA134" s="2"/>
      <x:c r="AB134" s="2"/>
      <x:c r="AC134" s="2"/>
      <x:c r="AD134" s="2"/>
      <x:c r="AE134" s="2"/>
      <x:c r="AF134" s="2"/>
      <x:c r="AG134" s="2"/>
      <x:c r="AH134" s="2"/>
      <x:c r="AI134" s="2"/>
      <x:c r="AJ134" s="2"/>
      <x:c r="AK134" s="2"/>
      <x:c r="AL134" s="2"/>
      <x:c r="AM134" s="2"/>
      <x:c r="AN134" s="2"/>
      <x:c r="AO134" s="2"/>
      <x:c r="AP134" s="2"/>
      <x:c r="AQ134" s="2"/>
      <x:c r="AR134" s="2"/>
      <x:c r="AS134" s="2"/>
      <x:c r="AT134" s="2"/>
      <x:c r="AU134" s="2"/>
      <x:c r="AV134" s="2"/>
      <x:c r="AW134" s="2"/>
      <x:c r="AX134" s="2"/>
      <x:c r="AY134" s="2"/>
      <x:c r="AZ134" s="2"/>
      <x:c r="BA134" s="2"/>
      <x:c r="BB134" s="2"/>
      <x:c r="BC134" s="2"/>
      <x:c r="BD134" s="2"/>
      <x:c r="BE134" s="2"/>
      <x:c r="BF134" s="2"/>
      <x:c r="BG134" s="2"/>
      <x:c r="BH134" s="2"/>
      <x:c r="BI134" s="2"/>
      <x:c r="BJ134" s="2"/>
      <x:c r="BK134" s="2"/>
      <x:c r="BL134" s="2"/>
      <x:c r="BM134" s="2"/>
      <x:c r="BN134" s="2"/>
      <x:c r="BO134" s="2"/>
      <x:c r="BP134" s="2"/>
      <x:c r="BQ134" s="2"/>
      <x:c r="BR134" s="2"/>
      <x:c r="BS134" s="2"/>
      <x:c r="BT134" s="2"/>
      <x:c r="BU134" s="2"/>
      <x:c r="BV134" s="2"/>
      <x:c r="BW134" s="2"/>
      <x:c r="BX134" s="2"/>
      <x:c r="BY134" s="2"/>
      <x:c r="BZ134" s="2"/>
      <x:c r="CA134" s="2"/>
      <x:c r="CB134" s="2"/>
      <x:c r="CC134" s="2"/>
      <x:c r="CD134" s="2"/>
      <x:c r="CE134" s="2"/>
      <x:c r="CF134" s="2"/>
      <x:c r="CG134" s="2"/>
      <x:c r="CH134" s="2"/>
      <x:c r="CI134" s="2"/>
      <x:c r="CJ134" s="2"/>
      <x:c r="CK134" s="2"/>
      <x:c r="CL134" s="2"/>
      <x:c r="CM134" s="2"/>
      <x:c r="CN134" s="2"/>
      <x:c r="CO134" s="2"/>
      <x:c r="CP134" s="2"/>
      <x:c r="CQ134" s="2"/>
      <x:c r="CR134" s="2"/>
      <x:c r="CS134" s="2"/>
      <x:c r="CT134" s="2"/>
      <x:c r="CU134" s="2"/>
      <x:c r="CV134" s="2"/>
      <x:c r="CW134" s="2"/>
      <x:c r="CX134" s="2"/>
      <x:c r="CY134" s="2"/>
    </x:row>
    <x:row r="135" ht="19" customHeight="1">
      <x:c r="A135" s="1"/>
      <x:c r="B135" s="1"/>
      <x:c r="C135" s="2" t="n">
        <x:v>84</x:v>
      </x:c>
      <x:c r="D135" s="30" t="n">
        <x:f>$E$40*INDEX('Assumptions'!$F$65:$F$101,MIN(C135,36)+1)</x:f>
        <x:v>0.36</x:v>
      </x:c>
      <x:c r="E135" s="30" t="n">
        <x:f>(D135-D134)*H134</x:f>
        <x:v>0</x:v>
      </x:c>
      <x:c r="F135" s="30" t="n">
        <x:f>(1-D135-J134)*(H134-H135)+(J135-J134)*H135</x:f>
        <x:v>0</x:v>
      </x:c>
      <x:c r="G135" s="30" t="n">
        <x:f>SUM(E136:E147)</x:f>
        <x:v>0</x:v>
      </x:c>
      <x:c r="H135" s="30" t="n">
        <x:f>IF($E$42=0,1-MIN(C135,$E$43)/$E$43,((1+$E$42)^$E$43-(1+$E$42)^MIN(C135,$E$43))/((1+$E$42)^$E$43-1))</x:f>
        <x:v>0</x:v>
      </x:c>
      <x:c r="I135" s="30" t="n">
        <x:f>MAX(0,1-D135-J135)</x:f>
        <x:v>0</x:v>
      </x:c>
      <x:c r="J135" s="2" t="n">
        <x:f>(1-$E$40)*INDEX('Assumptions'!$I$65:$I$101,MIN(C135,36)+1)</x:f>
        <x:v>0.64</x:v>
      </x:c>
      <x:c r="K135" s="2"/>
      <x:c r="L135" s="2"/>
      <x:c r="M135" s="2"/>
      <x:c r="N135" s="2"/>
      <x:c r="O135" s="2"/>
      <x:c r="P135" s="2"/>
      <x:c r="Q135" s="2"/>
      <x:c r="R135" s="2"/>
      <x:c r="S135" s="2"/>
      <x:c r="T135" s="2"/>
      <x:c r="U135" s="2"/>
      <x:c r="V135" s="2"/>
      <x:c r="W135" s="2"/>
      <x:c r="X135" s="2"/>
      <x:c r="Y135" s="2"/>
      <x:c r="Z135" s="2"/>
      <x:c r="AA135" s="2"/>
      <x:c r="AB135" s="2"/>
      <x:c r="AC135" s="2"/>
      <x:c r="AD135" s="2"/>
      <x:c r="AE135" s="2"/>
      <x:c r="AF135" s="2"/>
      <x:c r="AG135" s="2"/>
      <x:c r="AH135" s="2"/>
      <x:c r="AI135" s="2"/>
      <x:c r="AJ135" s="2"/>
      <x:c r="AK135" s="2"/>
      <x:c r="AL135" s="2"/>
      <x:c r="AM135" s="2"/>
      <x:c r="AN135" s="2"/>
      <x:c r="AO135" s="2"/>
      <x:c r="AP135" s="2"/>
      <x:c r="AQ135" s="2"/>
      <x:c r="AR135" s="2"/>
      <x:c r="AS135" s="2"/>
      <x:c r="AT135" s="2"/>
      <x:c r="AU135" s="2"/>
      <x:c r="AV135" s="2"/>
      <x:c r="AW135" s="2"/>
      <x:c r="AX135" s="2"/>
      <x:c r="AY135" s="2"/>
      <x:c r="AZ135" s="2"/>
      <x:c r="BA135" s="2"/>
      <x:c r="BB135" s="2"/>
      <x:c r="BC135" s="2"/>
      <x:c r="BD135" s="2"/>
      <x:c r="BE135" s="2"/>
      <x:c r="BF135" s="2"/>
      <x:c r="BG135" s="2"/>
      <x:c r="BH135" s="2"/>
      <x:c r="BI135" s="2"/>
      <x:c r="BJ135" s="2"/>
      <x:c r="BK135" s="2"/>
      <x:c r="BL135" s="2"/>
      <x:c r="BM135" s="2"/>
      <x:c r="BN135" s="2"/>
      <x:c r="BO135" s="2"/>
      <x:c r="BP135" s="2"/>
      <x:c r="BQ135" s="2"/>
      <x:c r="BR135" s="2"/>
      <x:c r="BS135" s="2"/>
      <x:c r="BT135" s="2"/>
      <x:c r="BU135" s="2"/>
      <x:c r="BV135" s="2"/>
      <x:c r="BW135" s="2"/>
      <x:c r="BX135" s="2"/>
      <x:c r="BY135" s="2"/>
      <x:c r="BZ135" s="2"/>
      <x:c r="CA135" s="2"/>
      <x:c r="CB135" s="2"/>
      <x:c r="CC135" s="2"/>
      <x:c r="CD135" s="2"/>
      <x:c r="CE135" s="2"/>
      <x:c r="CF135" s="2"/>
      <x:c r="CG135" s="2"/>
      <x:c r="CH135" s="2"/>
      <x:c r="CI135" s="2"/>
      <x:c r="CJ135" s="2"/>
      <x:c r="CK135" s="2"/>
      <x:c r="CL135" s="2"/>
      <x:c r="CM135" s="2"/>
      <x:c r="CN135" s="2"/>
      <x:c r="CO135" s="2"/>
      <x:c r="CP135" s="2"/>
      <x:c r="CQ135" s="2"/>
      <x:c r="CR135" s="2"/>
      <x:c r="CS135" s="2"/>
      <x:c r="CT135" s="2"/>
      <x:c r="CU135" s="2"/>
      <x:c r="CV135" s="2"/>
      <x:c r="CW135" s="2"/>
      <x:c r="CX135" s="2"/>
      <x:c r="CY135" s="2"/>
    </x:row>
    <x:row r="136" ht="19" customHeight="1">
      <x:c r="A136" s="1"/>
      <x:c r="B136" s="1"/>
      <x:c r="C136" s="2" t="n">
        <x:v>85</x:v>
      </x:c>
      <x:c r="D136" s="30" t="n">
        <x:f>$E$40*INDEX('Assumptions'!$F$65:$F$101,MIN(C136,36)+1)</x:f>
        <x:v>0.36</x:v>
      </x:c>
      <x:c r="E136" s="30" t="n">
        <x:f>(D136-D135)*H135</x:f>
        <x:v>0</x:v>
      </x:c>
      <x:c r="F136" s="30" t="n">
        <x:f>(1-D136-J135)*(H135-H136)+(J136-J135)*H136</x:f>
        <x:v>0</x:v>
      </x:c>
      <x:c r="G136" s="30" t="n">
        <x:f>SUM(E137:E147)</x:f>
        <x:v>0</x:v>
      </x:c>
      <x:c r="H136" s="30" t="n">
        <x:f>IF($E$42=0,1-MIN(C136,$E$43)/$E$43,((1+$E$42)^$E$43-(1+$E$42)^MIN(C136,$E$43))/((1+$E$42)^$E$43-1))</x:f>
        <x:v>0</x:v>
      </x:c>
      <x:c r="I136" s="30" t="n">
        <x:f>MAX(0,1-D136-J136)</x:f>
        <x:v>0</x:v>
      </x:c>
      <x:c r="J136" s="2" t="n">
        <x:f>(1-$E$40)*INDEX('Assumptions'!$I$65:$I$101,MIN(C136,36)+1)</x:f>
        <x:v>0.64</x:v>
      </x:c>
      <x:c r="K136" s="2"/>
      <x:c r="L136" s="2"/>
      <x:c r="M136" s="2"/>
      <x:c r="N136" s="2"/>
      <x:c r="O136" s="2"/>
      <x:c r="P136" s="2"/>
      <x:c r="Q136" s="2"/>
      <x:c r="R136" s="2"/>
      <x:c r="S136" s="2"/>
      <x:c r="T136" s="2"/>
      <x:c r="U136" s="2"/>
      <x:c r="V136" s="2"/>
      <x:c r="W136" s="2"/>
      <x:c r="X136" s="2"/>
      <x:c r="Y136" s="2"/>
      <x:c r="Z136" s="2"/>
      <x:c r="AA136" s="2"/>
      <x:c r="AB136" s="2"/>
      <x:c r="AC136" s="2"/>
      <x:c r="AD136" s="2"/>
      <x:c r="AE136" s="2"/>
      <x:c r="AF136" s="2"/>
      <x:c r="AG136" s="2"/>
      <x:c r="AH136" s="2"/>
      <x:c r="AI136" s="2"/>
      <x:c r="AJ136" s="2"/>
      <x:c r="AK136" s="2"/>
      <x:c r="AL136" s="2"/>
      <x:c r="AM136" s="2"/>
      <x:c r="AN136" s="2"/>
      <x:c r="AO136" s="2"/>
      <x:c r="AP136" s="2"/>
      <x:c r="AQ136" s="2"/>
      <x:c r="AR136" s="2"/>
      <x:c r="AS136" s="2"/>
      <x:c r="AT136" s="2"/>
      <x:c r="AU136" s="2"/>
      <x:c r="AV136" s="2"/>
      <x:c r="AW136" s="2"/>
      <x:c r="AX136" s="2"/>
      <x:c r="AY136" s="2"/>
      <x:c r="AZ136" s="2"/>
      <x:c r="BA136" s="2"/>
      <x:c r="BB136" s="2"/>
      <x:c r="BC136" s="2"/>
      <x:c r="BD136" s="2"/>
      <x:c r="BE136" s="2"/>
      <x:c r="BF136" s="2"/>
      <x:c r="BG136" s="2"/>
      <x:c r="BH136" s="2"/>
      <x:c r="BI136" s="2"/>
      <x:c r="BJ136" s="2"/>
      <x:c r="BK136" s="2"/>
      <x:c r="BL136" s="2"/>
      <x:c r="BM136" s="2"/>
      <x:c r="BN136" s="2"/>
      <x:c r="BO136" s="2"/>
      <x:c r="BP136" s="2"/>
      <x:c r="BQ136" s="2"/>
      <x:c r="BR136" s="2"/>
      <x:c r="BS136" s="2"/>
      <x:c r="BT136" s="2"/>
      <x:c r="BU136" s="2"/>
      <x:c r="BV136" s="2"/>
      <x:c r="BW136" s="2"/>
      <x:c r="BX136" s="2"/>
      <x:c r="BY136" s="2"/>
      <x:c r="BZ136" s="2"/>
      <x:c r="CA136" s="2"/>
      <x:c r="CB136" s="2"/>
      <x:c r="CC136" s="2"/>
      <x:c r="CD136" s="2"/>
      <x:c r="CE136" s="2"/>
      <x:c r="CF136" s="2"/>
      <x:c r="CG136" s="2"/>
      <x:c r="CH136" s="2"/>
      <x:c r="CI136" s="2"/>
      <x:c r="CJ136" s="2"/>
      <x:c r="CK136" s="2"/>
      <x:c r="CL136" s="2"/>
      <x:c r="CM136" s="2"/>
      <x:c r="CN136" s="2"/>
      <x:c r="CO136" s="2"/>
      <x:c r="CP136" s="2"/>
      <x:c r="CQ136" s="2"/>
      <x:c r="CR136" s="2"/>
      <x:c r="CS136" s="2"/>
      <x:c r="CT136" s="2"/>
      <x:c r="CU136" s="2"/>
      <x:c r="CV136" s="2"/>
      <x:c r="CW136" s="2"/>
      <x:c r="CX136" s="2"/>
      <x:c r="CY136" s="2"/>
    </x:row>
    <x:row r="137" ht="19" customHeight="1">
      <x:c r="A137" s="1"/>
      <x:c r="B137" s="1"/>
      <x:c r="C137" s="2" t="n">
        <x:v>86</x:v>
      </x:c>
      <x:c r="D137" s="30" t="n">
        <x:f>$E$40*INDEX('Assumptions'!$F$65:$F$101,MIN(C137,36)+1)</x:f>
        <x:v>0.36</x:v>
      </x:c>
      <x:c r="E137" s="30" t="n">
        <x:f>(D137-D136)*H136</x:f>
        <x:v>0</x:v>
      </x:c>
      <x:c r="F137" s="30" t="n">
        <x:f>(1-D137-J136)*(H136-H137)+(J137-J136)*H137</x:f>
        <x:v>0</x:v>
      </x:c>
      <x:c r="G137" s="30" t="n">
        <x:f>SUM(E138:E147)</x:f>
        <x:v>0</x:v>
      </x:c>
      <x:c r="H137" s="30" t="n">
        <x:f>IF($E$42=0,1-MIN(C137,$E$43)/$E$43,((1+$E$42)^$E$43-(1+$E$42)^MIN(C137,$E$43))/((1+$E$42)^$E$43-1))</x:f>
        <x:v>0</x:v>
      </x:c>
      <x:c r="I137" s="30" t="n">
        <x:f>MAX(0,1-D137-J137)</x:f>
        <x:v>0</x:v>
      </x:c>
      <x:c r="J137" s="2" t="n">
        <x:f>(1-$E$40)*INDEX('Assumptions'!$I$65:$I$101,MIN(C137,36)+1)</x:f>
        <x:v>0.64</x:v>
      </x:c>
      <x:c r="K137" s="2"/>
      <x:c r="L137" s="2"/>
      <x:c r="M137" s="2"/>
      <x:c r="N137" s="2"/>
      <x:c r="O137" s="2"/>
      <x:c r="P137" s="2"/>
      <x:c r="Q137" s="2"/>
      <x:c r="R137" s="2"/>
      <x:c r="S137" s="2"/>
      <x:c r="T137" s="2"/>
      <x:c r="U137" s="2"/>
      <x:c r="V137" s="2"/>
      <x:c r="W137" s="2"/>
      <x:c r="X137" s="2"/>
      <x:c r="Y137" s="2"/>
      <x:c r="Z137" s="2"/>
      <x:c r="AA137" s="2"/>
      <x:c r="AB137" s="2"/>
      <x:c r="AC137" s="2"/>
      <x:c r="AD137" s="2"/>
      <x:c r="AE137" s="2"/>
      <x:c r="AF137" s="2"/>
      <x:c r="AG137" s="2"/>
      <x:c r="AH137" s="2"/>
      <x:c r="AI137" s="2"/>
      <x:c r="AJ137" s="2"/>
      <x:c r="AK137" s="2"/>
      <x:c r="AL137" s="2"/>
      <x:c r="AM137" s="2"/>
      <x:c r="AN137" s="2"/>
      <x:c r="AO137" s="2"/>
      <x:c r="AP137" s="2"/>
      <x:c r="AQ137" s="2"/>
      <x:c r="AR137" s="2"/>
      <x:c r="AS137" s="2"/>
      <x:c r="AT137" s="2"/>
      <x:c r="AU137" s="2"/>
      <x:c r="AV137" s="2"/>
      <x:c r="AW137" s="2"/>
      <x:c r="AX137" s="2"/>
      <x:c r="AY137" s="2"/>
      <x:c r="AZ137" s="2"/>
      <x:c r="BA137" s="2"/>
      <x:c r="BB137" s="2"/>
      <x:c r="BC137" s="2"/>
      <x:c r="BD137" s="2"/>
      <x:c r="BE137" s="2"/>
      <x:c r="BF137" s="2"/>
      <x:c r="BG137" s="2"/>
      <x:c r="BH137" s="2"/>
      <x:c r="BI137" s="2"/>
      <x:c r="BJ137" s="2"/>
      <x:c r="BK137" s="2"/>
      <x:c r="BL137" s="2"/>
      <x:c r="BM137" s="2"/>
      <x:c r="BN137" s="2"/>
      <x:c r="BO137" s="2"/>
      <x:c r="BP137" s="2"/>
      <x:c r="BQ137" s="2"/>
      <x:c r="BR137" s="2"/>
      <x:c r="BS137" s="2"/>
      <x:c r="BT137" s="2"/>
      <x:c r="BU137" s="2"/>
      <x:c r="BV137" s="2"/>
      <x:c r="BW137" s="2"/>
      <x:c r="BX137" s="2"/>
      <x:c r="BY137" s="2"/>
      <x:c r="BZ137" s="2"/>
      <x:c r="CA137" s="2"/>
      <x:c r="CB137" s="2"/>
      <x:c r="CC137" s="2"/>
      <x:c r="CD137" s="2"/>
      <x:c r="CE137" s="2"/>
      <x:c r="CF137" s="2"/>
      <x:c r="CG137" s="2"/>
      <x:c r="CH137" s="2"/>
      <x:c r="CI137" s="2"/>
      <x:c r="CJ137" s="2"/>
      <x:c r="CK137" s="2"/>
      <x:c r="CL137" s="2"/>
      <x:c r="CM137" s="2"/>
      <x:c r="CN137" s="2"/>
      <x:c r="CO137" s="2"/>
      <x:c r="CP137" s="2"/>
      <x:c r="CQ137" s="2"/>
      <x:c r="CR137" s="2"/>
      <x:c r="CS137" s="2"/>
      <x:c r="CT137" s="2"/>
      <x:c r="CU137" s="2"/>
      <x:c r="CV137" s="2"/>
      <x:c r="CW137" s="2"/>
      <x:c r="CX137" s="2"/>
      <x:c r="CY137" s="2"/>
    </x:row>
    <x:row r="138" ht="19" customHeight="1">
      <x:c r="A138" s="1"/>
      <x:c r="B138" s="1"/>
      <x:c r="C138" s="2" t="n">
        <x:v>87</x:v>
      </x:c>
      <x:c r="D138" s="30" t="n">
        <x:f>$E$40*INDEX('Assumptions'!$F$65:$F$101,MIN(C138,36)+1)</x:f>
        <x:v>0.36</x:v>
      </x:c>
      <x:c r="E138" s="30" t="n">
        <x:f>(D138-D137)*H137</x:f>
        <x:v>0</x:v>
      </x:c>
      <x:c r="F138" s="30" t="n">
        <x:f>(1-D138-J137)*(H137-H138)+(J138-J137)*H138</x:f>
        <x:v>0</x:v>
      </x:c>
      <x:c r="G138" s="30" t="n">
        <x:f>SUM(E139:E147)</x:f>
        <x:v>0</x:v>
      </x:c>
      <x:c r="H138" s="30" t="n">
        <x:f>IF($E$42=0,1-MIN(C138,$E$43)/$E$43,((1+$E$42)^$E$43-(1+$E$42)^MIN(C138,$E$43))/((1+$E$42)^$E$43-1))</x:f>
        <x:v>0</x:v>
      </x:c>
      <x:c r="I138" s="30" t="n">
        <x:f>MAX(0,1-D138-J138)</x:f>
        <x:v>0</x:v>
      </x:c>
      <x:c r="J138" s="2" t="n">
        <x:f>(1-$E$40)*INDEX('Assumptions'!$I$65:$I$101,MIN(C138,36)+1)</x:f>
        <x:v>0.64</x:v>
      </x:c>
      <x:c r="K138" s="2"/>
      <x:c r="L138" s="2"/>
      <x:c r="M138" s="2"/>
      <x:c r="N138" s="2"/>
      <x:c r="O138" s="2"/>
      <x:c r="P138" s="2"/>
      <x:c r="Q138" s="2"/>
      <x:c r="R138" s="2"/>
      <x:c r="S138" s="2"/>
      <x:c r="T138" s="2"/>
      <x:c r="U138" s="2"/>
      <x:c r="V138" s="2"/>
      <x:c r="W138" s="2"/>
      <x:c r="X138" s="2"/>
      <x:c r="Y138" s="2"/>
      <x:c r="Z138" s="2"/>
      <x:c r="AA138" s="2"/>
      <x:c r="AB138" s="2"/>
      <x:c r="AC138" s="2"/>
      <x:c r="AD138" s="2"/>
      <x:c r="AE138" s="2"/>
      <x:c r="AF138" s="2"/>
      <x:c r="AG138" s="2"/>
      <x:c r="AH138" s="2"/>
      <x:c r="AI138" s="2"/>
      <x:c r="AJ138" s="2"/>
      <x:c r="AK138" s="2"/>
      <x:c r="AL138" s="2"/>
      <x:c r="AM138" s="2"/>
      <x:c r="AN138" s="2"/>
      <x:c r="AO138" s="2"/>
      <x:c r="AP138" s="2"/>
      <x:c r="AQ138" s="2"/>
      <x:c r="AR138" s="2"/>
      <x:c r="AS138" s="2"/>
      <x:c r="AT138" s="2"/>
      <x:c r="AU138" s="2"/>
      <x:c r="AV138" s="2"/>
      <x:c r="AW138" s="2"/>
      <x:c r="AX138" s="2"/>
      <x:c r="AY138" s="2"/>
      <x:c r="AZ138" s="2"/>
      <x:c r="BA138" s="2"/>
      <x:c r="BB138" s="2"/>
      <x:c r="BC138" s="2"/>
      <x:c r="BD138" s="2"/>
      <x:c r="BE138" s="2"/>
      <x:c r="BF138" s="2"/>
      <x:c r="BG138" s="2"/>
      <x:c r="BH138" s="2"/>
      <x:c r="BI138" s="2"/>
      <x:c r="BJ138" s="2"/>
      <x:c r="BK138" s="2"/>
      <x:c r="BL138" s="2"/>
      <x:c r="BM138" s="2"/>
      <x:c r="BN138" s="2"/>
      <x:c r="BO138" s="2"/>
      <x:c r="BP138" s="2"/>
      <x:c r="BQ138" s="2"/>
      <x:c r="BR138" s="2"/>
      <x:c r="BS138" s="2"/>
      <x:c r="BT138" s="2"/>
      <x:c r="BU138" s="2"/>
      <x:c r="BV138" s="2"/>
      <x:c r="BW138" s="2"/>
      <x:c r="BX138" s="2"/>
      <x:c r="BY138" s="2"/>
      <x:c r="BZ138" s="2"/>
      <x:c r="CA138" s="2"/>
      <x:c r="CB138" s="2"/>
      <x:c r="CC138" s="2"/>
      <x:c r="CD138" s="2"/>
      <x:c r="CE138" s="2"/>
      <x:c r="CF138" s="2"/>
      <x:c r="CG138" s="2"/>
      <x:c r="CH138" s="2"/>
      <x:c r="CI138" s="2"/>
      <x:c r="CJ138" s="2"/>
      <x:c r="CK138" s="2"/>
      <x:c r="CL138" s="2"/>
      <x:c r="CM138" s="2"/>
      <x:c r="CN138" s="2"/>
      <x:c r="CO138" s="2"/>
      <x:c r="CP138" s="2"/>
      <x:c r="CQ138" s="2"/>
      <x:c r="CR138" s="2"/>
      <x:c r="CS138" s="2"/>
      <x:c r="CT138" s="2"/>
      <x:c r="CU138" s="2"/>
      <x:c r="CV138" s="2"/>
      <x:c r="CW138" s="2"/>
      <x:c r="CX138" s="2"/>
      <x:c r="CY138" s="2"/>
    </x:row>
    <x:row r="139" ht="19" customHeight="1">
      <x:c r="A139" s="1"/>
      <x:c r="B139" s="1"/>
      <x:c r="C139" s="2" t="n">
        <x:v>88</x:v>
      </x:c>
      <x:c r="D139" s="30" t="n">
        <x:f>$E$40*INDEX('Assumptions'!$F$65:$F$101,MIN(C139,36)+1)</x:f>
        <x:v>0.36</x:v>
      </x:c>
      <x:c r="E139" s="30" t="n">
        <x:f>(D139-D138)*H138</x:f>
        <x:v>0</x:v>
      </x:c>
      <x:c r="F139" s="30" t="n">
        <x:f>(1-D139-J138)*(H138-H139)+(J139-J138)*H139</x:f>
        <x:v>0</x:v>
      </x:c>
      <x:c r="G139" s="30" t="n">
        <x:f>SUM(E140:E147)</x:f>
        <x:v>0</x:v>
      </x:c>
      <x:c r="H139" s="30" t="n">
        <x:f>IF($E$42=0,1-MIN(C139,$E$43)/$E$43,((1+$E$42)^$E$43-(1+$E$42)^MIN(C139,$E$43))/((1+$E$42)^$E$43-1))</x:f>
        <x:v>0</x:v>
      </x:c>
      <x:c r="I139" s="30" t="n">
        <x:f>MAX(0,1-D139-J139)</x:f>
        <x:v>0</x:v>
      </x:c>
      <x:c r="J139" s="2" t="n">
        <x:f>(1-$E$40)*INDEX('Assumptions'!$I$65:$I$101,MIN(C139,36)+1)</x:f>
        <x:v>0.64</x:v>
      </x:c>
      <x:c r="K139" s="2"/>
      <x:c r="L139" s="2"/>
      <x:c r="M139" s="2"/>
      <x:c r="N139" s="2"/>
      <x:c r="O139" s="2"/>
      <x:c r="P139" s="2"/>
      <x:c r="Q139" s="2"/>
      <x:c r="R139" s="2"/>
      <x:c r="S139" s="2"/>
      <x:c r="T139" s="2"/>
      <x:c r="U139" s="2"/>
      <x:c r="V139" s="2"/>
      <x:c r="W139" s="2"/>
      <x:c r="X139" s="2"/>
      <x:c r="Y139" s="2"/>
      <x:c r="Z139" s="2"/>
      <x:c r="AA139" s="2"/>
      <x:c r="AB139" s="2"/>
      <x:c r="AC139" s="2"/>
      <x:c r="AD139" s="2"/>
      <x:c r="AE139" s="2"/>
      <x:c r="AF139" s="2"/>
      <x:c r="AG139" s="2"/>
      <x:c r="AH139" s="2"/>
      <x:c r="AI139" s="2"/>
      <x:c r="AJ139" s="2"/>
      <x:c r="AK139" s="2"/>
      <x:c r="AL139" s="2"/>
      <x:c r="AM139" s="2"/>
      <x:c r="AN139" s="2"/>
      <x:c r="AO139" s="2"/>
      <x:c r="AP139" s="2"/>
      <x:c r="AQ139" s="2"/>
      <x:c r="AR139" s="2"/>
      <x:c r="AS139" s="2"/>
      <x:c r="AT139" s="2"/>
      <x:c r="AU139" s="2"/>
      <x:c r="AV139" s="2"/>
      <x:c r="AW139" s="2"/>
      <x:c r="AX139" s="2"/>
      <x:c r="AY139" s="2"/>
      <x:c r="AZ139" s="2"/>
      <x:c r="BA139" s="2"/>
      <x:c r="BB139" s="2"/>
      <x:c r="BC139" s="2"/>
      <x:c r="BD139" s="2"/>
      <x:c r="BE139" s="2"/>
      <x:c r="BF139" s="2"/>
      <x:c r="BG139" s="2"/>
      <x:c r="BH139" s="2"/>
      <x:c r="BI139" s="2"/>
      <x:c r="BJ139" s="2"/>
      <x:c r="BK139" s="2"/>
      <x:c r="BL139" s="2"/>
      <x:c r="BM139" s="2"/>
      <x:c r="BN139" s="2"/>
      <x:c r="BO139" s="2"/>
      <x:c r="BP139" s="2"/>
      <x:c r="BQ139" s="2"/>
      <x:c r="BR139" s="2"/>
      <x:c r="BS139" s="2"/>
      <x:c r="BT139" s="2"/>
      <x:c r="BU139" s="2"/>
      <x:c r="BV139" s="2"/>
      <x:c r="BW139" s="2"/>
      <x:c r="BX139" s="2"/>
      <x:c r="BY139" s="2"/>
      <x:c r="BZ139" s="2"/>
      <x:c r="CA139" s="2"/>
      <x:c r="CB139" s="2"/>
      <x:c r="CC139" s="2"/>
      <x:c r="CD139" s="2"/>
      <x:c r="CE139" s="2"/>
      <x:c r="CF139" s="2"/>
      <x:c r="CG139" s="2"/>
      <x:c r="CH139" s="2"/>
      <x:c r="CI139" s="2"/>
      <x:c r="CJ139" s="2"/>
      <x:c r="CK139" s="2"/>
      <x:c r="CL139" s="2"/>
      <x:c r="CM139" s="2"/>
      <x:c r="CN139" s="2"/>
      <x:c r="CO139" s="2"/>
      <x:c r="CP139" s="2"/>
      <x:c r="CQ139" s="2"/>
      <x:c r="CR139" s="2"/>
      <x:c r="CS139" s="2"/>
      <x:c r="CT139" s="2"/>
      <x:c r="CU139" s="2"/>
      <x:c r="CV139" s="2"/>
      <x:c r="CW139" s="2"/>
      <x:c r="CX139" s="2"/>
      <x:c r="CY139" s="2"/>
    </x:row>
    <x:row r="140" ht="19" customHeight="1">
      <x:c r="A140" s="1"/>
      <x:c r="B140" s="1"/>
      <x:c r="C140" s="2" t="n">
        <x:v>89</x:v>
      </x:c>
      <x:c r="D140" s="30" t="n">
        <x:f>$E$40*INDEX('Assumptions'!$F$65:$F$101,MIN(C140,36)+1)</x:f>
        <x:v>0.36</x:v>
      </x:c>
      <x:c r="E140" s="30" t="n">
        <x:f>(D140-D139)*H139</x:f>
        <x:v>0</x:v>
      </x:c>
      <x:c r="F140" s="30" t="n">
        <x:f>(1-D140-J139)*(H139-H140)+(J140-J139)*H140</x:f>
        <x:v>0</x:v>
      </x:c>
      <x:c r="G140" s="30" t="n">
        <x:f>SUM(E141:E147)</x:f>
        <x:v>0</x:v>
      </x:c>
      <x:c r="H140" s="30" t="n">
        <x:f>IF($E$42=0,1-MIN(C140,$E$43)/$E$43,((1+$E$42)^$E$43-(1+$E$42)^MIN(C140,$E$43))/((1+$E$42)^$E$43-1))</x:f>
        <x:v>0</x:v>
      </x:c>
      <x:c r="I140" s="30" t="n">
        <x:f>MAX(0,1-D140-J140)</x:f>
        <x:v>0</x:v>
      </x:c>
      <x:c r="J140" s="2" t="n">
        <x:f>(1-$E$40)*INDEX('Assumptions'!$I$65:$I$101,MIN(C140,36)+1)</x:f>
        <x:v>0.64</x:v>
      </x:c>
      <x:c r="K140" s="2"/>
      <x:c r="L140" s="2"/>
      <x:c r="M140" s="2"/>
      <x:c r="N140" s="2"/>
      <x:c r="O140" s="2"/>
      <x:c r="P140" s="2"/>
      <x:c r="Q140" s="2"/>
      <x:c r="R140" s="2"/>
      <x:c r="S140" s="2"/>
      <x:c r="T140" s="2"/>
      <x:c r="U140" s="2"/>
      <x:c r="V140" s="2"/>
      <x:c r="W140" s="2"/>
      <x:c r="X140" s="2"/>
      <x:c r="Y140" s="2"/>
      <x:c r="Z140" s="2"/>
      <x:c r="AA140" s="2"/>
      <x:c r="AB140" s="2"/>
      <x:c r="AC140" s="2"/>
      <x:c r="AD140" s="2"/>
      <x:c r="AE140" s="2"/>
      <x:c r="AF140" s="2"/>
      <x:c r="AG140" s="2"/>
      <x:c r="AH140" s="2"/>
      <x:c r="AI140" s="2"/>
      <x:c r="AJ140" s="2"/>
      <x:c r="AK140" s="2"/>
      <x:c r="AL140" s="2"/>
      <x:c r="AM140" s="2"/>
      <x:c r="AN140" s="2"/>
      <x:c r="AO140" s="2"/>
      <x:c r="AP140" s="2"/>
      <x:c r="AQ140" s="2"/>
      <x:c r="AR140" s="2"/>
      <x:c r="AS140" s="2"/>
      <x:c r="AT140" s="2"/>
      <x:c r="AU140" s="2"/>
      <x:c r="AV140" s="2"/>
      <x:c r="AW140" s="2"/>
      <x:c r="AX140" s="2"/>
      <x:c r="AY140" s="2"/>
      <x:c r="AZ140" s="2"/>
      <x:c r="BA140" s="2"/>
      <x:c r="BB140" s="2"/>
      <x:c r="BC140" s="2"/>
      <x:c r="BD140" s="2"/>
      <x:c r="BE140" s="2"/>
      <x:c r="BF140" s="2"/>
      <x:c r="BG140" s="2"/>
      <x:c r="BH140" s="2"/>
      <x:c r="BI140" s="2"/>
      <x:c r="BJ140" s="2"/>
      <x:c r="BK140" s="2"/>
      <x:c r="BL140" s="2"/>
      <x:c r="BM140" s="2"/>
      <x:c r="BN140" s="2"/>
      <x:c r="BO140" s="2"/>
      <x:c r="BP140" s="2"/>
      <x:c r="BQ140" s="2"/>
      <x:c r="BR140" s="2"/>
      <x:c r="BS140" s="2"/>
      <x:c r="BT140" s="2"/>
      <x:c r="BU140" s="2"/>
      <x:c r="BV140" s="2"/>
      <x:c r="BW140" s="2"/>
      <x:c r="BX140" s="2"/>
      <x:c r="BY140" s="2"/>
      <x:c r="BZ140" s="2"/>
      <x:c r="CA140" s="2"/>
      <x:c r="CB140" s="2"/>
      <x:c r="CC140" s="2"/>
      <x:c r="CD140" s="2"/>
      <x:c r="CE140" s="2"/>
      <x:c r="CF140" s="2"/>
      <x:c r="CG140" s="2"/>
      <x:c r="CH140" s="2"/>
      <x:c r="CI140" s="2"/>
      <x:c r="CJ140" s="2"/>
      <x:c r="CK140" s="2"/>
      <x:c r="CL140" s="2"/>
      <x:c r="CM140" s="2"/>
      <x:c r="CN140" s="2"/>
      <x:c r="CO140" s="2"/>
      <x:c r="CP140" s="2"/>
      <x:c r="CQ140" s="2"/>
      <x:c r="CR140" s="2"/>
      <x:c r="CS140" s="2"/>
      <x:c r="CT140" s="2"/>
      <x:c r="CU140" s="2"/>
      <x:c r="CV140" s="2"/>
      <x:c r="CW140" s="2"/>
      <x:c r="CX140" s="2"/>
      <x:c r="CY140" s="2"/>
    </x:row>
    <x:row r="141" ht="19" customHeight="1">
      <x:c r="A141" s="1"/>
      <x:c r="B141" s="1"/>
      <x:c r="C141" s="2" t="n">
        <x:v>90</x:v>
      </x:c>
      <x:c r="D141" s="30" t="n">
        <x:f>$E$40*INDEX('Assumptions'!$F$65:$F$101,MIN(C141,36)+1)</x:f>
        <x:v>0.36</x:v>
      </x:c>
      <x:c r="E141" s="30" t="n">
        <x:f>(D141-D140)*H140</x:f>
        <x:v>0</x:v>
      </x:c>
      <x:c r="F141" s="30" t="n">
        <x:f>(1-D141-J140)*(H140-H141)+(J141-J140)*H141</x:f>
        <x:v>0</x:v>
      </x:c>
      <x:c r="G141" s="30" t="n">
        <x:f>SUM(E142:E147)</x:f>
        <x:v>0</x:v>
      </x:c>
      <x:c r="H141" s="30" t="n">
        <x:f>IF($E$42=0,1-MIN(C141,$E$43)/$E$43,((1+$E$42)^$E$43-(1+$E$42)^MIN(C141,$E$43))/((1+$E$42)^$E$43-1))</x:f>
        <x:v>0</x:v>
      </x:c>
      <x:c r="I141" s="30" t="n">
        <x:f>MAX(0,1-D141-J141)</x:f>
        <x:v>0</x:v>
      </x:c>
      <x:c r="J141" s="2" t="n">
        <x:f>(1-$E$40)*INDEX('Assumptions'!$I$65:$I$101,MIN(C141,36)+1)</x:f>
        <x:v>0.64</x:v>
      </x:c>
      <x:c r="K141" s="2"/>
      <x:c r="L141" s="2"/>
      <x:c r="M141" s="2"/>
      <x:c r="N141" s="2"/>
      <x:c r="O141" s="2"/>
      <x:c r="P141" s="2"/>
      <x:c r="Q141" s="2"/>
      <x:c r="R141" s="2"/>
      <x:c r="S141" s="2"/>
      <x:c r="T141" s="2"/>
      <x:c r="U141" s="2"/>
      <x:c r="V141" s="2"/>
      <x:c r="W141" s="2"/>
      <x:c r="X141" s="2"/>
      <x:c r="Y141" s="2"/>
      <x:c r="Z141" s="2"/>
      <x:c r="AA141" s="2"/>
      <x:c r="AB141" s="2"/>
      <x:c r="AC141" s="2"/>
      <x:c r="AD141" s="2"/>
      <x:c r="AE141" s="2"/>
      <x:c r="AF141" s="2"/>
      <x:c r="AG141" s="2"/>
      <x:c r="AH141" s="2"/>
      <x:c r="AI141" s="2"/>
      <x:c r="AJ141" s="2"/>
      <x:c r="AK141" s="2"/>
      <x:c r="AL141" s="2"/>
      <x:c r="AM141" s="2"/>
      <x:c r="AN141" s="2"/>
      <x:c r="AO141" s="2"/>
      <x:c r="AP141" s="2"/>
      <x:c r="AQ141" s="2"/>
      <x:c r="AR141" s="2"/>
      <x:c r="AS141" s="2"/>
      <x:c r="AT141" s="2"/>
      <x:c r="AU141" s="2"/>
      <x:c r="AV141" s="2"/>
      <x:c r="AW141" s="2"/>
      <x:c r="AX141" s="2"/>
      <x:c r="AY141" s="2"/>
      <x:c r="AZ141" s="2"/>
      <x:c r="BA141" s="2"/>
      <x:c r="BB141" s="2"/>
      <x:c r="BC141" s="2"/>
      <x:c r="BD141" s="2"/>
      <x:c r="BE141" s="2"/>
      <x:c r="BF141" s="2"/>
      <x:c r="BG141" s="2"/>
      <x:c r="BH141" s="2"/>
      <x:c r="BI141" s="2"/>
      <x:c r="BJ141" s="2"/>
      <x:c r="BK141" s="2"/>
      <x:c r="BL141" s="2"/>
      <x:c r="BM141" s="2"/>
      <x:c r="BN141" s="2"/>
      <x:c r="BO141" s="2"/>
      <x:c r="BP141" s="2"/>
      <x:c r="BQ141" s="2"/>
      <x:c r="BR141" s="2"/>
      <x:c r="BS141" s="2"/>
      <x:c r="BT141" s="2"/>
      <x:c r="BU141" s="2"/>
      <x:c r="BV141" s="2"/>
      <x:c r="BW141" s="2"/>
      <x:c r="BX141" s="2"/>
      <x:c r="BY141" s="2"/>
      <x:c r="BZ141" s="2"/>
      <x:c r="CA141" s="2"/>
      <x:c r="CB141" s="2"/>
      <x:c r="CC141" s="2"/>
      <x:c r="CD141" s="2"/>
      <x:c r="CE141" s="2"/>
      <x:c r="CF141" s="2"/>
      <x:c r="CG141" s="2"/>
      <x:c r="CH141" s="2"/>
      <x:c r="CI141" s="2"/>
      <x:c r="CJ141" s="2"/>
      <x:c r="CK141" s="2"/>
      <x:c r="CL141" s="2"/>
      <x:c r="CM141" s="2"/>
      <x:c r="CN141" s="2"/>
      <x:c r="CO141" s="2"/>
      <x:c r="CP141" s="2"/>
      <x:c r="CQ141" s="2"/>
      <x:c r="CR141" s="2"/>
      <x:c r="CS141" s="2"/>
      <x:c r="CT141" s="2"/>
      <x:c r="CU141" s="2"/>
      <x:c r="CV141" s="2"/>
      <x:c r="CW141" s="2"/>
      <x:c r="CX141" s="2"/>
      <x:c r="CY141" s="2"/>
    </x:row>
    <x:row r="142" ht="19" customHeight="1">
      <x:c r="A142" s="1"/>
      <x:c r="B142" s="1"/>
      <x:c r="C142" s="2" t="n">
        <x:v>91</x:v>
      </x:c>
      <x:c r="D142" s="30" t="n">
        <x:f>$E$40*INDEX('Assumptions'!$F$65:$F$101,MIN(C142,36)+1)</x:f>
        <x:v>0.36</x:v>
      </x:c>
      <x:c r="E142" s="30" t="n">
        <x:f>(D142-D141)*H141</x:f>
        <x:v>0</x:v>
      </x:c>
      <x:c r="F142" s="30" t="n">
        <x:f>(1-D142-J141)*(H141-H142)+(J142-J141)*H142</x:f>
        <x:v>0</x:v>
      </x:c>
      <x:c r="G142" s="30" t="n">
        <x:f>SUM(E143:E147)</x:f>
        <x:v>0</x:v>
      </x:c>
      <x:c r="H142" s="30" t="n">
        <x:f>IF($E$42=0,1-MIN(C142,$E$43)/$E$43,((1+$E$42)^$E$43-(1+$E$42)^MIN(C142,$E$43))/((1+$E$42)^$E$43-1))</x:f>
        <x:v>0</x:v>
      </x:c>
      <x:c r="I142" s="30" t="n">
        <x:f>MAX(0,1-D142-J142)</x:f>
        <x:v>0</x:v>
      </x:c>
      <x:c r="J142" s="2" t="n">
        <x:f>(1-$E$40)*INDEX('Assumptions'!$I$65:$I$101,MIN(C142,36)+1)</x:f>
        <x:v>0.64</x:v>
      </x:c>
      <x:c r="K142" s="2"/>
      <x:c r="L142" s="2"/>
      <x:c r="M142" s="2"/>
      <x:c r="N142" s="2"/>
      <x:c r="O142" s="2"/>
      <x:c r="P142" s="2"/>
      <x:c r="Q142" s="2"/>
      <x:c r="R142" s="2"/>
      <x:c r="S142" s="2"/>
      <x:c r="T142" s="2"/>
      <x:c r="U142" s="2"/>
      <x:c r="V142" s="2"/>
      <x:c r="W142" s="2"/>
      <x:c r="X142" s="2"/>
      <x:c r="Y142" s="2"/>
      <x:c r="Z142" s="2"/>
      <x:c r="AA142" s="2"/>
      <x:c r="AB142" s="2"/>
      <x:c r="AC142" s="2"/>
      <x:c r="AD142" s="2"/>
      <x:c r="AE142" s="2"/>
      <x:c r="AF142" s="2"/>
      <x:c r="AG142" s="2"/>
      <x:c r="AH142" s="2"/>
      <x:c r="AI142" s="2"/>
      <x:c r="AJ142" s="2"/>
      <x:c r="AK142" s="2"/>
      <x:c r="AL142" s="2"/>
      <x:c r="AM142" s="2"/>
      <x:c r="AN142" s="2"/>
      <x:c r="AO142" s="2"/>
      <x:c r="AP142" s="2"/>
      <x:c r="AQ142" s="2"/>
      <x:c r="AR142" s="2"/>
      <x:c r="AS142" s="2"/>
      <x:c r="AT142" s="2"/>
      <x:c r="AU142" s="2"/>
      <x:c r="AV142" s="2"/>
      <x:c r="AW142" s="2"/>
      <x:c r="AX142" s="2"/>
      <x:c r="AY142" s="2"/>
      <x:c r="AZ142" s="2"/>
      <x:c r="BA142" s="2"/>
      <x:c r="BB142" s="2"/>
      <x:c r="BC142" s="2"/>
      <x:c r="BD142" s="2"/>
      <x:c r="BE142" s="2"/>
      <x:c r="BF142" s="2"/>
      <x:c r="BG142" s="2"/>
      <x:c r="BH142" s="2"/>
      <x:c r="BI142" s="2"/>
      <x:c r="BJ142" s="2"/>
      <x:c r="BK142" s="2"/>
      <x:c r="BL142" s="2"/>
      <x:c r="BM142" s="2"/>
      <x:c r="BN142" s="2"/>
      <x:c r="BO142" s="2"/>
      <x:c r="BP142" s="2"/>
      <x:c r="BQ142" s="2"/>
      <x:c r="BR142" s="2"/>
      <x:c r="BS142" s="2"/>
      <x:c r="BT142" s="2"/>
      <x:c r="BU142" s="2"/>
      <x:c r="BV142" s="2"/>
      <x:c r="BW142" s="2"/>
      <x:c r="BX142" s="2"/>
      <x:c r="BY142" s="2"/>
      <x:c r="BZ142" s="2"/>
      <x:c r="CA142" s="2"/>
      <x:c r="CB142" s="2"/>
      <x:c r="CC142" s="2"/>
      <x:c r="CD142" s="2"/>
      <x:c r="CE142" s="2"/>
      <x:c r="CF142" s="2"/>
      <x:c r="CG142" s="2"/>
      <x:c r="CH142" s="2"/>
      <x:c r="CI142" s="2"/>
      <x:c r="CJ142" s="2"/>
      <x:c r="CK142" s="2"/>
      <x:c r="CL142" s="2"/>
      <x:c r="CM142" s="2"/>
      <x:c r="CN142" s="2"/>
      <x:c r="CO142" s="2"/>
      <x:c r="CP142" s="2"/>
      <x:c r="CQ142" s="2"/>
      <x:c r="CR142" s="2"/>
      <x:c r="CS142" s="2"/>
      <x:c r="CT142" s="2"/>
      <x:c r="CU142" s="2"/>
      <x:c r="CV142" s="2"/>
      <x:c r="CW142" s="2"/>
      <x:c r="CX142" s="2"/>
      <x:c r="CY142" s="2"/>
    </x:row>
    <x:row r="143" ht="19" customHeight="1">
      <x:c r="A143" s="1"/>
      <x:c r="B143" s="1"/>
      <x:c r="C143" s="2" t="n">
        <x:v>92</x:v>
      </x:c>
      <x:c r="D143" s="30" t="n">
        <x:f>$E$40*INDEX('Assumptions'!$F$65:$F$101,MIN(C143,36)+1)</x:f>
        <x:v>0.36</x:v>
      </x:c>
      <x:c r="E143" s="30" t="n">
        <x:f>(D143-D142)*H142</x:f>
        <x:v>0</x:v>
      </x:c>
      <x:c r="F143" s="30" t="n">
        <x:f>(1-D143-J142)*(H142-H143)+(J143-J142)*H143</x:f>
        <x:v>0</x:v>
      </x:c>
      <x:c r="G143" s="30" t="n">
        <x:f>SUM(E144:E147)</x:f>
        <x:v>0</x:v>
      </x:c>
      <x:c r="H143" s="30" t="n">
        <x:f>IF($E$42=0,1-MIN(C143,$E$43)/$E$43,((1+$E$42)^$E$43-(1+$E$42)^MIN(C143,$E$43))/((1+$E$42)^$E$43-1))</x:f>
        <x:v>0</x:v>
      </x:c>
      <x:c r="I143" s="30" t="n">
        <x:f>MAX(0,1-D143-J143)</x:f>
        <x:v>0</x:v>
      </x:c>
      <x:c r="J143" s="2" t="n">
        <x:f>(1-$E$40)*INDEX('Assumptions'!$I$65:$I$101,MIN(C143,36)+1)</x:f>
        <x:v>0.64</x:v>
      </x:c>
      <x:c r="K143" s="2"/>
      <x:c r="L143" s="2"/>
      <x:c r="M143" s="2"/>
      <x:c r="N143" s="2"/>
      <x:c r="O143" s="2"/>
      <x:c r="P143" s="2"/>
      <x:c r="Q143" s="2"/>
      <x:c r="R143" s="2"/>
      <x:c r="S143" s="2"/>
      <x:c r="T143" s="2"/>
      <x:c r="U143" s="2"/>
      <x:c r="V143" s="2"/>
      <x:c r="W143" s="2"/>
      <x:c r="X143" s="2"/>
      <x:c r="Y143" s="2"/>
      <x:c r="Z143" s="2"/>
      <x:c r="AA143" s="2"/>
      <x:c r="AB143" s="2"/>
      <x:c r="AC143" s="2"/>
      <x:c r="AD143" s="2"/>
      <x:c r="AE143" s="2"/>
      <x:c r="AF143" s="2"/>
      <x:c r="AG143" s="2"/>
      <x:c r="AH143" s="2"/>
      <x:c r="AI143" s="2"/>
      <x:c r="AJ143" s="2"/>
      <x:c r="AK143" s="2"/>
      <x:c r="AL143" s="2"/>
      <x:c r="AM143" s="2"/>
      <x:c r="AN143" s="2"/>
      <x:c r="AO143" s="2"/>
      <x:c r="AP143" s="2"/>
      <x:c r="AQ143" s="2"/>
      <x:c r="AR143" s="2"/>
      <x:c r="AS143" s="2"/>
      <x:c r="AT143" s="2"/>
      <x:c r="AU143" s="2"/>
      <x:c r="AV143" s="2"/>
      <x:c r="AW143" s="2"/>
      <x:c r="AX143" s="2"/>
      <x:c r="AY143" s="2"/>
      <x:c r="AZ143" s="2"/>
      <x:c r="BA143" s="2"/>
      <x:c r="BB143" s="2"/>
      <x:c r="BC143" s="2"/>
      <x:c r="BD143" s="2"/>
      <x:c r="BE143" s="2"/>
      <x:c r="BF143" s="2"/>
      <x:c r="BG143" s="2"/>
      <x:c r="BH143" s="2"/>
      <x:c r="BI143" s="2"/>
      <x:c r="BJ143" s="2"/>
      <x:c r="BK143" s="2"/>
      <x:c r="BL143" s="2"/>
      <x:c r="BM143" s="2"/>
      <x:c r="BN143" s="2"/>
      <x:c r="BO143" s="2"/>
      <x:c r="BP143" s="2"/>
      <x:c r="BQ143" s="2"/>
      <x:c r="BR143" s="2"/>
      <x:c r="BS143" s="2"/>
      <x:c r="BT143" s="2"/>
      <x:c r="BU143" s="2"/>
      <x:c r="BV143" s="2"/>
      <x:c r="BW143" s="2"/>
      <x:c r="BX143" s="2"/>
      <x:c r="BY143" s="2"/>
      <x:c r="BZ143" s="2"/>
      <x:c r="CA143" s="2"/>
      <x:c r="CB143" s="2"/>
      <x:c r="CC143" s="2"/>
      <x:c r="CD143" s="2"/>
      <x:c r="CE143" s="2"/>
      <x:c r="CF143" s="2"/>
      <x:c r="CG143" s="2"/>
      <x:c r="CH143" s="2"/>
      <x:c r="CI143" s="2"/>
      <x:c r="CJ143" s="2"/>
      <x:c r="CK143" s="2"/>
      <x:c r="CL143" s="2"/>
      <x:c r="CM143" s="2"/>
      <x:c r="CN143" s="2"/>
      <x:c r="CO143" s="2"/>
      <x:c r="CP143" s="2"/>
      <x:c r="CQ143" s="2"/>
      <x:c r="CR143" s="2"/>
      <x:c r="CS143" s="2"/>
      <x:c r="CT143" s="2"/>
      <x:c r="CU143" s="2"/>
      <x:c r="CV143" s="2"/>
      <x:c r="CW143" s="2"/>
      <x:c r="CX143" s="2"/>
      <x:c r="CY143" s="2"/>
    </x:row>
    <x:row r="144" ht="19" customHeight="1">
      <x:c r="A144" s="1"/>
      <x:c r="B144" s="1"/>
      <x:c r="C144" s="2" t="n">
        <x:v>93</x:v>
      </x:c>
      <x:c r="D144" s="30" t="n">
        <x:f>$E$40*INDEX('Assumptions'!$F$65:$F$101,MIN(C144,36)+1)</x:f>
        <x:v>0.36</x:v>
      </x:c>
      <x:c r="E144" s="30" t="n">
        <x:f>(D144-D143)*H143</x:f>
        <x:v>0</x:v>
      </x:c>
      <x:c r="F144" s="30" t="n">
        <x:f>(1-D144-J143)*(H143-H144)+(J144-J143)*H144</x:f>
        <x:v>0</x:v>
      </x:c>
      <x:c r="G144" s="30" t="n">
        <x:f>SUM(E145:E147)</x:f>
        <x:v>0</x:v>
      </x:c>
      <x:c r="H144" s="30" t="n">
        <x:f>IF($E$42=0,1-MIN(C144,$E$43)/$E$43,((1+$E$42)^$E$43-(1+$E$42)^MIN(C144,$E$43))/((1+$E$42)^$E$43-1))</x:f>
        <x:v>0</x:v>
      </x:c>
      <x:c r="I144" s="30" t="n">
        <x:f>MAX(0,1-D144-J144)</x:f>
        <x:v>0</x:v>
      </x:c>
      <x:c r="J144" s="2" t="n">
        <x:f>(1-$E$40)*INDEX('Assumptions'!$I$65:$I$101,MIN(C144,36)+1)</x:f>
        <x:v>0.64</x:v>
      </x:c>
      <x:c r="K144" s="2"/>
      <x:c r="L144" s="2"/>
      <x:c r="M144" s="2"/>
      <x:c r="N144" s="2"/>
      <x:c r="O144" s="2"/>
      <x:c r="P144" s="2"/>
      <x:c r="Q144" s="2"/>
      <x:c r="R144" s="2"/>
      <x:c r="S144" s="2"/>
      <x:c r="T144" s="2"/>
      <x:c r="U144" s="2"/>
      <x:c r="V144" s="2"/>
      <x:c r="W144" s="2"/>
      <x:c r="X144" s="2"/>
      <x:c r="Y144" s="2"/>
      <x:c r="Z144" s="2"/>
      <x:c r="AA144" s="2"/>
      <x:c r="AB144" s="2"/>
      <x:c r="AC144" s="2"/>
      <x:c r="AD144" s="2"/>
      <x:c r="AE144" s="2"/>
      <x:c r="AF144" s="2"/>
      <x:c r="AG144" s="2"/>
      <x:c r="AH144" s="2"/>
      <x:c r="AI144" s="2"/>
      <x:c r="AJ144" s="2"/>
      <x:c r="AK144" s="2"/>
      <x:c r="AL144" s="2"/>
      <x:c r="AM144" s="2"/>
      <x:c r="AN144" s="2"/>
      <x:c r="AO144" s="2"/>
      <x:c r="AP144" s="2"/>
      <x:c r="AQ144" s="2"/>
      <x:c r="AR144" s="2"/>
      <x:c r="AS144" s="2"/>
      <x:c r="AT144" s="2"/>
      <x:c r="AU144" s="2"/>
      <x:c r="AV144" s="2"/>
      <x:c r="AW144" s="2"/>
      <x:c r="AX144" s="2"/>
      <x:c r="AY144" s="2"/>
      <x:c r="AZ144" s="2"/>
      <x:c r="BA144" s="2"/>
      <x:c r="BB144" s="2"/>
      <x:c r="BC144" s="2"/>
      <x:c r="BD144" s="2"/>
      <x:c r="BE144" s="2"/>
      <x:c r="BF144" s="2"/>
      <x:c r="BG144" s="2"/>
      <x:c r="BH144" s="2"/>
      <x:c r="BI144" s="2"/>
      <x:c r="BJ144" s="2"/>
      <x:c r="BK144" s="2"/>
      <x:c r="BL144" s="2"/>
      <x:c r="BM144" s="2"/>
      <x:c r="BN144" s="2"/>
      <x:c r="BO144" s="2"/>
      <x:c r="BP144" s="2"/>
      <x:c r="BQ144" s="2"/>
      <x:c r="BR144" s="2"/>
      <x:c r="BS144" s="2"/>
      <x:c r="BT144" s="2"/>
      <x:c r="BU144" s="2"/>
      <x:c r="BV144" s="2"/>
      <x:c r="BW144" s="2"/>
      <x:c r="BX144" s="2"/>
      <x:c r="BY144" s="2"/>
      <x:c r="BZ144" s="2"/>
      <x:c r="CA144" s="2"/>
      <x:c r="CB144" s="2"/>
      <x:c r="CC144" s="2"/>
      <x:c r="CD144" s="2"/>
      <x:c r="CE144" s="2"/>
      <x:c r="CF144" s="2"/>
      <x:c r="CG144" s="2"/>
      <x:c r="CH144" s="2"/>
      <x:c r="CI144" s="2"/>
      <x:c r="CJ144" s="2"/>
      <x:c r="CK144" s="2"/>
      <x:c r="CL144" s="2"/>
      <x:c r="CM144" s="2"/>
      <x:c r="CN144" s="2"/>
      <x:c r="CO144" s="2"/>
      <x:c r="CP144" s="2"/>
      <x:c r="CQ144" s="2"/>
      <x:c r="CR144" s="2"/>
      <x:c r="CS144" s="2"/>
      <x:c r="CT144" s="2"/>
      <x:c r="CU144" s="2"/>
      <x:c r="CV144" s="2"/>
      <x:c r="CW144" s="2"/>
      <x:c r="CX144" s="2"/>
      <x:c r="CY144" s="2"/>
    </x:row>
    <x:row r="145" ht="19" customHeight="1">
      <x:c r="A145" s="1"/>
      <x:c r="B145" s="1"/>
      <x:c r="C145" s="2" t="n">
        <x:v>94</x:v>
      </x:c>
      <x:c r="D145" s="30" t="n">
        <x:f>$E$40*INDEX('Assumptions'!$F$65:$F$101,MIN(C145,36)+1)</x:f>
        <x:v>0.36</x:v>
      </x:c>
      <x:c r="E145" s="30" t="n">
        <x:f>(D145-D144)*H144</x:f>
        <x:v>0</x:v>
      </x:c>
      <x:c r="F145" s="30" t="n">
        <x:f>(1-D145-J144)*(H144-H145)+(J145-J144)*H145</x:f>
        <x:v>0</x:v>
      </x:c>
      <x:c r="G145" s="30" t="n">
        <x:f>SUM(E146:E147)</x:f>
        <x:v>0</x:v>
      </x:c>
      <x:c r="H145" s="30" t="n">
        <x:f>IF($E$42=0,1-MIN(C145,$E$43)/$E$43,((1+$E$42)^$E$43-(1+$E$42)^MIN(C145,$E$43))/((1+$E$42)^$E$43-1))</x:f>
        <x:v>0</x:v>
      </x:c>
      <x:c r="I145" s="30" t="n">
        <x:f>MAX(0,1-D145-J145)</x:f>
        <x:v>0</x:v>
      </x:c>
      <x:c r="J145" s="2" t="n">
        <x:f>(1-$E$40)*INDEX('Assumptions'!$I$65:$I$101,MIN(C145,36)+1)</x:f>
        <x:v>0.64</x:v>
      </x:c>
      <x:c r="K145" s="2"/>
      <x:c r="L145" s="2"/>
      <x:c r="M145" s="2"/>
      <x:c r="N145" s="2"/>
      <x:c r="O145" s="2"/>
      <x:c r="P145" s="2"/>
      <x:c r="Q145" s="2"/>
      <x:c r="R145" s="2"/>
      <x:c r="S145" s="2"/>
      <x:c r="T145" s="2"/>
      <x:c r="U145" s="2"/>
      <x:c r="V145" s="2"/>
      <x:c r="W145" s="2"/>
      <x:c r="X145" s="2"/>
      <x:c r="Y145" s="2"/>
      <x:c r="Z145" s="2"/>
      <x:c r="AA145" s="2"/>
      <x:c r="AB145" s="2"/>
      <x:c r="AC145" s="2"/>
      <x:c r="AD145" s="2"/>
      <x:c r="AE145" s="2"/>
      <x:c r="AF145" s="2"/>
      <x:c r="AG145" s="2"/>
      <x:c r="AH145" s="2"/>
      <x:c r="AI145" s="2"/>
      <x:c r="AJ145" s="2"/>
      <x:c r="AK145" s="2"/>
      <x:c r="AL145" s="2"/>
      <x:c r="AM145" s="2"/>
      <x:c r="AN145" s="2"/>
      <x:c r="AO145" s="2"/>
      <x:c r="AP145" s="2"/>
      <x:c r="AQ145" s="2"/>
      <x:c r="AR145" s="2"/>
      <x:c r="AS145" s="2"/>
      <x:c r="AT145" s="2"/>
      <x:c r="AU145" s="2"/>
      <x:c r="AV145" s="2"/>
      <x:c r="AW145" s="2"/>
      <x:c r="AX145" s="2"/>
      <x:c r="AY145" s="2"/>
      <x:c r="AZ145" s="2"/>
      <x:c r="BA145" s="2"/>
      <x:c r="BB145" s="2"/>
      <x:c r="BC145" s="2"/>
      <x:c r="BD145" s="2"/>
      <x:c r="BE145" s="2"/>
      <x:c r="BF145" s="2"/>
      <x:c r="BG145" s="2"/>
      <x:c r="BH145" s="2"/>
      <x:c r="BI145" s="2"/>
      <x:c r="BJ145" s="2"/>
      <x:c r="BK145" s="2"/>
      <x:c r="BL145" s="2"/>
      <x:c r="BM145" s="2"/>
      <x:c r="BN145" s="2"/>
      <x:c r="BO145" s="2"/>
      <x:c r="BP145" s="2"/>
      <x:c r="BQ145" s="2"/>
      <x:c r="BR145" s="2"/>
      <x:c r="BS145" s="2"/>
      <x:c r="BT145" s="2"/>
      <x:c r="BU145" s="2"/>
      <x:c r="BV145" s="2"/>
      <x:c r="BW145" s="2"/>
      <x:c r="BX145" s="2"/>
      <x:c r="BY145" s="2"/>
      <x:c r="BZ145" s="2"/>
      <x:c r="CA145" s="2"/>
      <x:c r="CB145" s="2"/>
      <x:c r="CC145" s="2"/>
      <x:c r="CD145" s="2"/>
      <x:c r="CE145" s="2"/>
      <x:c r="CF145" s="2"/>
      <x:c r="CG145" s="2"/>
      <x:c r="CH145" s="2"/>
      <x:c r="CI145" s="2"/>
      <x:c r="CJ145" s="2"/>
      <x:c r="CK145" s="2"/>
      <x:c r="CL145" s="2"/>
      <x:c r="CM145" s="2"/>
      <x:c r="CN145" s="2"/>
      <x:c r="CO145" s="2"/>
      <x:c r="CP145" s="2"/>
      <x:c r="CQ145" s="2"/>
      <x:c r="CR145" s="2"/>
      <x:c r="CS145" s="2"/>
      <x:c r="CT145" s="2"/>
      <x:c r="CU145" s="2"/>
      <x:c r="CV145" s="2"/>
      <x:c r="CW145" s="2"/>
      <x:c r="CX145" s="2"/>
      <x:c r="CY145" s="2"/>
    </x:row>
    <x:row r="146" ht="19" customHeight="1">
      <x:c r="A146" s="1"/>
      <x:c r="B146" s="1"/>
      <x:c r="C146" s="2" t="n">
        <x:v>95</x:v>
      </x:c>
      <x:c r="D146" s="30" t="n">
        <x:f>$E$40*INDEX('Assumptions'!$F$65:$F$101,MIN(C146,36)+1)</x:f>
        <x:v>0.36</x:v>
      </x:c>
      <x:c r="E146" s="30" t="n">
        <x:f>(D146-D145)*H145</x:f>
        <x:v>0</x:v>
      </x:c>
      <x:c r="F146" s="30" t="n">
        <x:f>(1-D146-J145)*(H145-H146)+(J146-J145)*H146</x:f>
        <x:v>0</x:v>
      </x:c>
      <x:c r="G146" s="30" t="n">
        <x:f>SUM(E147:E147)</x:f>
        <x:v>0</x:v>
      </x:c>
      <x:c r="H146" s="30" t="n">
        <x:f>IF($E$42=0,1-MIN(C146,$E$43)/$E$43,((1+$E$42)^$E$43-(1+$E$42)^MIN(C146,$E$43))/((1+$E$42)^$E$43-1))</x:f>
        <x:v>0</x:v>
      </x:c>
      <x:c r="I146" s="30" t="n">
        <x:f>MAX(0,1-D146-J146)</x:f>
        <x:v>0</x:v>
      </x:c>
      <x:c r="J146" s="2" t="n">
        <x:f>(1-$E$40)*INDEX('Assumptions'!$I$65:$I$101,MIN(C146,36)+1)</x:f>
        <x:v>0.64</x:v>
      </x:c>
      <x:c r="K146" s="2"/>
      <x:c r="L146" s="2"/>
      <x:c r="M146" s="2"/>
      <x:c r="N146" s="2"/>
      <x:c r="O146" s="2"/>
      <x:c r="P146" s="2"/>
      <x:c r="Q146" s="2"/>
      <x:c r="R146" s="2"/>
      <x:c r="S146" s="2"/>
      <x:c r="T146" s="2"/>
      <x:c r="U146" s="2"/>
      <x:c r="V146" s="2"/>
      <x:c r="W146" s="2"/>
      <x:c r="X146" s="2"/>
      <x:c r="Y146" s="2"/>
      <x:c r="Z146" s="2"/>
      <x:c r="AA146" s="2"/>
      <x:c r="AB146" s="2"/>
      <x:c r="AC146" s="2"/>
      <x:c r="AD146" s="2"/>
      <x:c r="AE146" s="2"/>
      <x:c r="AF146" s="2"/>
      <x:c r="AG146" s="2"/>
      <x:c r="AH146" s="2"/>
      <x:c r="AI146" s="2"/>
      <x:c r="AJ146" s="2"/>
      <x:c r="AK146" s="2"/>
      <x:c r="AL146" s="2"/>
      <x:c r="AM146" s="2"/>
      <x:c r="AN146" s="2"/>
      <x:c r="AO146" s="2"/>
      <x:c r="AP146" s="2"/>
      <x:c r="AQ146" s="2"/>
      <x:c r="AR146" s="2"/>
      <x:c r="AS146" s="2"/>
      <x:c r="AT146" s="2"/>
      <x:c r="AU146" s="2"/>
      <x:c r="AV146" s="2"/>
      <x:c r="AW146" s="2"/>
      <x:c r="AX146" s="2"/>
      <x:c r="AY146" s="2"/>
      <x:c r="AZ146" s="2"/>
      <x:c r="BA146" s="2"/>
      <x:c r="BB146" s="2"/>
      <x:c r="BC146" s="2"/>
      <x:c r="BD146" s="2"/>
      <x:c r="BE146" s="2"/>
      <x:c r="BF146" s="2"/>
      <x:c r="BG146" s="2"/>
      <x:c r="BH146" s="2"/>
      <x:c r="BI146" s="2"/>
      <x:c r="BJ146" s="2"/>
      <x:c r="BK146" s="2"/>
      <x:c r="BL146" s="2"/>
      <x:c r="BM146" s="2"/>
      <x:c r="BN146" s="2"/>
      <x:c r="BO146" s="2"/>
      <x:c r="BP146" s="2"/>
      <x:c r="BQ146" s="2"/>
      <x:c r="BR146" s="2"/>
      <x:c r="BS146" s="2"/>
      <x:c r="BT146" s="2"/>
      <x:c r="BU146" s="2"/>
      <x:c r="BV146" s="2"/>
      <x:c r="BW146" s="2"/>
      <x:c r="BX146" s="2"/>
      <x:c r="BY146" s="2"/>
      <x:c r="BZ146" s="2"/>
      <x:c r="CA146" s="2"/>
      <x:c r="CB146" s="2"/>
      <x:c r="CC146" s="2"/>
      <x:c r="CD146" s="2"/>
      <x:c r="CE146" s="2"/>
      <x:c r="CF146" s="2"/>
      <x:c r="CG146" s="2"/>
      <x:c r="CH146" s="2"/>
      <x:c r="CI146" s="2"/>
      <x:c r="CJ146" s="2"/>
      <x:c r="CK146" s="2"/>
      <x:c r="CL146" s="2"/>
      <x:c r="CM146" s="2"/>
      <x:c r="CN146" s="2"/>
      <x:c r="CO146" s="2"/>
      <x:c r="CP146" s="2"/>
      <x:c r="CQ146" s="2"/>
      <x:c r="CR146" s="2"/>
      <x:c r="CS146" s="2"/>
      <x:c r="CT146" s="2"/>
      <x:c r="CU146" s="2"/>
      <x:c r="CV146" s="2"/>
      <x:c r="CW146" s="2"/>
      <x:c r="CX146" s="2"/>
      <x:c r="CY146" s="2"/>
    </x:row>
    <x:row r="147" ht="19" customHeight="1">
      <x:c r="A147" s="1"/>
      <x:c r="B147" s="1"/>
      <x:c r="C147" s="2" t="n">
        <x:v>96</x:v>
      </x:c>
      <x:c r="D147" s="30" t="n">
        <x:f>$E$40*INDEX('Assumptions'!$F$65:$F$101,MIN(C147,36)+1)</x:f>
        <x:v>0.36</x:v>
      </x:c>
      <x:c r="E147" s="30" t="n">
        <x:f>(D147-D146)*H146</x:f>
        <x:v>0</x:v>
      </x:c>
      <x:c r="F147" s="30" t="n">
        <x:f>(1-D147-J146)*(H146-H147)+(J147-J146)*H147</x:f>
        <x:v>0</x:v>
      </x:c>
      <x:c r="G147" s="30" t="n">
        <x:f>0</x:f>
        <x:v>0</x:v>
      </x:c>
      <x:c r="H147" s="30" t="n">
        <x:f>IF($E$42=0,1-MIN(C147,$E$43)/$E$43,((1+$E$42)^$E$43-(1+$E$42)^MIN(C147,$E$43))/((1+$E$42)^$E$43-1))</x:f>
        <x:v>0</x:v>
      </x:c>
      <x:c r="I147" s="30" t="n">
        <x:f>MAX(0,1-D147-J147)</x:f>
        <x:v>0</x:v>
      </x:c>
      <x:c r="J147" s="2" t="n">
        <x:f>(1-$E$40)*INDEX('Assumptions'!$I$65:$I$101,MIN(C147,36)+1)</x:f>
        <x:v>0.64</x:v>
      </x:c>
      <x:c r="K147" s="2"/>
      <x:c r="L147" s="2"/>
      <x:c r="M147" s="2"/>
      <x:c r="N147" s="2"/>
      <x:c r="O147" s="2"/>
      <x:c r="P147" s="2"/>
      <x:c r="Q147" s="2"/>
      <x:c r="R147" s="2"/>
      <x:c r="S147" s="2"/>
      <x:c r="T147" s="2"/>
      <x:c r="U147" s="2"/>
      <x:c r="V147" s="2"/>
      <x:c r="W147" s="2"/>
      <x:c r="X147" s="2"/>
      <x:c r="Y147" s="2"/>
      <x:c r="Z147" s="2"/>
      <x:c r="AA147" s="2"/>
      <x:c r="AB147" s="2"/>
      <x:c r="AC147" s="2"/>
      <x:c r="AD147" s="2"/>
      <x:c r="AE147" s="2"/>
      <x:c r="AF147" s="2"/>
      <x:c r="AG147" s="2"/>
      <x:c r="AH147" s="2"/>
      <x:c r="AI147" s="2"/>
      <x:c r="AJ147" s="2"/>
      <x:c r="AK147" s="2"/>
      <x:c r="AL147" s="2"/>
      <x:c r="AM147" s="2"/>
      <x:c r="AN147" s="2"/>
      <x:c r="AO147" s="2"/>
      <x:c r="AP147" s="2"/>
      <x:c r="AQ147" s="2"/>
      <x:c r="AR147" s="2"/>
      <x:c r="AS147" s="2"/>
      <x:c r="AT147" s="2"/>
      <x:c r="AU147" s="2"/>
      <x:c r="AV147" s="2"/>
      <x:c r="AW147" s="2"/>
      <x:c r="AX147" s="2"/>
      <x:c r="AY147" s="2"/>
      <x:c r="AZ147" s="2"/>
      <x:c r="BA147" s="2"/>
      <x:c r="BB147" s="2"/>
      <x:c r="BC147" s="2"/>
      <x:c r="BD147" s="2"/>
      <x:c r="BE147" s="2"/>
      <x:c r="BF147" s="2"/>
      <x:c r="BG147" s="2"/>
      <x:c r="BH147" s="2"/>
      <x:c r="BI147" s="2"/>
      <x:c r="BJ147" s="2"/>
      <x:c r="BK147" s="2"/>
      <x:c r="BL147" s="2"/>
      <x:c r="BM147" s="2"/>
      <x:c r="BN147" s="2"/>
      <x:c r="BO147" s="2"/>
      <x:c r="BP147" s="2"/>
      <x:c r="BQ147" s="2"/>
      <x:c r="BR147" s="2"/>
      <x:c r="BS147" s="2"/>
      <x:c r="BT147" s="2"/>
      <x:c r="BU147" s="2"/>
      <x:c r="BV147" s="2"/>
      <x:c r="BW147" s="2"/>
      <x:c r="BX147" s="2"/>
      <x:c r="BY147" s="2"/>
      <x:c r="BZ147" s="2"/>
      <x:c r="CA147" s="2"/>
      <x:c r="CB147" s="2"/>
      <x:c r="CC147" s="2"/>
      <x:c r="CD147" s="2"/>
      <x:c r="CE147" s="2"/>
      <x:c r="CF147" s="2"/>
      <x:c r="CG147" s="2"/>
      <x:c r="CH147" s="2"/>
      <x:c r="CI147" s="2"/>
      <x:c r="CJ147" s="2"/>
      <x:c r="CK147" s="2"/>
      <x:c r="CL147" s="2"/>
      <x:c r="CM147" s="2"/>
      <x:c r="CN147" s="2"/>
      <x:c r="CO147" s="2"/>
      <x:c r="CP147" s="2"/>
      <x:c r="CQ147" s="2"/>
      <x:c r="CR147" s="2"/>
      <x:c r="CS147" s="2"/>
      <x:c r="CT147" s="2"/>
      <x:c r="CU147" s="2"/>
      <x:c r="CV147" s="2"/>
      <x:c r="CW147" s="2"/>
      <x:c r="CX147" s="2"/>
      <x:c r="CY147" s="2"/>
    </x:row>
    <x:row r="148" ht="19" customHeight="1">
      <x:c r="A148" s="1"/>
      <x:c r="B148" s="1"/>
      <x:c r="C148" s="2"/>
      <x:c r="D148" s="2"/>
      <x:c r="E148" s="2"/>
      <x:c r="F148" s="2"/>
      <x:c r="G148" s="2"/>
      <x:c r="H148" s="2"/>
      <x:c r="I148" s="2"/>
      <x:c r="J148" s="2"/>
      <x:c r="K148" s="2"/>
      <x:c r="L148" s="2"/>
      <x:c r="M148" s="2"/>
      <x:c r="N148" s="2"/>
      <x:c r="O148" s="2"/>
      <x:c r="P148" s="2"/>
      <x:c r="Q148" s="2"/>
      <x:c r="R148" s="2"/>
      <x:c r="S148" s="2"/>
      <x:c r="T148" s="2"/>
      <x:c r="U148" s="2"/>
      <x:c r="V148" s="2"/>
      <x:c r="W148" s="2"/>
      <x:c r="X148" s="2"/>
      <x:c r="Y148" s="2"/>
      <x:c r="Z148" s="2"/>
      <x:c r="AA148" s="2"/>
      <x:c r="AB148" s="2"/>
      <x:c r="AC148" s="2"/>
      <x:c r="AD148" s="2"/>
      <x:c r="AE148" s="2"/>
      <x:c r="AF148" s="2"/>
      <x:c r="AG148" s="2"/>
      <x:c r="AH148" s="2"/>
      <x:c r="AI148" s="2"/>
      <x:c r="AJ148" s="2"/>
      <x:c r="AK148" s="2"/>
      <x:c r="AL148" s="2"/>
      <x:c r="AM148" s="2"/>
      <x:c r="AN148" s="2"/>
      <x:c r="AO148" s="2"/>
      <x:c r="AP148" s="2"/>
      <x:c r="AQ148" s="2"/>
      <x:c r="AR148" s="2"/>
      <x:c r="AS148" s="2"/>
      <x:c r="AT148" s="2"/>
      <x:c r="AU148" s="2"/>
      <x:c r="AV148" s="2"/>
      <x:c r="AW148" s="2"/>
      <x:c r="AX148" s="2"/>
      <x:c r="AY148" s="2"/>
      <x:c r="AZ148" s="2"/>
      <x:c r="BA148" s="2"/>
      <x:c r="BB148" s="2"/>
      <x:c r="BC148" s="2"/>
      <x:c r="BD148" s="2"/>
      <x:c r="BE148" s="2"/>
      <x:c r="BF148" s="2"/>
      <x:c r="BG148" s="2"/>
      <x:c r="BH148" s="2"/>
      <x:c r="BI148" s="2"/>
      <x:c r="BJ148" s="2"/>
      <x:c r="BK148" s="2"/>
      <x:c r="BL148" s="2"/>
      <x:c r="BM148" s="2"/>
      <x:c r="BN148" s="2"/>
      <x:c r="BO148" s="2"/>
      <x:c r="BP148" s="2"/>
      <x:c r="BQ148" s="2"/>
      <x:c r="BR148" s="2"/>
      <x:c r="BS148" s="2"/>
      <x:c r="BT148" s="2"/>
      <x:c r="BU148" s="2"/>
      <x:c r="BV148" s="2"/>
      <x:c r="BW148" s="2"/>
      <x:c r="BX148" s="2"/>
      <x:c r="BY148" s="2"/>
      <x:c r="BZ148" s="2"/>
      <x:c r="CA148" s="2"/>
      <x:c r="CB148" s="2"/>
      <x:c r="CC148" s="2"/>
      <x:c r="CD148" s="2"/>
      <x:c r="CE148" s="2"/>
      <x:c r="CF148" s="2"/>
      <x:c r="CG148" s="2"/>
      <x:c r="CH148" s="2"/>
      <x:c r="CI148" s="2"/>
      <x:c r="CJ148" s="2"/>
      <x:c r="CK148" s="2"/>
      <x:c r="CL148" s="2"/>
      <x:c r="CM148" s="2"/>
      <x:c r="CN148" s="2"/>
      <x:c r="CO148" s="2"/>
      <x:c r="CP148" s="2"/>
      <x:c r="CQ148" s="2"/>
      <x:c r="CR148" s="2"/>
      <x:c r="CS148" s="2"/>
      <x:c r="CT148" s="2"/>
      <x:c r="CU148" s="2"/>
      <x:c r="CV148" s="2"/>
      <x:c r="CW148" s="2"/>
      <x:c r="CX148" s="2"/>
      <x:c r="CY148" s="2"/>
    </x:row>
    <x:row r="149" ht="19" customHeight="1">
      <x:c r="A149" s="1"/>
      <x:c r="B149" s="1"/>
      <x:c r="C149" s="2" t="str">
        <x:v>Reversed age weights</x:v>
      </x:c>
      <x:c r="D149" s="2"/>
      <x:c r="E149" s="2"/>
      <x:c r="F149" s="2"/>
      <x:c r="G149" s="2" t="n">
        <x:v>96</x:v>
      </x:c>
      <x:c r="H149" s="2" t="n">
        <x:v>95</x:v>
      </x:c>
      <x:c r="I149" s="2" t="n">
        <x:v>94</x:v>
      </x:c>
      <x:c r="J149" s="2" t="n">
        <x:v>93</x:v>
      </x:c>
      <x:c r="K149" s="2" t="n">
        <x:v>92</x:v>
      </x:c>
      <x:c r="L149" s="2" t="n">
        <x:v>91</x:v>
      </x:c>
      <x:c r="M149" s="2" t="n">
        <x:v>90</x:v>
      </x:c>
      <x:c r="N149" s="2" t="n">
        <x:v>89</x:v>
      </x:c>
      <x:c r="O149" s="2" t="n">
        <x:v>88</x:v>
      </x:c>
      <x:c r="P149" s="2" t="n">
        <x:v>87</x:v>
      </x:c>
      <x:c r="Q149" s="2" t="n">
        <x:v>86</x:v>
      </x:c>
      <x:c r="R149" s="2" t="n">
        <x:v>85</x:v>
      </x:c>
      <x:c r="S149" s="2" t="n">
        <x:v>84</x:v>
      </x:c>
      <x:c r="T149" s="2" t="n">
        <x:v>83</x:v>
      </x:c>
      <x:c r="U149" s="2" t="n">
        <x:v>82</x:v>
      </x:c>
      <x:c r="V149" s="2" t="n">
        <x:v>81</x:v>
      </x:c>
      <x:c r="W149" s="2" t="n">
        <x:v>80</x:v>
      </x:c>
      <x:c r="X149" s="2" t="n">
        <x:v>79</x:v>
      </x:c>
      <x:c r="Y149" s="2" t="n">
        <x:v>78</x:v>
      </x:c>
      <x:c r="Z149" s="2" t="n">
        <x:v>77</x:v>
      </x:c>
      <x:c r="AA149" s="2" t="n">
        <x:v>76</x:v>
      </x:c>
      <x:c r="AB149" s="2" t="n">
        <x:v>75</x:v>
      </x:c>
      <x:c r="AC149" s="2" t="n">
        <x:v>74</x:v>
      </x:c>
      <x:c r="AD149" s="2" t="n">
        <x:v>73</x:v>
      </x:c>
      <x:c r="AE149" s="2" t="n">
        <x:v>72</x:v>
      </x:c>
      <x:c r="AF149" s="2" t="n">
        <x:v>71</x:v>
      </x:c>
      <x:c r="AG149" s="2" t="n">
        <x:v>70</x:v>
      </x:c>
      <x:c r="AH149" s="2" t="n">
        <x:v>69</x:v>
      </x:c>
      <x:c r="AI149" s="2" t="n">
        <x:v>68</x:v>
      </x:c>
      <x:c r="AJ149" s="2" t="n">
        <x:v>67</x:v>
      </x:c>
      <x:c r="AK149" s="2" t="n">
        <x:v>66</x:v>
      </x:c>
      <x:c r="AL149" s="2" t="n">
        <x:v>65</x:v>
      </x:c>
      <x:c r="AM149" s="2" t="n">
        <x:v>64</x:v>
      </x:c>
      <x:c r="AN149" s="2" t="n">
        <x:v>63</x:v>
      </x:c>
      <x:c r="AO149" s="2" t="n">
        <x:v>62</x:v>
      </x:c>
      <x:c r="AP149" s="2" t="n">
        <x:v>61</x:v>
      </x:c>
      <x:c r="AQ149" s="2" t="n">
        <x:v>60</x:v>
      </x:c>
      <x:c r="AR149" s="2" t="n">
        <x:v>59</x:v>
      </x:c>
      <x:c r="AS149" s="2" t="n">
        <x:v>58</x:v>
      </x:c>
      <x:c r="AT149" s="2" t="n">
        <x:v>57</x:v>
      </x:c>
      <x:c r="AU149" s="2" t="n">
        <x:v>56</x:v>
      </x:c>
      <x:c r="AV149" s="2" t="n">
        <x:v>55</x:v>
      </x:c>
      <x:c r="AW149" s="2" t="n">
        <x:v>54</x:v>
      </x:c>
      <x:c r="AX149" s="2" t="n">
        <x:v>53</x:v>
      </x:c>
      <x:c r="AY149" s="2" t="n">
        <x:v>52</x:v>
      </x:c>
      <x:c r="AZ149" s="2" t="n">
        <x:v>51</x:v>
      </x:c>
      <x:c r="BA149" s="2" t="n">
        <x:v>50</x:v>
      </x:c>
      <x:c r="BB149" s="2" t="n">
        <x:v>49</x:v>
      </x:c>
      <x:c r="BC149" s="2" t="n">
        <x:v>48</x:v>
      </x:c>
      <x:c r="BD149" s="2" t="n">
        <x:v>47</x:v>
      </x:c>
      <x:c r="BE149" s="2" t="n">
        <x:v>46</x:v>
      </x:c>
      <x:c r="BF149" s="2" t="n">
        <x:v>45</x:v>
      </x:c>
      <x:c r="BG149" s="2" t="n">
        <x:v>44</x:v>
      </x:c>
      <x:c r="BH149" s="2" t="n">
        <x:v>43</x:v>
      </x:c>
      <x:c r="BI149" s="2" t="n">
        <x:v>42</x:v>
      </x:c>
      <x:c r="BJ149" s="2" t="n">
        <x:v>41</x:v>
      </x:c>
      <x:c r="BK149" s="2" t="n">
        <x:v>40</x:v>
      </x:c>
      <x:c r="BL149" s="2" t="n">
        <x:v>39</x:v>
      </x:c>
      <x:c r="BM149" s="2" t="n">
        <x:v>38</x:v>
      </x:c>
      <x:c r="BN149" s="2" t="n">
        <x:v>37</x:v>
      </x:c>
      <x:c r="BO149" s="2" t="n">
        <x:v>36</x:v>
      </x:c>
      <x:c r="BP149" s="2" t="n">
        <x:v>35</x:v>
      </x:c>
      <x:c r="BQ149" s="2" t="n">
        <x:v>34</x:v>
      </x:c>
      <x:c r="BR149" s="2" t="n">
        <x:v>33</x:v>
      </x:c>
      <x:c r="BS149" s="2" t="n">
        <x:v>32</x:v>
      </x:c>
      <x:c r="BT149" s="2" t="n">
        <x:v>31</x:v>
      </x:c>
      <x:c r="BU149" s="2" t="n">
        <x:v>30</x:v>
      </x:c>
      <x:c r="BV149" s="2" t="n">
        <x:v>29</x:v>
      </x:c>
      <x:c r="BW149" s="2" t="n">
        <x:v>28</x:v>
      </x:c>
      <x:c r="BX149" s="2" t="n">
        <x:v>27</x:v>
      </x:c>
      <x:c r="BY149" s="2" t="n">
        <x:v>26</x:v>
      </x:c>
      <x:c r="BZ149" s="2" t="n">
        <x:v>25</x:v>
      </x:c>
      <x:c r="CA149" s="2" t="n">
        <x:v>24</x:v>
      </x:c>
      <x:c r="CB149" s="2" t="n">
        <x:v>23</x:v>
      </x:c>
      <x:c r="CC149" s="2" t="n">
        <x:v>22</x:v>
      </x:c>
      <x:c r="CD149" s="2" t="n">
        <x:v>21</x:v>
      </x:c>
      <x:c r="CE149" s="2" t="n">
        <x:v>20</x:v>
      </x:c>
      <x:c r="CF149" s="2" t="n">
        <x:v>19</x:v>
      </x:c>
      <x:c r="CG149" s="2" t="n">
        <x:v>18</x:v>
      </x:c>
      <x:c r="CH149" s="2" t="n">
        <x:v>17</x:v>
      </x:c>
      <x:c r="CI149" s="2" t="n">
        <x:v>16</x:v>
      </x:c>
      <x:c r="CJ149" s="2" t="n">
        <x:v>15</x:v>
      </x:c>
      <x:c r="CK149" s="2" t="n">
        <x:v>14</x:v>
      </x:c>
      <x:c r="CL149" s="2" t="n">
        <x:v>13</x:v>
      </x:c>
      <x:c r="CM149" s="2" t="n">
        <x:v>12</x:v>
      </x:c>
      <x:c r="CN149" s="2" t="n">
        <x:v>11</x:v>
      </x:c>
      <x:c r="CO149" s="2" t="n">
        <x:v>10</x:v>
      </x:c>
      <x:c r="CP149" s="2" t="n">
        <x:v>9</x:v>
      </x:c>
      <x:c r="CQ149" s="2" t="n">
        <x:v>8</x:v>
      </x:c>
      <x:c r="CR149" s="2" t="n">
        <x:v>7</x:v>
      </x:c>
      <x:c r="CS149" s="2" t="n">
        <x:v>6</x:v>
      </x:c>
      <x:c r="CT149" s="2" t="n">
        <x:v>5</x:v>
      </x:c>
      <x:c r="CU149" s="2" t="n">
        <x:v>4</x:v>
      </x:c>
      <x:c r="CV149" s="2" t="n">
        <x:v>3</x:v>
      </x:c>
      <x:c r="CW149" s="2" t="n">
        <x:v>2</x:v>
      </x:c>
      <x:c r="CX149" s="2" t="n">
        <x:v>1</x:v>
      </x:c>
      <x:c r="CY149" s="2" t="n">
        <x:v>0</x:v>
      </x:c>
    </x:row>
    <x:row r="150" ht="19" customHeight="1">
      <x:c r="A150" s="1"/>
      <x:c r="B150" s="1"/>
      <x:c r="C150" s="2" t="str">
        <x:v>Charge-off weights</x:v>
      </x:c>
      <x:c r="D150" s="2"/>
      <x:c r="E150" s="2"/>
      <x:c r="F150" s="2"/>
      <x:c r="G150" s="30" t="n">
        <x:f>E147</x:f>
        <x:v>0</x:v>
      </x:c>
      <x:c r="H150" s="30" t="n">
        <x:f>E146</x:f>
        <x:v>0</x:v>
      </x:c>
      <x:c r="I150" s="30" t="n">
        <x:f>E145</x:f>
        <x:v>0</x:v>
      </x:c>
      <x:c r="J150" s="30" t="n">
        <x:f>E144</x:f>
        <x:v>0</x:v>
      </x:c>
      <x:c r="K150" s="30" t="n">
        <x:f>E143</x:f>
        <x:v>0</x:v>
      </x:c>
      <x:c r="L150" s="30" t="n">
        <x:f>E142</x:f>
        <x:v>0</x:v>
      </x:c>
      <x:c r="M150" s="30" t="n">
        <x:f>E141</x:f>
        <x:v>0</x:v>
      </x:c>
      <x:c r="N150" s="30" t="n">
        <x:f>E140</x:f>
        <x:v>0</x:v>
      </x:c>
      <x:c r="O150" s="30" t="n">
        <x:f>E139</x:f>
        <x:v>0</x:v>
      </x:c>
      <x:c r="P150" s="30" t="n">
        <x:f>E138</x:f>
        <x:v>0</x:v>
      </x:c>
      <x:c r="Q150" s="30" t="n">
        <x:f>E137</x:f>
        <x:v>0</x:v>
      </x:c>
      <x:c r="R150" s="30" t="n">
        <x:f>E136</x:f>
        <x:v>0</x:v>
      </x:c>
      <x:c r="S150" s="30" t="n">
        <x:f>E135</x:f>
        <x:v>0</x:v>
      </x:c>
      <x:c r="T150" s="30" t="n">
        <x:f>E134</x:f>
        <x:v>0</x:v>
      </x:c>
      <x:c r="U150" s="30" t="n">
        <x:f>E133</x:f>
        <x:v>0</x:v>
      </x:c>
      <x:c r="V150" s="30" t="n">
        <x:f>E132</x:f>
        <x:v>0</x:v>
      </x:c>
      <x:c r="W150" s="30" t="n">
        <x:f>E131</x:f>
        <x:v>0</x:v>
      </x:c>
      <x:c r="X150" s="30" t="n">
        <x:f>E130</x:f>
        <x:v>0</x:v>
      </x:c>
      <x:c r="Y150" s="30" t="n">
        <x:f>E129</x:f>
        <x:v>0</x:v>
      </x:c>
      <x:c r="Z150" s="30" t="n">
        <x:f>E128</x:f>
        <x:v>0</x:v>
      </x:c>
      <x:c r="AA150" s="30" t="n">
        <x:f>E127</x:f>
        <x:v>0</x:v>
      </x:c>
      <x:c r="AB150" s="30" t="n">
        <x:f>E126</x:f>
        <x:v>0</x:v>
      </x:c>
      <x:c r="AC150" s="30" t="n">
        <x:f>E125</x:f>
        <x:v>0</x:v>
      </x:c>
      <x:c r="AD150" s="30" t="n">
        <x:f>E124</x:f>
        <x:v>0</x:v>
      </x:c>
      <x:c r="AE150" s="30" t="n">
        <x:f>E123</x:f>
        <x:v>0</x:v>
      </x:c>
      <x:c r="AF150" s="30" t="n">
        <x:f>E122</x:f>
        <x:v>0</x:v>
      </x:c>
      <x:c r="AG150" s="30" t="n">
        <x:f>E121</x:f>
        <x:v>0</x:v>
      </x:c>
      <x:c r="AH150" s="30" t="n">
        <x:f>E120</x:f>
        <x:v>0</x:v>
      </x:c>
      <x:c r="AI150" s="30" t="n">
        <x:f>E119</x:f>
        <x:v>0</x:v>
      </x:c>
      <x:c r="AJ150" s="30" t="n">
        <x:f>E118</x:f>
        <x:v>0</x:v>
      </x:c>
      <x:c r="AK150" s="30" t="n">
        <x:f>E117</x:f>
        <x:v>0</x:v>
      </x:c>
      <x:c r="AL150" s="30" t="n">
        <x:f>E116</x:f>
        <x:v>0</x:v>
      </x:c>
      <x:c r="AM150" s="30" t="n">
        <x:f>E115</x:f>
        <x:v>0</x:v>
      </x:c>
      <x:c r="AN150" s="30" t="n">
        <x:f>E114</x:f>
        <x:v>0</x:v>
      </x:c>
      <x:c r="AO150" s="30" t="n">
        <x:f>E113</x:f>
        <x:v>0</x:v>
      </x:c>
      <x:c r="AP150" s="30" t="n">
        <x:f>E112</x:f>
        <x:v>0</x:v>
      </x:c>
      <x:c r="AQ150" s="30" t="n">
        <x:f>E111</x:f>
        <x:v>0</x:v>
      </x:c>
      <x:c r="AR150" s="30" t="n">
        <x:f>E110</x:f>
        <x:v>0</x:v>
      </x:c>
      <x:c r="AS150" s="30" t="n">
        <x:f>E109</x:f>
        <x:v>0</x:v>
      </x:c>
      <x:c r="AT150" s="30" t="n">
        <x:f>E108</x:f>
        <x:v>0</x:v>
      </x:c>
      <x:c r="AU150" s="30" t="n">
        <x:f>E107</x:f>
        <x:v>0</x:v>
      </x:c>
      <x:c r="AV150" s="30" t="n">
        <x:f>E106</x:f>
        <x:v>0</x:v>
      </x:c>
      <x:c r="AW150" s="30" t="n">
        <x:f>E105</x:f>
        <x:v>0</x:v>
      </x:c>
      <x:c r="AX150" s="30" t="n">
        <x:f>E104</x:f>
        <x:v>0</x:v>
      </x:c>
      <x:c r="AY150" s="30" t="n">
        <x:f>E103</x:f>
        <x:v>0</x:v>
      </x:c>
      <x:c r="AZ150" s="30" t="n">
        <x:f>E102</x:f>
        <x:v>0</x:v>
      </x:c>
      <x:c r="BA150" s="30" t="n">
        <x:f>E101</x:f>
        <x:v>0</x:v>
      </x:c>
      <x:c r="BB150" s="30" t="n">
        <x:f>E100</x:f>
        <x:v>0</x:v>
      </x:c>
      <x:c r="BC150" s="30" t="n">
        <x:f>E99</x:f>
        <x:v>0</x:v>
      </x:c>
      <x:c r="BD150" s="30" t="n">
        <x:f>E98</x:f>
        <x:v>0</x:v>
      </x:c>
      <x:c r="BE150" s="30" t="n">
        <x:f>E97</x:f>
        <x:v>0</x:v>
      </x:c>
      <x:c r="BF150" s="30" t="n">
        <x:f>E96</x:f>
        <x:v>0</x:v>
      </x:c>
      <x:c r="BG150" s="30" t="n">
        <x:f>E95</x:f>
        <x:v>0</x:v>
      </x:c>
      <x:c r="BH150" s="30" t="n">
        <x:f>E94</x:f>
        <x:v>0</x:v>
      </x:c>
      <x:c r="BI150" s="30" t="n">
        <x:f>E93</x:f>
        <x:v>0</x:v>
      </x:c>
      <x:c r="BJ150" s="30" t="n">
        <x:f>E92</x:f>
        <x:v>0</x:v>
      </x:c>
      <x:c r="BK150" s="30" t="n">
        <x:f>E91</x:f>
        <x:v>0</x:v>
      </x:c>
      <x:c r="BL150" s="30" t="n">
        <x:f>E90</x:f>
        <x:v>0</x:v>
      </x:c>
      <x:c r="BM150" s="30" t="n">
        <x:f>E89</x:f>
        <x:v>0</x:v>
      </x:c>
      <x:c r="BN150" s="30" t="n">
        <x:f>E88</x:f>
        <x:v>0</x:v>
      </x:c>
      <x:c r="BO150" s="30" t="n">
        <x:f>E87</x:f>
        <x:v>0</x:v>
      </x:c>
      <x:c r="BP150" s="30" t="n">
        <x:f>E86</x:f>
        <x:v>0</x:v>
      </x:c>
      <x:c r="BQ150" s="30" t="n">
        <x:f>E85</x:f>
        <x:v>0</x:v>
      </x:c>
      <x:c r="BR150" s="30" t="n">
        <x:f>E84</x:f>
        <x:v>0</x:v>
      </x:c>
      <x:c r="BS150" s="30" t="n">
        <x:f>E83</x:f>
        <x:v>0</x:v>
      </x:c>
      <x:c r="BT150" s="30" t="n">
        <x:f>E82</x:f>
        <x:v>0</x:v>
      </x:c>
      <x:c r="BU150" s="30" t="n">
        <x:f>E81</x:f>
        <x:v>0</x:v>
      </x:c>
      <x:c r="BV150" s="30" t="n">
        <x:f>E80</x:f>
        <x:v>0</x:v>
      </x:c>
      <x:c r="BW150" s="30" t="n">
        <x:f>E79</x:f>
        <x:v>0</x:v>
      </x:c>
      <x:c r="BX150" s="30" t="n">
        <x:f>E78</x:f>
        <x:v>0</x:v>
      </x:c>
      <x:c r="BY150" s="30" t="n">
        <x:f>E77</x:f>
        <x:v>0</x:v>
      </x:c>
      <x:c r="BZ150" s="30" t="n">
        <x:f>E76</x:f>
        <x:v>0</x:v>
      </x:c>
      <x:c r="CA150" s="30" t="n">
        <x:f>E75</x:f>
        <x:v>0</x:v>
      </x:c>
      <x:c r="CB150" s="30" t="n">
        <x:f>E74</x:f>
        <x:v>0</x:v>
      </x:c>
      <x:c r="CC150" s="30" t="n">
        <x:f>E73</x:f>
        <x:v>0</x:v>
      </x:c>
      <x:c r="CD150" s="30" t="n">
        <x:f>E72</x:f>
        <x:v>0</x:v>
      </x:c>
      <x:c r="CE150" s="30" t="n">
        <x:f>E71</x:f>
        <x:v>0</x:v>
      </x:c>
      <x:c r="CF150" s="30" t="n">
        <x:f>E70</x:f>
        <x:v>0</x:v>
      </x:c>
      <x:c r="CG150" s="30" t="n">
        <x:f>E69</x:f>
        <x:v>0</x:v>
      </x:c>
      <x:c r="CH150" s="30" t="n">
        <x:f>E68</x:f>
        <x:v>0</x:v>
      </x:c>
      <x:c r="CI150" s="30" t="n">
        <x:f>E67</x:f>
        <x:v>0</x:v>
      </x:c>
      <x:c r="CJ150" s="30" t="n">
        <x:f>E66</x:f>
        <x:v>0</x:v>
      </x:c>
      <x:c r="CK150" s="30" t="n">
        <x:f>E65</x:f>
        <x:v>0</x:v>
      </x:c>
      <x:c r="CL150" s="30" t="n">
        <x:f>E64</x:f>
        <x:v>0</x:v>
      </x:c>
      <x:c r="CM150" s="30" t="n">
        <x:f>E63</x:f>
        <x:v>0</x:v>
      </x:c>
      <x:c r="CN150" s="30" t="n">
        <x:f>E62</x:f>
        <x:v>0</x:v>
      </x:c>
      <x:c r="CO150" s="30" t="n">
        <x:f>E61</x:f>
        <x:v>0</x:v>
      </x:c>
      <x:c r="CP150" s="30" t="n">
        <x:f>E60</x:f>
        <x:v>0</x:v>
      </x:c>
      <x:c r="CQ150" s="30" t="n">
        <x:f>E59</x:f>
        <x:v>0</x:v>
      </x:c>
      <x:c r="CR150" s="30" t="n">
        <x:f>E58</x:f>
        <x:v>0</x:v>
      </x:c>
      <x:c r="CS150" s="30" t="n">
        <x:f>E57</x:f>
        <x:v>0</x:v>
      </x:c>
      <x:c r="CT150" s="30" t="n">
        <x:f>E56</x:f>
        <x:v>0.021492102114820062</x:v>
      </x:c>
      <x:c r="CU150" s="30" t="n">
        <x:f>E55</x:f>
        <x:v>0.03356861661021723</x:v>
      </x:c>
      <x:c r="CV150" s="30" t="n">
        <x:f>E54</x:f>
        <x:v>0.05757051104622675</x:v>
      </x:c>
      <x:c r="CW150" s="30" t="n">
        <x:f>E53</x:f>
        <x:v>0.09212214364495211</x:v>
      </x:c>
      <x:c r="CX150" s="30" t="n">
        <x:f>E52</x:f>
        <x:v>0.14493647539142446</x:v>
      </x:c>
      <x:c r="CY150" s="30" t="n">
        <x:f>E51</x:f>
        <x:v>0</x:v>
      </x:c>
    </x:row>
    <x:row r="151" ht="19" customHeight="1">
      <x:c r="A151" s="1"/>
      <x:c r="B151" s="1"/>
      <x:c r="C151" s="2" t="str">
        <x:v>Repayment weights</x:v>
      </x:c>
      <x:c r="D151" s="2"/>
      <x:c r="E151" s="2"/>
      <x:c r="F151" s="2"/>
      <x:c r="G151" s="30" t="n">
        <x:f>F147</x:f>
        <x:v>0</x:v>
      </x:c>
      <x:c r="H151" s="30" t="n">
        <x:f>F146</x:f>
        <x:v>0</x:v>
      </x:c>
      <x:c r="I151" s="30" t="n">
        <x:f>F145</x:f>
        <x:v>0</x:v>
      </x:c>
      <x:c r="J151" s="30" t="n">
        <x:f>F144</x:f>
        <x:v>0</x:v>
      </x:c>
      <x:c r="K151" s="30" t="n">
        <x:f>F143</x:f>
        <x:v>0</x:v>
      </x:c>
      <x:c r="L151" s="30" t="n">
        <x:f>F142</x:f>
        <x:v>0</x:v>
      </x:c>
      <x:c r="M151" s="30" t="n">
        <x:f>F141</x:f>
        <x:v>0</x:v>
      </x:c>
      <x:c r="N151" s="30" t="n">
        <x:f>F140</x:f>
        <x:v>0</x:v>
      </x:c>
      <x:c r="O151" s="30" t="n">
        <x:f>F139</x:f>
        <x:v>0</x:v>
      </x:c>
      <x:c r="P151" s="30" t="n">
        <x:f>F138</x:f>
        <x:v>0</x:v>
      </x:c>
      <x:c r="Q151" s="30" t="n">
        <x:f>F137</x:f>
        <x:v>0</x:v>
      </x:c>
      <x:c r="R151" s="30" t="n">
        <x:f>F136</x:f>
        <x:v>0</x:v>
      </x:c>
      <x:c r="S151" s="30" t="n">
        <x:f>F135</x:f>
        <x:v>0</x:v>
      </x:c>
      <x:c r="T151" s="30" t="n">
        <x:f>F134</x:f>
        <x:v>0</x:v>
      </x:c>
      <x:c r="U151" s="30" t="n">
        <x:f>F133</x:f>
        <x:v>0</x:v>
      </x:c>
      <x:c r="V151" s="30" t="n">
        <x:f>F132</x:f>
        <x:v>0</x:v>
      </x:c>
      <x:c r="W151" s="30" t="n">
        <x:f>F131</x:f>
        <x:v>0</x:v>
      </x:c>
      <x:c r="X151" s="30" t="n">
        <x:f>F130</x:f>
        <x:v>0</x:v>
      </x:c>
      <x:c r="Y151" s="30" t="n">
        <x:f>F129</x:f>
        <x:v>0</x:v>
      </x:c>
      <x:c r="Z151" s="30" t="n">
        <x:f>F128</x:f>
        <x:v>0</x:v>
      </x:c>
      <x:c r="AA151" s="30" t="n">
        <x:f>F127</x:f>
        <x:v>0</x:v>
      </x:c>
      <x:c r="AB151" s="30" t="n">
        <x:f>F126</x:f>
        <x:v>0</x:v>
      </x:c>
      <x:c r="AC151" s="30" t="n">
        <x:f>F125</x:f>
        <x:v>0</x:v>
      </x:c>
      <x:c r="AD151" s="30" t="n">
        <x:f>F124</x:f>
        <x:v>0</x:v>
      </x:c>
      <x:c r="AE151" s="30" t="n">
        <x:f>F123</x:f>
        <x:v>0</x:v>
      </x:c>
      <x:c r="AF151" s="30" t="n">
        <x:f>F122</x:f>
        <x:v>0</x:v>
      </x:c>
      <x:c r="AG151" s="30" t="n">
        <x:f>F121</x:f>
        <x:v>0</x:v>
      </x:c>
      <x:c r="AH151" s="30" t="n">
        <x:f>F120</x:f>
        <x:v>0</x:v>
      </x:c>
      <x:c r="AI151" s="30" t="n">
        <x:f>F119</x:f>
        <x:v>0</x:v>
      </x:c>
      <x:c r="AJ151" s="30" t="n">
        <x:f>F118</x:f>
        <x:v>0</x:v>
      </x:c>
      <x:c r="AK151" s="30" t="n">
        <x:f>F117</x:f>
        <x:v>0</x:v>
      </x:c>
      <x:c r="AL151" s="30" t="n">
        <x:f>F116</x:f>
        <x:v>0</x:v>
      </x:c>
      <x:c r="AM151" s="30" t="n">
        <x:f>F115</x:f>
        <x:v>0</x:v>
      </x:c>
      <x:c r="AN151" s="30" t="n">
        <x:f>F114</x:f>
        <x:v>0</x:v>
      </x:c>
      <x:c r="AO151" s="30" t="n">
        <x:f>F113</x:f>
        <x:v>0</x:v>
      </x:c>
      <x:c r="AP151" s="30" t="n">
        <x:f>F112</x:f>
        <x:v>0</x:v>
      </x:c>
      <x:c r="AQ151" s="30" t="n">
        <x:f>F111</x:f>
        <x:v>0</x:v>
      </x:c>
      <x:c r="AR151" s="30" t="n">
        <x:f>F110</x:f>
        <x:v>0</x:v>
      </x:c>
      <x:c r="AS151" s="30" t="n">
        <x:f>F109</x:f>
        <x:v>0</x:v>
      </x:c>
      <x:c r="AT151" s="30" t="n">
        <x:f>F108</x:f>
        <x:v>0</x:v>
      </x:c>
      <x:c r="AU151" s="30" t="n">
        <x:f>F107</x:f>
        <x:v>0</x:v>
      </x:c>
      <x:c r="AV151" s="30" t="n">
        <x:f>F106</x:f>
        <x:v>0</x:v>
      </x:c>
      <x:c r="AW151" s="30" t="n">
        <x:f>F105</x:f>
        <x:v>0</x:v>
      </x:c>
      <x:c r="AX151" s="30" t="n">
        <x:f>F104</x:f>
        <x:v>0</x:v>
      </x:c>
      <x:c r="AY151" s="30" t="n">
        <x:f>F103</x:f>
        <x:v>0</x:v>
      </x:c>
      <x:c r="AZ151" s="30" t="n">
        <x:f>F102</x:f>
        <x:v>0</x:v>
      </x:c>
      <x:c r="BA151" s="30" t="n">
        <x:f>F101</x:f>
        <x:v>0</x:v>
      </x:c>
      <x:c r="BB151" s="30" t="n">
        <x:f>F100</x:f>
        <x:v>0</x:v>
      </x:c>
      <x:c r="BC151" s="30" t="n">
        <x:f>F99</x:f>
        <x:v>0</x:v>
      </x:c>
      <x:c r="BD151" s="30" t="n">
        <x:f>F98</x:f>
        <x:v>0</x:v>
      </x:c>
      <x:c r="BE151" s="30" t="n">
        <x:f>F97</x:f>
        <x:v>0</x:v>
      </x:c>
      <x:c r="BF151" s="30" t="n">
        <x:f>F96</x:f>
        <x:v>0</x:v>
      </x:c>
      <x:c r="BG151" s="30" t="n">
        <x:f>F95</x:f>
        <x:v>0</x:v>
      </x:c>
      <x:c r="BH151" s="30" t="n">
        <x:f>F94</x:f>
        <x:v>0</x:v>
      </x:c>
      <x:c r="BI151" s="30" t="n">
        <x:f>F93</x:f>
        <x:v>0</x:v>
      </x:c>
      <x:c r="BJ151" s="30" t="n">
        <x:f>F92</x:f>
        <x:v>0</x:v>
      </x:c>
      <x:c r="BK151" s="30" t="n">
        <x:f>F91</x:f>
        <x:v>0</x:v>
      </x:c>
      <x:c r="BL151" s="30" t="n">
        <x:f>F90</x:f>
        <x:v>0</x:v>
      </x:c>
      <x:c r="BM151" s="30" t="n">
        <x:f>F89</x:f>
        <x:v>0</x:v>
      </x:c>
      <x:c r="BN151" s="30" t="n">
        <x:f>F88</x:f>
        <x:v>0</x:v>
      </x:c>
      <x:c r="BO151" s="30" t="n">
        <x:f>F87</x:f>
        <x:v>0</x:v>
      </x:c>
      <x:c r="BP151" s="30" t="n">
        <x:f>F86</x:f>
        <x:v>0</x:v>
      </x:c>
      <x:c r="BQ151" s="30" t="n">
        <x:f>F85</x:f>
        <x:v>0</x:v>
      </x:c>
      <x:c r="BR151" s="30" t="n">
        <x:f>F84</x:f>
        <x:v>0</x:v>
      </x:c>
      <x:c r="BS151" s="30" t="n">
        <x:f>F83</x:f>
        <x:v>0</x:v>
      </x:c>
      <x:c r="BT151" s="30" t="n">
        <x:f>F82</x:f>
        <x:v>0</x:v>
      </x:c>
      <x:c r="BU151" s="30" t="n">
        <x:f>F81</x:f>
        <x:v>0</x:v>
      </x:c>
      <x:c r="BV151" s="30" t="n">
        <x:f>F80</x:f>
        <x:v>0</x:v>
      </x:c>
      <x:c r="BW151" s="30" t="n">
        <x:f>F79</x:f>
        <x:v>0</x:v>
      </x:c>
      <x:c r="BX151" s="30" t="n">
        <x:f>F78</x:f>
        <x:v>0</x:v>
      </x:c>
      <x:c r="BY151" s="30" t="n">
        <x:f>F77</x:f>
        <x:v>0</x:v>
      </x:c>
      <x:c r="BZ151" s="30" t="n">
        <x:f>F76</x:f>
        <x:v>0</x:v>
      </x:c>
      <x:c r="CA151" s="30" t="n">
        <x:f>F75</x:f>
        <x:v>0</x:v>
      </x:c>
      <x:c r="CB151" s="30" t="n">
        <x:f>F74</x:f>
        <x:v>0</x:v>
      </x:c>
      <x:c r="CC151" s="30" t="n">
        <x:f>F73</x:f>
        <x:v>0</x:v>
      </x:c>
      <x:c r="CD151" s="30" t="n">
        <x:f>F72</x:f>
        <x:v>0</x:v>
      </x:c>
      <x:c r="CE151" s="30" t="n">
        <x:f>F71</x:f>
        <x:v>0</x:v>
      </x:c>
      <x:c r="CF151" s="30" t="n">
        <x:f>F70</x:f>
        <x:v>0</x:v>
      </x:c>
      <x:c r="CG151" s="30" t="n">
        <x:f>F69</x:f>
        <x:v>0</x:v>
      </x:c>
      <x:c r="CH151" s="30" t="n">
        <x:f>F68</x:f>
        <x:v>0</x:v>
      </x:c>
      <x:c r="CI151" s="30" t="n">
        <x:f>F67</x:f>
        <x:v>0</x:v>
      </x:c>
      <x:c r="CJ151" s="30" t="n">
        <x:f>F66</x:f>
        <x:v>0</x:v>
      </x:c>
      <x:c r="CK151" s="30" t="n">
        <x:f>F65</x:f>
        <x:v>0</x:v>
      </x:c>
      <x:c r="CL151" s="30" t="n">
        <x:f>F64</x:f>
        <x:v>0</x:v>
      </x:c>
      <x:c r="CM151" s="30" t="n">
        <x:f>F63</x:f>
        <x:v>0</x:v>
      </x:c>
      <x:c r="CN151" s="30" t="n">
        <x:f>F62</x:f>
        <x:v>0</x:v>
      </x:c>
      <x:c r="CO151" s="30" t="n">
        <x:f>F61</x:f>
        <x:v>0</x:v>
      </x:c>
      <x:c r="CP151" s="30" t="n">
        <x:f>F60</x:f>
        <x:v>0</x:v>
      </x:c>
      <x:c r="CQ151" s="30" t="n">
        <x:f>F59</x:f>
        <x:v>0</x:v>
      </x:c>
      <x:c r="CR151" s="30" t="n">
        <x:f>F58</x:f>
        <x:v>0</x:v>
      </x:c>
      <x:c r="CS151" s="30" t="n">
        <x:f>F57</x:f>
        <x:v>0</x:v>
      </x:c>
      <x:c r="CT151" s="30" t="n">
        <x:f>F56</x:f>
        <x:v>0.03436708301471757</x:v>
      </x:c>
      <x:c r="CU151" s="30" t="n">
        <x:f>F55</x:f>
        <x:v>0.05953168653833649</x:v>
      </x:c>
      <x:c r="CV151" s="30" t="n">
        <x:f>F54</x:f>
        <x:v>0.10003529185085855</x:v>
      </x:c>
      <x:c r="CW151" s="30" t="n">
        <x:f>F53</x:f>
        <x:v>0.16885087350379402</x:v>
      </x:c>
      <x:c r="CX151" s="30" t="n">
        <x:f>F52</x:f>
        <x:v>0.2875252162846528</x:v>
      </x:c>
      <x:c r="CY151" s="30" t="n">
        <x:f>F51</x:f>
        <x:v>0</x:v>
      </x:c>
    </x:row>
    <x:row r="152" ht="19" customHeight="1">
      <x:c r="A152" s="1"/>
      <x:c r="B152" s="1"/>
      <x:c r="C152" s="2"/>
      <x:c r="D152" s="2"/>
      <x:c r="E152" s="2"/>
      <x:c r="F152" s="2"/>
      <x:c r="G152" s="2"/>
      <x:c r="H152" s="2"/>
      <x:c r="I152" s="2"/>
      <x:c r="J152" s="2"/>
      <x:c r="K152" s="2"/>
      <x:c r="L152" s="2"/>
      <x:c r="M152" s="2"/>
      <x:c r="N152" s="2"/>
      <x:c r="O152" s="2"/>
      <x:c r="P152" s="2"/>
      <x:c r="Q152" s="2"/>
      <x:c r="R152" s="2"/>
      <x:c r="S152" s="2"/>
      <x:c r="T152" s="2"/>
      <x:c r="U152" s="2"/>
      <x:c r="V152" s="2"/>
      <x:c r="W152" s="2"/>
      <x:c r="X152" s="2"/>
      <x:c r="Y152" s="2"/>
      <x:c r="Z152" s="2"/>
      <x:c r="AA152" s="2"/>
      <x:c r="AB152" s="2"/>
      <x:c r="AC152" s="2"/>
      <x:c r="AD152" s="2"/>
      <x:c r="AE152" s="2"/>
      <x:c r="AF152" s="2"/>
      <x:c r="AG152" s="2"/>
      <x:c r="AH152" s="2"/>
      <x:c r="AI152" s="2"/>
      <x:c r="AJ152" s="2"/>
      <x:c r="AK152" s="2"/>
      <x:c r="AL152" s="2"/>
      <x:c r="AM152" s="2"/>
      <x:c r="AN152" s="2"/>
      <x:c r="AO152" s="2"/>
      <x:c r="AP152" s="2"/>
      <x:c r="AQ152" s="2"/>
      <x:c r="AR152" s="2"/>
      <x:c r="AS152" s="2"/>
      <x:c r="AT152" s="2"/>
      <x:c r="AU152" s="2"/>
      <x:c r="AV152" s="2"/>
      <x:c r="AW152" s="2"/>
      <x:c r="AX152" s="2"/>
      <x:c r="AY152" s="2"/>
      <x:c r="AZ152" s="2"/>
      <x:c r="BA152" s="2"/>
      <x:c r="BB152" s="2"/>
      <x:c r="BC152" s="2"/>
      <x:c r="BD152" s="2"/>
      <x:c r="BE152" s="2"/>
      <x:c r="BF152" s="2"/>
      <x:c r="BG152" s="2"/>
      <x:c r="BH152" s="2"/>
      <x:c r="BI152" s="2"/>
      <x:c r="BJ152" s="2"/>
      <x:c r="BK152" s="2"/>
      <x:c r="BL152" s="2"/>
      <x:c r="BM152" s="2"/>
      <x:c r="BN152" s="2"/>
      <x:c r="BO152" s="2"/>
      <x:c r="BP152" s="2"/>
      <x:c r="BQ152" s="2"/>
      <x:c r="BR152" s="2"/>
      <x:c r="BS152" s="2"/>
      <x:c r="BT152" s="2"/>
      <x:c r="BU152" s="2"/>
      <x:c r="BV152" s="2"/>
      <x:c r="BW152" s="2"/>
      <x:c r="BX152" s="2"/>
      <x:c r="BY152" s="2"/>
      <x:c r="BZ152" s="2"/>
      <x:c r="CA152" s="2"/>
      <x:c r="CB152" s="2"/>
      <x:c r="CC152" s="2"/>
      <x:c r="CD152" s="2"/>
      <x:c r="CE152" s="2"/>
      <x:c r="CF152" s="2"/>
      <x:c r="CG152" s="2"/>
      <x:c r="CH152" s="2"/>
      <x:c r="CI152" s="2"/>
      <x:c r="CJ152" s="2"/>
      <x:c r="CK152" s="2"/>
      <x:c r="CL152" s="2"/>
      <x:c r="CM152" s="2"/>
      <x:c r="CN152" s="2"/>
      <x:c r="CO152" s="2"/>
      <x:c r="CP152" s="2"/>
      <x:c r="CQ152" s="2"/>
      <x:c r="CR152" s="2"/>
      <x:c r="CS152" s="2"/>
      <x:c r="CT152" s="2"/>
      <x:c r="CU152" s="2"/>
      <x:c r="CV152" s="2"/>
      <x:c r="CW152" s="2"/>
      <x:c r="CX152" s="2"/>
      <x:c r="CY152" s="2"/>
    </x:row>
    <x:row r="153" ht="19" customHeight="1">
      <x:c r="A153" s="1"/>
      <x:c r="B153" s="1"/>
      <x:c r="C153" s="2"/>
      <x:c r="D153" s="2"/>
      <x:c r="E153" s="2"/>
      <x:c r="F153" s="2"/>
      <x:c r="G153" s="2"/>
      <x:c r="H153" s="2"/>
      <x:c r="I153" s="2"/>
      <x:c r="J153" s="2"/>
      <x:c r="K153" s="2"/>
      <x:c r="L153" s="2"/>
      <x:c r="M153" s="2"/>
      <x:c r="N153" s="2"/>
      <x:c r="O153" s="2"/>
      <x:c r="P153" s="2"/>
      <x:c r="Q153" s="2"/>
      <x:c r="R153" s="2"/>
      <x:c r="S153" s="2"/>
      <x:c r="T153" s="2"/>
      <x:c r="U153" s="2"/>
      <x:c r="V153" s="2"/>
      <x:c r="W153" s="2"/>
      <x:c r="X153" s="2"/>
      <x:c r="Y153" s="2"/>
      <x:c r="Z153" s="2"/>
      <x:c r="AA153" s="2"/>
      <x:c r="AB153" s="2"/>
      <x:c r="AC153" s="2"/>
      <x:c r="AD153" s="2"/>
      <x:c r="AE153" s="2"/>
      <x:c r="AF153" s="2"/>
      <x:c r="AG153" s="2"/>
      <x:c r="AH153" s="2"/>
      <x:c r="AI153" s="2"/>
      <x:c r="AJ153" s="2"/>
      <x:c r="AK153" s="2"/>
      <x:c r="AL153" s="2"/>
      <x:c r="AM153" s="2"/>
      <x:c r="AN153" s="2"/>
      <x:c r="AO153" s="2"/>
      <x:c r="AP153" s="2"/>
      <x:c r="AQ153" s="2"/>
      <x:c r="AR153" s="2"/>
      <x:c r="AS153" s="2"/>
      <x:c r="AT153" s="2"/>
      <x:c r="AU153" s="2"/>
      <x:c r="AV153" s="2"/>
      <x:c r="AW153" s="2"/>
      <x:c r="AX153" s="2"/>
      <x:c r="AY153" s="2"/>
      <x:c r="AZ153" s="2"/>
      <x:c r="BA153" s="2"/>
      <x:c r="BB153" s="2"/>
      <x:c r="BC153" s="2"/>
      <x:c r="BD153" s="2"/>
      <x:c r="BE153" s="2"/>
      <x:c r="BF153" s="2"/>
      <x:c r="BG153" s="2"/>
      <x:c r="BH153" s="2"/>
      <x:c r="BI153" s="2"/>
      <x:c r="BJ153" s="2"/>
      <x:c r="BK153" s="2"/>
      <x:c r="BL153" s="2"/>
      <x:c r="BM153" s="2"/>
      <x:c r="BN153" s="2"/>
      <x:c r="BO153" s="2"/>
      <x:c r="BP153" s="2"/>
      <x:c r="BQ153" s="2"/>
      <x:c r="BR153" s="2"/>
      <x:c r="BS153" s="2"/>
      <x:c r="BT153" s="2"/>
      <x:c r="BU153" s="2"/>
      <x:c r="BV153" s="2"/>
      <x:c r="BW153" s="2"/>
      <x:c r="BX153" s="2"/>
      <x:c r="BY153" s="2"/>
      <x:c r="BZ153" s="2"/>
      <x:c r="CA153" s="2"/>
      <x:c r="CB153" s="2"/>
      <x:c r="CC153" s="2"/>
      <x:c r="CD153" s="2"/>
      <x:c r="CE153" s="2"/>
      <x:c r="CF153" s="2"/>
      <x:c r="CG153" s="2"/>
      <x:c r="CH153" s="2"/>
      <x:c r="CI153" s="2"/>
      <x:c r="CJ153" s="2"/>
      <x:c r="CK153" s="2"/>
      <x:c r="CL153" s="2"/>
      <x:c r="CM153" s="2"/>
      <x:c r="CN153" s="2"/>
      <x:c r="CO153" s="2"/>
      <x:c r="CP153" s="2"/>
      <x:c r="CQ153" s="2"/>
      <x:c r="CR153" s="2"/>
      <x:c r="CS153" s="2"/>
      <x:c r="CT153" s="2"/>
      <x:c r="CU153" s="2"/>
      <x:c r="CV153" s="2"/>
      <x:c r="CW153" s="2"/>
      <x:c r="CX153" s="2"/>
      <x:c r="CY153" s="2"/>
    </x:row>
    <x:row r="154" ht="19" customHeight="1">
      <x:c r="A154" s="1"/>
      <x:c r="B154" s="1"/>
      <x:c r="C154" s="2"/>
      <x:c r="D154" s="2"/>
      <x:c r="E154" s="2"/>
      <x:c r="F154" s="2"/>
      <x:c r="G154" s="2"/>
      <x:c r="H154" s="2"/>
      <x:c r="I154" s="2"/>
      <x:c r="J154" s="2"/>
      <x:c r="K154" s="2"/>
      <x:c r="L154" s="2"/>
      <x:c r="M154" s="2"/>
      <x:c r="N154" s="2"/>
      <x:c r="O154" s="2"/>
      <x:c r="P154" s="2"/>
      <x:c r="Q154" s="2"/>
      <x:c r="R154" s="2"/>
      <x:c r="S154" s="2"/>
      <x:c r="T154" s="2"/>
      <x:c r="U154" s="2"/>
      <x:c r="V154" s="2"/>
      <x:c r="W154" s="2"/>
      <x:c r="X154" s="2"/>
      <x:c r="Y154" s="2"/>
      <x:c r="Z154" s="2"/>
      <x:c r="AA154" s="2"/>
      <x:c r="AB154" s="2"/>
      <x:c r="AC154" s="2"/>
      <x:c r="AD154" s="2"/>
      <x:c r="AE154" s="2"/>
      <x:c r="AF154" s="2"/>
      <x:c r="AG154" s="2"/>
      <x:c r="AH154" s="2"/>
      <x:c r="AI154" s="2"/>
      <x:c r="AJ154" s="2"/>
      <x:c r="AK154" s="2"/>
      <x:c r="AL154" s="2"/>
      <x:c r="AM154" s="2"/>
      <x:c r="AN154" s="2"/>
      <x:c r="AO154" s="2"/>
      <x:c r="AP154" s="2"/>
      <x:c r="AQ154" s="2"/>
      <x:c r="AR154" s="2"/>
      <x:c r="AS154" s="2"/>
      <x:c r="AT154" s="2"/>
      <x:c r="AU154" s="2"/>
      <x:c r="AV154" s="2"/>
      <x:c r="AW154" s="2"/>
      <x:c r="AX154" s="2"/>
      <x:c r="AY154" s="2"/>
      <x:c r="AZ154" s="2"/>
      <x:c r="BA154" s="2"/>
      <x:c r="BB154" s="2"/>
      <x:c r="BC154" s="2"/>
      <x:c r="BD154" s="2"/>
      <x:c r="BE154" s="2"/>
      <x:c r="BF154" s="2"/>
      <x:c r="BG154" s="2"/>
      <x:c r="BH154" s="2"/>
      <x:c r="BI154" s="2"/>
      <x:c r="BJ154" s="2"/>
      <x:c r="BK154" s="2"/>
      <x:c r="BL154" s="2"/>
      <x:c r="BM154" s="2"/>
      <x:c r="BN154" s="2"/>
      <x:c r="BO154" s="2"/>
      <x:c r="BP154" s="2"/>
      <x:c r="BQ154" s="2"/>
      <x:c r="BR154" s="2"/>
      <x:c r="BS154" s="2"/>
      <x:c r="BT154" s="2"/>
      <x:c r="BU154" s="2"/>
      <x:c r="BV154" s="2"/>
      <x:c r="BW154" s="2"/>
      <x:c r="BX154" s="2"/>
      <x:c r="BY154" s="2"/>
      <x:c r="BZ154" s="2"/>
      <x:c r="CA154" s="2"/>
      <x:c r="CB154" s="2"/>
      <x:c r="CC154" s="2"/>
      <x:c r="CD154" s="2"/>
      <x:c r="CE154" s="2"/>
      <x:c r="CF154" s="2"/>
      <x:c r="CG154" s="2"/>
      <x:c r="CH154" s="2"/>
      <x:c r="CI154" s="2"/>
      <x:c r="CJ154" s="2"/>
      <x:c r="CK154" s="2"/>
      <x:c r="CL154" s="2"/>
      <x:c r="CM154" s="2"/>
      <x:c r="CN154" s="2"/>
      <x:c r="CO154" s="2"/>
      <x:c r="CP154" s="2"/>
      <x:c r="CQ154" s="2"/>
      <x:c r="CR154" s="2"/>
      <x:c r="CS154" s="2"/>
      <x:c r="CT154" s="2"/>
      <x:c r="CU154" s="2"/>
      <x:c r="CV154" s="2"/>
      <x:c r="CW154" s="2"/>
      <x:c r="CX154" s="2"/>
      <x:c r="CY154" s="2"/>
    </x:row>
    <x:row r="155" ht="19" customHeight="1">
      <x:c r="A155" s="1"/>
      <x:c r="B155" s="1"/>
      <x:c r="C155" s="2" t="str">
        <x:v>Each original-equivalent exposure is conditional on survival to its opening age.</x:v>
      </x:c>
      <x:c r="D155" s="2"/>
      <x:c r="E155" s="2"/>
      <x:c r="F155" s="2"/>
      <x:c r="G155" s="2"/>
      <x:c r="H155" s="2"/>
      <x:c r="I155" s="2"/>
      <x:c r="J155" s="2"/>
      <x:c r="K155" s="2"/>
      <x:c r="L155" s="2"/>
      <x:c r="M155" s="2"/>
      <x:c r="N155" s="2"/>
      <x:c r="O155" s="2"/>
      <x:c r="P155" s="2"/>
      <x:c r="Q155" s="2"/>
      <x:c r="R155" s="2"/>
      <x:c r="S155" s="2"/>
      <x:c r="T155" s="2"/>
      <x:c r="U155" s="2"/>
      <x:c r="V155" s="2"/>
      <x:c r="W155" s="2"/>
      <x:c r="X155" s="2"/>
      <x:c r="Y155" s="2"/>
      <x:c r="Z155" s="2"/>
      <x:c r="AA155" s="2"/>
      <x:c r="AB155" s="2"/>
      <x:c r="AC155" s="2"/>
      <x:c r="AD155" s="2"/>
      <x:c r="AE155" s="2"/>
      <x:c r="AF155" s="2"/>
      <x:c r="AG155" s="2"/>
      <x:c r="AH155" s="2"/>
      <x:c r="AI155" s="2"/>
      <x:c r="AJ155" s="2"/>
      <x:c r="AK155" s="2"/>
      <x:c r="AL155" s="2"/>
      <x:c r="AM155" s="2"/>
      <x:c r="AN155" s="2"/>
      <x:c r="AO155" s="2"/>
      <x:c r="AP155" s="2"/>
      <x:c r="AQ155" s="2"/>
      <x:c r="AR155" s="2"/>
      <x:c r="AS155" s="2"/>
      <x:c r="AT155" s="2"/>
      <x:c r="AU155" s="2"/>
      <x:c r="AV155" s="2"/>
      <x:c r="AW155" s="2"/>
      <x:c r="AX155" s="2"/>
      <x:c r="AY155" s="2"/>
      <x:c r="AZ155" s="2"/>
      <x:c r="BA155" s="2"/>
      <x:c r="BB155" s="2"/>
      <x:c r="BC155" s="2"/>
      <x:c r="BD155" s="2"/>
      <x:c r="BE155" s="2"/>
      <x:c r="BF155" s="2"/>
      <x:c r="BG155" s="2"/>
      <x:c r="BH155" s="2"/>
      <x:c r="BI155" s="2"/>
      <x:c r="BJ155" s="2"/>
      <x:c r="BK155" s="2"/>
      <x:c r="BL155" s="2"/>
      <x:c r="BM155" s="2"/>
      <x:c r="BN155" s="2"/>
      <x:c r="BO155" s="2"/>
      <x:c r="BP155" s="2"/>
      <x:c r="BQ155" s="2"/>
      <x:c r="BR155" s="2"/>
      <x:c r="BS155" s="2"/>
      <x:c r="BT155" s="2"/>
      <x:c r="BU155" s="2"/>
      <x:c r="BV155" s="2"/>
      <x:c r="BW155" s="2"/>
      <x:c r="BX155" s="2"/>
      <x:c r="BY155" s="2"/>
      <x:c r="BZ155" s="2"/>
      <x:c r="CA155" s="2"/>
      <x:c r="CB155" s="2"/>
      <x:c r="CC155" s="2"/>
      <x:c r="CD155" s="2"/>
      <x:c r="CE155" s="2"/>
      <x:c r="CF155" s="2"/>
      <x:c r="CG155" s="2"/>
      <x:c r="CH155" s="2"/>
      <x:c r="CI155" s="2"/>
      <x:c r="CJ155" s="2"/>
      <x:c r="CK155" s="2"/>
      <x:c r="CL155" s="2"/>
      <x:c r="CM155" s="2"/>
      <x:c r="CN155" s="2"/>
      <x:c r="CO155" s="2"/>
      <x:c r="CP155" s="2"/>
      <x:c r="CQ155" s="2"/>
      <x:c r="CR155" s="2"/>
      <x:c r="CS155" s="2"/>
      <x:c r="CT155" s="2"/>
      <x:c r="CU155" s="2"/>
      <x:c r="CV155" s="2"/>
      <x:c r="CW155" s="2"/>
      <x:c r="CX155" s="2"/>
      <x:c r="CY155" s="2"/>
    </x:row>
    <x:row r="156" ht="19" customHeight="1">
      <x:c r="A156" s="1"/>
      <x:c r="B156" s="1"/>
      <x:c r="C156" s="2"/>
      <x:c r="D156" s="2"/>
      <x:c r="E156" s="2"/>
      <x:c r="F156" s="2"/>
      <x:c r="G156" s="2"/>
      <x:c r="H156" s="2"/>
      <x:c r="I156" s="2"/>
      <x:c r="J156" s="2"/>
      <x:c r="K156" s="2"/>
      <x:c r="L156" s="2"/>
      <x:c r="M156" s="2"/>
      <x:c r="N156" s="2"/>
      <x:c r="O156" s="2"/>
      <x:c r="P156" s="2"/>
      <x:c r="Q156" s="2"/>
      <x:c r="R156" s="2"/>
      <x:c r="S156" s="2"/>
      <x:c r="T156" s="2"/>
      <x:c r="U156" s="2"/>
      <x:c r="V156" s="2"/>
      <x:c r="W156" s="2"/>
      <x:c r="X156" s="2"/>
      <x:c r="Y156" s="2"/>
      <x:c r="Z156" s="2"/>
      <x:c r="AA156" s="2"/>
      <x:c r="AB156" s="2"/>
      <x:c r="AC156" s="2"/>
      <x:c r="AD156" s="2"/>
      <x:c r="AE156" s="2"/>
      <x:c r="AF156" s="2"/>
      <x:c r="AG156" s="2"/>
      <x:c r="AH156" s="2"/>
      <x:c r="AI156" s="2"/>
      <x:c r="AJ156" s="2"/>
      <x:c r="AK156" s="2"/>
      <x:c r="AL156" s="2"/>
      <x:c r="AM156" s="2"/>
      <x:c r="AN156" s="2"/>
      <x:c r="AO156" s="2"/>
      <x:c r="AP156" s="2"/>
      <x:c r="AQ156" s="2"/>
      <x:c r="AR156" s="2"/>
      <x:c r="AS156" s="2"/>
      <x:c r="AT156" s="2"/>
      <x:c r="AU156" s="2"/>
      <x:c r="AV156" s="2"/>
      <x:c r="AW156" s="2"/>
      <x:c r="AX156" s="2"/>
      <x:c r="AY156" s="2"/>
      <x:c r="AZ156" s="2"/>
      <x:c r="BA156" s="2"/>
      <x:c r="BB156" s="2"/>
      <x:c r="BC156" s="2"/>
      <x:c r="BD156" s="2"/>
      <x:c r="BE156" s="2"/>
      <x:c r="BF156" s="2"/>
      <x:c r="BG156" s="2"/>
      <x:c r="BH156" s="2"/>
      <x:c r="BI156" s="2"/>
      <x:c r="BJ156" s="2"/>
      <x:c r="BK156" s="2"/>
      <x:c r="BL156" s="2"/>
      <x:c r="BM156" s="2"/>
      <x:c r="BN156" s="2"/>
      <x:c r="BO156" s="2"/>
      <x:c r="BP156" s="2"/>
      <x:c r="BQ156" s="2"/>
      <x:c r="BR156" s="2"/>
      <x:c r="BS156" s="2"/>
      <x:c r="BT156" s="2"/>
      <x:c r="BU156" s="2"/>
      <x:c r="BV156" s="2"/>
      <x:c r="BW156" s="2"/>
      <x:c r="BX156" s="2"/>
      <x:c r="BY156" s="2"/>
      <x:c r="BZ156" s="2"/>
      <x:c r="CA156" s="2"/>
      <x:c r="CB156" s="2"/>
      <x:c r="CC156" s="2"/>
      <x:c r="CD156" s="2"/>
      <x:c r="CE156" s="2"/>
      <x:c r="CF156" s="2"/>
      <x:c r="CG156" s="2"/>
      <x:c r="CH156" s="2"/>
      <x:c r="CI156" s="2"/>
      <x:c r="CJ156" s="2"/>
      <x:c r="CK156" s="2"/>
      <x:c r="CL156" s="2"/>
      <x:c r="CM156" s="2"/>
      <x:c r="CN156" s="2"/>
      <x:c r="CO156" s="2"/>
      <x:c r="CP156" s="2"/>
      <x:c r="CQ156" s="2"/>
      <x:c r="CR156" s="2"/>
      <x:c r="CS156" s="2"/>
      <x:c r="CT156" s="2"/>
      <x:c r="CU156" s="2"/>
      <x:c r="CV156" s="2"/>
      <x:c r="CW156" s="2"/>
      <x:c r="CX156" s="2"/>
      <x:c r="CY156" s="2"/>
    </x:row>
    <x:row r="157" ht="19" customHeight="1">
      <x:c r="A157" s="1"/>
      <x:c r="B157" s="1"/>
      <x:c r="C157" s="2"/>
      <x:c r="D157" s="2"/>
      <x:c r="E157" s="2"/>
      <x:c r="F157" s="2"/>
      <x:c r="G157" s="2"/>
      <x:c r="H157" s="2"/>
      <x:c r="I157" s="2"/>
      <x:c r="J157" s="2"/>
      <x:c r="K157" s="2"/>
      <x:c r="L157" s="2"/>
      <x:c r="M157" s="2"/>
      <x:c r="N157" s="2"/>
      <x:c r="O157" s="2"/>
      <x:c r="P157" s="2"/>
      <x:c r="Q157" s="2"/>
      <x:c r="R157" s="2"/>
      <x:c r="S157" s="2"/>
      <x:c r="T157" s="2"/>
      <x:c r="U157" s="2"/>
      <x:c r="V157" s="2"/>
      <x:c r="W157" s="2"/>
      <x:c r="X157" s="2"/>
      <x:c r="Y157" s="2"/>
      <x:c r="Z157" s="2"/>
      <x:c r="AA157" s="2"/>
      <x:c r="AB157" s="2"/>
      <x:c r="AC157" s="2"/>
      <x:c r="AD157" s="2"/>
      <x:c r="AE157" s="2"/>
      <x:c r="AF157" s="2"/>
      <x:c r="AG157" s="2"/>
      <x:c r="AH157" s="2"/>
      <x:c r="AI157" s="2"/>
      <x:c r="AJ157" s="2"/>
      <x:c r="AK157" s="2"/>
      <x:c r="AL157" s="2"/>
      <x:c r="AM157" s="2"/>
      <x:c r="AN157" s="2"/>
      <x:c r="AO157" s="2"/>
      <x:c r="AP157" s="2"/>
      <x:c r="AQ157" s="2"/>
      <x:c r="AR157" s="2"/>
      <x:c r="AS157" s="2"/>
      <x:c r="AT157" s="2"/>
      <x:c r="AU157" s="2"/>
      <x:c r="AV157" s="2"/>
      <x:c r="AW157" s="2"/>
      <x:c r="AX157" s="2"/>
      <x:c r="AY157" s="2"/>
      <x:c r="AZ157" s="2"/>
      <x:c r="BA157" s="2"/>
      <x:c r="BB157" s="2"/>
      <x:c r="BC157" s="2"/>
      <x:c r="BD157" s="2"/>
      <x:c r="BE157" s="2"/>
      <x:c r="BF157" s="2"/>
      <x:c r="BG157" s="2"/>
      <x:c r="BH157" s="2"/>
      <x:c r="BI157" s="2"/>
      <x:c r="BJ157" s="2"/>
      <x:c r="BK157" s="2"/>
      <x:c r="BL157" s="2"/>
      <x:c r="BM157" s="2"/>
      <x:c r="BN157" s="2"/>
      <x:c r="BO157" s="2"/>
      <x:c r="BP157" s="2"/>
      <x:c r="BQ157" s="2"/>
      <x:c r="BR157" s="2"/>
      <x:c r="BS157" s="2"/>
      <x:c r="BT157" s="2"/>
      <x:c r="BU157" s="2"/>
      <x:c r="BV157" s="2"/>
      <x:c r="BW157" s="2"/>
      <x:c r="BX157" s="2"/>
      <x:c r="BY157" s="2"/>
      <x:c r="BZ157" s="2"/>
      <x:c r="CA157" s="2"/>
      <x:c r="CB157" s="2"/>
      <x:c r="CC157" s="2"/>
      <x:c r="CD157" s="2"/>
      <x:c r="CE157" s="2"/>
      <x:c r="CF157" s="2"/>
      <x:c r="CG157" s="2"/>
      <x:c r="CH157" s="2"/>
      <x:c r="CI157" s="2"/>
      <x:c r="CJ157" s="2"/>
      <x:c r="CK157" s="2"/>
      <x:c r="CL157" s="2"/>
      <x:c r="CM157" s="2"/>
      <x:c r="CN157" s="2"/>
      <x:c r="CO157" s="2"/>
      <x:c r="CP157" s="2"/>
      <x:c r="CQ157" s="2"/>
      <x:c r="CR157" s="2"/>
      <x:c r="CS157" s="2"/>
      <x:c r="CT157" s="2"/>
      <x:c r="CU157" s="2"/>
      <x:c r="CV157" s="2"/>
      <x:c r="CW157" s="2"/>
      <x:c r="CX157" s="2"/>
      <x:c r="CY157" s="2"/>
    </x:row>
    <x:row r="158" ht="19" customHeight="1">
      <x:c r="A158" s="1"/>
      <x:c r="B158" s="1"/>
      <x:c r="C158" s="2"/>
      <x:c r="D158" s="2"/>
      <x:c r="E158" s="2"/>
      <x:c r="F158" s="2"/>
      <x:c r="G158" s="2"/>
      <x:c r="H158" s="2"/>
      <x:c r="I158" s="2"/>
      <x:c r="J158" s="2"/>
      <x:c r="K158" s="2"/>
      <x:c r="L158" s="2"/>
      <x:c r="M158" s="2"/>
      <x:c r="N158" s="2"/>
      <x:c r="O158" s="2"/>
      <x:c r="P158" s="2"/>
      <x:c r="Q158" s="2"/>
      <x:c r="R158" s="2"/>
      <x:c r="S158" s="2"/>
      <x:c r="T158" s="2"/>
      <x:c r="U158" s="2"/>
      <x:c r="V158" s="2"/>
      <x:c r="W158" s="2"/>
      <x:c r="X158" s="2"/>
      <x:c r="Y158" s="2"/>
      <x:c r="Z158" s="2"/>
      <x:c r="AA158" s="2"/>
      <x:c r="AB158" s="2"/>
      <x:c r="AC158" s="2"/>
      <x:c r="AD158" s="2"/>
      <x:c r="AE158" s="2"/>
      <x:c r="AF158" s="2"/>
      <x:c r="AG158" s="2"/>
      <x:c r="AH158" s="2"/>
      <x:c r="AI158" s="2"/>
      <x:c r="AJ158" s="2"/>
      <x:c r="AK158" s="2"/>
      <x:c r="AL158" s="2"/>
      <x:c r="AM158" s="2"/>
      <x:c r="AN158" s="2"/>
      <x:c r="AO158" s="2"/>
      <x:c r="AP158" s="2"/>
      <x:c r="AQ158" s="2"/>
      <x:c r="AR158" s="2"/>
      <x:c r="AS158" s="2"/>
      <x:c r="AT158" s="2"/>
      <x:c r="AU158" s="2"/>
      <x:c r="AV158" s="2"/>
      <x:c r="AW158" s="2"/>
      <x:c r="AX158" s="2"/>
      <x:c r="AY158" s="2"/>
      <x:c r="AZ158" s="2"/>
      <x:c r="BA158" s="2"/>
      <x:c r="BB158" s="2"/>
      <x:c r="BC158" s="2"/>
      <x:c r="BD158" s="2"/>
      <x:c r="BE158" s="2"/>
      <x:c r="BF158" s="2"/>
      <x:c r="BG158" s="2"/>
      <x:c r="BH158" s="2"/>
      <x:c r="BI158" s="2"/>
      <x:c r="BJ158" s="2"/>
      <x:c r="BK158" s="2"/>
      <x:c r="BL158" s="2"/>
      <x:c r="BM158" s="2"/>
      <x:c r="BN158" s="2"/>
      <x:c r="BO158" s="2"/>
      <x:c r="BP158" s="2"/>
      <x:c r="BQ158" s="2"/>
      <x:c r="BR158" s="2"/>
      <x:c r="BS158" s="2"/>
      <x:c r="BT158" s="2"/>
      <x:c r="BU158" s="2"/>
      <x:c r="BV158" s="2"/>
      <x:c r="BW158" s="2"/>
      <x:c r="BX158" s="2"/>
      <x:c r="BY158" s="2"/>
      <x:c r="BZ158" s="2"/>
      <x:c r="CA158" s="2"/>
      <x:c r="CB158" s="2"/>
      <x:c r="CC158" s="2"/>
      <x:c r="CD158" s="2"/>
      <x:c r="CE158" s="2"/>
      <x:c r="CF158" s="2"/>
      <x:c r="CG158" s="2"/>
      <x:c r="CH158" s="2"/>
      <x:c r="CI158" s="2"/>
      <x:c r="CJ158" s="2"/>
      <x:c r="CK158" s="2"/>
      <x:c r="CL158" s="2"/>
      <x:c r="CM158" s="2"/>
      <x:c r="CN158" s="2"/>
      <x:c r="CO158" s="2"/>
      <x:c r="CP158" s="2"/>
      <x:c r="CQ158" s="2"/>
      <x:c r="CR158" s="2"/>
      <x:c r="CS158" s="2"/>
      <x:c r="CT158" s="2"/>
      <x:c r="CU158" s="2"/>
      <x:c r="CV158" s="2"/>
      <x:c r="CW158" s="2"/>
      <x:c r="CX158" s="2"/>
      <x:c r="CY158" s="2"/>
    </x:row>
    <x:row r="159" ht="32" customHeight="1">
      <x:c r="A159" s="1"/>
      <x:c r="B159" s="1"/>
      <x:c r="C159" s="29" t="str">
        <x:v>Opening MOB</x:v>
      </x:c>
      <x:c r="D159" s="29" t="str">
        <x:v>Current balance ($)</x:v>
      </x:c>
      <x:c r="E159" s="29" t="str">
        <x:v>Original-equivalent ($)</x:v>
      </x:c>
      <x:c r="F159" s="29" t="str">
        <x:v>Remaining reserve ($)</x:v>
      </x:c>
      <x:c r="G159" s="2"/>
      <x:c r="H159" s="2"/>
      <x:c r="I159" s="2"/>
      <x:c r="J159" s="2"/>
      <x:c r="K159" s="2"/>
      <x:c r="L159" s="2"/>
      <x:c r="M159" s="2"/>
      <x:c r="N159" s="2"/>
      <x:c r="O159" s="2"/>
      <x:c r="P159" s="2"/>
      <x:c r="Q159" s="2"/>
      <x:c r="R159" s="2"/>
      <x:c r="S159" s="2"/>
      <x:c r="T159" s="2"/>
      <x:c r="U159" s="2"/>
      <x:c r="V159" s="2"/>
      <x:c r="W159" s="2"/>
      <x:c r="X159" s="2"/>
      <x:c r="Y159" s="2"/>
      <x:c r="Z159" s="2"/>
      <x:c r="AA159" s="2"/>
      <x:c r="AB159" s="2"/>
      <x:c r="AC159" s="2"/>
      <x:c r="AD159" s="2"/>
      <x:c r="AE159" s="2"/>
      <x:c r="AF159" s="2"/>
      <x:c r="AG159" s="2"/>
      <x:c r="AH159" s="2"/>
      <x:c r="AI159" s="2"/>
      <x:c r="AJ159" s="2"/>
      <x:c r="AK159" s="2"/>
      <x:c r="AL159" s="2"/>
      <x:c r="AM159" s="2"/>
      <x:c r="AN159" s="2"/>
      <x:c r="AO159" s="2"/>
      <x:c r="AP159" s="2"/>
      <x:c r="AQ159" s="2"/>
      <x:c r="AR159" s="2"/>
      <x:c r="AS159" s="2"/>
      <x:c r="AT159" s="2"/>
      <x:c r="AU159" s="2"/>
      <x:c r="AV159" s="2"/>
      <x:c r="AW159" s="2"/>
      <x:c r="AX159" s="2"/>
      <x:c r="AY159" s="2"/>
      <x:c r="AZ159" s="2"/>
      <x:c r="BA159" s="2"/>
      <x:c r="BB159" s="2"/>
      <x:c r="BC159" s="2"/>
      <x:c r="BD159" s="2"/>
      <x:c r="BE159" s="2"/>
      <x:c r="BF159" s="2"/>
      <x:c r="BG159" s="2"/>
      <x:c r="BH159" s="2"/>
      <x:c r="BI159" s="2"/>
      <x:c r="BJ159" s="2"/>
      <x:c r="BK159" s="2"/>
      <x:c r="BL159" s="2"/>
      <x:c r="BM159" s="2"/>
      <x:c r="BN159" s="2"/>
      <x:c r="BO159" s="2"/>
      <x:c r="BP159" s="2"/>
      <x:c r="BQ159" s="2"/>
      <x:c r="BR159" s="2"/>
      <x:c r="BS159" s="2"/>
      <x:c r="BT159" s="2"/>
      <x:c r="BU159" s="2"/>
      <x:c r="BV159" s="2"/>
      <x:c r="BW159" s="2"/>
      <x:c r="BX159" s="2"/>
      <x:c r="BY159" s="2"/>
      <x:c r="BZ159" s="2"/>
      <x:c r="CA159" s="2"/>
      <x:c r="CB159" s="2"/>
      <x:c r="CC159" s="2"/>
      <x:c r="CD159" s="2"/>
      <x:c r="CE159" s="2"/>
      <x:c r="CF159" s="2"/>
      <x:c r="CG159" s="2"/>
      <x:c r="CH159" s="2"/>
      <x:c r="CI159" s="2"/>
      <x:c r="CJ159" s="2"/>
      <x:c r="CK159" s="2"/>
      <x:c r="CL159" s="2"/>
      <x:c r="CM159" s="2"/>
      <x:c r="CN159" s="2"/>
      <x:c r="CO159" s="2"/>
      <x:c r="CP159" s="2"/>
      <x:c r="CQ159" s="2"/>
      <x:c r="CR159" s="2"/>
      <x:c r="CS159" s="2"/>
      <x:c r="CT159" s="2"/>
      <x:c r="CU159" s="2"/>
      <x:c r="CV159" s="2"/>
      <x:c r="CW159" s="2"/>
      <x:c r="CX159" s="2"/>
      <x:c r="CY159" s="2"/>
    </x:row>
    <x:row r="160" ht="19" customHeight="1">
      <x:c r="A160" s="1"/>
      <x:c r="B160" s="1"/>
      <x:c r="C160" s="2" t="n">
        <x:v>0</x:v>
      </x:c>
      <x:c r="D160" s="31" t="n">
        <x:f>IF(OR(C160&gt;=$E$43,INDEX($I$51:$I$147,C160+1)&lt;=0.0000000001),0,IF($E$46=0,$E$44/MIN($E$43,COUNTIF($I$51:$I$110,"&gt;0.0000000001")),IF(C160=$E$45,$E$44,0)))</x:f>
        <x:v>15335999.999999996</x:v>
      </x:c>
      <x:c r="E160" s="31" t="n">
        <x:f>IF(D160=0,0,D160/(INDEX($I$51:$I$147,C160+1)*INDEX($H$51:$H$147,C160+1)))</x:f>
        <x:v>15335999.999999996</x:v>
      </x:c>
      <x:c r="F160" s="31" t="n">
        <x:f>E160*INDEX($G$51:$G$147,C160+1)</x:f>
        <x:v>5362843.521313975</x:v>
      </x:c>
      <x:c r="G160" s="2"/>
      <x:c r="H160" s="2"/>
      <x:c r="I160" s="2"/>
      <x:c r="J160" s="2"/>
      <x:c r="K160" s="2"/>
      <x:c r="L160" s="2"/>
      <x:c r="M160" s="2"/>
      <x:c r="N160" s="2"/>
      <x:c r="O160" s="2"/>
      <x:c r="P160" s="2"/>
      <x:c r="Q160" s="2"/>
      <x:c r="R160" s="2"/>
      <x:c r="S160" s="2"/>
      <x:c r="T160" s="2"/>
      <x:c r="U160" s="2"/>
      <x:c r="V160" s="2"/>
      <x:c r="W160" s="2"/>
      <x:c r="X160" s="2"/>
      <x:c r="Y160" s="2"/>
      <x:c r="Z160" s="2"/>
      <x:c r="AA160" s="2"/>
      <x:c r="AB160" s="2"/>
      <x:c r="AC160" s="2"/>
      <x:c r="AD160" s="2"/>
      <x:c r="AE160" s="2"/>
      <x:c r="AF160" s="2"/>
      <x:c r="AG160" s="2"/>
      <x:c r="AH160" s="2"/>
      <x:c r="AI160" s="2"/>
      <x:c r="AJ160" s="2"/>
      <x:c r="AK160" s="2"/>
      <x:c r="AL160" s="2"/>
      <x:c r="AM160" s="2"/>
      <x:c r="AN160" s="2"/>
      <x:c r="AO160" s="2"/>
      <x:c r="AP160" s="2"/>
      <x:c r="AQ160" s="2"/>
      <x:c r="AR160" s="2"/>
      <x:c r="AS160" s="2"/>
      <x:c r="AT160" s="2"/>
      <x:c r="AU160" s="2"/>
      <x:c r="AV160" s="2"/>
      <x:c r="AW160" s="2"/>
      <x:c r="AX160" s="2"/>
      <x:c r="AY160" s="2"/>
      <x:c r="AZ160" s="2"/>
      <x:c r="BA160" s="2"/>
      <x:c r="BB160" s="2"/>
      <x:c r="BC160" s="2"/>
      <x:c r="BD160" s="2"/>
      <x:c r="BE160" s="2"/>
      <x:c r="BF160" s="2"/>
      <x:c r="BG160" s="2"/>
      <x:c r="BH160" s="2"/>
      <x:c r="BI160" s="2"/>
      <x:c r="BJ160" s="2"/>
      <x:c r="BK160" s="2"/>
      <x:c r="BL160" s="2"/>
      <x:c r="BM160" s="2"/>
      <x:c r="BN160" s="2"/>
      <x:c r="BO160" s="2"/>
      <x:c r="BP160" s="2"/>
      <x:c r="BQ160" s="2"/>
      <x:c r="BR160" s="2"/>
      <x:c r="BS160" s="2"/>
      <x:c r="BT160" s="2"/>
      <x:c r="BU160" s="2"/>
      <x:c r="BV160" s="2"/>
      <x:c r="BW160" s="2"/>
      <x:c r="BX160" s="2"/>
      <x:c r="BY160" s="2"/>
      <x:c r="BZ160" s="2"/>
      <x:c r="CA160" s="2"/>
      <x:c r="CB160" s="2"/>
      <x:c r="CC160" s="2"/>
      <x:c r="CD160" s="2"/>
      <x:c r="CE160" s="2"/>
      <x:c r="CF160" s="2"/>
      <x:c r="CG160" s="2"/>
      <x:c r="CH160" s="2"/>
      <x:c r="CI160" s="2"/>
      <x:c r="CJ160" s="2"/>
      <x:c r="CK160" s="2"/>
      <x:c r="CL160" s="2"/>
      <x:c r="CM160" s="2"/>
      <x:c r="CN160" s="2"/>
      <x:c r="CO160" s="2"/>
      <x:c r="CP160" s="2"/>
      <x:c r="CQ160" s="2"/>
      <x:c r="CR160" s="2"/>
      <x:c r="CS160" s="2"/>
      <x:c r="CT160" s="2"/>
      <x:c r="CU160" s="2"/>
      <x:c r="CV160" s="2"/>
      <x:c r="CW160" s="2"/>
      <x:c r="CX160" s="2"/>
      <x:c r="CY160" s="2"/>
    </x:row>
    <x:row r="161" ht="19" customHeight="1">
      <x:c r="A161" s="1"/>
      <x:c r="B161" s="1"/>
      <x:c r="C161" s="2" t="n">
        <x:v>1</x:v>
      </x:c>
      <x:c r="D161" s="31" t="n">
        <x:f>IF(OR(C161&gt;=$E$43,INDEX($I$51:$I$147,C161+1)&lt;=0.0000000001),0,IF($E$46=0,$E$44/MIN($E$43,COUNTIF($I$51:$I$110,"&gt;0.0000000001")),IF(C161=$E$45,$E$44,0)))</x:f>
        <x:v>15335999.999999996</x:v>
      </x:c>
      <x:c r="E161" s="31" t="n">
        <x:f>IF(D161=0,0,D161/(INDEX($I$51:$I$147,C161+1)*INDEX($H$51:$H$147,C161+1)))</x:f>
        <x:v>27021964.464902632</x:v>
      </x:c>
      <x:c r="F161" s="31" t="n">
        <x:f>E161*INDEX($G$51:$G$147,C161+1)</x:f>
        <x:v>5532838.380521933</x:v>
      </x:c>
      <x:c r="G161" s="2"/>
      <x:c r="H161" s="2"/>
      <x:c r="I161" s="2"/>
      <x:c r="J161" s="2"/>
      <x:c r="K161" s="2"/>
      <x:c r="L161" s="2"/>
      <x:c r="M161" s="2"/>
      <x:c r="N161" s="2"/>
      <x:c r="O161" s="2"/>
      <x:c r="P161" s="2"/>
      <x:c r="Q161" s="2"/>
      <x:c r="R161" s="2"/>
      <x:c r="S161" s="2"/>
      <x:c r="T161" s="2"/>
      <x:c r="U161" s="2"/>
      <x:c r="V161" s="2"/>
      <x:c r="W161" s="2"/>
      <x:c r="X161" s="2"/>
      <x:c r="Y161" s="2"/>
      <x:c r="Z161" s="2"/>
      <x:c r="AA161" s="2"/>
      <x:c r="AB161" s="2"/>
      <x:c r="AC161" s="2"/>
      <x:c r="AD161" s="2"/>
      <x:c r="AE161" s="2"/>
      <x:c r="AF161" s="2"/>
      <x:c r="AG161" s="2"/>
      <x:c r="AH161" s="2"/>
      <x:c r="AI161" s="2"/>
      <x:c r="AJ161" s="2"/>
      <x:c r="AK161" s="2"/>
      <x:c r="AL161" s="2"/>
      <x:c r="AM161" s="2"/>
      <x:c r="AN161" s="2"/>
      <x:c r="AO161" s="2"/>
      <x:c r="AP161" s="2"/>
      <x:c r="AQ161" s="2"/>
      <x:c r="AR161" s="2"/>
      <x:c r="AS161" s="2"/>
      <x:c r="AT161" s="2"/>
      <x:c r="AU161" s="2"/>
      <x:c r="AV161" s="2"/>
      <x:c r="AW161" s="2"/>
      <x:c r="AX161" s="2"/>
      <x:c r="AY161" s="2"/>
      <x:c r="AZ161" s="2"/>
      <x:c r="BA161" s="2"/>
      <x:c r="BB161" s="2"/>
      <x:c r="BC161" s="2"/>
      <x:c r="BD161" s="2"/>
      <x:c r="BE161" s="2"/>
      <x:c r="BF161" s="2"/>
      <x:c r="BG161" s="2"/>
      <x:c r="BH161" s="2"/>
      <x:c r="BI161" s="2"/>
      <x:c r="BJ161" s="2"/>
      <x:c r="BK161" s="2"/>
      <x:c r="BL161" s="2"/>
      <x:c r="BM161" s="2"/>
      <x:c r="BN161" s="2"/>
      <x:c r="BO161" s="2"/>
      <x:c r="BP161" s="2"/>
      <x:c r="BQ161" s="2"/>
      <x:c r="BR161" s="2"/>
      <x:c r="BS161" s="2"/>
      <x:c r="BT161" s="2"/>
      <x:c r="BU161" s="2"/>
      <x:c r="BV161" s="2"/>
      <x:c r="BW161" s="2"/>
      <x:c r="BX161" s="2"/>
      <x:c r="BY161" s="2"/>
      <x:c r="BZ161" s="2"/>
      <x:c r="CA161" s="2"/>
      <x:c r="CB161" s="2"/>
      <x:c r="CC161" s="2"/>
      <x:c r="CD161" s="2"/>
      <x:c r="CE161" s="2"/>
      <x:c r="CF161" s="2"/>
      <x:c r="CG161" s="2"/>
      <x:c r="CH161" s="2"/>
      <x:c r="CI161" s="2"/>
      <x:c r="CJ161" s="2"/>
      <x:c r="CK161" s="2"/>
      <x:c r="CL161" s="2"/>
      <x:c r="CM161" s="2"/>
      <x:c r="CN161" s="2"/>
      <x:c r="CO161" s="2"/>
      <x:c r="CP161" s="2"/>
      <x:c r="CQ161" s="2"/>
      <x:c r="CR161" s="2"/>
      <x:c r="CS161" s="2"/>
      <x:c r="CT161" s="2"/>
      <x:c r="CU161" s="2"/>
      <x:c r="CV161" s="2"/>
      <x:c r="CW161" s="2"/>
      <x:c r="CX161" s="2"/>
      <x:c r="CY161" s="2"/>
    </x:row>
    <x:row r="162" ht="19" customHeight="1">
      <x:c r="A162" s="1"/>
      <x:c r="B162" s="1"/>
      <x:c r="C162" s="2" t="n">
        <x:v>2</x:v>
      </x:c>
      <x:c r="D162" s="31" t="n">
        <x:f>IF(OR(C162&gt;=$E$43,INDEX($I$51:$I$147,C162+1)&lt;=0.0000000001),0,IF($E$46=0,$E$44/MIN($E$43,COUNTIF($I$51:$I$110,"&gt;0.0000000001")),IF(C162=$E$45,$E$44,0)))</x:f>
        <x:v>15335999.999999996</x:v>
      </x:c>
      <x:c r="E162" s="31" t="n">
        <x:f>IF(D162=0,0,D162/(INDEX($I$51:$I$147,C162+1)*INDEX($H$51:$H$147,C162+1)))</x:f>
        <x:v>50025232.60611633</x:v>
      </x:c>
      <x:c r="F162" s="31" t="n">
        <x:f>E162*INDEX($G$51:$G$147,C162+1)</x:f>
        <x:v>5634403.468020419</x:v>
      </x:c>
      <x:c r="G162" s="2"/>
      <x:c r="H162" s="2"/>
      <x:c r="I162" s="2"/>
      <x:c r="J162" s="2"/>
      <x:c r="K162" s="2"/>
      <x:c r="L162" s="2"/>
      <x:c r="M162" s="2"/>
      <x:c r="N162" s="2"/>
      <x:c r="O162" s="2"/>
      <x:c r="P162" s="2"/>
      <x:c r="Q162" s="2"/>
      <x:c r="R162" s="2"/>
      <x:c r="S162" s="2"/>
      <x:c r="T162" s="2"/>
      <x:c r="U162" s="2"/>
      <x:c r="V162" s="2"/>
      <x:c r="W162" s="2"/>
      <x:c r="X162" s="2"/>
      <x:c r="Y162" s="2"/>
      <x:c r="Z162" s="2"/>
      <x:c r="AA162" s="2"/>
      <x:c r="AB162" s="2"/>
      <x:c r="AC162" s="2"/>
      <x:c r="AD162" s="2"/>
      <x:c r="AE162" s="2"/>
      <x:c r="AF162" s="2"/>
      <x:c r="AG162" s="2"/>
      <x:c r="AH162" s="2"/>
      <x:c r="AI162" s="2"/>
      <x:c r="AJ162" s="2"/>
      <x:c r="AK162" s="2"/>
      <x:c r="AL162" s="2"/>
      <x:c r="AM162" s="2"/>
      <x:c r="AN162" s="2"/>
      <x:c r="AO162" s="2"/>
      <x:c r="AP162" s="2"/>
      <x:c r="AQ162" s="2"/>
      <x:c r="AR162" s="2"/>
      <x:c r="AS162" s="2"/>
      <x:c r="AT162" s="2"/>
      <x:c r="AU162" s="2"/>
      <x:c r="AV162" s="2"/>
      <x:c r="AW162" s="2"/>
      <x:c r="AX162" s="2"/>
      <x:c r="AY162" s="2"/>
      <x:c r="AZ162" s="2"/>
      <x:c r="BA162" s="2"/>
      <x:c r="BB162" s="2"/>
      <x:c r="BC162" s="2"/>
      <x:c r="BD162" s="2"/>
      <x:c r="BE162" s="2"/>
      <x:c r="BF162" s="2"/>
      <x:c r="BG162" s="2"/>
      <x:c r="BH162" s="2"/>
      <x:c r="BI162" s="2"/>
      <x:c r="BJ162" s="2"/>
      <x:c r="BK162" s="2"/>
      <x:c r="BL162" s="2"/>
      <x:c r="BM162" s="2"/>
      <x:c r="BN162" s="2"/>
      <x:c r="BO162" s="2"/>
      <x:c r="BP162" s="2"/>
      <x:c r="BQ162" s="2"/>
      <x:c r="BR162" s="2"/>
      <x:c r="BS162" s="2"/>
      <x:c r="BT162" s="2"/>
      <x:c r="BU162" s="2"/>
      <x:c r="BV162" s="2"/>
      <x:c r="BW162" s="2"/>
      <x:c r="BX162" s="2"/>
      <x:c r="BY162" s="2"/>
      <x:c r="BZ162" s="2"/>
      <x:c r="CA162" s="2"/>
      <x:c r="CB162" s="2"/>
      <x:c r="CC162" s="2"/>
      <x:c r="CD162" s="2"/>
      <x:c r="CE162" s="2"/>
      <x:c r="CF162" s="2"/>
      <x:c r="CG162" s="2"/>
      <x:c r="CH162" s="2"/>
      <x:c r="CI162" s="2"/>
      <x:c r="CJ162" s="2"/>
      <x:c r="CK162" s="2"/>
      <x:c r="CL162" s="2"/>
      <x:c r="CM162" s="2"/>
      <x:c r="CN162" s="2"/>
      <x:c r="CO162" s="2"/>
      <x:c r="CP162" s="2"/>
      <x:c r="CQ162" s="2"/>
      <x:c r="CR162" s="2"/>
      <x:c r="CS162" s="2"/>
      <x:c r="CT162" s="2"/>
      <x:c r="CU162" s="2"/>
      <x:c r="CV162" s="2"/>
      <x:c r="CW162" s="2"/>
      <x:c r="CX162" s="2"/>
      <x:c r="CY162" s="2"/>
    </x:row>
    <x:row r="163" ht="19" customHeight="1">
      <x:c r="A163" s="1"/>
      <x:c r="B163" s="1"/>
      <x:c r="C163" s="2" t="n">
        <x:v>3</x:v>
      </x:c>
      <x:c r="D163" s="31" t="n">
        <x:f>IF(OR(C163&gt;=$E$43,INDEX($I$51:$I$147,C163+1)&lt;=0.0000000001),0,IF($E$46=0,$E$44/MIN($E$43,COUNTIF($I$51:$I$110,"&gt;0.0000000001")),IF(C163=$E$45,$E$44,0)))</x:f>
        <x:v>15335999.999999996</x:v>
      </x:c>
      <x:c r="E163" s="31" t="n">
        <x:f>IF(D163=0,0,D163/(INDEX($I$51:$I$147,C163+1)*INDEX($H$51:$H$147,C163+1)))</x:f>
        <x:v>102954166.782376</x:v>
      </x:c>
      <x:c r="F163" s="31" t="n">
        <x:f>E163*INDEX($G$51:$G$147,C163+1)</x:f>
        <x:v>5668730.418774983</x:v>
      </x:c>
      <x:c r="G163" s="2"/>
      <x:c r="H163" s="2"/>
      <x:c r="I163" s="2"/>
      <x:c r="J163" s="2"/>
      <x:c r="K163" s="2"/>
      <x:c r="L163" s="2"/>
      <x:c r="M163" s="2"/>
      <x:c r="N163" s="2"/>
      <x:c r="O163" s="2"/>
      <x:c r="P163" s="2"/>
      <x:c r="Q163" s="2"/>
      <x:c r="R163" s="2"/>
      <x:c r="S163" s="2"/>
      <x:c r="T163" s="2"/>
      <x:c r="U163" s="2"/>
      <x:c r="V163" s="2"/>
      <x:c r="W163" s="2"/>
      <x:c r="X163" s="2"/>
      <x:c r="Y163" s="2"/>
      <x:c r="Z163" s="2"/>
      <x:c r="AA163" s="2"/>
      <x:c r="AB163" s="2"/>
      <x:c r="AC163" s="2"/>
      <x:c r="AD163" s="2"/>
      <x:c r="AE163" s="2"/>
      <x:c r="AF163" s="2"/>
      <x:c r="AG163" s="2"/>
      <x:c r="AH163" s="2"/>
      <x:c r="AI163" s="2"/>
      <x:c r="AJ163" s="2"/>
      <x:c r="AK163" s="2"/>
      <x:c r="AL163" s="2"/>
      <x:c r="AM163" s="2"/>
      <x:c r="AN163" s="2"/>
      <x:c r="AO163" s="2"/>
      <x:c r="AP163" s="2"/>
      <x:c r="AQ163" s="2"/>
      <x:c r="AR163" s="2"/>
      <x:c r="AS163" s="2"/>
      <x:c r="AT163" s="2"/>
      <x:c r="AU163" s="2"/>
      <x:c r="AV163" s="2"/>
      <x:c r="AW163" s="2"/>
      <x:c r="AX163" s="2"/>
      <x:c r="AY163" s="2"/>
      <x:c r="AZ163" s="2"/>
      <x:c r="BA163" s="2"/>
      <x:c r="BB163" s="2"/>
      <x:c r="BC163" s="2"/>
      <x:c r="BD163" s="2"/>
      <x:c r="BE163" s="2"/>
      <x:c r="BF163" s="2"/>
      <x:c r="BG163" s="2"/>
      <x:c r="BH163" s="2"/>
      <x:c r="BI163" s="2"/>
      <x:c r="BJ163" s="2"/>
      <x:c r="BK163" s="2"/>
      <x:c r="BL163" s="2"/>
      <x:c r="BM163" s="2"/>
      <x:c r="BN163" s="2"/>
      <x:c r="BO163" s="2"/>
      <x:c r="BP163" s="2"/>
      <x:c r="BQ163" s="2"/>
      <x:c r="BR163" s="2"/>
      <x:c r="BS163" s="2"/>
      <x:c r="BT163" s="2"/>
      <x:c r="BU163" s="2"/>
      <x:c r="BV163" s="2"/>
      <x:c r="BW163" s="2"/>
      <x:c r="BX163" s="2"/>
      <x:c r="BY163" s="2"/>
      <x:c r="BZ163" s="2"/>
      <x:c r="CA163" s="2"/>
      <x:c r="CB163" s="2"/>
      <x:c r="CC163" s="2"/>
      <x:c r="CD163" s="2"/>
      <x:c r="CE163" s="2"/>
      <x:c r="CF163" s="2"/>
      <x:c r="CG163" s="2"/>
      <x:c r="CH163" s="2"/>
      <x:c r="CI163" s="2"/>
      <x:c r="CJ163" s="2"/>
      <x:c r="CK163" s="2"/>
      <x:c r="CL163" s="2"/>
      <x:c r="CM163" s="2"/>
      <x:c r="CN163" s="2"/>
      <x:c r="CO163" s="2"/>
      <x:c r="CP163" s="2"/>
      <x:c r="CQ163" s="2"/>
      <x:c r="CR163" s="2"/>
      <x:c r="CS163" s="2"/>
      <x:c r="CT163" s="2"/>
      <x:c r="CU163" s="2"/>
      <x:c r="CV163" s="2"/>
      <x:c r="CW163" s="2"/>
      <x:c r="CX163" s="2"/>
      <x:c r="CY163" s="2"/>
    </x:row>
    <x:row r="164" ht="19" customHeight="1">
      <x:c r="A164" s="1"/>
      <x:c r="B164" s="1"/>
      <x:c r="C164" s="2" t="n">
        <x:v>4</x:v>
      </x:c>
      <x:c r="D164" s="31" t="n">
        <x:f>IF(OR(C164&gt;=$E$43,INDEX($I$51:$I$147,C164+1)&lt;=0.0000000001),0,IF($E$46=0,$E$44/MIN($E$43,COUNTIF($I$51:$I$110,"&gt;0.0000000001")),IF(C164=$E$45,$E$44,0)))</x:f>
        <x:v>15335999.999999996</x:v>
      </x:c>
      <x:c r="E164" s="31" t="n">
        <x:f>IF(D164=0,0,D164/(INDEX($I$51:$I$147,C164+1)*INDEX($H$51:$H$147,C164+1)))</x:f>
        <x:v>274547506.63540405</x:v>
      </x:c>
      <x:c r="F164" s="31" t="n">
        <x:f>E164*INDEX($G$51:$G$147,C164+1)</x:f>
        <x:v>5900603.047977342</x:v>
      </x:c>
      <x:c r="G164" s="2"/>
      <x:c r="H164" s="2"/>
      <x:c r="I164" s="2"/>
      <x:c r="J164" s="2"/>
      <x:c r="K164" s="2"/>
      <x:c r="L164" s="2"/>
      <x:c r="M164" s="2"/>
      <x:c r="N164" s="2"/>
      <x:c r="O164" s="2"/>
      <x:c r="P164" s="2"/>
      <x:c r="Q164" s="2"/>
      <x:c r="R164" s="2"/>
      <x:c r="S164" s="2"/>
      <x:c r="T164" s="2"/>
      <x:c r="U164" s="2"/>
      <x:c r="V164" s="2"/>
      <x:c r="W164" s="2"/>
      <x:c r="X164" s="2"/>
      <x:c r="Y164" s="2"/>
      <x:c r="Z164" s="2"/>
      <x:c r="AA164" s="2"/>
      <x:c r="AB164" s="2"/>
      <x:c r="AC164" s="2"/>
      <x:c r="AD164" s="2"/>
      <x:c r="AE164" s="2"/>
      <x:c r="AF164" s="2"/>
      <x:c r="AG164" s="2"/>
      <x:c r="AH164" s="2"/>
      <x:c r="AI164" s="2"/>
      <x:c r="AJ164" s="2"/>
      <x:c r="AK164" s="2"/>
      <x:c r="AL164" s="2"/>
      <x:c r="AM164" s="2"/>
      <x:c r="AN164" s="2"/>
      <x:c r="AO164" s="2"/>
      <x:c r="AP164" s="2"/>
      <x:c r="AQ164" s="2"/>
      <x:c r="AR164" s="2"/>
      <x:c r="AS164" s="2"/>
      <x:c r="AT164" s="2"/>
      <x:c r="AU164" s="2"/>
      <x:c r="AV164" s="2"/>
      <x:c r="AW164" s="2"/>
      <x:c r="AX164" s="2"/>
      <x:c r="AY164" s="2"/>
      <x:c r="AZ164" s="2"/>
      <x:c r="BA164" s="2"/>
      <x:c r="BB164" s="2"/>
      <x:c r="BC164" s="2"/>
      <x:c r="BD164" s="2"/>
      <x:c r="BE164" s="2"/>
      <x:c r="BF164" s="2"/>
      <x:c r="BG164" s="2"/>
      <x:c r="BH164" s="2"/>
      <x:c r="BI164" s="2"/>
      <x:c r="BJ164" s="2"/>
      <x:c r="BK164" s="2"/>
      <x:c r="BL164" s="2"/>
      <x:c r="BM164" s="2"/>
      <x:c r="BN164" s="2"/>
      <x:c r="BO164" s="2"/>
      <x:c r="BP164" s="2"/>
      <x:c r="BQ164" s="2"/>
      <x:c r="BR164" s="2"/>
      <x:c r="BS164" s="2"/>
      <x:c r="BT164" s="2"/>
      <x:c r="BU164" s="2"/>
      <x:c r="BV164" s="2"/>
      <x:c r="BW164" s="2"/>
      <x:c r="BX164" s="2"/>
      <x:c r="BY164" s="2"/>
      <x:c r="BZ164" s="2"/>
      <x:c r="CA164" s="2"/>
      <x:c r="CB164" s="2"/>
      <x:c r="CC164" s="2"/>
      <x:c r="CD164" s="2"/>
      <x:c r="CE164" s="2"/>
      <x:c r="CF164" s="2"/>
      <x:c r="CG164" s="2"/>
      <x:c r="CH164" s="2"/>
      <x:c r="CI164" s="2"/>
      <x:c r="CJ164" s="2"/>
      <x:c r="CK164" s="2"/>
      <x:c r="CL164" s="2"/>
      <x:c r="CM164" s="2"/>
      <x:c r="CN164" s="2"/>
      <x:c r="CO164" s="2"/>
      <x:c r="CP164" s="2"/>
      <x:c r="CQ164" s="2"/>
      <x:c r="CR164" s="2"/>
      <x:c r="CS164" s="2"/>
      <x:c r="CT164" s="2"/>
      <x:c r="CU164" s="2"/>
      <x:c r="CV164" s="2"/>
      <x:c r="CW164" s="2"/>
      <x:c r="CX164" s="2"/>
      <x:c r="CY164" s="2"/>
    </x:row>
    <x:row r="165" ht="19" customHeight="1">
      <x:c r="A165" s="1"/>
      <x:c r="B165" s="1"/>
      <x:c r="C165" s="2" t="n">
        <x:v>5</x:v>
      </x:c>
      <x:c r="D165" s="31" t="n">
        <x:f>IF(OR(C165&gt;=$E$43,INDEX($I$51:$I$147,C165+1)&lt;=0.0000000001),0,IF($E$46=0,$E$44/MIN($E$43,COUNTIF($I$51:$I$110,"&gt;0.0000000001")),IF(C165=$E$45,$E$44,0)))</x:f>
        <x:v>0</x:v>
      </x:c>
      <x:c r="E165" s="31" t="n">
        <x:f>IF(D165=0,0,D165/(INDEX($I$51:$I$147,C165+1)*INDEX($H$51:$H$147,C165+1)))</x:f>
        <x:v>0</x:v>
      </x:c>
      <x:c r="F165" s="31" t="n">
        <x:f>E165*INDEX($G$51:$G$147,C165+1)</x:f>
        <x:v>0</x:v>
      </x:c>
      <x:c r="G165" s="2"/>
      <x:c r="H165" s="2"/>
      <x:c r="I165" s="2"/>
      <x:c r="J165" s="2"/>
      <x:c r="K165" s="2"/>
      <x:c r="L165" s="2"/>
      <x:c r="M165" s="2"/>
      <x:c r="N165" s="2"/>
      <x:c r="O165" s="2"/>
      <x:c r="P165" s="2"/>
      <x:c r="Q165" s="2"/>
      <x:c r="R165" s="2"/>
      <x:c r="S165" s="2"/>
      <x:c r="T165" s="2"/>
      <x:c r="U165" s="2"/>
      <x:c r="V165" s="2"/>
      <x:c r="W165" s="2"/>
      <x:c r="X165" s="2"/>
      <x:c r="Y165" s="2"/>
      <x:c r="Z165" s="2"/>
      <x:c r="AA165" s="2"/>
      <x:c r="AB165" s="2"/>
      <x:c r="AC165" s="2"/>
      <x:c r="AD165" s="2"/>
      <x:c r="AE165" s="2"/>
      <x:c r="AF165" s="2"/>
      <x:c r="AG165" s="2"/>
      <x:c r="AH165" s="2"/>
      <x:c r="AI165" s="2"/>
      <x:c r="AJ165" s="2"/>
      <x:c r="AK165" s="2"/>
      <x:c r="AL165" s="2"/>
      <x:c r="AM165" s="2"/>
      <x:c r="AN165" s="2"/>
      <x:c r="AO165" s="2"/>
      <x:c r="AP165" s="2"/>
      <x:c r="AQ165" s="2"/>
      <x:c r="AR165" s="2"/>
      <x:c r="AS165" s="2"/>
      <x:c r="AT165" s="2"/>
      <x:c r="AU165" s="2"/>
      <x:c r="AV165" s="2"/>
      <x:c r="AW165" s="2"/>
      <x:c r="AX165" s="2"/>
      <x:c r="AY165" s="2"/>
      <x:c r="AZ165" s="2"/>
      <x:c r="BA165" s="2"/>
      <x:c r="BB165" s="2"/>
      <x:c r="BC165" s="2"/>
      <x:c r="BD165" s="2"/>
      <x:c r="BE165" s="2"/>
      <x:c r="BF165" s="2"/>
      <x:c r="BG165" s="2"/>
      <x:c r="BH165" s="2"/>
      <x:c r="BI165" s="2"/>
      <x:c r="BJ165" s="2"/>
      <x:c r="BK165" s="2"/>
      <x:c r="BL165" s="2"/>
      <x:c r="BM165" s="2"/>
      <x:c r="BN165" s="2"/>
      <x:c r="BO165" s="2"/>
      <x:c r="BP165" s="2"/>
      <x:c r="BQ165" s="2"/>
      <x:c r="BR165" s="2"/>
      <x:c r="BS165" s="2"/>
      <x:c r="BT165" s="2"/>
      <x:c r="BU165" s="2"/>
      <x:c r="BV165" s="2"/>
      <x:c r="BW165" s="2"/>
      <x:c r="BX165" s="2"/>
      <x:c r="BY165" s="2"/>
      <x:c r="BZ165" s="2"/>
      <x:c r="CA165" s="2"/>
      <x:c r="CB165" s="2"/>
      <x:c r="CC165" s="2"/>
      <x:c r="CD165" s="2"/>
      <x:c r="CE165" s="2"/>
      <x:c r="CF165" s="2"/>
      <x:c r="CG165" s="2"/>
      <x:c r="CH165" s="2"/>
      <x:c r="CI165" s="2"/>
      <x:c r="CJ165" s="2"/>
      <x:c r="CK165" s="2"/>
      <x:c r="CL165" s="2"/>
      <x:c r="CM165" s="2"/>
      <x:c r="CN165" s="2"/>
      <x:c r="CO165" s="2"/>
      <x:c r="CP165" s="2"/>
      <x:c r="CQ165" s="2"/>
      <x:c r="CR165" s="2"/>
      <x:c r="CS165" s="2"/>
      <x:c r="CT165" s="2"/>
      <x:c r="CU165" s="2"/>
      <x:c r="CV165" s="2"/>
      <x:c r="CW165" s="2"/>
      <x:c r="CX165" s="2"/>
      <x:c r="CY165" s="2"/>
    </x:row>
    <x:row r="166" ht="19" customHeight="1">
      <x:c r="A166" s="1"/>
      <x:c r="B166" s="1"/>
      <x:c r="C166" s="2" t="n">
        <x:v>6</x:v>
      </x:c>
      <x:c r="D166" s="31" t="n">
        <x:f>IF(OR(C166&gt;=$E$43,INDEX($I$51:$I$147,C166+1)&lt;=0.0000000001),0,IF($E$46=0,$E$44/MIN($E$43,COUNTIF($I$51:$I$110,"&gt;0.0000000001")),IF(C166=$E$45,$E$44,0)))</x:f>
        <x:v>0</x:v>
      </x:c>
      <x:c r="E166" s="31" t="n">
        <x:f>IF(D166=0,0,D166/(INDEX($I$51:$I$147,C166+1)*INDEX($H$51:$H$147,C166+1)))</x:f>
        <x:v>0</x:v>
      </x:c>
      <x:c r="F166" s="31" t="n">
        <x:f>E166*INDEX($G$51:$G$147,C166+1)</x:f>
        <x:v>0</x:v>
      </x:c>
      <x:c r="G166" s="2"/>
      <x:c r="H166" s="2"/>
      <x:c r="I166" s="2"/>
      <x:c r="J166" s="2"/>
      <x:c r="K166" s="2"/>
      <x:c r="L166" s="2"/>
      <x:c r="M166" s="2"/>
      <x:c r="N166" s="2"/>
      <x:c r="O166" s="2"/>
      <x:c r="P166" s="2"/>
      <x:c r="Q166" s="2"/>
      <x:c r="R166" s="2"/>
      <x:c r="S166" s="2"/>
      <x:c r="T166" s="2"/>
      <x:c r="U166" s="2"/>
      <x:c r="V166" s="2"/>
      <x:c r="W166" s="2"/>
      <x:c r="X166" s="2"/>
      <x:c r="Y166" s="2"/>
      <x:c r="Z166" s="2"/>
      <x:c r="AA166" s="2"/>
      <x:c r="AB166" s="2"/>
      <x:c r="AC166" s="2"/>
      <x:c r="AD166" s="2"/>
      <x:c r="AE166" s="2"/>
      <x:c r="AF166" s="2"/>
      <x:c r="AG166" s="2"/>
      <x:c r="AH166" s="2"/>
      <x:c r="AI166" s="2"/>
      <x:c r="AJ166" s="2"/>
      <x:c r="AK166" s="2"/>
      <x:c r="AL166" s="2"/>
      <x:c r="AM166" s="2"/>
      <x:c r="AN166" s="2"/>
      <x:c r="AO166" s="2"/>
      <x:c r="AP166" s="2"/>
      <x:c r="AQ166" s="2"/>
      <x:c r="AR166" s="2"/>
      <x:c r="AS166" s="2"/>
      <x:c r="AT166" s="2"/>
      <x:c r="AU166" s="2"/>
      <x:c r="AV166" s="2"/>
      <x:c r="AW166" s="2"/>
      <x:c r="AX166" s="2"/>
      <x:c r="AY166" s="2"/>
      <x:c r="AZ166" s="2"/>
      <x:c r="BA166" s="2"/>
      <x:c r="BB166" s="2"/>
      <x:c r="BC166" s="2"/>
      <x:c r="BD166" s="2"/>
      <x:c r="BE166" s="2"/>
      <x:c r="BF166" s="2"/>
      <x:c r="BG166" s="2"/>
      <x:c r="BH166" s="2"/>
      <x:c r="BI166" s="2"/>
      <x:c r="BJ166" s="2"/>
      <x:c r="BK166" s="2"/>
      <x:c r="BL166" s="2"/>
      <x:c r="BM166" s="2"/>
      <x:c r="BN166" s="2"/>
      <x:c r="BO166" s="2"/>
      <x:c r="BP166" s="2"/>
      <x:c r="BQ166" s="2"/>
      <x:c r="BR166" s="2"/>
      <x:c r="BS166" s="2"/>
      <x:c r="BT166" s="2"/>
      <x:c r="BU166" s="2"/>
      <x:c r="BV166" s="2"/>
      <x:c r="BW166" s="2"/>
      <x:c r="BX166" s="2"/>
      <x:c r="BY166" s="2"/>
      <x:c r="BZ166" s="2"/>
      <x:c r="CA166" s="2"/>
      <x:c r="CB166" s="2"/>
      <x:c r="CC166" s="2"/>
      <x:c r="CD166" s="2"/>
      <x:c r="CE166" s="2"/>
      <x:c r="CF166" s="2"/>
      <x:c r="CG166" s="2"/>
      <x:c r="CH166" s="2"/>
      <x:c r="CI166" s="2"/>
      <x:c r="CJ166" s="2"/>
      <x:c r="CK166" s="2"/>
      <x:c r="CL166" s="2"/>
      <x:c r="CM166" s="2"/>
      <x:c r="CN166" s="2"/>
      <x:c r="CO166" s="2"/>
      <x:c r="CP166" s="2"/>
      <x:c r="CQ166" s="2"/>
      <x:c r="CR166" s="2"/>
      <x:c r="CS166" s="2"/>
      <x:c r="CT166" s="2"/>
      <x:c r="CU166" s="2"/>
      <x:c r="CV166" s="2"/>
      <x:c r="CW166" s="2"/>
      <x:c r="CX166" s="2"/>
      <x:c r="CY166" s="2"/>
    </x:row>
    <x:row r="167" ht="19" customHeight="1">
      <x:c r="A167" s="1"/>
      <x:c r="B167" s="1"/>
      <x:c r="C167" s="2" t="n">
        <x:v>7</x:v>
      </x:c>
      <x:c r="D167" s="31" t="n">
        <x:f>IF(OR(C167&gt;=$E$43,INDEX($I$51:$I$147,C167+1)&lt;=0.0000000001),0,IF($E$46=0,$E$44/MIN($E$43,COUNTIF($I$51:$I$110,"&gt;0.0000000001")),IF(C167=$E$45,$E$44,0)))</x:f>
        <x:v>0</x:v>
      </x:c>
      <x:c r="E167" s="31" t="n">
        <x:f>IF(D167=0,0,D167/(INDEX($I$51:$I$147,C167+1)*INDEX($H$51:$H$147,C167+1)))</x:f>
        <x:v>0</x:v>
      </x:c>
      <x:c r="F167" s="31" t="n">
        <x:f>E167*INDEX($G$51:$G$147,C167+1)</x:f>
        <x:v>0</x:v>
      </x:c>
      <x:c r="G167" s="2"/>
      <x:c r="H167" s="2"/>
      <x:c r="I167" s="2"/>
      <x:c r="J167" s="2"/>
      <x:c r="K167" s="2"/>
      <x:c r="L167" s="2"/>
      <x:c r="M167" s="2"/>
      <x:c r="N167" s="2"/>
      <x:c r="O167" s="2"/>
      <x:c r="P167" s="2"/>
      <x:c r="Q167" s="2"/>
      <x:c r="R167" s="2"/>
      <x:c r="S167" s="2"/>
      <x:c r="T167" s="2"/>
      <x:c r="U167" s="2"/>
      <x:c r="V167" s="2"/>
      <x:c r="W167" s="2"/>
      <x:c r="X167" s="2"/>
      <x:c r="Y167" s="2"/>
      <x:c r="Z167" s="2"/>
      <x:c r="AA167" s="2"/>
      <x:c r="AB167" s="2"/>
      <x:c r="AC167" s="2"/>
      <x:c r="AD167" s="2"/>
      <x:c r="AE167" s="2"/>
      <x:c r="AF167" s="2"/>
      <x:c r="AG167" s="2"/>
      <x:c r="AH167" s="2"/>
      <x:c r="AI167" s="2"/>
      <x:c r="AJ167" s="2"/>
      <x:c r="AK167" s="2"/>
      <x:c r="AL167" s="2"/>
      <x:c r="AM167" s="2"/>
      <x:c r="AN167" s="2"/>
      <x:c r="AO167" s="2"/>
      <x:c r="AP167" s="2"/>
      <x:c r="AQ167" s="2"/>
      <x:c r="AR167" s="2"/>
      <x:c r="AS167" s="2"/>
      <x:c r="AT167" s="2"/>
      <x:c r="AU167" s="2"/>
      <x:c r="AV167" s="2"/>
      <x:c r="AW167" s="2"/>
      <x:c r="AX167" s="2"/>
      <x:c r="AY167" s="2"/>
      <x:c r="AZ167" s="2"/>
      <x:c r="BA167" s="2"/>
      <x:c r="BB167" s="2"/>
      <x:c r="BC167" s="2"/>
      <x:c r="BD167" s="2"/>
      <x:c r="BE167" s="2"/>
      <x:c r="BF167" s="2"/>
      <x:c r="BG167" s="2"/>
      <x:c r="BH167" s="2"/>
      <x:c r="BI167" s="2"/>
      <x:c r="BJ167" s="2"/>
      <x:c r="BK167" s="2"/>
      <x:c r="BL167" s="2"/>
      <x:c r="BM167" s="2"/>
      <x:c r="BN167" s="2"/>
      <x:c r="BO167" s="2"/>
      <x:c r="BP167" s="2"/>
      <x:c r="BQ167" s="2"/>
      <x:c r="BR167" s="2"/>
      <x:c r="BS167" s="2"/>
      <x:c r="BT167" s="2"/>
      <x:c r="BU167" s="2"/>
      <x:c r="BV167" s="2"/>
      <x:c r="BW167" s="2"/>
      <x:c r="BX167" s="2"/>
      <x:c r="BY167" s="2"/>
      <x:c r="BZ167" s="2"/>
      <x:c r="CA167" s="2"/>
      <x:c r="CB167" s="2"/>
      <x:c r="CC167" s="2"/>
      <x:c r="CD167" s="2"/>
      <x:c r="CE167" s="2"/>
      <x:c r="CF167" s="2"/>
      <x:c r="CG167" s="2"/>
      <x:c r="CH167" s="2"/>
      <x:c r="CI167" s="2"/>
      <x:c r="CJ167" s="2"/>
      <x:c r="CK167" s="2"/>
      <x:c r="CL167" s="2"/>
      <x:c r="CM167" s="2"/>
      <x:c r="CN167" s="2"/>
      <x:c r="CO167" s="2"/>
      <x:c r="CP167" s="2"/>
      <x:c r="CQ167" s="2"/>
      <x:c r="CR167" s="2"/>
      <x:c r="CS167" s="2"/>
      <x:c r="CT167" s="2"/>
      <x:c r="CU167" s="2"/>
      <x:c r="CV167" s="2"/>
      <x:c r="CW167" s="2"/>
      <x:c r="CX167" s="2"/>
      <x:c r="CY167" s="2"/>
    </x:row>
    <x:row r="168" ht="19" customHeight="1">
      <x:c r="A168" s="1"/>
      <x:c r="B168" s="1"/>
      <x:c r="C168" s="2" t="n">
        <x:v>8</x:v>
      </x:c>
      <x:c r="D168" s="31" t="n">
        <x:f>IF(OR(C168&gt;=$E$43,INDEX($I$51:$I$147,C168+1)&lt;=0.0000000001),0,IF($E$46=0,$E$44/MIN($E$43,COUNTIF($I$51:$I$110,"&gt;0.0000000001")),IF(C168=$E$45,$E$44,0)))</x:f>
        <x:v>0</x:v>
      </x:c>
      <x:c r="E168" s="31" t="n">
        <x:f>IF(D168=0,0,D168/(INDEX($I$51:$I$147,C168+1)*INDEX($H$51:$H$147,C168+1)))</x:f>
        <x:v>0</x:v>
      </x:c>
      <x:c r="F168" s="31" t="n">
        <x:f>E168*INDEX($G$51:$G$147,C168+1)</x:f>
        <x:v>0</x:v>
      </x:c>
      <x:c r="G168" s="2"/>
      <x:c r="H168" s="2"/>
      <x:c r="I168" s="2"/>
      <x:c r="J168" s="2"/>
      <x:c r="K168" s="2"/>
      <x:c r="L168" s="2"/>
      <x:c r="M168" s="2"/>
      <x:c r="N168" s="2"/>
      <x:c r="O168" s="2"/>
      <x:c r="P168" s="2"/>
      <x:c r="Q168" s="2"/>
      <x:c r="R168" s="2"/>
      <x:c r="S168" s="2"/>
      <x:c r="T168" s="2"/>
      <x:c r="U168" s="2"/>
      <x:c r="V168" s="2"/>
      <x:c r="W168" s="2"/>
      <x:c r="X168" s="2"/>
      <x:c r="Y168" s="2"/>
      <x:c r="Z168" s="2"/>
      <x:c r="AA168" s="2"/>
      <x:c r="AB168" s="2"/>
      <x:c r="AC168" s="2"/>
      <x:c r="AD168" s="2"/>
      <x:c r="AE168" s="2"/>
      <x:c r="AF168" s="2"/>
      <x:c r="AG168" s="2"/>
      <x:c r="AH168" s="2"/>
      <x:c r="AI168" s="2"/>
      <x:c r="AJ168" s="2"/>
      <x:c r="AK168" s="2"/>
      <x:c r="AL168" s="2"/>
      <x:c r="AM168" s="2"/>
      <x:c r="AN168" s="2"/>
      <x:c r="AO168" s="2"/>
      <x:c r="AP168" s="2"/>
      <x:c r="AQ168" s="2"/>
      <x:c r="AR168" s="2"/>
      <x:c r="AS168" s="2"/>
      <x:c r="AT168" s="2"/>
      <x:c r="AU168" s="2"/>
      <x:c r="AV168" s="2"/>
      <x:c r="AW168" s="2"/>
      <x:c r="AX168" s="2"/>
      <x:c r="AY168" s="2"/>
      <x:c r="AZ168" s="2"/>
      <x:c r="BA168" s="2"/>
      <x:c r="BB168" s="2"/>
      <x:c r="BC168" s="2"/>
      <x:c r="BD168" s="2"/>
      <x:c r="BE168" s="2"/>
      <x:c r="BF168" s="2"/>
      <x:c r="BG168" s="2"/>
      <x:c r="BH168" s="2"/>
      <x:c r="BI168" s="2"/>
      <x:c r="BJ168" s="2"/>
      <x:c r="BK168" s="2"/>
      <x:c r="BL168" s="2"/>
      <x:c r="BM168" s="2"/>
      <x:c r="BN168" s="2"/>
      <x:c r="BO168" s="2"/>
      <x:c r="BP168" s="2"/>
      <x:c r="BQ168" s="2"/>
      <x:c r="BR168" s="2"/>
      <x:c r="BS168" s="2"/>
      <x:c r="BT168" s="2"/>
      <x:c r="BU168" s="2"/>
      <x:c r="BV168" s="2"/>
      <x:c r="BW168" s="2"/>
      <x:c r="BX168" s="2"/>
      <x:c r="BY168" s="2"/>
      <x:c r="BZ168" s="2"/>
      <x:c r="CA168" s="2"/>
      <x:c r="CB168" s="2"/>
      <x:c r="CC168" s="2"/>
      <x:c r="CD168" s="2"/>
      <x:c r="CE168" s="2"/>
      <x:c r="CF168" s="2"/>
      <x:c r="CG168" s="2"/>
      <x:c r="CH168" s="2"/>
      <x:c r="CI168" s="2"/>
      <x:c r="CJ168" s="2"/>
      <x:c r="CK168" s="2"/>
      <x:c r="CL168" s="2"/>
      <x:c r="CM168" s="2"/>
      <x:c r="CN168" s="2"/>
      <x:c r="CO168" s="2"/>
      <x:c r="CP168" s="2"/>
      <x:c r="CQ168" s="2"/>
      <x:c r="CR168" s="2"/>
      <x:c r="CS168" s="2"/>
      <x:c r="CT168" s="2"/>
      <x:c r="CU168" s="2"/>
      <x:c r="CV168" s="2"/>
      <x:c r="CW168" s="2"/>
      <x:c r="CX168" s="2"/>
      <x:c r="CY168" s="2"/>
    </x:row>
    <x:row r="169" ht="19" customHeight="1">
      <x:c r="A169" s="1"/>
      <x:c r="B169" s="1"/>
      <x:c r="C169" s="2" t="n">
        <x:v>9</x:v>
      </x:c>
      <x:c r="D169" s="31" t="n">
        <x:f>IF(OR(C169&gt;=$E$43,INDEX($I$51:$I$147,C169+1)&lt;=0.0000000001),0,IF($E$46=0,$E$44/MIN($E$43,COUNTIF($I$51:$I$110,"&gt;0.0000000001")),IF(C169=$E$45,$E$44,0)))</x:f>
        <x:v>0</x:v>
      </x:c>
      <x:c r="E169" s="31" t="n">
        <x:f>IF(D169=0,0,D169/(INDEX($I$51:$I$147,C169+1)*INDEX($H$51:$H$147,C169+1)))</x:f>
        <x:v>0</x:v>
      </x:c>
      <x:c r="F169" s="31" t="n">
        <x:f>E169*INDEX($G$51:$G$147,C169+1)</x:f>
        <x:v>0</x:v>
      </x:c>
      <x:c r="G169" s="2"/>
      <x:c r="H169" s="2"/>
      <x:c r="I169" s="2"/>
      <x:c r="J169" s="2"/>
      <x:c r="K169" s="2"/>
      <x:c r="L169" s="2"/>
      <x:c r="M169" s="2"/>
      <x:c r="N169" s="2"/>
      <x:c r="O169" s="2"/>
      <x:c r="P169" s="2"/>
      <x:c r="Q169" s="2"/>
      <x:c r="R169" s="2"/>
      <x:c r="S169" s="2"/>
      <x:c r="T169" s="2"/>
      <x:c r="U169" s="2"/>
      <x:c r="V169" s="2"/>
      <x:c r="W169" s="2"/>
      <x:c r="X169" s="2"/>
      <x:c r="Y169" s="2"/>
      <x:c r="Z169" s="2"/>
      <x:c r="AA169" s="2"/>
      <x:c r="AB169" s="2"/>
      <x:c r="AC169" s="2"/>
      <x:c r="AD169" s="2"/>
      <x:c r="AE169" s="2"/>
      <x:c r="AF169" s="2"/>
      <x:c r="AG169" s="2"/>
      <x:c r="AH169" s="2"/>
      <x:c r="AI169" s="2"/>
      <x:c r="AJ169" s="2"/>
      <x:c r="AK169" s="2"/>
      <x:c r="AL169" s="2"/>
      <x:c r="AM169" s="2"/>
      <x:c r="AN169" s="2"/>
      <x:c r="AO169" s="2"/>
      <x:c r="AP169" s="2"/>
      <x:c r="AQ169" s="2"/>
      <x:c r="AR169" s="2"/>
      <x:c r="AS169" s="2"/>
      <x:c r="AT169" s="2"/>
      <x:c r="AU169" s="2"/>
      <x:c r="AV169" s="2"/>
      <x:c r="AW169" s="2"/>
      <x:c r="AX169" s="2"/>
      <x:c r="AY169" s="2"/>
      <x:c r="AZ169" s="2"/>
      <x:c r="BA169" s="2"/>
      <x:c r="BB169" s="2"/>
      <x:c r="BC169" s="2"/>
      <x:c r="BD169" s="2"/>
      <x:c r="BE169" s="2"/>
      <x:c r="BF169" s="2"/>
      <x:c r="BG169" s="2"/>
      <x:c r="BH169" s="2"/>
      <x:c r="BI169" s="2"/>
      <x:c r="BJ169" s="2"/>
      <x:c r="BK169" s="2"/>
      <x:c r="BL169" s="2"/>
      <x:c r="BM169" s="2"/>
      <x:c r="BN169" s="2"/>
      <x:c r="BO169" s="2"/>
      <x:c r="BP169" s="2"/>
      <x:c r="BQ169" s="2"/>
      <x:c r="BR169" s="2"/>
      <x:c r="BS169" s="2"/>
      <x:c r="BT169" s="2"/>
      <x:c r="BU169" s="2"/>
      <x:c r="BV169" s="2"/>
      <x:c r="BW169" s="2"/>
      <x:c r="BX169" s="2"/>
      <x:c r="BY169" s="2"/>
      <x:c r="BZ169" s="2"/>
      <x:c r="CA169" s="2"/>
      <x:c r="CB169" s="2"/>
      <x:c r="CC169" s="2"/>
      <x:c r="CD169" s="2"/>
      <x:c r="CE169" s="2"/>
      <x:c r="CF169" s="2"/>
      <x:c r="CG169" s="2"/>
      <x:c r="CH169" s="2"/>
      <x:c r="CI169" s="2"/>
      <x:c r="CJ169" s="2"/>
      <x:c r="CK169" s="2"/>
      <x:c r="CL169" s="2"/>
      <x:c r="CM169" s="2"/>
      <x:c r="CN169" s="2"/>
      <x:c r="CO169" s="2"/>
      <x:c r="CP169" s="2"/>
      <x:c r="CQ169" s="2"/>
      <x:c r="CR169" s="2"/>
      <x:c r="CS169" s="2"/>
      <x:c r="CT169" s="2"/>
      <x:c r="CU169" s="2"/>
      <x:c r="CV169" s="2"/>
      <x:c r="CW169" s="2"/>
      <x:c r="CX169" s="2"/>
      <x:c r="CY169" s="2"/>
    </x:row>
    <x:row r="170" ht="19" customHeight="1">
      <x:c r="A170" s="1"/>
      <x:c r="B170" s="1"/>
      <x:c r="C170" s="2" t="n">
        <x:v>10</x:v>
      </x:c>
      <x:c r="D170" s="31" t="n">
        <x:f>IF(OR(C170&gt;=$E$43,INDEX($I$51:$I$147,C170+1)&lt;=0.0000000001),0,IF($E$46=0,$E$44/MIN($E$43,COUNTIF($I$51:$I$110,"&gt;0.0000000001")),IF(C170=$E$45,$E$44,0)))</x:f>
        <x:v>0</x:v>
      </x:c>
      <x:c r="E170" s="31" t="n">
        <x:f>IF(D170=0,0,D170/(INDEX($I$51:$I$147,C170+1)*INDEX($H$51:$H$147,C170+1)))</x:f>
        <x:v>0</x:v>
      </x:c>
      <x:c r="F170" s="31" t="n">
        <x:f>E170*INDEX($G$51:$G$147,C170+1)</x:f>
        <x:v>0</x:v>
      </x:c>
      <x:c r="G170" s="2"/>
      <x:c r="H170" s="2"/>
      <x:c r="I170" s="2"/>
      <x:c r="J170" s="2"/>
      <x:c r="K170" s="2"/>
      <x:c r="L170" s="2"/>
      <x:c r="M170" s="2"/>
      <x:c r="N170" s="2"/>
      <x:c r="O170" s="2"/>
      <x:c r="P170" s="2"/>
      <x:c r="Q170" s="2"/>
      <x:c r="R170" s="2"/>
      <x:c r="S170" s="2"/>
      <x:c r="T170" s="2"/>
      <x:c r="U170" s="2"/>
      <x:c r="V170" s="2"/>
      <x:c r="W170" s="2"/>
      <x:c r="X170" s="2"/>
      <x:c r="Y170" s="2"/>
      <x:c r="Z170" s="2"/>
      <x:c r="AA170" s="2"/>
      <x:c r="AB170" s="2"/>
      <x:c r="AC170" s="2"/>
      <x:c r="AD170" s="2"/>
      <x:c r="AE170" s="2"/>
      <x:c r="AF170" s="2"/>
      <x:c r="AG170" s="2"/>
      <x:c r="AH170" s="2"/>
      <x:c r="AI170" s="2"/>
      <x:c r="AJ170" s="2"/>
      <x:c r="AK170" s="2"/>
      <x:c r="AL170" s="2"/>
      <x:c r="AM170" s="2"/>
      <x:c r="AN170" s="2"/>
      <x:c r="AO170" s="2"/>
      <x:c r="AP170" s="2"/>
      <x:c r="AQ170" s="2"/>
      <x:c r="AR170" s="2"/>
      <x:c r="AS170" s="2"/>
      <x:c r="AT170" s="2"/>
      <x:c r="AU170" s="2"/>
      <x:c r="AV170" s="2"/>
      <x:c r="AW170" s="2"/>
      <x:c r="AX170" s="2"/>
      <x:c r="AY170" s="2"/>
      <x:c r="AZ170" s="2"/>
      <x:c r="BA170" s="2"/>
      <x:c r="BB170" s="2"/>
      <x:c r="BC170" s="2"/>
      <x:c r="BD170" s="2"/>
      <x:c r="BE170" s="2"/>
      <x:c r="BF170" s="2"/>
      <x:c r="BG170" s="2"/>
      <x:c r="BH170" s="2"/>
      <x:c r="BI170" s="2"/>
      <x:c r="BJ170" s="2"/>
      <x:c r="BK170" s="2"/>
      <x:c r="BL170" s="2"/>
      <x:c r="BM170" s="2"/>
      <x:c r="BN170" s="2"/>
      <x:c r="BO170" s="2"/>
      <x:c r="BP170" s="2"/>
      <x:c r="BQ170" s="2"/>
      <x:c r="BR170" s="2"/>
      <x:c r="BS170" s="2"/>
      <x:c r="BT170" s="2"/>
      <x:c r="BU170" s="2"/>
      <x:c r="BV170" s="2"/>
      <x:c r="BW170" s="2"/>
      <x:c r="BX170" s="2"/>
      <x:c r="BY170" s="2"/>
      <x:c r="BZ170" s="2"/>
      <x:c r="CA170" s="2"/>
      <x:c r="CB170" s="2"/>
      <x:c r="CC170" s="2"/>
      <x:c r="CD170" s="2"/>
      <x:c r="CE170" s="2"/>
      <x:c r="CF170" s="2"/>
      <x:c r="CG170" s="2"/>
      <x:c r="CH170" s="2"/>
      <x:c r="CI170" s="2"/>
      <x:c r="CJ170" s="2"/>
      <x:c r="CK170" s="2"/>
      <x:c r="CL170" s="2"/>
      <x:c r="CM170" s="2"/>
      <x:c r="CN170" s="2"/>
      <x:c r="CO170" s="2"/>
      <x:c r="CP170" s="2"/>
      <x:c r="CQ170" s="2"/>
      <x:c r="CR170" s="2"/>
      <x:c r="CS170" s="2"/>
      <x:c r="CT170" s="2"/>
      <x:c r="CU170" s="2"/>
      <x:c r="CV170" s="2"/>
      <x:c r="CW170" s="2"/>
      <x:c r="CX170" s="2"/>
      <x:c r="CY170" s="2"/>
    </x:row>
    <x:row r="171" ht="19" customHeight="1">
      <x:c r="A171" s="1"/>
      <x:c r="B171" s="1"/>
      <x:c r="C171" s="2" t="n">
        <x:v>11</x:v>
      </x:c>
      <x:c r="D171" s="31" t="n">
        <x:f>IF(OR(C171&gt;=$E$43,INDEX($I$51:$I$147,C171+1)&lt;=0.0000000001),0,IF($E$46=0,$E$44/MIN($E$43,COUNTIF($I$51:$I$110,"&gt;0.0000000001")),IF(C171=$E$45,$E$44,0)))</x:f>
        <x:v>0</x:v>
      </x:c>
      <x:c r="E171" s="31" t="n">
        <x:f>IF(D171=0,0,D171/(INDEX($I$51:$I$147,C171+1)*INDEX($H$51:$H$147,C171+1)))</x:f>
        <x:v>0</x:v>
      </x:c>
      <x:c r="F171" s="31" t="n">
        <x:f>E171*INDEX($G$51:$G$147,C171+1)</x:f>
        <x:v>0</x:v>
      </x:c>
      <x:c r="G171" s="2"/>
      <x:c r="H171" s="2"/>
      <x:c r="I171" s="2"/>
      <x:c r="J171" s="2"/>
      <x:c r="K171" s="2"/>
      <x:c r="L171" s="2"/>
      <x:c r="M171" s="2"/>
      <x:c r="N171" s="2"/>
      <x:c r="O171" s="2"/>
      <x:c r="P171" s="2"/>
      <x:c r="Q171" s="2"/>
      <x:c r="R171" s="2"/>
      <x:c r="S171" s="2"/>
      <x:c r="T171" s="2"/>
      <x:c r="U171" s="2"/>
      <x:c r="V171" s="2"/>
      <x:c r="W171" s="2"/>
      <x:c r="X171" s="2"/>
      <x:c r="Y171" s="2"/>
      <x:c r="Z171" s="2"/>
      <x:c r="AA171" s="2"/>
      <x:c r="AB171" s="2"/>
      <x:c r="AC171" s="2"/>
      <x:c r="AD171" s="2"/>
      <x:c r="AE171" s="2"/>
      <x:c r="AF171" s="2"/>
      <x:c r="AG171" s="2"/>
      <x:c r="AH171" s="2"/>
      <x:c r="AI171" s="2"/>
      <x:c r="AJ171" s="2"/>
      <x:c r="AK171" s="2"/>
      <x:c r="AL171" s="2"/>
      <x:c r="AM171" s="2"/>
      <x:c r="AN171" s="2"/>
      <x:c r="AO171" s="2"/>
      <x:c r="AP171" s="2"/>
      <x:c r="AQ171" s="2"/>
      <x:c r="AR171" s="2"/>
      <x:c r="AS171" s="2"/>
      <x:c r="AT171" s="2"/>
      <x:c r="AU171" s="2"/>
      <x:c r="AV171" s="2"/>
      <x:c r="AW171" s="2"/>
      <x:c r="AX171" s="2"/>
      <x:c r="AY171" s="2"/>
      <x:c r="AZ171" s="2"/>
      <x:c r="BA171" s="2"/>
      <x:c r="BB171" s="2"/>
      <x:c r="BC171" s="2"/>
      <x:c r="BD171" s="2"/>
      <x:c r="BE171" s="2"/>
      <x:c r="BF171" s="2"/>
      <x:c r="BG171" s="2"/>
      <x:c r="BH171" s="2"/>
      <x:c r="BI171" s="2"/>
      <x:c r="BJ171" s="2"/>
      <x:c r="BK171" s="2"/>
      <x:c r="BL171" s="2"/>
      <x:c r="BM171" s="2"/>
      <x:c r="BN171" s="2"/>
      <x:c r="BO171" s="2"/>
      <x:c r="BP171" s="2"/>
      <x:c r="BQ171" s="2"/>
      <x:c r="BR171" s="2"/>
      <x:c r="BS171" s="2"/>
      <x:c r="BT171" s="2"/>
      <x:c r="BU171" s="2"/>
      <x:c r="BV171" s="2"/>
      <x:c r="BW171" s="2"/>
      <x:c r="BX171" s="2"/>
      <x:c r="BY171" s="2"/>
      <x:c r="BZ171" s="2"/>
      <x:c r="CA171" s="2"/>
      <x:c r="CB171" s="2"/>
      <x:c r="CC171" s="2"/>
      <x:c r="CD171" s="2"/>
      <x:c r="CE171" s="2"/>
      <x:c r="CF171" s="2"/>
      <x:c r="CG171" s="2"/>
      <x:c r="CH171" s="2"/>
      <x:c r="CI171" s="2"/>
      <x:c r="CJ171" s="2"/>
      <x:c r="CK171" s="2"/>
      <x:c r="CL171" s="2"/>
      <x:c r="CM171" s="2"/>
      <x:c r="CN171" s="2"/>
      <x:c r="CO171" s="2"/>
      <x:c r="CP171" s="2"/>
      <x:c r="CQ171" s="2"/>
      <x:c r="CR171" s="2"/>
      <x:c r="CS171" s="2"/>
      <x:c r="CT171" s="2"/>
      <x:c r="CU171" s="2"/>
      <x:c r="CV171" s="2"/>
      <x:c r="CW171" s="2"/>
      <x:c r="CX171" s="2"/>
      <x:c r="CY171" s="2"/>
    </x:row>
    <x:row r="172" ht="19" customHeight="1">
      <x:c r="A172" s="1"/>
      <x:c r="B172" s="1"/>
      <x:c r="C172" s="2" t="n">
        <x:v>12</x:v>
      </x:c>
      <x:c r="D172" s="31" t="n">
        <x:f>IF(OR(C172&gt;=$E$43,INDEX($I$51:$I$147,C172+1)&lt;=0.0000000001),0,IF($E$46=0,$E$44/MIN($E$43,COUNTIF($I$51:$I$110,"&gt;0.0000000001")),IF(C172=$E$45,$E$44,0)))</x:f>
        <x:v>0</x:v>
      </x:c>
      <x:c r="E172" s="31" t="n">
        <x:f>IF(D172=0,0,D172/(INDEX($I$51:$I$147,C172+1)*INDEX($H$51:$H$147,C172+1)))</x:f>
        <x:v>0</x:v>
      </x:c>
      <x:c r="F172" s="31" t="n">
        <x:f>E172*INDEX($G$51:$G$147,C172+1)</x:f>
        <x:v>0</x:v>
      </x:c>
      <x:c r="G172" s="2"/>
      <x:c r="H172" s="2"/>
      <x:c r="I172" s="2"/>
      <x:c r="J172" s="2"/>
      <x:c r="K172" s="2"/>
      <x:c r="L172" s="2"/>
      <x:c r="M172" s="2"/>
      <x:c r="N172" s="2"/>
      <x:c r="O172" s="2"/>
      <x:c r="P172" s="2"/>
      <x:c r="Q172" s="2"/>
      <x:c r="R172" s="2"/>
      <x:c r="S172" s="2"/>
      <x:c r="T172" s="2"/>
      <x:c r="U172" s="2"/>
      <x:c r="V172" s="2"/>
      <x:c r="W172" s="2"/>
      <x:c r="X172" s="2"/>
      <x:c r="Y172" s="2"/>
      <x:c r="Z172" s="2"/>
      <x:c r="AA172" s="2"/>
      <x:c r="AB172" s="2"/>
      <x:c r="AC172" s="2"/>
      <x:c r="AD172" s="2"/>
      <x:c r="AE172" s="2"/>
      <x:c r="AF172" s="2"/>
      <x:c r="AG172" s="2"/>
      <x:c r="AH172" s="2"/>
      <x:c r="AI172" s="2"/>
      <x:c r="AJ172" s="2"/>
      <x:c r="AK172" s="2"/>
      <x:c r="AL172" s="2"/>
      <x:c r="AM172" s="2"/>
      <x:c r="AN172" s="2"/>
      <x:c r="AO172" s="2"/>
      <x:c r="AP172" s="2"/>
      <x:c r="AQ172" s="2"/>
      <x:c r="AR172" s="2"/>
      <x:c r="AS172" s="2"/>
      <x:c r="AT172" s="2"/>
      <x:c r="AU172" s="2"/>
      <x:c r="AV172" s="2"/>
      <x:c r="AW172" s="2"/>
      <x:c r="AX172" s="2"/>
      <x:c r="AY172" s="2"/>
      <x:c r="AZ172" s="2"/>
      <x:c r="BA172" s="2"/>
      <x:c r="BB172" s="2"/>
      <x:c r="BC172" s="2"/>
      <x:c r="BD172" s="2"/>
      <x:c r="BE172" s="2"/>
      <x:c r="BF172" s="2"/>
      <x:c r="BG172" s="2"/>
      <x:c r="BH172" s="2"/>
      <x:c r="BI172" s="2"/>
      <x:c r="BJ172" s="2"/>
      <x:c r="BK172" s="2"/>
      <x:c r="BL172" s="2"/>
      <x:c r="BM172" s="2"/>
      <x:c r="BN172" s="2"/>
      <x:c r="BO172" s="2"/>
      <x:c r="BP172" s="2"/>
      <x:c r="BQ172" s="2"/>
      <x:c r="BR172" s="2"/>
      <x:c r="BS172" s="2"/>
      <x:c r="BT172" s="2"/>
      <x:c r="BU172" s="2"/>
      <x:c r="BV172" s="2"/>
      <x:c r="BW172" s="2"/>
      <x:c r="BX172" s="2"/>
      <x:c r="BY172" s="2"/>
      <x:c r="BZ172" s="2"/>
      <x:c r="CA172" s="2"/>
      <x:c r="CB172" s="2"/>
      <x:c r="CC172" s="2"/>
      <x:c r="CD172" s="2"/>
      <x:c r="CE172" s="2"/>
      <x:c r="CF172" s="2"/>
      <x:c r="CG172" s="2"/>
      <x:c r="CH172" s="2"/>
      <x:c r="CI172" s="2"/>
      <x:c r="CJ172" s="2"/>
      <x:c r="CK172" s="2"/>
      <x:c r="CL172" s="2"/>
      <x:c r="CM172" s="2"/>
      <x:c r="CN172" s="2"/>
      <x:c r="CO172" s="2"/>
      <x:c r="CP172" s="2"/>
      <x:c r="CQ172" s="2"/>
      <x:c r="CR172" s="2"/>
      <x:c r="CS172" s="2"/>
      <x:c r="CT172" s="2"/>
      <x:c r="CU172" s="2"/>
      <x:c r="CV172" s="2"/>
      <x:c r="CW172" s="2"/>
      <x:c r="CX172" s="2"/>
      <x:c r="CY172" s="2"/>
    </x:row>
    <x:row r="173" ht="19" customHeight="1">
      <x:c r="A173" s="1"/>
      <x:c r="B173" s="1"/>
      <x:c r="C173" s="2" t="n">
        <x:v>13</x:v>
      </x:c>
      <x:c r="D173" s="31" t="n">
        <x:f>IF(OR(C173&gt;=$E$43,INDEX($I$51:$I$147,C173+1)&lt;=0.0000000001),0,IF($E$46=0,$E$44/MIN($E$43,COUNTIF($I$51:$I$110,"&gt;0.0000000001")),IF(C173=$E$45,$E$44,0)))</x:f>
        <x:v>0</x:v>
      </x:c>
      <x:c r="E173" s="31" t="n">
        <x:f>IF(D173=0,0,D173/(INDEX($I$51:$I$147,C173+1)*INDEX($H$51:$H$147,C173+1)))</x:f>
        <x:v>0</x:v>
      </x:c>
      <x:c r="F173" s="31" t="n">
        <x:f>E173*INDEX($G$51:$G$147,C173+1)</x:f>
        <x:v>0</x:v>
      </x:c>
      <x:c r="G173" s="2"/>
      <x:c r="H173" s="2"/>
      <x:c r="I173" s="2"/>
      <x:c r="J173" s="2"/>
      <x:c r="K173" s="2"/>
      <x:c r="L173" s="2"/>
      <x:c r="M173" s="2"/>
      <x:c r="N173" s="2"/>
      <x:c r="O173" s="2"/>
      <x:c r="P173" s="2"/>
      <x:c r="Q173" s="2"/>
      <x:c r="R173" s="2"/>
      <x:c r="S173" s="2"/>
      <x:c r="T173" s="2"/>
      <x:c r="U173" s="2"/>
      <x:c r="V173" s="2"/>
      <x:c r="W173" s="2"/>
      <x:c r="X173" s="2"/>
      <x:c r="Y173" s="2"/>
      <x:c r="Z173" s="2"/>
      <x:c r="AA173" s="2"/>
      <x:c r="AB173" s="2"/>
      <x:c r="AC173" s="2"/>
      <x:c r="AD173" s="2"/>
      <x:c r="AE173" s="2"/>
      <x:c r="AF173" s="2"/>
      <x:c r="AG173" s="2"/>
      <x:c r="AH173" s="2"/>
      <x:c r="AI173" s="2"/>
      <x:c r="AJ173" s="2"/>
      <x:c r="AK173" s="2"/>
      <x:c r="AL173" s="2"/>
      <x:c r="AM173" s="2"/>
      <x:c r="AN173" s="2"/>
      <x:c r="AO173" s="2"/>
      <x:c r="AP173" s="2"/>
      <x:c r="AQ173" s="2"/>
      <x:c r="AR173" s="2"/>
      <x:c r="AS173" s="2"/>
      <x:c r="AT173" s="2"/>
      <x:c r="AU173" s="2"/>
      <x:c r="AV173" s="2"/>
      <x:c r="AW173" s="2"/>
      <x:c r="AX173" s="2"/>
      <x:c r="AY173" s="2"/>
      <x:c r="AZ173" s="2"/>
      <x:c r="BA173" s="2"/>
      <x:c r="BB173" s="2"/>
      <x:c r="BC173" s="2"/>
      <x:c r="BD173" s="2"/>
      <x:c r="BE173" s="2"/>
      <x:c r="BF173" s="2"/>
      <x:c r="BG173" s="2"/>
      <x:c r="BH173" s="2"/>
      <x:c r="BI173" s="2"/>
      <x:c r="BJ173" s="2"/>
      <x:c r="BK173" s="2"/>
      <x:c r="BL173" s="2"/>
      <x:c r="BM173" s="2"/>
      <x:c r="BN173" s="2"/>
      <x:c r="BO173" s="2"/>
      <x:c r="BP173" s="2"/>
      <x:c r="BQ173" s="2"/>
      <x:c r="BR173" s="2"/>
      <x:c r="BS173" s="2"/>
      <x:c r="BT173" s="2"/>
      <x:c r="BU173" s="2"/>
      <x:c r="BV173" s="2"/>
      <x:c r="BW173" s="2"/>
      <x:c r="BX173" s="2"/>
      <x:c r="BY173" s="2"/>
      <x:c r="BZ173" s="2"/>
      <x:c r="CA173" s="2"/>
      <x:c r="CB173" s="2"/>
      <x:c r="CC173" s="2"/>
      <x:c r="CD173" s="2"/>
      <x:c r="CE173" s="2"/>
      <x:c r="CF173" s="2"/>
      <x:c r="CG173" s="2"/>
      <x:c r="CH173" s="2"/>
      <x:c r="CI173" s="2"/>
      <x:c r="CJ173" s="2"/>
      <x:c r="CK173" s="2"/>
      <x:c r="CL173" s="2"/>
      <x:c r="CM173" s="2"/>
      <x:c r="CN173" s="2"/>
      <x:c r="CO173" s="2"/>
      <x:c r="CP173" s="2"/>
      <x:c r="CQ173" s="2"/>
      <x:c r="CR173" s="2"/>
      <x:c r="CS173" s="2"/>
      <x:c r="CT173" s="2"/>
      <x:c r="CU173" s="2"/>
      <x:c r="CV173" s="2"/>
      <x:c r="CW173" s="2"/>
      <x:c r="CX173" s="2"/>
      <x:c r="CY173" s="2"/>
    </x:row>
    <x:row r="174" ht="19" customHeight="1">
      <x:c r="A174" s="1"/>
      <x:c r="B174" s="1"/>
      <x:c r="C174" s="2" t="n">
        <x:v>14</x:v>
      </x:c>
      <x:c r="D174" s="31" t="n">
        <x:f>IF(OR(C174&gt;=$E$43,INDEX($I$51:$I$147,C174+1)&lt;=0.0000000001),0,IF($E$46=0,$E$44/MIN($E$43,COUNTIF($I$51:$I$110,"&gt;0.0000000001")),IF(C174=$E$45,$E$44,0)))</x:f>
        <x:v>0</x:v>
      </x:c>
      <x:c r="E174" s="31" t="n">
        <x:f>IF(D174=0,0,D174/(INDEX($I$51:$I$147,C174+1)*INDEX($H$51:$H$147,C174+1)))</x:f>
        <x:v>0</x:v>
      </x:c>
      <x:c r="F174" s="31" t="n">
        <x:f>E174*INDEX($G$51:$G$147,C174+1)</x:f>
        <x:v>0</x:v>
      </x:c>
      <x:c r="G174" s="2"/>
      <x:c r="H174" s="2"/>
      <x:c r="I174" s="2"/>
      <x:c r="J174" s="2"/>
      <x:c r="K174" s="2"/>
      <x:c r="L174" s="2"/>
      <x:c r="M174" s="2"/>
      <x:c r="N174" s="2"/>
      <x:c r="O174" s="2"/>
      <x:c r="P174" s="2"/>
      <x:c r="Q174" s="2"/>
      <x:c r="R174" s="2"/>
      <x:c r="S174" s="2"/>
      <x:c r="T174" s="2"/>
      <x:c r="U174" s="2"/>
      <x:c r="V174" s="2"/>
      <x:c r="W174" s="2"/>
      <x:c r="X174" s="2"/>
      <x:c r="Y174" s="2"/>
      <x:c r="Z174" s="2"/>
      <x:c r="AA174" s="2"/>
      <x:c r="AB174" s="2"/>
      <x:c r="AC174" s="2"/>
      <x:c r="AD174" s="2"/>
      <x:c r="AE174" s="2"/>
      <x:c r="AF174" s="2"/>
      <x:c r="AG174" s="2"/>
      <x:c r="AH174" s="2"/>
      <x:c r="AI174" s="2"/>
      <x:c r="AJ174" s="2"/>
      <x:c r="AK174" s="2"/>
      <x:c r="AL174" s="2"/>
      <x:c r="AM174" s="2"/>
      <x:c r="AN174" s="2"/>
      <x:c r="AO174" s="2"/>
      <x:c r="AP174" s="2"/>
      <x:c r="AQ174" s="2"/>
      <x:c r="AR174" s="2"/>
      <x:c r="AS174" s="2"/>
      <x:c r="AT174" s="2"/>
      <x:c r="AU174" s="2"/>
      <x:c r="AV174" s="2"/>
      <x:c r="AW174" s="2"/>
      <x:c r="AX174" s="2"/>
      <x:c r="AY174" s="2"/>
      <x:c r="AZ174" s="2"/>
      <x:c r="BA174" s="2"/>
      <x:c r="BB174" s="2"/>
      <x:c r="BC174" s="2"/>
      <x:c r="BD174" s="2"/>
      <x:c r="BE174" s="2"/>
      <x:c r="BF174" s="2"/>
      <x:c r="BG174" s="2"/>
      <x:c r="BH174" s="2"/>
      <x:c r="BI174" s="2"/>
      <x:c r="BJ174" s="2"/>
      <x:c r="BK174" s="2"/>
      <x:c r="BL174" s="2"/>
      <x:c r="BM174" s="2"/>
      <x:c r="BN174" s="2"/>
      <x:c r="BO174" s="2"/>
      <x:c r="BP174" s="2"/>
      <x:c r="BQ174" s="2"/>
      <x:c r="BR174" s="2"/>
      <x:c r="BS174" s="2"/>
      <x:c r="BT174" s="2"/>
      <x:c r="BU174" s="2"/>
      <x:c r="BV174" s="2"/>
      <x:c r="BW174" s="2"/>
      <x:c r="BX174" s="2"/>
      <x:c r="BY174" s="2"/>
      <x:c r="BZ174" s="2"/>
      <x:c r="CA174" s="2"/>
      <x:c r="CB174" s="2"/>
      <x:c r="CC174" s="2"/>
      <x:c r="CD174" s="2"/>
      <x:c r="CE174" s="2"/>
      <x:c r="CF174" s="2"/>
      <x:c r="CG174" s="2"/>
      <x:c r="CH174" s="2"/>
      <x:c r="CI174" s="2"/>
      <x:c r="CJ174" s="2"/>
      <x:c r="CK174" s="2"/>
      <x:c r="CL174" s="2"/>
      <x:c r="CM174" s="2"/>
      <x:c r="CN174" s="2"/>
      <x:c r="CO174" s="2"/>
      <x:c r="CP174" s="2"/>
      <x:c r="CQ174" s="2"/>
      <x:c r="CR174" s="2"/>
      <x:c r="CS174" s="2"/>
      <x:c r="CT174" s="2"/>
      <x:c r="CU174" s="2"/>
      <x:c r="CV174" s="2"/>
      <x:c r="CW174" s="2"/>
      <x:c r="CX174" s="2"/>
      <x:c r="CY174" s="2"/>
    </x:row>
    <x:row r="175" ht="19" customHeight="1">
      <x:c r="A175" s="1"/>
      <x:c r="B175" s="1"/>
      <x:c r="C175" s="2" t="n">
        <x:v>15</x:v>
      </x:c>
      <x:c r="D175" s="31" t="n">
        <x:f>IF(OR(C175&gt;=$E$43,INDEX($I$51:$I$147,C175+1)&lt;=0.0000000001),0,IF($E$46=0,$E$44/MIN($E$43,COUNTIF($I$51:$I$110,"&gt;0.0000000001")),IF(C175=$E$45,$E$44,0)))</x:f>
        <x:v>0</x:v>
      </x:c>
      <x:c r="E175" s="31" t="n">
        <x:f>IF(D175=0,0,D175/(INDEX($I$51:$I$147,C175+1)*INDEX($H$51:$H$147,C175+1)))</x:f>
        <x:v>0</x:v>
      </x:c>
      <x:c r="F175" s="31" t="n">
        <x:f>E175*INDEX($G$51:$G$147,C175+1)</x:f>
        <x:v>0</x:v>
      </x:c>
      <x:c r="G175" s="2"/>
      <x:c r="H175" s="2"/>
      <x:c r="I175" s="2"/>
      <x:c r="J175" s="2"/>
      <x:c r="K175" s="2"/>
      <x:c r="L175" s="2"/>
      <x:c r="M175" s="2"/>
      <x:c r="N175" s="2"/>
      <x:c r="O175" s="2"/>
      <x:c r="P175" s="2"/>
      <x:c r="Q175" s="2"/>
      <x:c r="R175" s="2"/>
      <x:c r="S175" s="2"/>
      <x:c r="T175" s="2"/>
      <x:c r="U175" s="2"/>
      <x:c r="V175" s="2"/>
      <x:c r="W175" s="2"/>
      <x:c r="X175" s="2"/>
      <x:c r="Y175" s="2"/>
      <x:c r="Z175" s="2"/>
      <x:c r="AA175" s="2"/>
      <x:c r="AB175" s="2"/>
      <x:c r="AC175" s="2"/>
      <x:c r="AD175" s="2"/>
      <x:c r="AE175" s="2"/>
      <x:c r="AF175" s="2"/>
      <x:c r="AG175" s="2"/>
      <x:c r="AH175" s="2"/>
      <x:c r="AI175" s="2"/>
      <x:c r="AJ175" s="2"/>
      <x:c r="AK175" s="2"/>
      <x:c r="AL175" s="2"/>
      <x:c r="AM175" s="2"/>
      <x:c r="AN175" s="2"/>
      <x:c r="AO175" s="2"/>
      <x:c r="AP175" s="2"/>
      <x:c r="AQ175" s="2"/>
      <x:c r="AR175" s="2"/>
      <x:c r="AS175" s="2"/>
      <x:c r="AT175" s="2"/>
      <x:c r="AU175" s="2"/>
      <x:c r="AV175" s="2"/>
      <x:c r="AW175" s="2"/>
      <x:c r="AX175" s="2"/>
      <x:c r="AY175" s="2"/>
      <x:c r="AZ175" s="2"/>
      <x:c r="BA175" s="2"/>
      <x:c r="BB175" s="2"/>
      <x:c r="BC175" s="2"/>
      <x:c r="BD175" s="2"/>
      <x:c r="BE175" s="2"/>
      <x:c r="BF175" s="2"/>
      <x:c r="BG175" s="2"/>
      <x:c r="BH175" s="2"/>
      <x:c r="BI175" s="2"/>
      <x:c r="BJ175" s="2"/>
      <x:c r="BK175" s="2"/>
      <x:c r="BL175" s="2"/>
      <x:c r="BM175" s="2"/>
      <x:c r="BN175" s="2"/>
      <x:c r="BO175" s="2"/>
      <x:c r="BP175" s="2"/>
      <x:c r="BQ175" s="2"/>
      <x:c r="BR175" s="2"/>
      <x:c r="BS175" s="2"/>
      <x:c r="BT175" s="2"/>
      <x:c r="BU175" s="2"/>
      <x:c r="BV175" s="2"/>
      <x:c r="BW175" s="2"/>
      <x:c r="BX175" s="2"/>
      <x:c r="BY175" s="2"/>
      <x:c r="BZ175" s="2"/>
      <x:c r="CA175" s="2"/>
      <x:c r="CB175" s="2"/>
      <x:c r="CC175" s="2"/>
      <x:c r="CD175" s="2"/>
      <x:c r="CE175" s="2"/>
      <x:c r="CF175" s="2"/>
      <x:c r="CG175" s="2"/>
      <x:c r="CH175" s="2"/>
      <x:c r="CI175" s="2"/>
      <x:c r="CJ175" s="2"/>
      <x:c r="CK175" s="2"/>
      <x:c r="CL175" s="2"/>
      <x:c r="CM175" s="2"/>
      <x:c r="CN175" s="2"/>
      <x:c r="CO175" s="2"/>
      <x:c r="CP175" s="2"/>
      <x:c r="CQ175" s="2"/>
      <x:c r="CR175" s="2"/>
      <x:c r="CS175" s="2"/>
      <x:c r="CT175" s="2"/>
      <x:c r="CU175" s="2"/>
      <x:c r="CV175" s="2"/>
      <x:c r="CW175" s="2"/>
      <x:c r="CX175" s="2"/>
      <x:c r="CY175" s="2"/>
    </x:row>
    <x:row r="176" ht="19" customHeight="1">
      <x:c r="A176" s="1"/>
      <x:c r="B176" s="1"/>
      <x:c r="C176" s="2" t="n">
        <x:v>16</x:v>
      </x:c>
      <x:c r="D176" s="31" t="n">
        <x:f>IF(OR(C176&gt;=$E$43,INDEX($I$51:$I$147,C176+1)&lt;=0.0000000001),0,IF($E$46=0,$E$44/MIN($E$43,COUNTIF($I$51:$I$110,"&gt;0.0000000001")),IF(C176=$E$45,$E$44,0)))</x:f>
        <x:v>0</x:v>
      </x:c>
      <x:c r="E176" s="31" t="n">
        <x:f>IF(D176=0,0,D176/(INDEX($I$51:$I$147,C176+1)*INDEX($H$51:$H$147,C176+1)))</x:f>
        <x:v>0</x:v>
      </x:c>
      <x:c r="F176" s="31" t="n">
        <x:f>E176*INDEX($G$51:$G$147,C176+1)</x:f>
        <x:v>0</x:v>
      </x:c>
      <x:c r="G176" s="2"/>
      <x:c r="H176" s="2"/>
      <x:c r="I176" s="2"/>
      <x:c r="J176" s="2"/>
      <x:c r="K176" s="2"/>
      <x:c r="L176" s="2"/>
      <x:c r="M176" s="2"/>
      <x:c r="N176" s="2"/>
      <x:c r="O176" s="2"/>
      <x:c r="P176" s="2"/>
      <x:c r="Q176" s="2"/>
      <x:c r="R176" s="2"/>
      <x:c r="S176" s="2"/>
      <x:c r="T176" s="2"/>
      <x:c r="U176" s="2"/>
      <x:c r="V176" s="2"/>
      <x:c r="W176" s="2"/>
      <x:c r="X176" s="2"/>
      <x:c r="Y176" s="2"/>
      <x:c r="Z176" s="2"/>
      <x:c r="AA176" s="2"/>
      <x:c r="AB176" s="2"/>
      <x:c r="AC176" s="2"/>
      <x:c r="AD176" s="2"/>
      <x:c r="AE176" s="2"/>
      <x:c r="AF176" s="2"/>
      <x:c r="AG176" s="2"/>
      <x:c r="AH176" s="2"/>
      <x:c r="AI176" s="2"/>
      <x:c r="AJ176" s="2"/>
      <x:c r="AK176" s="2"/>
      <x:c r="AL176" s="2"/>
      <x:c r="AM176" s="2"/>
      <x:c r="AN176" s="2"/>
      <x:c r="AO176" s="2"/>
      <x:c r="AP176" s="2"/>
      <x:c r="AQ176" s="2"/>
      <x:c r="AR176" s="2"/>
      <x:c r="AS176" s="2"/>
      <x:c r="AT176" s="2"/>
      <x:c r="AU176" s="2"/>
      <x:c r="AV176" s="2"/>
      <x:c r="AW176" s="2"/>
      <x:c r="AX176" s="2"/>
      <x:c r="AY176" s="2"/>
      <x:c r="AZ176" s="2"/>
      <x:c r="BA176" s="2"/>
      <x:c r="BB176" s="2"/>
      <x:c r="BC176" s="2"/>
      <x:c r="BD176" s="2"/>
      <x:c r="BE176" s="2"/>
      <x:c r="BF176" s="2"/>
      <x:c r="BG176" s="2"/>
      <x:c r="BH176" s="2"/>
      <x:c r="BI176" s="2"/>
      <x:c r="BJ176" s="2"/>
      <x:c r="BK176" s="2"/>
      <x:c r="BL176" s="2"/>
      <x:c r="BM176" s="2"/>
      <x:c r="BN176" s="2"/>
      <x:c r="BO176" s="2"/>
      <x:c r="BP176" s="2"/>
      <x:c r="BQ176" s="2"/>
      <x:c r="BR176" s="2"/>
      <x:c r="BS176" s="2"/>
      <x:c r="BT176" s="2"/>
      <x:c r="BU176" s="2"/>
      <x:c r="BV176" s="2"/>
      <x:c r="BW176" s="2"/>
      <x:c r="BX176" s="2"/>
      <x:c r="BY176" s="2"/>
      <x:c r="BZ176" s="2"/>
      <x:c r="CA176" s="2"/>
      <x:c r="CB176" s="2"/>
      <x:c r="CC176" s="2"/>
      <x:c r="CD176" s="2"/>
      <x:c r="CE176" s="2"/>
      <x:c r="CF176" s="2"/>
      <x:c r="CG176" s="2"/>
      <x:c r="CH176" s="2"/>
      <x:c r="CI176" s="2"/>
      <x:c r="CJ176" s="2"/>
      <x:c r="CK176" s="2"/>
      <x:c r="CL176" s="2"/>
      <x:c r="CM176" s="2"/>
      <x:c r="CN176" s="2"/>
      <x:c r="CO176" s="2"/>
      <x:c r="CP176" s="2"/>
      <x:c r="CQ176" s="2"/>
      <x:c r="CR176" s="2"/>
      <x:c r="CS176" s="2"/>
      <x:c r="CT176" s="2"/>
      <x:c r="CU176" s="2"/>
      <x:c r="CV176" s="2"/>
      <x:c r="CW176" s="2"/>
      <x:c r="CX176" s="2"/>
      <x:c r="CY176" s="2"/>
    </x:row>
    <x:row r="177" ht="19" customHeight="1">
      <x:c r="A177" s="1"/>
      <x:c r="B177" s="1"/>
      <x:c r="C177" s="2" t="n">
        <x:v>17</x:v>
      </x:c>
      <x:c r="D177" s="31" t="n">
        <x:f>IF(OR(C177&gt;=$E$43,INDEX($I$51:$I$147,C177+1)&lt;=0.0000000001),0,IF($E$46=0,$E$44/MIN($E$43,COUNTIF($I$51:$I$110,"&gt;0.0000000001")),IF(C177=$E$45,$E$44,0)))</x:f>
        <x:v>0</x:v>
      </x:c>
      <x:c r="E177" s="31" t="n">
        <x:f>IF(D177=0,0,D177/(INDEX($I$51:$I$147,C177+1)*INDEX($H$51:$H$147,C177+1)))</x:f>
        <x:v>0</x:v>
      </x:c>
      <x:c r="F177" s="31" t="n">
        <x:f>E177*INDEX($G$51:$G$147,C177+1)</x:f>
        <x:v>0</x:v>
      </x:c>
      <x:c r="G177" s="2"/>
      <x:c r="H177" s="2"/>
      <x:c r="I177" s="2"/>
      <x:c r="J177" s="2"/>
      <x:c r="K177" s="2"/>
      <x:c r="L177" s="2"/>
      <x:c r="M177" s="2"/>
      <x:c r="N177" s="2"/>
      <x:c r="O177" s="2"/>
      <x:c r="P177" s="2"/>
      <x:c r="Q177" s="2"/>
      <x:c r="R177" s="2"/>
      <x:c r="S177" s="2"/>
      <x:c r="T177" s="2"/>
      <x:c r="U177" s="2"/>
      <x:c r="V177" s="2"/>
      <x:c r="W177" s="2"/>
      <x:c r="X177" s="2"/>
      <x:c r="Y177" s="2"/>
      <x:c r="Z177" s="2"/>
      <x:c r="AA177" s="2"/>
      <x:c r="AB177" s="2"/>
      <x:c r="AC177" s="2"/>
      <x:c r="AD177" s="2"/>
      <x:c r="AE177" s="2"/>
      <x:c r="AF177" s="2"/>
      <x:c r="AG177" s="2"/>
      <x:c r="AH177" s="2"/>
      <x:c r="AI177" s="2"/>
      <x:c r="AJ177" s="2"/>
      <x:c r="AK177" s="2"/>
      <x:c r="AL177" s="2"/>
      <x:c r="AM177" s="2"/>
      <x:c r="AN177" s="2"/>
      <x:c r="AO177" s="2"/>
      <x:c r="AP177" s="2"/>
      <x:c r="AQ177" s="2"/>
      <x:c r="AR177" s="2"/>
      <x:c r="AS177" s="2"/>
      <x:c r="AT177" s="2"/>
      <x:c r="AU177" s="2"/>
      <x:c r="AV177" s="2"/>
      <x:c r="AW177" s="2"/>
      <x:c r="AX177" s="2"/>
      <x:c r="AY177" s="2"/>
      <x:c r="AZ177" s="2"/>
      <x:c r="BA177" s="2"/>
      <x:c r="BB177" s="2"/>
      <x:c r="BC177" s="2"/>
      <x:c r="BD177" s="2"/>
      <x:c r="BE177" s="2"/>
      <x:c r="BF177" s="2"/>
      <x:c r="BG177" s="2"/>
      <x:c r="BH177" s="2"/>
      <x:c r="BI177" s="2"/>
      <x:c r="BJ177" s="2"/>
      <x:c r="BK177" s="2"/>
      <x:c r="BL177" s="2"/>
      <x:c r="BM177" s="2"/>
      <x:c r="BN177" s="2"/>
      <x:c r="BO177" s="2"/>
      <x:c r="BP177" s="2"/>
      <x:c r="BQ177" s="2"/>
      <x:c r="BR177" s="2"/>
      <x:c r="BS177" s="2"/>
      <x:c r="BT177" s="2"/>
      <x:c r="BU177" s="2"/>
      <x:c r="BV177" s="2"/>
      <x:c r="BW177" s="2"/>
      <x:c r="BX177" s="2"/>
      <x:c r="BY177" s="2"/>
      <x:c r="BZ177" s="2"/>
      <x:c r="CA177" s="2"/>
      <x:c r="CB177" s="2"/>
      <x:c r="CC177" s="2"/>
      <x:c r="CD177" s="2"/>
      <x:c r="CE177" s="2"/>
      <x:c r="CF177" s="2"/>
      <x:c r="CG177" s="2"/>
      <x:c r="CH177" s="2"/>
      <x:c r="CI177" s="2"/>
      <x:c r="CJ177" s="2"/>
      <x:c r="CK177" s="2"/>
      <x:c r="CL177" s="2"/>
      <x:c r="CM177" s="2"/>
      <x:c r="CN177" s="2"/>
      <x:c r="CO177" s="2"/>
      <x:c r="CP177" s="2"/>
      <x:c r="CQ177" s="2"/>
      <x:c r="CR177" s="2"/>
      <x:c r="CS177" s="2"/>
      <x:c r="CT177" s="2"/>
      <x:c r="CU177" s="2"/>
      <x:c r="CV177" s="2"/>
      <x:c r="CW177" s="2"/>
      <x:c r="CX177" s="2"/>
      <x:c r="CY177" s="2"/>
    </x:row>
    <x:row r="178" ht="19" customHeight="1">
      <x:c r="A178" s="1"/>
      <x:c r="B178" s="1"/>
      <x:c r="C178" s="2" t="n">
        <x:v>18</x:v>
      </x:c>
      <x:c r="D178" s="31" t="n">
        <x:f>IF(OR(C178&gt;=$E$43,INDEX($I$51:$I$147,C178+1)&lt;=0.0000000001),0,IF($E$46=0,$E$44/MIN($E$43,COUNTIF($I$51:$I$110,"&gt;0.0000000001")),IF(C178=$E$45,$E$44,0)))</x:f>
        <x:v>0</x:v>
      </x:c>
      <x:c r="E178" s="31" t="n">
        <x:f>IF(D178=0,0,D178/(INDEX($I$51:$I$147,C178+1)*INDEX($H$51:$H$147,C178+1)))</x:f>
        <x:v>0</x:v>
      </x:c>
      <x:c r="F178" s="31" t="n">
        <x:f>E178*INDEX($G$51:$G$147,C178+1)</x:f>
        <x:v>0</x:v>
      </x:c>
      <x:c r="G178" s="2"/>
      <x:c r="H178" s="2"/>
      <x:c r="I178" s="2"/>
      <x:c r="J178" s="2"/>
      <x:c r="K178" s="2"/>
      <x:c r="L178" s="2"/>
      <x:c r="M178" s="2"/>
      <x:c r="N178" s="2"/>
      <x:c r="O178" s="2"/>
      <x:c r="P178" s="2"/>
      <x:c r="Q178" s="2"/>
      <x:c r="R178" s="2"/>
      <x:c r="S178" s="2"/>
      <x:c r="T178" s="2"/>
      <x:c r="U178" s="2"/>
      <x:c r="V178" s="2"/>
      <x:c r="W178" s="2"/>
      <x:c r="X178" s="2"/>
      <x:c r="Y178" s="2"/>
      <x:c r="Z178" s="2"/>
      <x:c r="AA178" s="2"/>
      <x:c r="AB178" s="2"/>
      <x:c r="AC178" s="2"/>
      <x:c r="AD178" s="2"/>
      <x:c r="AE178" s="2"/>
      <x:c r="AF178" s="2"/>
      <x:c r="AG178" s="2"/>
      <x:c r="AH178" s="2"/>
      <x:c r="AI178" s="2"/>
      <x:c r="AJ178" s="2"/>
      <x:c r="AK178" s="2"/>
      <x:c r="AL178" s="2"/>
      <x:c r="AM178" s="2"/>
      <x:c r="AN178" s="2"/>
      <x:c r="AO178" s="2"/>
      <x:c r="AP178" s="2"/>
      <x:c r="AQ178" s="2"/>
      <x:c r="AR178" s="2"/>
      <x:c r="AS178" s="2"/>
      <x:c r="AT178" s="2"/>
      <x:c r="AU178" s="2"/>
      <x:c r="AV178" s="2"/>
      <x:c r="AW178" s="2"/>
      <x:c r="AX178" s="2"/>
      <x:c r="AY178" s="2"/>
      <x:c r="AZ178" s="2"/>
      <x:c r="BA178" s="2"/>
      <x:c r="BB178" s="2"/>
      <x:c r="BC178" s="2"/>
      <x:c r="BD178" s="2"/>
      <x:c r="BE178" s="2"/>
      <x:c r="BF178" s="2"/>
      <x:c r="BG178" s="2"/>
      <x:c r="BH178" s="2"/>
      <x:c r="BI178" s="2"/>
      <x:c r="BJ178" s="2"/>
      <x:c r="BK178" s="2"/>
      <x:c r="BL178" s="2"/>
      <x:c r="BM178" s="2"/>
      <x:c r="BN178" s="2"/>
      <x:c r="BO178" s="2"/>
      <x:c r="BP178" s="2"/>
      <x:c r="BQ178" s="2"/>
      <x:c r="BR178" s="2"/>
      <x:c r="BS178" s="2"/>
      <x:c r="BT178" s="2"/>
      <x:c r="BU178" s="2"/>
      <x:c r="BV178" s="2"/>
      <x:c r="BW178" s="2"/>
      <x:c r="BX178" s="2"/>
      <x:c r="BY178" s="2"/>
      <x:c r="BZ178" s="2"/>
      <x:c r="CA178" s="2"/>
      <x:c r="CB178" s="2"/>
      <x:c r="CC178" s="2"/>
      <x:c r="CD178" s="2"/>
      <x:c r="CE178" s="2"/>
      <x:c r="CF178" s="2"/>
      <x:c r="CG178" s="2"/>
      <x:c r="CH178" s="2"/>
      <x:c r="CI178" s="2"/>
      <x:c r="CJ178" s="2"/>
      <x:c r="CK178" s="2"/>
      <x:c r="CL178" s="2"/>
      <x:c r="CM178" s="2"/>
      <x:c r="CN178" s="2"/>
      <x:c r="CO178" s="2"/>
      <x:c r="CP178" s="2"/>
      <x:c r="CQ178" s="2"/>
      <x:c r="CR178" s="2"/>
      <x:c r="CS178" s="2"/>
      <x:c r="CT178" s="2"/>
      <x:c r="CU178" s="2"/>
      <x:c r="CV178" s="2"/>
      <x:c r="CW178" s="2"/>
      <x:c r="CX178" s="2"/>
      <x:c r="CY178" s="2"/>
    </x:row>
    <x:row r="179" ht="19" customHeight="1">
      <x:c r="A179" s="1"/>
      <x:c r="B179" s="1"/>
      <x:c r="C179" s="2" t="n">
        <x:v>19</x:v>
      </x:c>
      <x:c r="D179" s="31" t="n">
        <x:f>IF(OR(C179&gt;=$E$43,INDEX($I$51:$I$147,C179+1)&lt;=0.0000000001),0,IF($E$46=0,$E$44/MIN($E$43,COUNTIF($I$51:$I$110,"&gt;0.0000000001")),IF(C179=$E$45,$E$44,0)))</x:f>
        <x:v>0</x:v>
      </x:c>
      <x:c r="E179" s="31" t="n">
        <x:f>IF(D179=0,0,D179/(INDEX($I$51:$I$147,C179+1)*INDEX($H$51:$H$147,C179+1)))</x:f>
        <x:v>0</x:v>
      </x:c>
      <x:c r="F179" s="31" t="n">
        <x:f>E179*INDEX($G$51:$G$147,C179+1)</x:f>
        <x:v>0</x:v>
      </x:c>
      <x:c r="G179" s="2"/>
      <x:c r="H179" s="2"/>
      <x:c r="I179" s="2"/>
      <x:c r="J179" s="2"/>
      <x:c r="K179" s="2"/>
      <x:c r="L179" s="2"/>
      <x:c r="M179" s="2"/>
      <x:c r="N179" s="2"/>
      <x:c r="O179" s="2"/>
      <x:c r="P179" s="2"/>
      <x:c r="Q179" s="2"/>
      <x:c r="R179" s="2"/>
      <x:c r="S179" s="2"/>
      <x:c r="T179" s="2"/>
      <x:c r="U179" s="2"/>
      <x:c r="V179" s="2"/>
      <x:c r="W179" s="2"/>
      <x:c r="X179" s="2"/>
      <x:c r="Y179" s="2"/>
      <x:c r="Z179" s="2"/>
      <x:c r="AA179" s="2"/>
      <x:c r="AB179" s="2"/>
      <x:c r="AC179" s="2"/>
      <x:c r="AD179" s="2"/>
      <x:c r="AE179" s="2"/>
      <x:c r="AF179" s="2"/>
      <x:c r="AG179" s="2"/>
      <x:c r="AH179" s="2"/>
      <x:c r="AI179" s="2"/>
      <x:c r="AJ179" s="2"/>
      <x:c r="AK179" s="2"/>
      <x:c r="AL179" s="2"/>
      <x:c r="AM179" s="2"/>
      <x:c r="AN179" s="2"/>
      <x:c r="AO179" s="2"/>
      <x:c r="AP179" s="2"/>
      <x:c r="AQ179" s="2"/>
      <x:c r="AR179" s="2"/>
      <x:c r="AS179" s="2"/>
      <x:c r="AT179" s="2"/>
      <x:c r="AU179" s="2"/>
      <x:c r="AV179" s="2"/>
      <x:c r="AW179" s="2"/>
      <x:c r="AX179" s="2"/>
      <x:c r="AY179" s="2"/>
      <x:c r="AZ179" s="2"/>
      <x:c r="BA179" s="2"/>
      <x:c r="BB179" s="2"/>
      <x:c r="BC179" s="2"/>
      <x:c r="BD179" s="2"/>
      <x:c r="BE179" s="2"/>
      <x:c r="BF179" s="2"/>
      <x:c r="BG179" s="2"/>
      <x:c r="BH179" s="2"/>
      <x:c r="BI179" s="2"/>
      <x:c r="BJ179" s="2"/>
      <x:c r="BK179" s="2"/>
      <x:c r="BL179" s="2"/>
      <x:c r="BM179" s="2"/>
      <x:c r="BN179" s="2"/>
      <x:c r="BO179" s="2"/>
      <x:c r="BP179" s="2"/>
      <x:c r="BQ179" s="2"/>
      <x:c r="BR179" s="2"/>
      <x:c r="BS179" s="2"/>
      <x:c r="BT179" s="2"/>
      <x:c r="BU179" s="2"/>
      <x:c r="BV179" s="2"/>
      <x:c r="BW179" s="2"/>
      <x:c r="BX179" s="2"/>
      <x:c r="BY179" s="2"/>
      <x:c r="BZ179" s="2"/>
      <x:c r="CA179" s="2"/>
      <x:c r="CB179" s="2"/>
      <x:c r="CC179" s="2"/>
      <x:c r="CD179" s="2"/>
      <x:c r="CE179" s="2"/>
      <x:c r="CF179" s="2"/>
      <x:c r="CG179" s="2"/>
      <x:c r="CH179" s="2"/>
      <x:c r="CI179" s="2"/>
      <x:c r="CJ179" s="2"/>
      <x:c r="CK179" s="2"/>
      <x:c r="CL179" s="2"/>
      <x:c r="CM179" s="2"/>
      <x:c r="CN179" s="2"/>
      <x:c r="CO179" s="2"/>
      <x:c r="CP179" s="2"/>
      <x:c r="CQ179" s="2"/>
      <x:c r="CR179" s="2"/>
      <x:c r="CS179" s="2"/>
      <x:c r="CT179" s="2"/>
      <x:c r="CU179" s="2"/>
      <x:c r="CV179" s="2"/>
      <x:c r="CW179" s="2"/>
      <x:c r="CX179" s="2"/>
      <x:c r="CY179" s="2"/>
    </x:row>
    <x:row r="180" ht="19" customHeight="1">
      <x:c r="A180" s="1"/>
      <x:c r="B180" s="1"/>
      <x:c r="C180" s="2" t="n">
        <x:v>20</x:v>
      </x:c>
      <x:c r="D180" s="31" t="n">
        <x:f>IF(OR(C180&gt;=$E$43,INDEX($I$51:$I$147,C180+1)&lt;=0.0000000001),0,IF($E$46=0,$E$44/MIN($E$43,COUNTIF($I$51:$I$110,"&gt;0.0000000001")),IF(C180=$E$45,$E$44,0)))</x:f>
        <x:v>0</x:v>
      </x:c>
      <x:c r="E180" s="31" t="n">
        <x:f>IF(D180=0,0,D180/(INDEX($I$51:$I$147,C180+1)*INDEX($H$51:$H$147,C180+1)))</x:f>
        <x:v>0</x:v>
      </x:c>
      <x:c r="F180" s="31" t="n">
        <x:f>E180*INDEX($G$51:$G$147,C180+1)</x:f>
        <x:v>0</x:v>
      </x:c>
      <x:c r="G180" s="2"/>
      <x:c r="H180" s="2"/>
      <x:c r="I180" s="2"/>
      <x:c r="J180" s="2"/>
      <x:c r="K180" s="2"/>
      <x:c r="L180" s="2"/>
      <x:c r="M180" s="2"/>
      <x:c r="N180" s="2"/>
      <x:c r="O180" s="2"/>
      <x:c r="P180" s="2"/>
      <x:c r="Q180" s="2"/>
      <x:c r="R180" s="2"/>
      <x:c r="S180" s="2"/>
      <x:c r="T180" s="2"/>
      <x:c r="U180" s="2"/>
      <x:c r="V180" s="2"/>
      <x:c r="W180" s="2"/>
      <x:c r="X180" s="2"/>
      <x:c r="Y180" s="2"/>
      <x:c r="Z180" s="2"/>
      <x:c r="AA180" s="2"/>
      <x:c r="AB180" s="2"/>
      <x:c r="AC180" s="2"/>
      <x:c r="AD180" s="2"/>
      <x:c r="AE180" s="2"/>
      <x:c r="AF180" s="2"/>
      <x:c r="AG180" s="2"/>
      <x:c r="AH180" s="2"/>
      <x:c r="AI180" s="2"/>
      <x:c r="AJ180" s="2"/>
      <x:c r="AK180" s="2"/>
      <x:c r="AL180" s="2"/>
      <x:c r="AM180" s="2"/>
      <x:c r="AN180" s="2"/>
      <x:c r="AO180" s="2"/>
      <x:c r="AP180" s="2"/>
      <x:c r="AQ180" s="2"/>
      <x:c r="AR180" s="2"/>
      <x:c r="AS180" s="2"/>
      <x:c r="AT180" s="2"/>
      <x:c r="AU180" s="2"/>
      <x:c r="AV180" s="2"/>
      <x:c r="AW180" s="2"/>
      <x:c r="AX180" s="2"/>
      <x:c r="AY180" s="2"/>
      <x:c r="AZ180" s="2"/>
      <x:c r="BA180" s="2"/>
      <x:c r="BB180" s="2"/>
      <x:c r="BC180" s="2"/>
      <x:c r="BD180" s="2"/>
      <x:c r="BE180" s="2"/>
      <x:c r="BF180" s="2"/>
      <x:c r="BG180" s="2"/>
      <x:c r="BH180" s="2"/>
      <x:c r="BI180" s="2"/>
      <x:c r="BJ180" s="2"/>
      <x:c r="BK180" s="2"/>
      <x:c r="BL180" s="2"/>
      <x:c r="BM180" s="2"/>
      <x:c r="BN180" s="2"/>
      <x:c r="BO180" s="2"/>
      <x:c r="BP180" s="2"/>
      <x:c r="BQ180" s="2"/>
      <x:c r="BR180" s="2"/>
      <x:c r="BS180" s="2"/>
      <x:c r="BT180" s="2"/>
      <x:c r="BU180" s="2"/>
      <x:c r="BV180" s="2"/>
      <x:c r="BW180" s="2"/>
      <x:c r="BX180" s="2"/>
      <x:c r="BY180" s="2"/>
      <x:c r="BZ180" s="2"/>
      <x:c r="CA180" s="2"/>
      <x:c r="CB180" s="2"/>
      <x:c r="CC180" s="2"/>
      <x:c r="CD180" s="2"/>
      <x:c r="CE180" s="2"/>
      <x:c r="CF180" s="2"/>
      <x:c r="CG180" s="2"/>
      <x:c r="CH180" s="2"/>
      <x:c r="CI180" s="2"/>
      <x:c r="CJ180" s="2"/>
      <x:c r="CK180" s="2"/>
      <x:c r="CL180" s="2"/>
      <x:c r="CM180" s="2"/>
      <x:c r="CN180" s="2"/>
      <x:c r="CO180" s="2"/>
      <x:c r="CP180" s="2"/>
      <x:c r="CQ180" s="2"/>
      <x:c r="CR180" s="2"/>
      <x:c r="CS180" s="2"/>
      <x:c r="CT180" s="2"/>
      <x:c r="CU180" s="2"/>
      <x:c r="CV180" s="2"/>
      <x:c r="CW180" s="2"/>
      <x:c r="CX180" s="2"/>
      <x:c r="CY180" s="2"/>
    </x:row>
    <x:row r="181" ht="19" customHeight="1">
      <x:c r="A181" s="1"/>
      <x:c r="B181" s="1"/>
      <x:c r="C181" s="2" t="n">
        <x:v>21</x:v>
      </x:c>
      <x:c r="D181" s="31" t="n">
        <x:f>IF(OR(C181&gt;=$E$43,INDEX($I$51:$I$147,C181+1)&lt;=0.0000000001),0,IF($E$46=0,$E$44/MIN($E$43,COUNTIF($I$51:$I$110,"&gt;0.0000000001")),IF(C181=$E$45,$E$44,0)))</x:f>
        <x:v>0</x:v>
      </x:c>
      <x:c r="E181" s="31" t="n">
        <x:f>IF(D181=0,0,D181/(INDEX($I$51:$I$147,C181+1)*INDEX($H$51:$H$147,C181+1)))</x:f>
        <x:v>0</x:v>
      </x:c>
      <x:c r="F181" s="31" t="n">
        <x:f>E181*INDEX($G$51:$G$147,C181+1)</x:f>
        <x:v>0</x:v>
      </x:c>
      <x:c r="G181" s="2"/>
      <x:c r="H181" s="2"/>
      <x:c r="I181" s="2"/>
      <x:c r="J181" s="2"/>
      <x:c r="K181" s="2"/>
      <x:c r="L181" s="2"/>
      <x:c r="M181" s="2"/>
      <x:c r="N181" s="2"/>
      <x:c r="O181" s="2"/>
      <x:c r="P181" s="2"/>
      <x:c r="Q181" s="2"/>
      <x:c r="R181" s="2"/>
      <x:c r="S181" s="2"/>
      <x:c r="T181" s="2"/>
      <x:c r="U181" s="2"/>
      <x:c r="V181" s="2"/>
      <x:c r="W181" s="2"/>
      <x:c r="X181" s="2"/>
      <x:c r="Y181" s="2"/>
      <x:c r="Z181" s="2"/>
      <x:c r="AA181" s="2"/>
      <x:c r="AB181" s="2"/>
      <x:c r="AC181" s="2"/>
      <x:c r="AD181" s="2"/>
      <x:c r="AE181" s="2"/>
      <x:c r="AF181" s="2"/>
      <x:c r="AG181" s="2"/>
      <x:c r="AH181" s="2"/>
      <x:c r="AI181" s="2"/>
      <x:c r="AJ181" s="2"/>
      <x:c r="AK181" s="2"/>
      <x:c r="AL181" s="2"/>
      <x:c r="AM181" s="2"/>
      <x:c r="AN181" s="2"/>
      <x:c r="AO181" s="2"/>
      <x:c r="AP181" s="2"/>
      <x:c r="AQ181" s="2"/>
      <x:c r="AR181" s="2"/>
      <x:c r="AS181" s="2"/>
      <x:c r="AT181" s="2"/>
      <x:c r="AU181" s="2"/>
      <x:c r="AV181" s="2"/>
      <x:c r="AW181" s="2"/>
      <x:c r="AX181" s="2"/>
      <x:c r="AY181" s="2"/>
      <x:c r="AZ181" s="2"/>
      <x:c r="BA181" s="2"/>
      <x:c r="BB181" s="2"/>
      <x:c r="BC181" s="2"/>
      <x:c r="BD181" s="2"/>
      <x:c r="BE181" s="2"/>
      <x:c r="BF181" s="2"/>
      <x:c r="BG181" s="2"/>
      <x:c r="BH181" s="2"/>
      <x:c r="BI181" s="2"/>
      <x:c r="BJ181" s="2"/>
      <x:c r="BK181" s="2"/>
      <x:c r="BL181" s="2"/>
      <x:c r="BM181" s="2"/>
      <x:c r="BN181" s="2"/>
      <x:c r="BO181" s="2"/>
      <x:c r="BP181" s="2"/>
      <x:c r="BQ181" s="2"/>
      <x:c r="BR181" s="2"/>
      <x:c r="BS181" s="2"/>
      <x:c r="BT181" s="2"/>
      <x:c r="BU181" s="2"/>
      <x:c r="BV181" s="2"/>
      <x:c r="BW181" s="2"/>
      <x:c r="BX181" s="2"/>
      <x:c r="BY181" s="2"/>
      <x:c r="BZ181" s="2"/>
      <x:c r="CA181" s="2"/>
      <x:c r="CB181" s="2"/>
      <x:c r="CC181" s="2"/>
      <x:c r="CD181" s="2"/>
      <x:c r="CE181" s="2"/>
      <x:c r="CF181" s="2"/>
      <x:c r="CG181" s="2"/>
      <x:c r="CH181" s="2"/>
      <x:c r="CI181" s="2"/>
      <x:c r="CJ181" s="2"/>
      <x:c r="CK181" s="2"/>
      <x:c r="CL181" s="2"/>
      <x:c r="CM181" s="2"/>
      <x:c r="CN181" s="2"/>
      <x:c r="CO181" s="2"/>
      <x:c r="CP181" s="2"/>
      <x:c r="CQ181" s="2"/>
      <x:c r="CR181" s="2"/>
      <x:c r="CS181" s="2"/>
      <x:c r="CT181" s="2"/>
      <x:c r="CU181" s="2"/>
      <x:c r="CV181" s="2"/>
      <x:c r="CW181" s="2"/>
      <x:c r="CX181" s="2"/>
      <x:c r="CY181" s="2"/>
    </x:row>
    <x:row r="182" ht="19" customHeight="1">
      <x:c r="A182" s="1"/>
      <x:c r="B182" s="1"/>
      <x:c r="C182" s="2" t="n">
        <x:v>22</x:v>
      </x:c>
      <x:c r="D182" s="31" t="n">
        <x:f>IF(OR(C182&gt;=$E$43,INDEX($I$51:$I$147,C182+1)&lt;=0.0000000001),0,IF($E$46=0,$E$44/MIN($E$43,COUNTIF($I$51:$I$110,"&gt;0.0000000001")),IF(C182=$E$45,$E$44,0)))</x:f>
        <x:v>0</x:v>
      </x:c>
      <x:c r="E182" s="31" t="n">
        <x:f>IF(D182=0,0,D182/(INDEX($I$51:$I$147,C182+1)*INDEX($H$51:$H$147,C182+1)))</x:f>
        <x:v>0</x:v>
      </x:c>
      <x:c r="F182" s="31" t="n">
        <x:f>E182*INDEX($G$51:$G$147,C182+1)</x:f>
        <x:v>0</x:v>
      </x:c>
      <x:c r="G182" s="2"/>
      <x:c r="H182" s="2"/>
      <x:c r="I182" s="2"/>
      <x:c r="J182" s="2"/>
      <x:c r="K182" s="2"/>
      <x:c r="L182" s="2"/>
      <x:c r="M182" s="2"/>
      <x:c r="N182" s="2"/>
      <x:c r="O182" s="2"/>
      <x:c r="P182" s="2"/>
      <x:c r="Q182" s="2"/>
      <x:c r="R182" s="2"/>
      <x:c r="S182" s="2"/>
      <x:c r="T182" s="2"/>
      <x:c r="U182" s="2"/>
      <x:c r="V182" s="2"/>
      <x:c r="W182" s="2"/>
      <x:c r="X182" s="2"/>
      <x:c r="Y182" s="2"/>
      <x:c r="Z182" s="2"/>
      <x:c r="AA182" s="2"/>
      <x:c r="AB182" s="2"/>
      <x:c r="AC182" s="2"/>
      <x:c r="AD182" s="2"/>
      <x:c r="AE182" s="2"/>
      <x:c r="AF182" s="2"/>
      <x:c r="AG182" s="2"/>
      <x:c r="AH182" s="2"/>
      <x:c r="AI182" s="2"/>
      <x:c r="AJ182" s="2"/>
      <x:c r="AK182" s="2"/>
      <x:c r="AL182" s="2"/>
      <x:c r="AM182" s="2"/>
      <x:c r="AN182" s="2"/>
      <x:c r="AO182" s="2"/>
      <x:c r="AP182" s="2"/>
      <x:c r="AQ182" s="2"/>
      <x:c r="AR182" s="2"/>
      <x:c r="AS182" s="2"/>
      <x:c r="AT182" s="2"/>
      <x:c r="AU182" s="2"/>
      <x:c r="AV182" s="2"/>
      <x:c r="AW182" s="2"/>
      <x:c r="AX182" s="2"/>
      <x:c r="AY182" s="2"/>
      <x:c r="AZ182" s="2"/>
      <x:c r="BA182" s="2"/>
      <x:c r="BB182" s="2"/>
      <x:c r="BC182" s="2"/>
      <x:c r="BD182" s="2"/>
      <x:c r="BE182" s="2"/>
      <x:c r="BF182" s="2"/>
      <x:c r="BG182" s="2"/>
      <x:c r="BH182" s="2"/>
      <x:c r="BI182" s="2"/>
      <x:c r="BJ182" s="2"/>
      <x:c r="BK182" s="2"/>
      <x:c r="BL182" s="2"/>
      <x:c r="BM182" s="2"/>
      <x:c r="BN182" s="2"/>
      <x:c r="BO182" s="2"/>
      <x:c r="BP182" s="2"/>
      <x:c r="BQ182" s="2"/>
      <x:c r="BR182" s="2"/>
      <x:c r="BS182" s="2"/>
      <x:c r="BT182" s="2"/>
      <x:c r="BU182" s="2"/>
      <x:c r="BV182" s="2"/>
      <x:c r="BW182" s="2"/>
      <x:c r="BX182" s="2"/>
      <x:c r="BY182" s="2"/>
      <x:c r="BZ182" s="2"/>
      <x:c r="CA182" s="2"/>
      <x:c r="CB182" s="2"/>
      <x:c r="CC182" s="2"/>
      <x:c r="CD182" s="2"/>
      <x:c r="CE182" s="2"/>
      <x:c r="CF182" s="2"/>
      <x:c r="CG182" s="2"/>
      <x:c r="CH182" s="2"/>
      <x:c r="CI182" s="2"/>
      <x:c r="CJ182" s="2"/>
      <x:c r="CK182" s="2"/>
      <x:c r="CL182" s="2"/>
      <x:c r="CM182" s="2"/>
      <x:c r="CN182" s="2"/>
      <x:c r="CO182" s="2"/>
      <x:c r="CP182" s="2"/>
      <x:c r="CQ182" s="2"/>
      <x:c r="CR182" s="2"/>
      <x:c r="CS182" s="2"/>
      <x:c r="CT182" s="2"/>
      <x:c r="CU182" s="2"/>
      <x:c r="CV182" s="2"/>
      <x:c r="CW182" s="2"/>
      <x:c r="CX182" s="2"/>
      <x:c r="CY182" s="2"/>
    </x:row>
    <x:row r="183" ht="19" customHeight="1">
      <x:c r="A183" s="1"/>
      <x:c r="B183" s="1"/>
      <x:c r="C183" s="2" t="n">
        <x:v>23</x:v>
      </x:c>
      <x:c r="D183" s="31" t="n">
        <x:f>IF(OR(C183&gt;=$E$43,INDEX($I$51:$I$147,C183+1)&lt;=0.0000000001),0,IF($E$46=0,$E$44/MIN($E$43,COUNTIF($I$51:$I$110,"&gt;0.0000000001")),IF(C183=$E$45,$E$44,0)))</x:f>
        <x:v>0</x:v>
      </x:c>
      <x:c r="E183" s="31" t="n">
        <x:f>IF(D183=0,0,D183/(INDEX($I$51:$I$147,C183+1)*INDEX($H$51:$H$147,C183+1)))</x:f>
        <x:v>0</x:v>
      </x:c>
      <x:c r="F183" s="31" t="n">
        <x:f>E183*INDEX($G$51:$G$147,C183+1)</x:f>
        <x:v>0</x:v>
      </x:c>
      <x:c r="G183" s="2"/>
      <x:c r="H183" s="2"/>
      <x:c r="I183" s="2"/>
      <x:c r="J183" s="2"/>
      <x:c r="K183" s="2"/>
      <x:c r="L183" s="2"/>
      <x:c r="M183" s="2"/>
      <x:c r="N183" s="2"/>
      <x:c r="O183" s="2"/>
      <x:c r="P183" s="2"/>
      <x:c r="Q183" s="2"/>
      <x:c r="R183" s="2"/>
      <x:c r="S183" s="2"/>
      <x:c r="T183" s="2"/>
      <x:c r="U183" s="2"/>
      <x:c r="V183" s="2"/>
      <x:c r="W183" s="2"/>
      <x:c r="X183" s="2"/>
      <x:c r="Y183" s="2"/>
      <x:c r="Z183" s="2"/>
      <x:c r="AA183" s="2"/>
      <x:c r="AB183" s="2"/>
      <x:c r="AC183" s="2"/>
      <x:c r="AD183" s="2"/>
      <x:c r="AE183" s="2"/>
      <x:c r="AF183" s="2"/>
      <x:c r="AG183" s="2"/>
      <x:c r="AH183" s="2"/>
      <x:c r="AI183" s="2"/>
      <x:c r="AJ183" s="2"/>
      <x:c r="AK183" s="2"/>
      <x:c r="AL183" s="2"/>
      <x:c r="AM183" s="2"/>
      <x:c r="AN183" s="2"/>
      <x:c r="AO183" s="2"/>
      <x:c r="AP183" s="2"/>
      <x:c r="AQ183" s="2"/>
      <x:c r="AR183" s="2"/>
      <x:c r="AS183" s="2"/>
      <x:c r="AT183" s="2"/>
      <x:c r="AU183" s="2"/>
      <x:c r="AV183" s="2"/>
      <x:c r="AW183" s="2"/>
      <x:c r="AX183" s="2"/>
      <x:c r="AY183" s="2"/>
      <x:c r="AZ183" s="2"/>
      <x:c r="BA183" s="2"/>
      <x:c r="BB183" s="2"/>
      <x:c r="BC183" s="2"/>
      <x:c r="BD183" s="2"/>
      <x:c r="BE183" s="2"/>
      <x:c r="BF183" s="2"/>
      <x:c r="BG183" s="2"/>
      <x:c r="BH183" s="2"/>
      <x:c r="BI183" s="2"/>
      <x:c r="BJ183" s="2"/>
      <x:c r="BK183" s="2"/>
      <x:c r="BL183" s="2"/>
      <x:c r="BM183" s="2"/>
      <x:c r="BN183" s="2"/>
      <x:c r="BO183" s="2"/>
      <x:c r="BP183" s="2"/>
      <x:c r="BQ183" s="2"/>
      <x:c r="BR183" s="2"/>
      <x:c r="BS183" s="2"/>
      <x:c r="BT183" s="2"/>
      <x:c r="BU183" s="2"/>
      <x:c r="BV183" s="2"/>
      <x:c r="BW183" s="2"/>
      <x:c r="BX183" s="2"/>
      <x:c r="BY183" s="2"/>
      <x:c r="BZ183" s="2"/>
      <x:c r="CA183" s="2"/>
      <x:c r="CB183" s="2"/>
      <x:c r="CC183" s="2"/>
      <x:c r="CD183" s="2"/>
      <x:c r="CE183" s="2"/>
      <x:c r="CF183" s="2"/>
      <x:c r="CG183" s="2"/>
      <x:c r="CH183" s="2"/>
      <x:c r="CI183" s="2"/>
      <x:c r="CJ183" s="2"/>
      <x:c r="CK183" s="2"/>
      <x:c r="CL183" s="2"/>
      <x:c r="CM183" s="2"/>
      <x:c r="CN183" s="2"/>
      <x:c r="CO183" s="2"/>
      <x:c r="CP183" s="2"/>
      <x:c r="CQ183" s="2"/>
      <x:c r="CR183" s="2"/>
      <x:c r="CS183" s="2"/>
      <x:c r="CT183" s="2"/>
      <x:c r="CU183" s="2"/>
      <x:c r="CV183" s="2"/>
      <x:c r="CW183" s="2"/>
      <x:c r="CX183" s="2"/>
      <x:c r="CY183" s="2"/>
    </x:row>
    <x:row r="184" ht="19" customHeight="1">
      <x:c r="A184" s="1"/>
      <x:c r="B184" s="1"/>
      <x:c r="C184" s="2" t="n">
        <x:v>24</x:v>
      </x:c>
      <x:c r="D184" s="31" t="n">
        <x:f>IF(OR(C184&gt;=$E$43,INDEX($I$51:$I$147,C184+1)&lt;=0.0000000001),0,IF($E$46=0,$E$44/MIN($E$43,COUNTIF($I$51:$I$110,"&gt;0.0000000001")),IF(C184=$E$45,$E$44,0)))</x:f>
        <x:v>0</x:v>
      </x:c>
      <x:c r="E184" s="31" t="n">
        <x:f>IF(D184=0,0,D184/(INDEX($I$51:$I$147,C184+1)*INDEX($H$51:$H$147,C184+1)))</x:f>
        <x:v>0</x:v>
      </x:c>
      <x:c r="F184" s="31" t="n">
        <x:f>E184*INDEX($G$51:$G$147,C184+1)</x:f>
        <x:v>0</x:v>
      </x:c>
      <x:c r="G184" s="2"/>
      <x:c r="H184" s="2"/>
      <x:c r="I184" s="2"/>
      <x:c r="J184" s="2"/>
      <x:c r="K184" s="2"/>
      <x:c r="L184" s="2"/>
      <x:c r="M184" s="2"/>
      <x:c r="N184" s="2"/>
      <x:c r="O184" s="2"/>
      <x:c r="P184" s="2"/>
      <x:c r="Q184" s="2"/>
      <x:c r="R184" s="2"/>
      <x:c r="S184" s="2"/>
      <x:c r="T184" s="2"/>
      <x:c r="U184" s="2"/>
      <x:c r="V184" s="2"/>
      <x:c r="W184" s="2"/>
      <x:c r="X184" s="2"/>
      <x:c r="Y184" s="2"/>
      <x:c r="Z184" s="2"/>
      <x:c r="AA184" s="2"/>
      <x:c r="AB184" s="2"/>
      <x:c r="AC184" s="2"/>
      <x:c r="AD184" s="2"/>
      <x:c r="AE184" s="2"/>
      <x:c r="AF184" s="2"/>
      <x:c r="AG184" s="2"/>
      <x:c r="AH184" s="2"/>
      <x:c r="AI184" s="2"/>
      <x:c r="AJ184" s="2"/>
      <x:c r="AK184" s="2"/>
      <x:c r="AL184" s="2"/>
      <x:c r="AM184" s="2"/>
      <x:c r="AN184" s="2"/>
      <x:c r="AO184" s="2"/>
      <x:c r="AP184" s="2"/>
      <x:c r="AQ184" s="2"/>
      <x:c r="AR184" s="2"/>
      <x:c r="AS184" s="2"/>
      <x:c r="AT184" s="2"/>
      <x:c r="AU184" s="2"/>
      <x:c r="AV184" s="2"/>
      <x:c r="AW184" s="2"/>
      <x:c r="AX184" s="2"/>
      <x:c r="AY184" s="2"/>
      <x:c r="AZ184" s="2"/>
      <x:c r="BA184" s="2"/>
      <x:c r="BB184" s="2"/>
      <x:c r="BC184" s="2"/>
      <x:c r="BD184" s="2"/>
      <x:c r="BE184" s="2"/>
      <x:c r="BF184" s="2"/>
      <x:c r="BG184" s="2"/>
      <x:c r="BH184" s="2"/>
      <x:c r="BI184" s="2"/>
      <x:c r="BJ184" s="2"/>
      <x:c r="BK184" s="2"/>
      <x:c r="BL184" s="2"/>
      <x:c r="BM184" s="2"/>
      <x:c r="BN184" s="2"/>
      <x:c r="BO184" s="2"/>
      <x:c r="BP184" s="2"/>
      <x:c r="BQ184" s="2"/>
      <x:c r="BR184" s="2"/>
      <x:c r="BS184" s="2"/>
      <x:c r="BT184" s="2"/>
      <x:c r="BU184" s="2"/>
      <x:c r="BV184" s="2"/>
      <x:c r="BW184" s="2"/>
      <x:c r="BX184" s="2"/>
      <x:c r="BY184" s="2"/>
      <x:c r="BZ184" s="2"/>
      <x:c r="CA184" s="2"/>
      <x:c r="CB184" s="2"/>
      <x:c r="CC184" s="2"/>
      <x:c r="CD184" s="2"/>
      <x:c r="CE184" s="2"/>
      <x:c r="CF184" s="2"/>
      <x:c r="CG184" s="2"/>
      <x:c r="CH184" s="2"/>
      <x:c r="CI184" s="2"/>
      <x:c r="CJ184" s="2"/>
      <x:c r="CK184" s="2"/>
      <x:c r="CL184" s="2"/>
      <x:c r="CM184" s="2"/>
      <x:c r="CN184" s="2"/>
      <x:c r="CO184" s="2"/>
      <x:c r="CP184" s="2"/>
      <x:c r="CQ184" s="2"/>
      <x:c r="CR184" s="2"/>
      <x:c r="CS184" s="2"/>
      <x:c r="CT184" s="2"/>
      <x:c r="CU184" s="2"/>
      <x:c r="CV184" s="2"/>
      <x:c r="CW184" s="2"/>
      <x:c r="CX184" s="2"/>
      <x:c r="CY184" s="2"/>
    </x:row>
    <x:row r="185" ht="19" customHeight="1">
      <x:c r="A185" s="1"/>
      <x:c r="B185" s="1"/>
      <x:c r="C185" s="2" t="n">
        <x:v>25</x:v>
      </x:c>
      <x:c r="D185" s="31" t="n">
        <x:f>IF(OR(C185&gt;=$E$43,INDEX($I$51:$I$147,C185+1)&lt;=0.0000000001),0,IF($E$46=0,$E$44/MIN($E$43,COUNTIF($I$51:$I$110,"&gt;0.0000000001")),IF(C185=$E$45,$E$44,0)))</x:f>
        <x:v>0</x:v>
      </x:c>
      <x:c r="E185" s="31" t="n">
        <x:f>IF(D185=0,0,D185/(INDEX($I$51:$I$147,C185+1)*INDEX($H$51:$H$147,C185+1)))</x:f>
        <x:v>0</x:v>
      </x:c>
      <x:c r="F185" s="31" t="n">
        <x:f>E185*INDEX($G$51:$G$147,C185+1)</x:f>
        <x:v>0</x:v>
      </x:c>
      <x:c r="G185" s="2"/>
      <x:c r="H185" s="2"/>
      <x:c r="I185" s="2"/>
      <x:c r="J185" s="2"/>
      <x:c r="K185" s="2"/>
      <x:c r="L185" s="2"/>
      <x:c r="M185" s="2"/>
      <x:c r="N185" s="2"/>
      <x:c r="O185" s="2"/>
      <x:c r="P185" s="2"/>
      <x:c r="Q185" s="2"/>
      <x:c r="R185" s="2"/>
      <x:c r="S185" s="2"/>
      <x:c r="T185" s="2"/>
      <x:c r="U185" s="2"/>
      <x:c r="V185" s="2"/>
      <x:c r="W185" s="2"/>
      <x:c r="X185" s="2"/>
      <x:c r="Y185" s="2"/>
      <x:c r="Z185" s="2"/>
      <x:c r="AA185" s="2"/>
      <x:c r="AB185" s="2"/>
      <x:c r="AC185" s="2"/>
      <x:c r="AD185" s="2"/>
      <x:c r="AE185" s="2"/>
      <x:c r="AF185" s="2"/>
      <x:c r="AG185" s="2"/>
      <x:c r="AH185" s="2"/>
      <x:c r="AI185" s="2"/>
      <x:c r="AJ185" s="2"/>
      <x:c r="AK185" s="2"/>
      <x:c r="AL185" s="2"/>
      <x:c r="AM185" s="2"/>
      <x:c r="AN185" s="2"/>
      <x:c r="AO185" s="2"/>
      <x:c r="AP185" s="2"/>
      <x:c r="AQ185" s="2"/>
      <x:c r="AR185" s="2"/>
      <x:c r="AS185" s="2"/>
      <x:c r="AT185" s="2"/>
      <x:c r="AU185" s="2"/>
      <x:c r="AV185" s="2"/>
      <x:c r="AW185" s="2"/>
      <x:c r="AX185" s="2"/>
      <x:c r="AY185" s="2"/>
      <x:c r="AZ185" s="2"/>
      <x:c r="BA185" s="2"/>
      <x:c r="BB185" s="2"/>
      <x:c r="BC185" s="2"/>
      <x:c r="BD185" s="2"/>
      <x:c r="BE185" s="2"/>
      <x:c r="BF185" s="2"/>
      <x:c r="BG185" s="2"/>
      <x:c r="BH185" s="2"/>
      <x:c r="BI185" s="2"/>
      <x:c r="BJ185" s="2"/>
      <x:c r="BK185" s="2"/>
      <x:c r="BL185" s="2"/>
      <x:c r="BM185" s="2"/>
      <x:c r="BN185" s="2"/>
      <x:c r="BO185" s="2"/>
      <x:c r="BP185" s="2"/>
      <x:c r="BQ185" s="2"/>
      <x:c r="BR185" s="2"/>
      <x:c r="BS185" s="2"/>
      <x:c r="BT185" s="2"/>
      <x:c r="BU185" s="2"/>
      <x:c r="BV185" s="2"/>
      <x:c r="BW185" s="2"/>
      <x:c r="BX185" s="2"/>
      <x:c r="BY185" s="2"/>
      <x:c r="BZ185" s="2"/>
      <x:c r="CA185" s="2"/>
      <x:c r="CB185" s="2"/>
      <x:c r="CC185" s="2"/>
      <x:c r="CD185" s="2"/>
      <x:c r="CE185" s="2"/>
      <x:c r="CF185" s="2"/>
      <x:c r="CG185" s="2"/>
      <x:c r="CH185" s="2"/>
      <x:c r="CI185" s="2"/>
      <x:c r="CJ185" s="2"/>
      <x:c r="CK185" s="2"/>
      <x:c r="CL185" s="2"/>
      <x:c r="CM185" s="2"/>
      <x:c r="CN185" s="2"/>
      <x:c r="CO185" s="2"/>
      <x:c r="CP185" s="2"/>
      <x:c r="CQ185" s="2"/>
      <x:c r="CR185" s="2"/>
      <x:c r="CS185" s="2"/>
      <x:c r="CT185" s="2"/>
      <x:c r="CU185" s="2"/>
      <x:c r="CV185" s="2"/>
      <x:c r="CW185" s="2"/>
      <x:c r="CX185" s="2"/>
      <x:c r="CY185" s="2"/>
    </x:row>
    <x:row r="186" ht="19" customHeight="1">
      <x:c r="A186" s="1"/>
      <x:c r="B186" s="1"/>
      <x:c r="C186" s="2" t="n">
        <x:v>26</x:v>
      </x:c>
      <x:c r="D186" s="31" t="n">
        <x:f>IF(OR(C186&gt;=$E$43,INDEX($I$51:$I$147,C186+1)&lt;=0.0000000001),0,IF($E$46=0,$E$44/MIN($E$43,COUNTIF($I$51:$I$110,"&gt;0.0000000001")),IF(C186=$E$45,$E$44,0)))</x:f>
        <x:v>0</x:v>
      </x:c>
      <x:c r="E186" s="31" t="n">
        <x:f>IF(D186=0,0,D186/(INDEX($I$51:$I$147,C186+1)*INDEX($H$51:$H$147,C186+1)))</x:f>
        <x:v>0</x:v>
      </x:c>
      <x:c r="F186" s="31" t="n">
        <x:f>E186*INDEX($G$51:$G$147,C186+1)</x:f>
        <x:v>0</x:v>
      </x:c>
      <x:c r="G186" s="2"/>
      <x:c r="H186" s="2"/>
      <x:c r="I186" s="2"/>
      <x:c r="J186" s="2"/>
      <x:c r="K186" s="2"/>
      <x:c r="L186" s="2"/>
      <x:c r="M186" s="2"/>
      <x:c r="N186" s="2"/>
      <x:c r="O186" s="2"/>
      <x:c r="P186" s="2"/>
      <x:c r="Q186" s="2"/>
      <x:c r="R186" s="2"/>
      <x:c r="S186" s="2"/>
      <x:c r="T186" s="2"/>
      <x:c r="U186" s="2"/>
      <x:c r="V186" s="2"/>
      <x:c r="W186" s="2"/>
      <x:c r="X186" s="2"/>
      <x:c r="Y186" s="2"/>
      <x:c r="Z186" s="2"/>
      <x:c r="AA186" s="2"/>
      <x:c r="AB186" s="2"/>
      <x:c r="AC186" s="2"/>
      <x:c r="AD186" s="2"/>
      <x:c r="AE186" s="2"/>
      <x:c r="AF186" s="2"/>
      <x:c r="AG186" s="2"/>
      <x:c r="AH186" s="2"/>
      <x:c r="AI186" s="2"/>
      <x:c r="AJ186" s="2"/>
      <x:c r="AK186" s="2"/>
      <x:c r="AL186" s="2"/>
      <x:c r="AM186" s="2"/>
      <x:c r="AN186" s="2"/>
      <x:c r="AO186" s="2"/>
      <x:c r="AP186" s="2"/>
      <x:c r="AQ186" s="2"/>
      <x:c r="AR186" s="2"/>
      <x:c r="AS186" s="2"/>
      <x:c r="AT186" s="2"/>
      <x:c r="AU186" s="2"/>
      <x:c r="AV186" s="2"/>
      <x:c r="AW186" s="2"/>
      <x:c r="AX186" s="2"/>
      <x:c r="AY186" s="2"/>
      <x:c r="AZ186" s="2"/>
      <x:c r="BA186" s="2"/>
      <x:c r="BB186" s="2"/>
      <x:c r="BC186" s="2"/>
      <x:c r="BD186" s="2"/>
      <x:c r="BE186" s="2"/>
      <x:c r="BF186" s="2"/>
      <x:c r="BG186" s="2"/>
      <x:c r="BH186" s="2"/>
      <x:c r="BI186" s="2"/>
      <x:c r="BJ186" s="2"/>
      <x:c r="BK186" s="2"/>
      <x:c r="BL186" s="2"/>
      <x:c r="BM186" s="2"/>
      <x:c r="BN186" s="2"/>
      <x:c r="BO186" s="2"/>
      <x:c r="BP186" s="2"/>
      <x:c r="BQ186" s="2"/>
      <x:c r="BR186" s="2"/>
      <x:c r="BS186" s="2"/>
      <x:c r="BT186" s="2"/>
      <x:c r="BU186" s="2"/>
      <x:c r="BV186" s="2"/>
      <x:c r="BW186" s="2"/>
      <x:c r="BX186" s="2"/>
      <x:c r="BY186" s="2"/>
      <x:c r="BZ186" s="2"/>
      <x:c r="CA186" s="2"/>
      <x:c r="CB186" s="2"/>
      <x:c r="CC186" s="2"/>
      <x:c r="CD186" s="2"/>
      <x:c r="CE186" s="2"/>
      <x:c r="CF186" s="2"/>
      <x:c r="CG186" s="2"/>
      <x:c r="CH186" s="2"/>
      <x:c r="CI186" s="2"/>
      <x:c r="CJ186" s="2"/>
      <x:c r="CK186" s="2"/>
      <x:c r="CL186" s="2"/>
      <x:c r="CM186" s="2"/>
      <x:c r="CN186" s="2"/>
      <x:c r="CO186" s="2"/>
      <x:c r="CP186" s="2"/>
      <x:c r="CQ186" s="2"/>
      <x:c r="CR186" s="2"/>
      <x:c r="CS186" s="2"/>
      <x:c r="CT186" s="2"/>
      <x:c r="CU186" s="2"/>
      <x:c r="CV186" s="2"/>
      <x:c r="CW186" s="2"/>
      <x:c r="CX186" s="2"/>
      <x:c r="CY186" s="2"/>
    </x:row>
    <x:row r="187" ht="19" customHeight="1">
      <x:c r="A187" s="1"/>
      <x:c r="B187" s="1"/>
      <x:c r="C187" s="2" t="n">
        <x:v>27</x:v>
      </x:c>
      <x:c r="D187" s="31" t="n">
        <x:f>IF(OR(C187&gt;=$E$43,INDEX($I$51:$I$147,C187+1)&lt;=0.0000000001),0,IF($E$46=0,$E$44/MIN($E$43,COUNTIF($I$51:$I$110,"&gt;0.0000000001")),IF(C187=$E$45,$E$44,0)))</x:f>
        <x:v>0</x:v>
      </x:c>
      <x:c r="E187" s="31" t="n">
        <x:f>IF(D187=0,0,D187/(INDEX($I$51:$I$147,C187+1)*INDEX($H$51:$H$147,C187+1)))</x:f>
        <x:v>0</x:v>
      </x:c>
      <x:c r="F187" s="31" t="n">
        <x:f>E187*INDEX($G$51:$G$147,C187+1)</x:f>
        <x:v>0</x:v>
      </x:c>
      <x:c r="G187" s="2"/>
      <x:c r="H187" s="2"/>
      <x:c r="I187" s="2"/>
      <x:c r="J187" s="2"/>
      <x:c r="K187" s="2"/>
      <x:c r="L187" s="2"/>
      <x:c r="M187" s="2"/>
      <x:c r="N187" s="2"/>
      <x:c r="O187" s="2"/>
      <x:c r="P187" s="2"/>
      <x:c r="Q187" s="2"/>
      <x:c r="R187" s="2"/>
      <x:c r="S187" s="2"/>
      <x:c r="T187" s="2"/>
      <x:c r="U187" s="2"/>
      <x:c r="V187" s="2"/>
      <x:c r="W187" s="2"/>
      <x:c r="X187" s="2"/>
      <x:c r="Y187" s="2"/>
      <x:c r="Z187" s="2"/>
      <x:c r="AA187" s="2"/>
      <x:c r="AB187" s="2"/>
      <x:c r="AC187" s="2"/>
      <x:c r="AD187" s="2"/>
      <x:c r="AE187" s="2"/>
      <x:c r="AF187" s="2"/>
      <x:c r="AG187" s="2"/>
      <x:c r="AH187" s="2"/>
      <x:c r="AI187" s="2"/>
      <x:c r="AJ187" s="2"/>
      <x:c r="AK187" s="2"/>
      <x:c r="AL187" s="2"/>
      <x:c r="AM187" s="2"/>
      <x:c r="AN187" s="2"/>
      <x:c r="AO187" s="2"/>
      <x:c r="AP187" s="2"/>
      <x:c r="AQ187" s="2"/>
      <x:c r="AR187" s="2"/>
      <x:c r="AS187" s="2"/>
      <x:c r="AT187" s="2"/>
      <x:c r="AU187" s="2"/>
      <x:c r="AV187" s="2"/>
      <x:c r="AW187" s="2"/>
      <x:c r="AX187" s="2"/>
      <x:c r="AY187" s="2"/>
      <x:c r="AZ187" s="2"/>
      <x:c r="BA187" s="2"/>
      <x:c r="BB187" s="2"/>
      <x:c r="BC187" s="2"/>
      <x:c r="BD187" s="2"/>
      <x:c r="BE187" s="2"/>
      <x:c r="BF187" s="2"/>
      <x:c r="BG187" s="2"/>
      <x:c r="BH187" s="2"/>
      <x:c r="BI187" s="2"/>
      <x:c r="BJ187" s="2"/>
      <x:c r="BK187" s="2"/>
      <x:c r="BL187" s="2"/>
      <x:c r="BM187" s="2"/>
      <x:c r="BN187" s="2"/>
      <x:c r="BO187" s="2"/>
      <x:c r="BP187" s="2"/>
      <x:c r="BQ187" s="2"/>
      <x:c r="BR187" s="2"/>
      <x:c r="BS187" s="2"/>
      <x:c r="BT187" s="2"/>
      <x:c r="BU187" s="2"/>
      <x:c r="BV187" s="2"/>
      <x:c r="BW187" s="2"/>
      <x:c r="BX187" s="2"/>
      <x:c r="BY187" s="2"/>
      <x:c r="BZ187" s="2"/>
      <x:c r="CA187" s="2"/>
      <x:c r="CB187" s="2"/>
      <x:c r="CC187" s="2"/>
      <x:c r="CD187" s="2"/>
      <x:c r="CE187" s="2"/>
      <x:c r="CF187" s="2"/>
      <x:c r="CG187" s="2"/>
      <x:c r="CH187" s="2"/>
      <x:c r="CI187" s="2"/>
      <x:c r="CJ187" s="2"/>
      <x:c r="CK187" s="2"/>
      <x:c r="CL187" s="2"/>
      <x:c r="CM187" s="2"/>
      <x:c r="CN187" s="2"/>
      <x:c r="CO187" s="2"/>
      <x:c r="CP187" s="2"/>
      <x:c r="CQ187" s="2"/>
      <x:c r="CR187" s="2"/>
      <x:c r="CS187" s="2"/>
      <x:c r="CT187" s="2"/>
      <x:c r="CU187" s="2"/>
      <x:c r="CV187" s="2"/>
      <x:c r="CW187" s="2"/>
      <x:c r="CX187" s="2"/>
      <x:c r="CY187" s="2"/>
    </x:row>
    <x:row r="188" ht="19" customHeight="1">
      <x:c r="A188" s="1"/>
      <x:c r="B188" s="1"/>
      <x:c r="C188" s="2" t="n">
        <x:v>28</x:v>
      </x:c>
      <x:c r="D188" s="31" t="n">
        <x:f>IF(OR(C188&gt;=$E$43,INDEX($I$51:$I$147,C188+1)&lt;=0.0000000001),0,IF($E$46=0,$E$44/MIN($E$43,COUNTIF($I$51:$I$110,"&gt;0.0000000001")),IF(C188=$E$45,$E$44,0)))</x:f>
        <x:v>0</x:v>
      </x:c>
      <x:c r="E188" s="31" t="n">
        <x:f>IF(D188=0,0,D188/(INDEX($I$51:$I$147,C188+1)*INDEX($H$51:$H$147,C188+1)))</x:f>
        <x:v>0</x:v>
      </x:c>
      <x:c r="F188" s="31" t="n">
        <x:f>E188*INDEX($G$51:$G$147,C188+1)</x:f>
        <x:v>0</x:v>
      </x:c>
      <x:c r="G188" s="2"/>
      <x:c r="H188" s="2"/>
      <x:c r="I188" s="2"/>
      <x:c r="J188" s="2"/>
      <x:c r="K188" s="2"/>
      <x:c r="L188" s="2"/>
      <x:c r="M188" s="2"/>
      <x:c r="N188" s="2"/>
      <x:c r="O188" s="2"/>
      <x:c r="P188" s="2"/>
      <x:c r="Q188" s="2"/>
      <x:c r="R188" s="2"/>
      <x:c r="S188" s="2"/>
      <x:c r="T188" s="2"/>
      <x:c r="U188" s="2"/>
      <x:c r="V188" s="2"/>
      <x:c r="W188" s="2"/>
      <x:c r="X188" s="2"/>
      <x:c r="Y188" s="2"/>
      <x:c r="Z188" s="2"/>
      <x:c r="AA188" s="2"/>
      <x:c r="AB188" s="2"/>
      <x:c r="AC188" s="2"/>
      <x:c r="AD188" s="2"/>
      <x:c r="AE188" s="2"/>
      <x:c r="AF188" s="2"/>
      <x:c r="AG188" s="2"/>
      <x:c r="AH188" s="2"/>
      <x:c r="AI188" s="2"/>
      <x:c r="AJ188" s="2"/>
      <x:c r="AK188" s="2"/>
      <x:c r="AL188" s="2"/>
      <x:c r="AM188" s="2"/>
      <x:c r="AN188" s="2"/>
      <x:c r="AO188" s="2"/>
      <x:c r="AP188" s="2"/>
      <x:c r="AQ188" s="2"/>
      <x:c r="AR188" s="2"/>
      <x:c r="AS188" s="2"/>
      <x:c r="AT188" s="2"/>
      <x:c r="AU188" s="2"/>
      <x:c r="AV188" s="2"/>
      <x:c r="AW188" s="2"/>
      <x:c r="AX188" s="2"/>
      <x:c r="AY188" s="2"/>
      <x:c r="AZ188" s="2"/>
      <x:c r="BA188" s="2"/>
      <x:c r="BB188" s="2"/>
      <x:c r="BC188" s="2"/>
      <x:c r="BD188" s="2"/>
      <x:c r="BE188" s="2"/>
      <x:c r="BF188" s="2"/>
      <x:c r="BG188" s="2"/>
      <x:c r="BH188" s="2"/>
      <x:c r="BI188" s="2"/>
      <x:c r="BJ188" s="2"/>
      <x:c r="BK188" s="2"/>
      <x:c r="BL188" s="2"/>
      <x:c r="BM188" s="2"/>
      <x:c r="BN188" s="2"/>
      <x:c r="BO188" s="2"/>
      <x:c r="BP188" s="2"/>
      <x:c r="BQ188" s="2"/>
      <x:c r="BR188" s="2"/>
      <x:c r="BS188" s="2"/>
      <x:c r="BT188" s="2"/>
      <x:c r="BU188" s="2"/>
      <x:c r="BV188" s="2"/>
      <x:c r="BW188" s="2"/>
      <x:c r="BX188" s="2"/>
      <x:c r="BY188" s="2"/>
      <x:c r="BZ188" s="2"/>
      <x:c r="CA188" s="2"/>
      <x:c r="CB188" s="2"/>
      <x:c r="CC188" s="2"/>
      <x:c r="CD188" s="2"/>
      <x:c r="CE188" s="2"/>
      <x:c r="CF188" s="2"/>
      <x:c r="CG188" s="2"/>
      <x:c r="CH188" s="2"/>
      <x:c r="CI188" s="2"/>
      <x:c r="CJ188" s="2"/>
      <x:c r="CK188" s="2"/>
      <x:c r="CL188" s="2"/>
      <x:c r="CM188" s="2"/>
      <x:c r="CN188" s="2"/>
      <x:c r="CO188" s="2"/>
      <x:c r="CP188" s="2"/>
      <x:c r="CQ188" s="2"/>
      <x:c r="CR188" s="2"/>
      <x:c r="CS188" s="2"/>
      <x:c r="CT188" s="2"/>
      <x:c r="CU188" s="2"/>
      <x:c r="CV188" s="2"/>
      <x:c r="CW188" s="2"/>
      <x:c r="CX188" s="2"/>
      <x:c r="CY188" s="2"/>
    </x:row>
    <x:row r="189" ht="19" customHeight="1">
      <x:c r="A189" s="1"/>
      <x:c r="B189" s="1"/>
      <x:c r="C189" s="2" t="n">
        <x:v>29</x:v>
      </x:c>
      <x:c r="D189" s="31" t="n">
        <x:f>IF(OR(C189&gt;=$E$43,INDEX($I$51:$I$147,C189+1)&lt;=0.0000000001),0,IF($E$46=0,$E$44/MIN($E$43,COUNTIF($I$51:$I$110,"&gt;0.0000000001")),IF(C189=$E$45,$E$44,0)))</x:f>
        <x:v>0</x:v>
      </x:c>
      <x:c r="E189" s="31" t="n">
        <x:f>IF(D189=0,0,D189/(INDEX($I$51:$I$147,C189+1)*INDEX($H$51:$H$147,C189+1)))</x:f>
        <x:v>0</x:v>
      </x:c>
      <x:c r="F189" s="31" t="n">
        <x:f>E189*INDEX($G$51:$G$147,C189+1)</x:f>
        <x:v>0</x:v>
      </x:c>
      <x:c r="G189" s="2"/>
      <x:c r="H189" s="2"/>
      <x:c r="I189" s="2"/>
      <x:c r="J189" s="2"/>
      <x:c r="K189" s="2"/>
      <x:c r="L189" s="2"/>
      <x:c r="M189" s="2"/>
      <x:c r="N189" s="2"/>
      <x:c r="O189" s="2"/>
      <x:c r="P189" s="2"/>
      <x:c r="Q189" s="2"/>
      <x:c r="R189" s="2"/>
      <x:c r="S189" s="2"/>
      <x:c r="T189" s="2"/>
      <x:c r="U189" s="2"/>
      <x:c r="V189" s="2"/>
      <x:c r="W189" s="2"/>
      <x:c r="X189" s="2"/>
      <x:c r="Y189" s="2"/>
      <x:c r="Z189" s="2"/>
      <x:c r="AA189" s="2"/>
      <x:c r="AB189" s="2"/>
      <x:c r="AC189" s="2"/>
      <x:c r="AD189" s="2"/>
      <x:c r="AE189" s="2"/>
      <x:c r="AF189" s="2"/>
      <x:c r="AG189" s="2"/>
      <x:c r="AH189" s="2"/>
      <x:c r="AI189" s="2"/>
      <x:c r="AJ189" s="2"/>
      <x:c r="AK189" s="2"/>
      <x:c r="AL189" s="2"/>
      <x:c r="AM189" s="2"/>
      <x:c r="AN189" s="2"/>
      <x:c r="AO189" s="2"/>
      <x:c r="AP189" s="2"/>
      <x:c r="AQ189" s="2"/>
      <x:c r="AR189" s="2"/>
      <x:c r="AS189" s="2"/>
      <x:c r="AT189" s="2"/>
      <x:c r="AU189" s="2"/>
      <x:c r="AV189" s="2"/>
      <x:c r="AW189" s="2"/>
      <x:c r="AX189" s="2"/>
      <x:c r="AY189" s="2"/>
      <x:c r="AZ189" s="2"/>
      <x:c r="BA189" s="2"/>
      <x:c r="BB189" s="2"/>
      <x:c r="BC189" s="2"/>
      <x:c r="BD189" s="2"/>
      <x:c r="BE189" s="2"/>
      <x:c r="BF189" s="2"/>
      <x:c r="BG189" s="2"/>
      <x:c r="BH189" s="2"/>
      <x:c r="BI189" s="2"/>
      <x:c r="BJ189" s="2"/>
      <x:c r="BK189" s="2"/>
      <x:c r="BL189" s="2"/>
      <x:c r="BM189" s="2"/>
      <x:c r="BN189" s="2"/>
      <x:c r="BO189" s="2"/>
      <x:c r="BP189" s="2"/>
      <x:c r="BQ189" s="2"/>
      <x:c r="BR189" s="2"/>
      <x:c r="BS189" s="2"/>
      <x:c r="BT189" s="2"/>
      <x:c r="BU189" s="2"/>
      <x:c r="BV189" s="2"/>
      <x:c r="BW189" s="2"/>
      <x:c r="BX189" s="2"/>
      <x:c r="BY189" s="2"/>
      <x:c r="BZ189" s="2"/>
      <x:c r="CA189" s="2"/>
      <x:c r="CB189" s="2"/>
      <x:c r="CC189" s="2"/>
      <x:c r="CD189" s="2"/>
      <x:c r="CE189" s="2"/>
      <x:c r="CF189" s="2"/>
      <x:c r="CG189" s="2"/>
      <x:c r="CH189" s="2"/>
      <x:c r="CI189" s="2"/>
      <x:c r="CJ189" s="2"/>
      <x:c r="CK189" s="2"/>
      <x:c r="CL189" s="2"/>
      <x:c r="CM189" s="2"/>
      <x:c r="CN189" s="2"/>
      <x:c r="CO189" s="2"/>
      <x:c r="CP189" s="2"/>
      <x:c r="CQ189" s="2"/>
      <x:c r="CR189" s="2"/>
      <x:c r="CS189" s="2"/>
      <x:c r="CT189" s="2"/>
      <x:c r="CU189" s="2"/>
      <x:c r="CV189" s="2"/>
      <x:c r="CW189" s="2"/>
      <x:c r="CX189" s="2"/>
      <x:c r="CY189" s="2"/>
    </x:row>
    <x:row r="190" ht="19" customHeight="1">
      <x:c r="A190" s="1"/>
      <x:c r="B190" s="1"/>
      <x:c r="C190" s="2" t="n">
        <x:v>30</x:v>
      </x:c>
      <x:c r="D190" s="31" t="n">
        <x:f>IF(OR(C190&gt;=$E$43,INDEX($I$51:$I$147,C190+1)&lt;=0.0000000001),0,IF($E$46=0,$E$44/MIN($E$43,COUNTIF($I$51:$I$110,"&gt;0.0000000001")),IF(C190=$E$45,$E$44,0)))</x:f>
        <x:v>0</x:v>
      </x:c>
      <x:c r="E190" s="31" t="n">
        <x:f>IF(D190=0,0,D190/(INDEX($I$51:$I$147,C190+1)*INDEX($H$51:$H$147,C190+1)))</x:f>
        <x:v>0</x:v>
      </x:c>
      <x:c r="F190" s="31" t="n">
        <x:f>E190*INDEX($G$51:$G$147,C190+1)</x:f>
        <x:v>0</x:v>
      </x:c>
      <x:c r="G190" s="2"/>
      <x:c r="H190" s="2"/>
      <x:c r="I190" s="2"/>
      <x:c r="J190" s="2"/>
      <x:c r="K190" s="2"/>
      <x:c r="L190" s="2"/>
      <x:c r="M190" s="2"/>
      <x:c r="N190" s="2"/>
      <x:c r="O190" s="2"/>
      <x:c r="P190" s="2"/>
      <x:c r="Q190" s="2"/>
      <x:c r="R190" s="2"/>
      <x:c r="S190" s="2"/>
      <x:c r="T190" s="2"/>
      <x:c r="U190" s="2"/>
      <x:c r="V190" s="2"/>
      <x:c r="W190" s="2"/>
      <x:c r="X190" s="2"/>
      <x:c r="Y190" s="2"/>
      <x:c r="Z190" s="2"/>
      <x:c r="AA190" s="2"/>
      <x:c r="AB190" s="2"/>
      <x:c r="AC190" s="2"/>
      <x:c r="AD190" s="2"/>
      <x:c r="AE190" s="2"/>
      <x:c r="AF190" s="2"/>
      <x:c r="AG190" s="2"/>
      <x:c r="AH190" s="2"/>
      <x:c r="AI190" s="2"/>
      <x:c r="AJ190" s="2"/>
      <x:c r="AK190" s="2"/>
      <x:c r="AL190" s="2"/>
      <x:c r="AM190" s="2"/>
      <x:c r="AN190" s="2"/>
      <x:c r="AO190" s="2"/>
      <x:c r="AP190" s="2"/>
      <x:c r="AQ190" s="2"/>
      <x:c r="AR190" s="2"/>
      <x:c r="AS190" s="2"/>
      <x:c r="AT190" s="2"/>
      <x:c r="AU190" s="2"/>
      <x:c r="AV190" s="2"/>
      <x:c r="AW190" s="2"/>
      <x:c r="AX190" s="2"/>
      <x:c r="AY190" s="2"/>
      <x:c r="AZ190" s="2"/>
      <x:c r="BA190" s="2"/>
      <x:c r="BB190" s="2"/>
      <x:c r="BC190" s="2"/>
      <x:c r="BD190" s="2"/>
      <x:c r="BE190" s="2"/>
      <x:c r="BF190" s="2"/>
      <x:c r="BG190" s="2"/>
      <x:c r="BH190" s="2"/>
      <x:c r="BI190" s="2"/>
      <x:c r="BJ190" s="2"/>
      <x:c r="BK190" s="2"/>
      <x:c r="BL190" s="2"/>
      <x:c r="BM190" s="2"/>
      <x:c r="BN190" s="2"/>
      <x:c r="BO190" s="2"/>
      <x:c r="BP190" s="2"/>
      <x:c r="BQ190" s="2"/>
      <x:c r="BR190" s="2"/>
      <x:c r="BS190" s="2"/>
      <x:c r="BT190" s="2"/>
      <x:c r="BU190" s="2"/>
      <x:c r="BV190" s="2"/>
      <x:c r="BW190" s="2"/>
      <x:c r="BX190" s="2"/>
      <x:c r="BY190" s="2"/>
      <x:c r="BZ190" s="2"/>
      <x:c r="CA190" s="2"/>
      <x:c r="CB190" s="2"/>
      <x:c r="CC190" s="2"/>
      <x:c r="CD190" s="2"/>
      <x:c r="CE190" s="2"/>
      <x:c r="CF190" s="2"/>
      <x:c r="CG190" s="2"/>
      <x:c r="CH190" s="2"/>
      <x:c r="CI190" s="2"/>
      <x:c r="CJ190" s="2"/>
      <x:c r="CK190" s="2"/>
      <x:c r="CL190" s="2"/>
      <x:c r="CM190" s="2"/>
      <x:c r="CN190" s="2"/>
      <x:c r="CO190" s="2"/>
      <x:c r="CP190" s="2"/>
      <x:c r="CQ190" s="2"/>
      <x:c r="CR190" s="2"/>
      <x:c r="CS190" s="2"/>
      <x:c r="CT190" s="2"/>
      <x:c r="CU190" s="2"/>
      <x:c r="CV190" s="2"/>
      <x:c r="CW190" s="2"/>
      <x:c r="CX190" s="2"/>
      <x:c r="CY190" s="2"/>
    </x:row>
    <x:row r="191" ht="19" customHeight="1">
      <x:c r="A191" s="1"/>
      <x:c r="B191" s="1"/>
      <x:c r="C191" s="2" t="n">
        <x:v>31</x:v>
      </x:c>
      <x:c r="D191" s="31" t="n">
        <x:f>IF(OR(C191&gt;=$E$43,INDEX($I$51:$I$147,C191+1)&lt;=0.0000000001),0,IF($E$46=0,$E$44/MIN($E$43,COUNTIF($I$51:$I$110,"&gt;0.0000000001")),IF(C191=$E$45,$E$44,0)))</x:f>
        <x:v>0</x:v>
      </x:c>
      <x:c r="E191" s="31" t="n">
        <x:f>IF(D191=0,0,D191/(INDEX($I$51:$I$147,C191+1)*INDEX($H$51:$H$147,C191+1)))</x:f>
        <x:v>0</x:v>
      </x:c>
      <x:c r="F191" s="31" t="n">
        <x:f>E191*INDEX($G$51:$G$147,C191+1)</x:f>
        <x:v>0</x:v>
      </x:c>
      <x:c r="G191" s="2"/>
      <x:c r="H191" s="2"/>
      <x:c r="I191" s="2"/>
      <x:c r="J191" s="2"/>
      <x:c r="K191" s="2"/>
      <x:c r="L191" s="2"/>
      <x:c r="M191" s="2"/>
      <x:c r="N191" s="2"/>
      <x:c r="O191" s="2"/>
      <x:c r="P191" s="2"/>
      <x:c r="Q191" s="2"/>
      <x:c r="R191" s="2"/>
      <x:c r="S191" s="2"/>
      <x:c r="T191" s="2"/>
      <x:c r="U191" s="2"/>
      <x:c r="V191" s="2"/>
      <x:c r="W191" s="2"/>
      <x:c r="X191" s="2"/>
      <x:c r="Y191" s="2"/>
      <x:c r="Z191" s="2"/>
      <x:c r="AA191" s="2"/>
      <x:c r="AB191" s="2"/>
      <x:c r="AC191" s="2"/>
      <x:c r="AD191" s="2"/>
      <x:c r="AE191" s="2"/>
      <x:c r="AF191" s="2"/>
      <x:c r="AG191" s="2"/>
      <x:c r="AH191" s="2"/>
      <x:c r="AI191" s="2"/>
      <x:c r="AJ191" s="2"/>
      <x:c r="AK191" s="2"/>
      <x:c r="AL191" s="2"/>
      <x:c r="AM191" s="2"/>
      <x:c r="AN191" s="2"/>
      <x:c r="AO191" s="2"/>
      <x:c r="AP191" s="2"/>
      <x:c r="AQ191" s="2"/>
      <x:c r="AR191" s="2"/>
      <x:c r="AS191" s="2"/>
      <x:c r="AT191" s="2"/>
      <x:c r="AU191" s="2"/>
      <x:c r="AV191" s="2"/>
      <x:c r="AW191" s="2"/>
      <x:c r="AX191" s="2"/>
      <x:c r="AY191" s="2"/>
      <x:c r="AZ191" s="2"/>
      <x:c r="BA191" s="2"/>
      <x:c r="BB191" s="2"/>
      <x:c r="BC191" s="2"/>
      <x:c r="BD191" s="2"/>
      <x:c r="BE191" s="2"/>
      <x:c r="BF191" s="2"/>
      <x:c r="BG191" s="2"/>
      <x:c r="BH191" s="2"/>
      <x:c r="BI191" s="2"/>
      <x:c r="BJ191" s="2"/>
      <x:c r="BK191" s="2"/>
      <x:c r="BL191" s="2"/>
      <x:c r="BM191" s="2"/>
      <x:c r="BN191" s="2"/>
      <x:c r="BO191" s="2"/>
      <x:c r="BP191" s="2"/>
      <x:c r="BQ191" s="2"/>
      <x:c r="BR191" s="2"/>
      <x:c r="BS191" s="2"/>
      <x:c r="BT191" s="2"/>
      <x:c r="BU191" s="2"/>
      <x:c r="BV191" s="2"/>
      <x:c r="BW191" s="2"/>
      <x:c r="BX191" s="2"/>
      <x:c r="BY191" s="2"/>
      <x:c r="BZ191" s="2"/>
      <x:c r="CA191" s="2"/>
      <x:c r="CB191" s="2"/>
      <x:c r="CC191" s="2"/>
      <x:c r="CD191" s="2"/>
      <x:c r="CE191" s="2"/>
      <x:c r="CF191" s="2"/>
      <x:c r="CG191" s="2"/>
      <x:c r="CH191" s="2"/>
      <x:c r="CI191" s="2"/>
      <x:c r="CJ191" s="2"/>
      <x:c r="CK191" s="2"/>
      <x:c r="CL191" s="2"/>
      <x:c r="CM191" s="2"/>
      <x:c r="CN191" s="2"/>
      <x:c r="CO191" s="2"/>
      <x:c r="CP191" s="2"/>
      <x:c r="CQ191" s="2"/>
      <x:c r="CR191" s="2"/>
      <x:c r="CS191" s="2"/>
      <x:c r="CT191" s="2"/>
      <x:c r="CU191" s="2"/>
      <x:c r="CV191" s="2"/>
      <x:c r="CW191" s="2"/>
      <x:c r="CX191" s="2"/>
      <x:c r="CY191" s="2"/>
    </x:row>
    <x:row r="192" ht="19" customHeight="1">
      <x:c r="A192" s="1"/>
      <x:c r="B192" s="1"/>
      <x:c r="C192" s="2" t="n">
        <x:v>32</x:v>
      </x:c>
      <x:c r="D192" s="31" t="n">
        <x:f>IF(OR(C192&gt;=$E$43,INDEX($I$51:$I$147,C192+1)&lt;=0.0000000001),0,IF($E$46=0,$E$44/MIN($E$43,COUNTIF($I$51:$I$110,"&gt;0.0000000001")),IF(C192=$E$45,$E$44,0)))</x:f>
        <x:v>0</x:v>
      </x:c>
      <x:c r="E192" s="31" t="n">
        <x:f>IF(D192=0,0,D192/(INDEX($I$51:$I$147,C192+1)*INDEX($H$51:$H$147,C192+1)))</x:f>
        <x:v>0</x:v>
      </x:c>
      <x:c r="F192" s="31" t="n">
        <x:f>E192*INDEX($G$51:$G$147,C192+1)</x:f>
        <x:v>0</x:v>
      </x:c>
      <x:c r="G192" s="2"/>
      <x:c r="H192" s="2"/>
      <x:c r="I192" s="2"/>
      <x:c r="J192" s="2"/>
      <x:c r="K192" s="2"/>
      <x:c r="L192" s="2"/>
      <x:c r="M192" s="2"/>
      <x:c r="N192" s="2"/>
      <x:c r="O192" s="2"/>
      <x:c r="P192" s="2"/>
      <x:c r="Q192" s="2"/>
      <x:c r="R192" s="2"/>
      <x:c r="S192" s="2"/>
      <x:c r="T192" s="2"/>
      <x:c r="U192" s="2"/>
      <x:c r="V192" s="2"/>
      <x:c r="W192" s="2"/>
      <x:c r="X192" s="2"/>
      <x:c r="Y192" s="2"/>
      <x:c r="Z192" s="2"/>
      <x:c r="AA192" s="2"/>
      <x:c r="AB192" s="2"/>
      <x:c r="AC192" s="2"/>
      <x:c r="AD192" s="2"/>
      <x:c r="AE192" s="2"/>
      <x:c r="AF192" s="2"/>
      <x:c r="AG192" s="2"/>
      <x:c r="AH192" s="2"/>
      <x:c r="AI192" s="2"/>
      <x:c r="AJ192" s="2"/>
      <x:c r="AK192" s="2"/>
      <x:c r="AL192" s="2"/>
      <x:c r="AM192" s="2"/>
      <x:c r="AN192" s="2"/>
      <x:c r="AO192" s="2"/>
      <x:c r="AP192" s="2"/>
      <x:c r="AQ192" s="2"/>
      <x:c r="AR192" s="2"/>
      <x:c r="AS192" s="2"/>
      <x:c r="AT192" s="2"/>
      <x:c r="AU192" s="2"/>
      <x:c r="AV192" s="2"/>
      <x:c r="AW192" s="2"/>
      <x:c r="AX192" s="2"/>
      <x:c r="AY192" s="2"/>
      <x:c r="AZ192" s="2"/>
      <x:c r="BA192" s="2"/>
      <x:c r="BB192" s="2"/>
      <x:c r="BC192" s="2"/>
      <x:c r="BD192" s="2"/>
      <x:c r="BE192" s="2"/>
      <x:c r="BF192" s="2"/>
      <x:c r="BG192" s="2"/>
      <x:c r="BH192" s="2"/>
      <x:c r="BI192" s="2"/>
      <x:c r="BJ192" s="2"/>
      <x:c r="BK192" s="2"/>
      <x:c r="BL192" s="2"/>
      <x:c r="BM192" s="2"/>
      <x:c r="BN192" s="2"/>
      <x:c r="BO192" s="2"/>
      <x:c r="BP192" s="2"/>
      <x:c r="BQ192" s="2"/>
      <x:c r="BR192" s="2"/>
      <x:c r="BS192" s="2"/>
      <x:c r="BT192" s="2"/>
      <x:c r="BU192" s="2"/>
      <x:c r="BV192" s="2"/>
      <x:c r="BW192" s="2"/>
      <x:c r="BX192" s="2"/>
      <x:c r="BY192" s="2"/>
      <x:c r="BZ192" s="2"/>
      <x:c r="CA192" s="2"/>
      <x:c r="CB192" s="2"/>
      <x:c r="CC192" s="2"/>
      <x:c r="CD192" s="2"/>
      <x:c r="CE192" s="2"/>
      <x:c r="CF192" s="2"/>
      <x:c r="CG192" s="2"/>
      <x:c r="CH192" s="2"/>
      <x:c r="CI192" s="2"/>
      <x:c r="CJ192" s="2"/>
      <x:c r="CK192" s="2"/>
      <x:c r="CL192" s="2"/>
      <x:c r="CM192" s="2"/>
      <x:c r="CN192" s="2"/>
      <x:c r="CO192" s="2"/>
      <x:c r="CP192" s="2"/>
      <x:c r="CQ192" s="2"/>
      <x:c r="CR192" s="2"/>
      <x:c r="CS192" s="2"/>
      <x:c r="CT192" s="2"/>
      <x:c r="CU192" s="2"/>
      <x:c r="CV192" s="2"/>
      <x:c r="CW192" s="2"/>
      <x:c r="CX192" s="2"/>
      <x:c r="CY192" s="2"/>
    </x:row>
    <x:row r="193" ht="19" customHeight="1">
      <x:c r="A193" s="1"/>
      <x:c r="B193" s="1"/>
      <x:c r="C193" s="2" t="n">
        <x:v>33</x:v>
      </x:c>
      <x:c r="D193" s="31" t="n">
        <x:f>IF(OR(C193&gt;=$E$43,INDEX($I$51:$I$147,C193+1)&lt;=0.0000000001),0,IF($E$46=0,$E$44/MIN($E$43,COUNTIF($I$51:$I$110,"&gt;0.0000000001")),IF(C193=$E$45,$E$44,0)))</x:f>
        <x:v>0</x:v>
      </x:c>
      <x:c r="E193" s="31" t="n">
        <x:f>IF(D193=0,0,D193/(INDEX($I$51:$I$147,C193+1)*INDEX($H$51:$H$147,C193+1)))</x:f>
        <x:v>0</x:v>
      </x:c>
      <x:c r="F193" s="31" t="n">
        <x:f>E193*INDEX($G$51:$G$147,C193+1)</x:f>
        <x:v>0</x:v>
      </x:c>
      <x:c r="G193" s="2"/>
      <x:c r="H193" s="2"/>
      <x:c r="I193" s="2"/>
      <x:c r="J193" s="2"/>
      <x:c r="K193" s="2"/>
      <x:c r="L193" s="2"/>
      <x:c r="M193" s="2"/>
      <x:c r="N193" s="2"/>
      <x:c r="O193" s="2"/>
      <x:c r="P193" s="2"/>
      <x:c r="Q193" s="2"/>
      <x:c r="R193" s="2"/>
      <x:c r="S193" s="2"/>
      <x:c r="T193" s="2"/>
      <x:c r="U193" s="2"/>
      <x:c r="V193" s="2"/>
      <x:c r="W193" s="2"/>
      <x:c r="X193" s="2"/>
      <x:c r="Y193" s="2"/>
      <x:c r="Z193" s="2"/>
      <x:c r="AA193" s="2"/>
      <x:c r="AB193" s="2"/>
      <x:c r="AC193" s="2"/>
      <x:c r="AD193" s="2"/>
      <x:c r="AE193" s="2"/>
      <x:c r="AF193" s="2"/>
      <x:c r="AG193" s="2"/>
      <x:c r="AH193" s="2"/>
      <x:c r="AI193" s="2"/>
      <x:c r="AJ193" s="2"/>
      <x:c r="AK193" s="2"/>
      <x:c r="AL193" s="2"/>
      <x:c r="AM193" s="2"/>
      <x:c r="AN193" s="2"/>
      <x:c r="AO193" s="2"/>
      <x:c r="AP193" s="2"/>
      <x:c r="AQ193" s="2"/>
      <x:c r="AR193" s="2"/>
      <x:c r="AS193" s="2"/>
      <x:c r="AT193" s="2"/>
      <x:c r="AU193" s="2"/>
      <x:c r="AV193" s="2"/>
      <x:c r="AW193" s="2"/>
      <x:c r="AX193" s="2"/>
      <x:c r="AY193" s="2"/>
      <x:c r="AZ193" s="2"/>
      <x:c r="BA193" s="2"/>
      <x:c r="BB193" s="2"/>
      <x:c r="BC193" s="2"/>
      <x:c r="BD193" s="2"/>
      <x:c r="BE193" s="2"/>
      <x:c r="BF193" s="2"/>
      <x:c r="BG193" s="2"/>
      <x:c r="BH193" s="2"/>
      <x:c r="BI193" s="2"/>
      <x:c r="BJ193" s="2"/>
      <x:c r="BK193" s="2"/>
      <x:c r="BL193" s="2"/>
      <x:c r="BM193" s="2"/>
      <x:c r="BN193" s="2"/>
      <x:c r="BO193" s="2"/>
      <x:c r="BP193" s="2"/>
      <x:c r="BQ193" s="2"/>
      <x:c r="BR193" s="2"/>
      <x:c r="BS193" s="2"/>
      <x:c r="BT193" s="2"/>
      <x:c r="BU193" s="2"/>
      <x:c r="BV193" s="2"/>
      <x:c r="BW193" s="2"/>
      <x:c r="BX193" s="2"/>
      <x:c r="BY193" s="2"/>
      <x:c r="BZ193" s="2"/>
      <x:c r="CA193" s="2"/>
      <x:c r="CB193" s="2"/>
      <x:c r="CC193" s="2"/>
      <x:c r="CD193" s="2"/>
      <x:c r="CE193" s="2"/>
      <x:c r="CF193" s="2"/>
      <x:c r="CG193" s="2"/>
      <x:c r="CH193" s="2"/>
      <x:c r="CI193" s="2"/>
      <x:c r="CJ193" s="2"/>
      <x:c r="CK193" s="2"/>
      <x:c r="CL193" s="2"/>
      <x:c r="CM193" s="2"/>
      <x:c r="CN193" s="2"/>
      <x:c r="CO193" s="2"/>
      <x:c r="CP193" s="2"/>
      <x:c r="CQ193" s="2"/>
      <x:c r="CR193" s="2"/>
      <x:c r="CS193" s="2"/>
      <x:c r="CT193" s="2"/>
      <x:c r="CU193" s="2"/>
      <x:c r="CV193" s="2"/>
      <x:c r="CW193" s="2"/>
      <x:c r="CX193" s="2"/>
      <x:c r="CY193" s="2"/>
    </x:row>
    <x:row r="194" ht="19" customHeight="1">
      <x:c r="A194" s="1"/>
      <x:c r="B194" s="1"/>
      <x:c r="C194" s="2" t="n">
        <x:v>34</x:v>
      </x:c>
      <x:c r="D194" s="31" t="n">
        <x:f>IF(OR(C194&gt;=$E$43,INDEX($I$51:$I$147,C194+1)&lt;=0.0000000001),0,IF($E$46=0,$E$44/MIN($E$43,COUNTIF($I$51:$I$110,"&gt;0.0000000001")),IF(C194=$E$45,$E$44,0)))</x:f>
        <x:v>0</x:v>
      </x:c>
      <x:c r="E194" s="31" t="n">
        <x:f>IF(D194=0,0,D194/(INDEX($I$51:$I$147,C194+1)*INDEX($H$51:$H$147,C194+1)))</x:f>
        <x:v>0</x:v>
      </x:c>
      <x:c r="F194" s="31" t="n">
        <x:f>E194*INDEX($G$51:$G$147,C194+1)</x:f>
        <x:v>0</x:v>
      </x:c>
      <x:c r="G194" s="2"/>
      <x:c r="H194" s="2"/>
      <x:c r="I194" s="2"/>
      <x:c r="J194" s="2"/>
      <x:c r="K194" s="2"/>
      <x:c r="L194" s="2"/>
      <x:c r="M194" s="2"/>
      <x:c r="N194" s="2"/>
      <x:c r="O194" s="2"/>
      <x:c r="P194" s="2"/>
      <x:c r="Q194" s="2"/>
      <x:c r="R194" s="2"/>
      <x:c r="S194" s="2"/>
      <x:c r="T194" s="2"/>
      <x:c r="U194" s="2"/>
      <x:c r="V194" s="2"/>
      <x:c r="W194" s="2"/>
      <x:c r="X194" s="2"/>
      <x:c r="Y194" s="2"/>
      <x:c r="Z194" s="2"/>
      <x:c r="AA194" s="2"/>
      <x:c r="AB194" s="2"/>
      <x:c r="AC194" s="2"/>
      <x:c r="AD194" s="2"/>
      <x:c r="AE194" s="2"/>
      <x:c r="AF194" s="2"/>
      <x:c r="AG194" s="2"/>
      <x:c r="AH194" s="2"/>
      <x:c r="AI194" s="2"/>
      <x:c r="AJ194" s="2"/>
      <x:c r="AK194" s="2"/>
      <x:c r="AL194" s="2"/>
      <x:c r="AM194" s="2"/>
      <x:c r="AN194" s="2"/>
      <x:c r="AO194" s="2"/>
      <x:c r="AP194" s="2"/>
      <x:c r="AQ194" s="2"/>
      <x:c r="AR194" s="2"/>
      <x:c r="AS194" s="2"/>
      <x:c r="AT194" s="2"/>
      <x:c r="AU194" s="2"/>
      <x:c r="AV194" s="2"/>
      <x:c r="AW194" s="2"/>
      <x:c r="AX194" s="2"/>
      <x:c r="AY194" s="2"/>
      <x:c r="AZ194" s="2"/>
      <x:c r="BA194" s="2"/>
      <x:c r="BB194" s="2"/>
      <x:c r="BC194" s="2"/>
      <x:c r="BD194" s="2"/>
      <x:c r="BE194" s="2"/>
      <x:c r="BF194" s="2"/>
      <x:c r="BG194" s="2"/>
      <x:c r="BH194" s="2"/>
      <x:c r="BI194" s="2"/>
      <x:c r="BJ194" s="2"/>
      <x:c r="BK194" s="2"/>
      <x:c r="BL194" s="2"/>
      <x:c r="BM194" s="2"/>
      <x:c r="BN194" s="2"/>
      <x:c r="BO194" s="2"/>
      <x:c r="BP194" s="2"/>
      <x:c r="BQ194" s="2"/>
      <x:c r="BR194" s="2"/>
      <x:c r="BS194" s="2"/>
      <x:c r="BT194" s="2"/>
      <x:c r="BU194" s="2"/>
      <x:c r="BV194" s="2"/>
      <x:c r="BW194" s="2"/>
      <x:c r="BX194" s="2"/>
      <x:c r="BY194" s="2"/>
      <x:c r="BZ194" s="2"/>
      <x:c r="CA194" s="2"/>
      <x:c r="CB194" s="2"/>
      <x:c r="CC194" s="2"/>
      <x:c r="CD194" s="2"/>
      <x:c r="CE194" s="2"/>
      <x:c r="CF194" s="2"/>
      <x:c r="CG194" s="2"/>
      <x:c r="CH194" s="2"/>
      <x:c r="CI194" s="2"/>
      <x:c r="CJ194" s="2"/>
      <x:c r="CK194" s="2"/>
      <x:c r="CL194" s="2"/>
      <x:c r="CM194" s="2"/>
      <x:c r="CN194" s="2"/>
      <x:c r="CO194" s="2"/>
      <x:c r="CP194" s="2"/>
      <x:c r="CQ194" s="2"/>
      <x:c r="CR194" s="2"/>
      <x:c r="CS194" s="2"/>
      <x:c r="CT194" s="2"/>
      <x:c r="CU194" s="2"/>
      <x:c r="CV194" s="2"/>
      <x:c r="CW194" s="2"/>
      <x:c r="CX194" s="2"/>
      <x:c r="CY194" s="2"/>
    </x:row>
    <x:row r="195" ht="19" customHeight="1">
      <x:c r="A195" s="1"/>
      <x:c r="B195" s="1"/>
      <x:c r="C195" s="2" t="n">
        <x:v>35</x:v>
      </x:c>
      <x:c r="D195" s="31" t="n">
        <x:f>IF(OR(C195&gt;=$E$43,INDEX($I$51:$I$147,C195+1)&lt;=0.0000000001),0,IF($E$46=0,$E$44/MIN($E$43,COUNTIF($I$51:$I$110,"&gt;0.0000000001")),IF(C195=$E$45,$E$44,0)))</x:f>
        <x:v>0</x:v>
      </x:c>
      <x:c r="E195" s="31" t="n">
        <x:f>IF(D195=0,0,D195/(INDEX($I$51:$I$147,C195+1)*INDEX($H$51:$H$147,C195+1)))</x:f>
        <x:v>0</x:v>
      </x:c>
      <x:c r="F195" s="31" t="n">
        <x:f>E195*INDEX($G$51:$G$147,C195+1)</x:f>
        <x:v>0</x:v>
      </x:c>
      <x:c r="G195" s="2"/>
      <x:c r="H195" s="2"/>
      <x:c r="I195" s="2"/>
      <x:c r="J195" s="2"/>
      <x:c r="K195" s="2"/>
      <x:c r="L195" s="2"/>
      <x:c r="M195" s="2"/>
      <x:c r="N195" s="2"/>
      <x:c r="O195" s="2"/>
      <x:c r="P195" s="2"/>
      <x:c r="Q195" s="2"/>
      <x:c r="R195" s="2"/>
      <x:c r="S195" s="2"/>
      <x:c r="T195" s="2"/>
      <x:c r="U195" s="2"/>
      <x:c r="V195" s="2"/>
      <x:c r="W195" s="2"/>
      <x:c r="X195" s="2"/>
      <x:c r="Y195" s="2"/>
      <x:c r="Z195" s="2"/>
      <x:c r="AA195" s="2"/>
      <x:c r="AB195" s="2"/>
      <x:c r="AC195" s="2"/>
      <x:c r="AD195" s="2"/>
      <x:c r="AE195" s="2"/>
      <x:c r="AF195" s="2"/>
      <x:c r="AG195" s="2"/>
      <x:c r="AH195" s="2"/>
      <x:c r="AI195" s="2"/>
      <x:c r="AJ195" s="2"/>
      <x:c r="AK195" s="2"/>
      <x:c r="AL195" s="2"/>
      <x:c r="AM195" s="2"/>
      <x:c r="AN195" s="2"/>
      <x:c r="AO195" s="2"/>
      <x:c r="AP195" s="2"/>
      <x:c r="AQ195" s="2"/>
      <x:c r="AR195" s="2"/>
      <x:c r="AS195" s="2"/>
      <x:c r="AT195" s="2"/>
      <x:c r="AU195" s="2"/>
      <x:c r="AV195" s="2"/>
      <x:c r="AW195" s="2"/>
      <x:c r="AX195" s="2"/>
      <x:c r="AY195" s="2"/>
      <x:c r="AZ195" s="2"/>
      <x:c r="BA195" s="2"/>
      <x:c r="BB195" s="2"/>
      <x:c r="BC195" s="2"/>
      <x:c r="BD195" s="2"/>
      <x:c r="BE195" s="2"/>
      <x:c r="BF195" s="2"/>
      <x:c r="BG195" s="2"/>
      <x:c r="BH195" s="2"/>
      <x:c r="BI195" s="2"/>
      <x:c r="BJ195" s="2"/>
      <x:c r="BK195" s="2"/>
      <x:c r="BL195" s="2"/>
      <x:c r="BM195" s="2"/>
      <x:c r="BN195" s="2"/>
      <x:c r="BO195" s="2"/>
      <x:c r="BP195" s="2"/>
      <x:c r="BQ195" s="2"/>
      <x:c r="BR195" s="2"/>
      <x:c r="BS195" s="2"/>
      <x:c r="BT195" s="2"/>
      <x:c r="BU195" s="2"/>
      <x:c r="BV195" s="2"/>
      <x:c r="BW195" s="2"/>
      <x:c r="BX195" s="2"/>
      <x:c r="BY195" s="2"/>
      <x:c r="BZ195" s="2"/>
      <x:c r="CA195" s="2"/>
      <x:c r="CB195" s="2"/>
      <x:c r="CC195" s="2"/>
      <x:c r="CD195" s="2"/>
      <x:c r="CE195" s="2"/>
      <x:c r="CF195" s="2"/>
      <x:c r="CG195" s="2"/>
      <x:c r="CH195" s="2"/>
      <x:c r="CI195" s="2"/>
      <x:c r="CJ195" s="2"/>
      <x:c r="CK195" s="2"/>
      <x:c r="CL195" s="2"/>
      <x:c r="CM195" s="2"/>
      <x:c r="CN195" s="2"/>
      <x:c r="CO195" s="2"/>
      <x:c r="CP195" s="2"/>
      <x:c r="CQ195" s="2"/>
      <x:c r="CR195" s="2"/>
      <x:c r="CS195" s="2"/>
      <x:c r="CT195" s="2"/>
      <x:c r="CU195" s="2"/>
      <x:c r="CV195" s="2"/>
      <x:c r="CW195" s="2"/>
      <x:c r="CX195" s="2"/>
      <x:c r="CY195" s="2"/>
    </x:row>
    <x:row r="196" ht="19" customHeight="1">
      <x:c r="A196" s="1"/>
      <x:c r="B196" s="1"/>
      <x:c r="C196" s="2" t="n">
        <x:v>36</x:v>
      </x:c>
      <x:c r="D196" s="31" t="n">
        <x:f>IF(OR(C196&gt;=$E$43,INDEX($I$51:$I$147,C196+1)&lt;=0.0000000001),0,IF($E$46=0,$E$44/MIN($E$43,COUNTIF($I$51:$I$110,"&gt;0.0000000001")),IF(C196=$E$45,$E$44,0)))</x:f>
        <x:v>0</x:v>
      </x:c>
      <x:c r="E196" s="31" t="n">
        <x:f>IF(D196=0,0,D196/(INDEX($I$51:$I$147,C196+1)*INDEX($H$51:$H$147,C196+1)))</x:f>
        <x:v>0</x:v>
      </x:c>
      <x:c r="F196" s="31" t="n">
        <x:f>E196*INDEX($G$51:$G$147,C196+1)</x:f>
        <x:v>0</x:v>
      </x:c>
      <x:c r="G196" s="2"/>
      <x:c r="H196" s="2"/>
      <x:c r="I196" s="2"/>
      <x:c r="J196" s="2"/>
      <x:c r="K196" s="2"/>
      <x:c r="L196" s="2"/>
      <x:c r="M196" s="2"/>
      <x:c r="N196" s="2"/>
      <x:c r="O196" s="2"/>
      <x:c r="P196" s="2"/>
      <x:c r="Q196" s="2"/>
      <x:c r="R196" s="2"/>
      <x:c r="S196" s="2"/>
      <x:c r="T196" s="2"/>
      <x:c r="U196" s="2"/>
      <x:c r="V196" s="2"/>
      <x:c r="W196" s="2"/>
      <x:c r="X196" s="2"/>
      <x:c r="Y196" s="2"/>
      <x:c r="Z196" s="2"/>
      <x:c r="AA196" s="2"/>
      <x:c r="AB196" s="2"/>
      <x:c r="AC196" s="2"/>
      <x:c r="AD196" s="2"/>
      <x:c r="AE196" s="2"/>
      <x:c r="AF196" s="2"/>
      <x:c r="AG196" s="2"/>
      <x:c r="AH196" s="2"/>
      <x:c r="AI196" s="2"/>
      <x:c r="AJ196" s="2"/>
      <x:c r="AK196" s="2"/>
      <x:c r="AL196" s="2"/>
      <x:c r="AM196" s="2"/>
      <x:c r="AN196" s="2"/>
      <x:c r="AO196" s="2"/>
      <x:c r="AP196" s="2"/>
      <x:c r="AQ196" s="2"/>
      <x:c r="AR196" s="2"/>
      <x:c r="AS196" s="2"/>
      <x:c r="AT196" s="2"/>
      <x:c r="AU196" s="2"/>
      <x:c r="AV196" s="2"/>
      <x:c r="AW196" s="2"/>
      <x:c r="AX196" s="2"/>
      <x:c r="AY196" s="2"/>
      <x:c r="AZ196" s="2"/>
      <x:c r="BA196" s="2"/>
      <x:c r="BB196" s="2"/>
      <x:c r="BC196" s="2"/>
      <x:c r="BD196" s="2"/>
      <x:c r="BE196" s="2"/>
      <x:c r="BF196" s="2"/>
      <x:c r="BG196" s="2"/>
      <x:c r="BH196" s="2"/>
      <x:c r="BI196" s="2"/>
      <x:c r="BJ196" s="2"/>
      <x:c r="BK196" s="2"/>
      <x:c r="BL196" s="2"/>
      <x:c r="BM196" s="2"/>
      <x:c r="BN196" s="2"/>
      <x:c r="BO196" s="2"/>
      <x:c r="BP196" s="2"/>
      <x:c r="BQ196" s="2"/>
      <x:c r="BR196" s="2"/>
      <x:c r="BS196" s="2"/>
      <x:c r="BT196" s="2"/>
      <x:c r="BU196" s="2"/>
      <x:c r="BV196" s="2"/>
      <x:c r="BW196" s="2"/>
      <x:c r="BX196" s="2"/>
      <x:c r="BY196" s="2"/>
      <x:c r="BZ196" s="2"/>
      <x:c r="CA196" s="2"/>
      <x:c r="CB196" s="2"/>
      <x:c r="CC196" s="2"/>
      <x:c r="CD196" s="2"/>
      <x:c r="CE196" s="2"/>
      <x:c r="CF196" s="2"/>
      <x:c r="CG196" s="2"/>
      <x:c r="CH196" s="2"/>
      <x:c r="CI196" s="2"/>
      <x:c r="CJ196" s="2"/>
      <x:c r="CK196" s="2"/>
      <x:c r="CL196" s="2"/>
      <x:c r="CM196" s="2"/>
      <x:c r="CN196" s="2"/>
      <x:c r="CO196" s="2"/>
      <x:c r="CP196" s="2"/>
      <x:c r="CQ196" s="2"/>
      <x:c r="CR196" s="2"/>
      <x:c r="CS196" s="2"/>
      <x:c r="CT196" s="2"/>
      <x:c r="CU196" s="2"/>
      <x:c r="CV196" s="2"/>
      <x:c r="CW196" s="2"/>
      <x:c r="CX196" s="2"/>
      <x:c r="CY196" s="2"/>
    </x:row>
    <x:row r="197" ht="19" customHeight="1">
      <x:c r="A197" s="1"/>
      <x:c r="B197" s="1"/>
      <x:c r="C197" s="2" t="n">
        <x:v>37</x:v>
      </x:c>
      <x:c r="D197" s="31" t="n">
        <x:f>IF(OR(C197&gt;=$E$43,INDEX($I$51:$I$147,C197+1)&lt;=0.0000000001),0,IF($E$46=0,$E$44/MIN($E$43,COUNTIF($I$51:$I$110,"&gt;0.0000000001")),IF(C197=$E$45,$E$44,0)))</x:f>
        <x:v>0</x:v>
      </x:c>
      <x:c r="E197" s="31" t="n">
        <x:f>IF(D197=0,0,D197/(INDEX($I$51:$I$147,C197+1)*INDEX($H$51:$H$147,C197+1)))</x:f>
        <x:v>0</x:v>
      </x:c>
      <x:c r="F197" s="31" t="n">
        <x:f>E197*INDEX($G$51:$G$147,C197+1)</x:f>
        <x:v>0</x:v>
      </x:c>
      <x:c r="G197" s="2"/>
      <x:c r="H197" s="2"/>
      <x:c r="I197" s="2"/>
      <x:c r="J197" s="2"/>
      <x:c r="K197" s="2"/>
      <x:c r="L197" s="2"/>
      <x:c r="M197" s="2"/>
      <x:c r="N197" s="2"/>
      <x:c r="O197" s="2"/>
      <x:c r="P197" s="2"/>
      <x:c r="Q197" s="2"/>
      <x:c r="R197" s="2"/>
      <x:c r="S197" s="2"/>
      <x:c r="T197" s="2"/>
      <x:c r="U197" s="2"/>
      <x:c r="V197" s="2"/>
      <x:c r="W197" s="2"/>
      <x:c r="X197" s="2"/>
      <x:c r="Y197" s="2"/>
      <x:c r="Z197" s="2"/>
      <x:c r="AA197" s="2"/>
      <x:c r="AB197" s="2"/>
      <x:c r="AC197" s="2"/>
      <x:c r="AD197" s="2"/>
      <x:c r="AE197" s="2"/>
      <x:c r="AF197" s="2"/>
      <x:c r="AG197" s="2"/>
      <x:c r="AH197" s="2"/>
      <x:c r="AI197" s="2"/>
      <x:c r="AJ197" s="2"/>
      <x:c r="AK197" s="2"/>
      <x:c r="AL197" s="2"/>
      <x:c r="AM197" s="2"/>
      <x:c r="AN197" s="2"/>
      <x:c r="AO197" s="2"/>
      <x:c r="AP197" s="2"/>
      <x:c r="AQ197" s="2"/>
      <x:c r="AR197" s="2"/>
      <x:c r="AS197" s="2"/>
      <x:c r="AT197" s="2"/>
      <x:c r="AU197" s="2"/>
      <x:c r="AV197" s="2"/>
      <x:c r="AW197" s="2"/>
      <x:c r="AX197" s="2"/>
      <x:c r="AY197" s="2"/>
      <x:c r="AZ197" s="2"/>
      <x:c r="BA197" s="2"/>
      <x:c r="BB197" s="2"/>
      <x:c r="BC197" s="2"/>
      <x:c r="BD197" s="2"/>
      <x:c r="BE197" s="2"/>
      <x:c r="BF197" s="2"/>
      <x:c r="BG197" s="2"/>
      <x:c r="BH197" s="2"/>
      <x:c r="BI197" s="2"/>
      <x:c r="BJ197" s="2"/>
      <x:c r="BK197" s="2"/>
      <x:c r="BL197" s="2"/>
      <x:c r="BM197" s="2"/>
      <x:c r="BN197" s="2"/>
      <x:c r="BO197" s="2"/>
      <x:c r="BP197" s="2"/>
      <x:c r="BQ197" s="2"/>
      <x:c r="BR197" s="2"/>
      <x:c r="BS197" s="2"/>
      <x:c r="BT197" s="2"/>
      <x:c r="BU197" s="2"/>
      <x:c r="BV197" s="2"/>
      <x:c r="BW197" s="2"/>
      <x:c r="BX197" s="2"/>
      <x:c r="BY197" s="2"/>
      <x:c r="BZ197" s="2"/>
      <x:c r="CA197" s="2"/>
      <x:c r="CB197" s="2"/>
      <x:c r="CC197" s="2"/>
      <x:c r="CD197" s="2"/>
      <x:c r="CE197" s="2"/>
      <x:c r="CF197" s="2"/>
      <x:c r="CG197" s="2"/>
      <x:c r="CH197" s="2"/>
      <x:c r="CI197" s="2"/>
      <x:c r="CJ197" s="2"/>
      <x:c r="CK197" s="2"/>
      <x:c r="CL197" s="2"/>
      <x:c r="CM197" s="2"/>
      <x:c r="CN197" s="2"/>
      <x:c r="CO197" s="2"/>
      <x:c r="CP197" s="2"/>
      <x:c r="CQ197" s="2"/>
      <x:c r="CR197" s="2"/>
      <x:c r="CS197" s="2"/>
      <x:c r="CT197" s="2"/>
      <x:c r="CU197" s="2"/>
      <x:c r="CV197" s="2"/>
      <x:c r="CW197" s="2"/>
      <x:c r="CX197" s="2"/>
      <x:c r="CY197" s="2"/>
    </x:row>
    <x:row r="198" ht="19" customHeight="1">
      <x:c r="A198" s="1"/>
      <x:c r="B198" s="1"/>
      <x:c r="C198" s="2" t="n">
        <x:v>38</x:v>
      </x:c>
      <x:c r="D198" s="31" t="n">
        <x:f>IF(OR(C198&gt;=$E$43,INDEX($I$51:$I$147,C198+1)&lt;=0.0000000001),0,IF($E$46=0,$E$44/MIN($E$43,COUNTIF($I$51:$I$110,"&gt;0.0000000001")),IF(C198=$E$45,$E$44,0)))</x:f>
        <x:v>0</x:v>
      </x:c>
      <x:c r="E198" s="31" t="n">
        <x:f>IF(D198=0,0,D198/(INDEX($I$51:$I$147,C198+1)*INDEX($H$51:$H$147,C198+1)))</x:f>
        <x:v>0</x:v>
      </x:c>
      <x:c r="F198" s="31" t="n">
        <x:f>E198*INDEX($G$51:$G$147,C198+1)</x:f>
        <x:v>0</x:v>
      </x:c>
      <x:c r="G198" s="2"/>
      <x:c r="H198" s="2"/>
      <x:c r="I198" s="2"/>
      <x:c r="J198" s="2"/>
      <x:c r="K198" s="2"/>
      <x:c r="L198" s="2"/>
      <x:c r="M198" s="2"/>
      <x:c r="N198" s="2"/>
      <x:c r="O198" s="2"/>
      <x:c r="P198" s="2"/>
      <x:c r="Q198" s="2"/>
      <x:c r="R198" s="2"/>
      <x:c r="S198" s="2"/>
      <x:c r="T198" s="2"/>
      <x:c r="U198" s="2"/>
      <x:c r="V198" s="2"/>
      <x:c r="W198" s="2"/>
      <x:c r="X198" s="2"/>
      <x:c r="Y198" s="2"/>
      <x:c r="Z198" s="2"/>
      <x:c r="AA198" s="2"/>
      <x:c r="AB198" s="2"/>
      <x:c r="AC198" s="2"/>
      <x:c r="AD198" s="2"/>
      <x:c r="AE198" s="2"/>
      <x:c r="AF198" s="2"/>
      <x:c r="AG198" s="2"/>
      <x:c r="AH198" s="2"/>
      <x:c r="AI198" s="2"/>
      <x:c r="AJ198" s="2"/>
      <x:c r="AK198" s="2"/>
      <x:c r="AL198" s="2"/>
      <x:c r="AM198" s="2"/>
      <x:c r="AN198" s="2"/>
      <x:c r="AO198" s="2"/>
      <x:c r="AP198" s="2"/>
      <x:c r="AQ198" s="2"/>
      <x:c r="AR198" s="2"/>
      <x:c r="AS198" s="2"/>
      <x:c r="AT198" s="2"/>
      <x:c r="AU198" s="2"/>
      <x:c r="AV198" s="2"/>
      <x:c r="AW198" s="2"/>
      <x:c r="AX198" s="2"/>
      <x:c r="AY198" s="2"/>
      <x:c r="AZ198" s="2"/>
      <x:c r="BA198" s="2"/>
      <x:c r="BB198" s="2"/>
      <x:c r="BC198" s="2"/>
      <x:c r="BD198" s="2"/>
      <x:c r="BE198" s="2"/>
      <x:c r="BF198" s="2"/>
      <x:c r="BG198" s="2"/>
      <x:c r="BH198" s="2"/>
      <x:c r="BI198" s="2"/>
      <x:c r="BJ198" s="2"/>
      <x:c r="BK198" s="2"/>
      <x:c r="BL198" s="2"/>
      <x:c r="BM198" s="2"/>
      <x:c r="BN198" s="2"/>
      <x:c r="BO198" s="2"/>
      <x:c r="BP198" s="2"/>
      <x:c r="BQ198" s="2"/>
      <x:c r="BR198" s="2"/>
      <x:c r="BS198" s="2"/>
      <x:c r="BT198" s="2"/>
      <x:c r="BU198" s="2"/>
      <x:c r="BV198" s="2"/>
      <x:c r="BW198" s="2"/>
      <x:c r="BX198" s="2"/>
      <x:c r="BY198" s="2"/>
      <x:c r="BZ198" s="2"/>
      <x:c r="CA198" s="2"/>
      <x:c r="CB198" s="2"/>
      <x:c r="CC198" s="2"/>
      <x:c r="CD198" s="2"/>
      <x:c r="CE198" s="2"/>
      <x:c r="CF198" s="2"/>
      <x:c r="CG198" s="2"/>
      <x:c r="CH198" s="2"/>
      <x:c r="CI198" s="2"/>
      <x:c r="CJ198" s="2"/>
      <x:c r="CK198" s="2"/>
      <x:c r="CL198" s="2"/>
      <x:c r="CM198" s="2"/>
      <x:c r="CN198" s="2"/>
      <x:c r="CO198" s="2"/>
      <x:c r="CP198" s="2"/>
      <x:c r="CQ198" s="2"/>
      <x:c r="CR198" s="2"/>
      <x:c r="CS198" s="2"/>
      <x:c r="CT198" s="2"/>
      <x:c r="CU198" s="2"/>
      <x:c r="CV198" s="2"/>
      <x:c r="CW198" s="2"/>
      <x:c r="CX198" s="2"/>
      <x:c r="CY198" s="2"/>
    </x:row>
    <x:row r="199" ht="19" customHeight="1">
      <x:c r="A199" s="1"/>
      <x:c r="B199" s="1"/>
      <x:c r="C199" s="2" t="n">
        <x:v>39</x:v>
      </x:c>
      <x:c r="D199" s="31" t="n">
        <x:f>IF(OR(C199&gt;=$E$43,INDEX($I$51:$I$147,C199+1)&lt;=0.0000000001),0,IF($E$46=0,$E$44/MIN($E$43,COUNTIF($I$51:$I$110,"&gt;0.0000000001")),IF(C199=$E$45,$E$44,0)))</x:f>
        <x:v>0</x:v>
      </x:c>
      <x:c r="E199" s="31" t="n">
        <x:f>IF(D199=0,0,D199/(INDEX($I$51:$I$147,C199+1)*INDEX($H$51:$H$147,C199+1)))</x:f>
        <x:v>0</x:v>
      </x:c>
      <x:c r="F199" s="31" t="n">
        <x:f>E199*INDEX($G$51:$G$147,C199+1)</x:f>
        <x:v>0</x:v>
      </x:c>
      <x:c r="G199" s="2"/>
      <x:c r="H199" s="2"/>
      <x:c r="I199" s="2"/>
      <x:c r="J199" s="2"/>
      <x:c r="K199" s="2"/>
      <x:c r="L199" s="2"/>
      <x:c r="M199" s="2"/>
      <x:c r="N199" s="2"/>
      <x:c r="O199" s="2"/>
      <x:c r="P199" s="2"/>
      <x:c r="Q199" s="2"/>
      <x:c r="R199" s="2"/>
      <x:c r="S199" s="2"/>
      <x:c r="T199" s="2"/>
      <x:c r="U199" s="2"/>
      <x:c r="V199" s="2"/>
      <x:c r="W199" s="2"/>
      <x:c r="X199" s="2"/>
      <x:c r="Y199" s="2"/>
      <x:c r="Z199" s="2"/>
      <x:c r="AA199" s="2"/>
      <x:c r="AB199" s="2"/>
      <x:c r="AC199" s="2"/>
      <x:c r="AD199" s="2"/>
      <x:c r="AE199" s="2"/>
      <x:c r="AF199" s="2"/>
      <x:c r="AG199" s="2"/>
      <x:c r="AH199" s="2"/>
      <x:c r="AI199" s="2"/>
      <x:c r="AJ199" s="2"/>
      <x:c r="AK199" s="2"/>
      <x:c r="AL199" s="2"/>
      <x:c r="AM199" s="2"/>
      <x:c r="AN199" s="2"/>
      <x:c r="AO199" s="2"/>
      <x:c r="AP199" s="2"/>
      <x:c r="AQ199" s="2"/>
      <x:c r="AR199" s="2"/>
      <x:c r="AS199" s="2"/>
      <x:c r="AT199" s="2"/>
      <x:c r="AU199" s="2"/>
      <x:c r="AV199" s="2"/>
      <x:c r="AW199" s="2"/>
      <x:c r="AX199" s="2"/>
      <x:c r="AY199" s="2"/>
      <x:c r="AZ199" s="2"/>
      <x:c r="BA199" s="2"/>
      <x:c r="BB199" s="2"/>
      <x:c r="BC199" s="2"/>
      <x:c r="BD199" s="2"/>
      <x:c r="BE199" s="2"/>
      <x:c r="BF199" s="2"/>
      <x:c r="BG199" s="2"/>
      <x:c r="BH199" s="2"/>
      <x:c r="BI199" s="2"/>
      <x:c r="BJ199" s="2"/>
      <x:c r="BK199" s="2"/>
      <x:c r="BL199" s="2"/>
      <x:c r="BM199" s="2"/>
      <x:c r="BN199" s="2"/>
      <x:c r="BO199" s="2"/>
      <x:c r="BP199" s="2"/>
      <x:c r="BQ199" s="2"/>
      <x:c r="BR199" s="2"/>
      <x:c r="BS199" s="2"/>
      <x:c r="BT199" s="2"/>
      <x:c r="BU199" s="2"/>
      <x:c r="BV199" s="2"/>
      <x:c r="BW199" s="2"/>
      <x:c r="BX199" s="2"/>
      <x:c r="BY199" s="2"/>
      <x:c r="BZ199" s="2"/>
      <x:c r="CA199" s="2"/>
      <x:c r="CB199" s="2"/>
      <x:c r="CC199" s="2"/>
      <x:c r="CD199" s="2"/>
      <x:c r="CE199" s="2"/>
      <x:c r="CF199" s="2"/>
      <x:c r="CG199" s="2"/>
      <x:c r="CH199" s="2"/>
      <x:c r="CI199" s="2"/>
      <x:c r="CJ199" s="2"/>
      <x:c r="CK199" s="2"/>
      <x:c r="CL199" s="2"/>
      <x:c r="CM199" s="2"/>
      <x:c r="CN199" s="2"/>
      <x:c r="CO199" s="2"/>
      <x:c r="CP199" s="2"/>
      <x:c r="CQ199" s="2"/>
      <x:c r="CR199" s="2"/>
      <x:c r="CS199" s="2"/>
      <x:c r="CT199" s="2"/>
      <x:c r="CU199" s="2"/>
      <x:c r="CV199" s="2"/>
      <x:c r="CW199" s="2"/>
      <x:c r="CX199" s="2"/>
      <x:c r="CY199" s="2"/>
    </x:row>
    <x:row r="200" ht="19" customHeight="1">
      <x:c r="A200" s="1"/>
      <x:c r="B200" s="1"/>
      <x:c r="C200" s="2" t="n">
        <x:v>40</x:v>
      </x:c>
      <x:c r="D200" s="31" t="n">
        <x:f>IF(OR(C200&gt;=$E$43,INDEX($I$51:$I$147,C200+1)&lt;=0.0000000001),0,IF($E$46=0,$E$44/MIN($E$43,COUNTIF($I$51:$I$110,"&gt;0.0000000001")),IF(C200=$E$45,$E$44,0)))</x:f>
        <x:v>0</x:v>
      </x:c>
      <x:c r="E200" s="31" t="n">
        <x:f>IF(D200=0,0,D200/(INDEX($I$51:$I$147,C200+1)*INDEX($H$51:$H$147,C200+1)))</x:f>
        <x:v>0</x:v>
      </x:c>
      <x:c r="F200" s="31" t="n">
        <x:f>E200*INDEX($G$51:$G$147,C200+1)</x:f>
        <x:v>0</x:v>
      </x:c>
      <x:c r="G200" s="2"/>
      <x:c r="H200" s="2"/>
      <x:c r="I200" s="2"/>
      <x:c r="J200" s="2"/>
      <x:c r="K200" s="2"/>
      <x:c r="L200" s="2"/>
      <x:c r="M200" s="2"/>
      <x:c r="N200" s="2"/>
      <x:c r="O200" s="2"/>
      <x:c r="P200" s="2"/>
      <x:c r="Q200" s="2"/>
      <x:c r="R200" s="2"/>
      <x:c r="S200" s="2"/>
      <x:c r="T200" s="2"/>
      <x:c r="U200" s="2"/>
      <x:c r="V200" s="2"/>
      <x:c r="W200" s="2"/>
      <x:c r="X200" s="2"/>
      <x:c r="Y200" s="2"/>
      <x:c r="Z200" s="2"/>
      <x:c r="AA200" s="2"/>
      <x:c r="AB200" s="2"/>
      <x:c r="AC200" s="2"/>
      <x:c r="AD200" s="2"/>
      <x:c r="AE200" s="2"/>
      <x:c r="AF200" s="2"/>
      <x:c r="AG200" s="2"/>
      <x:c r="AH200" s="2"/>
      <x:c r="AI200" s="2"/>
      <x:c r="AJ200" s="2"/>
      <x:c r="AK200" s="2"/>
      <x:c r="AL200" s="2"/>
      <x:c r="AM200" s="2"/>
      <x:c r="AN200" s="2"/>
      <x:c r="AO200" s="2"/>
      <x:c r="AP200" s="2"/>
      <x:c r="AQ200" s="2"/>
      <x:c r="AR200" s="2"/>
      <x:c r="AS200" s="2"/>
      <x:c r="AT200" s="2"/>
      <x:c r="AU200" s="2"/>
      <x:c r="AV200" s="2"/>
      <x:c r="AW200" s="2"/>
      <x:c r="AX200" s="2"/>
      <x:c r="AY200" s="2"/>
      <x:c r="AZ200" s="2"/>
      <x:c r="BA200" s="2"/>
      <x:c r="BB200" s="2"/>
      <x:c r="BC200" s="2"/>
      <x:c r="BD200" s="2"/>
      <x:c r="BE200" s="2"/>
      <x:c r="BF200" s="2"/>
      <x:c r="BG200" s="2"/>
      <x:c r="BH200" s="2"/>
      <x:c r="BI200" s="2"/>
      <x:c r="BJ200" s="2"/>
      <x:c r="BK200" s="2"/>
      <x:c r="BL200" s="2"/>
      <x:c r="BM200" s="2"/>
      <x:c r="BN200" s="2"/>
      <x:c r="BO200" s="2"/>
      <x:c r="BP200" s="2"/>
      <x:c r="BQ200" s="2"/>
      <x:c r="BR200" s="2"/>
      <x:c r="BS200" s="2"/>
      <x:c r="BT200" s="2"/>
      <x:c r="BU200" s="2"/>
      <x:c r="BV200" s="2"/>
      <x:c r="BW200" s="2"/>
      <x:c r="BX200" s="2"/>
      <x:c r="BY200" s="2"/>
      <x:c r="BZ200" s="2"/>
      <x:c r="CA200" s="2"/>
      <x:c r="CB200" s="2"/>
      <x:c r="CC200" s="2"/>
      <x:c r="CD200" s="2"/>
      <x:c r="CE200" s="2"/>
      <x:c r="CF200" s="2"/>
      <x:c r="CG200" s="2"/>
      <x:c r="CH200" s="2"/>
      <x:c r="CI200" s="2"/>
      <x:c r="CJ200" s="2"/>
      <x:c r="CK200" s="2"/>
      <x:c r="CL200" s="2"/>
      <x:c r="CM200" s="2"/>
      <x:c r="CN200" s="2"/>
      <x:c r="CO200" s="2"/>
      <x:c r="CP200" s="2"/>
      <x:c r="CQ200" s="2"/>
      <x:c r="CR200" s="2"/>
      <x:c r="CS200" s="2"/>
      <x:c r="CT200" s="2"/>
      <x:c r="CU200" s="2"/>
      <x:c r="CV200" s="2"/>
      <x:c r="CW200" s="2"/>
      <x:c r="CX200" s="2"/>
      <x:c r="CY200" s="2"/>
    </x:row>
    <x:row r="201" ht="19" customHeight="1">
      <x:c r="A201" s="1"/>
      <x:c r="B201" s="1"/>
      <x:c r="C201" s="2" t="n">
        <x:v>41</x:v>
      </x:c>
      <x:c r="D201" s="31" t="n">
        <x:f>IF(OR(C201&gt;=$E$43,INDEX($I$51:$I$147,C201+1)&lt;=0.0000000001),0,IF($E$46=0,$E$44/MIN($E$43,COUNTIF($I$51:$I$110,"&gt;0.0000000001")),IF(C201=$E$45,$E$44,0)))</x:f>
        <x:v>0</x:v>
      </x:c>
      <x:c r="E201" s="31" t="n">
        <x:f>IF(D201=0,0,D201/(INDEX($I$51:$I$147,C201+1)*INDEX($H$51:$H$147,C201+1)))</x:f>
        <x:v>0</x:v>
      </x:c>
      <x:c r="F201" s="31" t="n">
        <x:f>E201*INDEX($G$51:$G$147,C201+1)</x:f>
        <x:v>0</x:v>
      </x:c>
      <x:c r="G201" s="2"/>
      <x:c r="H201" s="2"/>
      <x:c r="I201" s="2"/>
      <x:c r="J201" s="2"/>
      <x:c r="K201" s="2"/>
      <x:c r="L201" s="2"/>
      <x:c r="M201" s="2"/>
      <x:c r="N201" s="2"/>
      <x:c r="O201" s="2"/>
      <x:c r="P201" s="2"/>
      <x:c r="Q201" s="2"/>
      <x:c r="R201" s="2"/>
      <x:c r="S201" s="2"/>
      <x:c r="T201" s="2"/>
      <x:c r="U201" s="2"/>
      <x:c r="V201" s="2"/>
      <x:c r="W201" s="2"/>
      <x:c r="X201" s="2"/>
      <x:c r="Y201" s="2"/>
      <x:c r="Z201" s="2"/>
      <x:c r="AA201" s="2"/>
      <x:c r="AB201" s="2"/>
      <x:c r="AC201" s="2"/>
      <x:c r="AD201" s="2"/>
      <x:c r="AE201" s="2"/>
      <x:c r="AF201" s="2"/>
      <x:c r="AG201" s="2"/>
      <x:c r="AH201" s="2"/>
      <x:c r="AI201" s="2"/>
      <x:c r="AJ201" s="2"/>
      <x:c r="AK201" s="2"/>
      <x:c r="AL201" s="2"/>
      <x:c r="AM201" s="2"/>
      <x:c r="AN201" s="2"/>
      <x:c r="AO201" s="2"/>
      <x:c r="AP201" s="2"/>
      <x:c r="AQ201" s="2"/>
      <x:c r="AR201" s="2"/>
      <x:c r="AS201" s="2"/>
      <x:c r="AT201" s="2"/>
      <x:c r="AU201" s="2"/>
      <x:c r="AV201" s="2"/>
      <x:c r="AW201" s="2"/>
      <x:c r="AX201" s="2"/>
      <x:c r="AY201" s="2"/>
      <x:c r="AZ201" s="2"/>
      <x:c r="BA201" s="2"/>
      <x:c r="BB201" s="2"/>
      <x:c r="BC201" s="2"/>
      <x:c r="BD201" s="2"/>
      <x:c r="BE201" s="2"/>
      <x:c r="BF201" s="2"/>
      <x:c r="BG201" s="2"/>
      <x:c r="BH201" s="2"/>
      <x:c r="BI201" s="2"/>
      <x:c r="BJ201" s="2"/>
      <x:c r="BK201" s="2"/>
      <x:c r="BL201" s="2"/>
      <x:c r="BM201" s="2"/>
      <x:c r="BN201" s="2"/>
      <x:c r="BO201" s="2"/>
      <x:c r="BP201" s="2"/>
      <x:c r="BQ201" s="2"/>
      <x:c r="BR201" s="2"/>
      <x:c r="BS201" s="2"/>
      <x:c r="BT201" s="2"/>
      <x:c r="BU201" s="2"/>
      <x:c r="BV201" s="2"/>
      <x:c r="BW201" s="2"/>
      <x:c r="BX201" s="2"/>
      <x:c r="BY201" s="2"/>
      <x:c r="BZ201" s="2"/>
      <x:c r="CA201" s="2"/>
      <x:c r="CB201" s="2"/>
      <x:c r="CC201" s="2"/>
      <x:c r="CD201" s="2"/>
      <x:c r="CE201" s="2"/>
      <x:c r="CF201" s="2"/>
      <x:c r="CG201" s="2"/>
      <x:c r="CH201" s="2"/>
      <x:c r="CI201" s="2"/>
      <x:c r="CJ201" s="2"/>
      <x:c r="CK201" s="2"/>
      <x:c r="CL201" s="2"/>
      <x:c r="CM201" s="2"/>
      <x:c r="CN201" s="2"/>
      <x:c r="CO201" s="2"/>
      <x:c r="CP201" s="2"/>
      <x:c r="CQ201" s="2"/>
      <x:c r="CR201" s="2"/>
      <x:c r="CS201" s="2"/>
      <x:c r="CT201" s="2"/>
      <x:c r="CU201" s="2"/>
      <x:c r="CV201" s="2"/>
      <x:c r="CW201" s="2"/>
      <x:c r="CX201" s="2"/>
      <x:c r="CY201" s="2"/>
    </x:row>
    <x:row r="202" ht="19" customHeight="1">
      <x:c r="A202" s="1"/>
      <x:c r="B202" s="1"/>
      <x:c r="C202" s="2" t="n">
        <x:v>42</x:v>
      </x:c>
      <x:c r="D202" s="31" t="n">
        <x:f>IF(OR(C202&gt;=$E$43,INDEX($I$51:$I$147,C202+1)&lt;=0.0000000001),0,IF($E$46=0,$E$44/MIN($E$43,COUNTIF($I$51:$I$110,"&gt;0.0000000001")),IF(C202=$E$45,$E$44,0)))</x:f>
        <x:v>0</x:v>
      </x:c>
      <x:c r="E202" s="31" t="n">
        <x:f>IF(D202=0,0,D202/(INDEX($I$51:$I$147,C202+1)*INDEX($H$51:$H$147,C202+1)))</x:f>
        <x:v>0</x:v>
      </x:c>
      <x:c r="F202" s="31" t="n">
        <x:f>E202*INDEX($G$51:$G$147,C202+1)</x:f>
        <x:v>0</x:v>
      </x:c>
      <x:c r="G202" s="2"/>
      <x:c r="H202" s="2"/>
      <x:c r="I202" s="2"/>
      <x:c r="J202" s="2"/>
      <x:c r="K202" s="2"/>
      <x:c r="L202" s="2"/>
      <x:c r="M202" s="2"/>
      <x:c r="N202" s="2"/>
      <x:c r="O202" s="2"/>
      <x:c r="P202" s="2"/>
      <x:c r="Q202" s="2"/>
      <x:c r="R202" s="2"/>
      <x:c r="S202" s="2"/>
      <x:c r="T202" s="2"/>
      <x:c r="U202" s="2"/>
      <x:c r="V202" s="2"/>
      <x:c r="W202" s="2"/>
      <x:c r="X202" s="2"/>
      <x:c r="Y202" s="2"/>
      <x:c r="Z202" s="2"/>
      <x:c r="AA202" s="2"/>
      <x:c r="AB202" s="2"/>
      <x:c r="AC202" s="2"/>
      <x:c r="AD202" s="2"/>
      <x:c r="AE202" s="2"/>
      <x:c r="AF202" s="2"/>
      <x:c r="AG202" s="2"/>
      <x:c r="AH202" s="2"/>
      <x:c r="AI202" s="2"/>
      <x:c r="AJ202" s="2"/>
      <x:c r="AK202" s="2"/>
      <x:c r="AL202" s="2"/>
      <x:c r="AM202" s="2"/>
      <x:c r="AN202" s="2"/>
      <x:c r="AO202" s="2"/>
      <x:c r="AP202" s="2"/>
      <x:c r="AQ202" s="2"/>
      <x:c r="AR202" s="2"/>
      <x:c r="AS202" s="2"/>
      <x:c r="AT202" s="2"/>
      <x:c r="AU202" s="2"/>
      <x:c r="AV202" s="2"/>
      <x:c r="AW202" s="2"/>
      <x:c r="AX202" s="2"/>
      <x:c r="AY202" s="2"/>
      <x:c r="AZ202" s="2"/>
      <x:c r="BA202" s="2"/>
      <x:c r="BB202" s="2"/>
      <x:c r="BC202" s="2"/>
      <x:c r="BD202" s="2"/>
      <x:c r="BE202" s="2"/>
      <x:c r="BF202" s="2"/>
      <x:c r="BG202" s="2"/>
      <x:c r="BH202" s="2"/>
      <x:c r="BI202" s="2"/>
      <x:c r="BJ202" s="2"/>
      <x:c r="BK202" s="2"/>
      <x:c r="BL202" s="2"/>
      <x:c r="BM202" s="2"/>
      <x:c r="BN202" s="2"/>
      <x:c r="BO202" s="2"/>
      <x:c r="BP202" s="2"/>
      <x:c r="BQ202" s="2"/>
      <x:c r="BR202" s="2"/>
      <x:c r="BS202" s="2"/>
      <x:c r="BT202" s="2"/>
      <x:c r="BU202" s="2"/>
      <x:c r="BV202" s="2"/>
      <x:c r="BW202" s="2"/>
      <x:c r="BX202" s="2"/>
      <x:c r="BY202" s="2"/>
      <x:c r="BZ202" s="2"/>
      <x:c r="CA202" s="2"/>
      <x:c r="CB202" s="2"/>
      <x:c r="CC202" s="2"/>
      <x:c r="CD202" s="2"/>
      <x:c r="CE202" s="2"/>
      <x:c r="CF202" s="2"/>
      <x:c r="CG202" s="2"/>
      <x:c r="CH202" s="2"/>
      <x:c r="CI202" s="2"/>
      <x:c r="CJ202" s="2"/>
      <x:c r="CK202" s="2"/>
      <x:c r="CL202" s="2"/>
      <x:c r="CM202" s="2"/>
      <x:c r="CN202" s="2"/>
      <x:c r="CO202" s="2"/>
      <x:c r="CP202" s="2"/>
      <x:c r="CQ202" s="2"/>
      <x:c r="CR202" s="2"/>
      <x:c r="CS202" s="2"/>
      <x:c r="CT202" s="2"/>
      <x:c r="CU202" s="2"/>
      <x:c r="CV202" s="2"/>
      <x:c r="CW202" s="2"/>
      <x:c r="CX202" s="2"/>
      <x:c r="CY202" s="2"/>
    </x:row>
    <x:row r="203" ht="19" customHeight="1">
      <x:c r="A203" s="1"/>
      <x:c r="B203" s="1"/>
      <x:c r="C203" s="2" t="n">
        <x:v>43</x:v>
      </x:c>
      <x:c r="D203" s="31" t="n">
        <x:f>IF(OR(C203&gt;=$E$43,INDEX($I$51:$I$147,C203+1)&lt;=0.0000000001),0,IF($E$46=0,$E$44/MIN($E$43,COUNTIF($I$51:$I$110,"&gt;0.0000000001")),IF(C203=$E$45,$E$44,0)))</x:f>
        <x:v>0</x:v>
      </x:c>
      <x:c r="E203" s="31" t="n">
        <x:f>IF(D203=0,0,D203/(INDEX($I$51:$I$147,C203+1)*INDEX($H$51:$H$147,C203+1)))</x:f>
        <x:v>0</x:v>
      </x:c>
      <x:c r="F203" s="31" t="n">
        <x:f>E203*INDEX($G$51:$G$147,C203+1)</x:f>
        <x:v>0</x:v>
      </x:c>
      <x:c r="G203" s="2"/>
      <x:c r="H203" s="2"/>
      <x:c r="I203" s="2"/>
      <x:c r="J203" s="2"/>
      <x:c r="K203" s="2"/>
      <x:c r="L203" s="2"/>
      <x:c r="M203" s="2"/>
      <x:c r="N203" s="2"/>
      <x:c r="O203" s="2"/>
      <x:c r="P203" s="2"/>
      <x:c r="Q203" s="2"/>
      <x:c r="R203" s="2"/>
      <x:c r="S203" s="2"/>
      <x:c r="T203" s="2"/>
      <x:c r="U203" s="2"/>
      <x:c r="V203" s="2"/>
      <x:c r="W203" s="2"/>
      <x:c r="X203" s="2"/>
      <x:c r="Y203" s="2"/>
      <x:c r="Z203" s="2"/>
      <x:c r="AA203" s="2"/>
      <x:c r="AB203" s="2"/>
      <x:c r="AC203" s="2"/>
      <x:c r="AD203" s="2"/>
      <x:c r="AE203" s="2"/>
      <x:c r="AF203" s="2"/>
      <x:c r="AG203" s="2"/>
      <x:c r="AH203" s="2"/>
      <x:c r="AI203" s="2"/>
      <x:c r="AJ203" s="2"/>
      <x:c r="AK203" s="2"/>
      <x:c r="AL203" s="2"/>
      <x:c r="AM203" s="2"/>
      <x:c r="AN203" s="2"/>
      <x:c r="AO203" s="2"/>
      <x:c r="AP203" s="2"/>
      <x:c r="AQ203" s="2"/>
      <x:c r="AR203" s="2"/>
      <x:c r="AS203" s="2"/>
      <x:c r="AT203" s="2"/>
      <x:c r="AU203" s="2"/>
      <x:c r="AV203" s="2"/>
      <x:c r="AW203" s="2"/>
      <x:c r="AX203" s="2"/>
      <x:c r="AY203" s="2"/>
      <x:c r="AZ203" s="2"/>
      <x:c r="BA203" s="2"/>
      <x:c r="BB203" s="2"/>
      <x:c r="BC203" s="2"/>
      <x:c r="BD203" s="2"/>
      <x:c r="BE203" s="2"/>
      <x:c r="BF203" s="2"/>
      <x:c r="BG203" s="2"/>
      <x:c r="BH203" s="2"/>
      <x:c r="BI203" s="2"/>
      <x:c r="BJ203" s="2"/>
      <x:c r="BK203" s="2"/>
      <x:c r="BL203" s="2"/>
      <x:c r="BM203" s="2"/>
      <x:c r="BN203" s="2"/>
      <x:c r="BO203" s="2"/>
      <x:c r="BP203" s="2"/>
      <x:c r="BQ203" s="2"/>
      <x:c r="BR203" s="2"/>
      <x:c r="BS203" s="2"/>
      <x:c r="BT203" s="2"/>
      <x:c r="BU203" s="2"/>
      <x:c r="BV203" s="2"/>
      <x:c r="BW203" s="2"/>
      <x:c r="BX203" s="2"/>
      <x:c r="BY203" s="2"/>
      <x:c r="BZ203" s="2"/>
      <x:c r="CA203" s="2"/>
      <x:c r="CB203" s="2"/>
      <x:c r="CC203" s="2"/>
      <x:c r="CD203" s="2"/>
      <x:c r="CE203" s="2"/>
      <x:c r="CF203" s="2"/>
      <x:c r="CG203" s="2"/>
      <x:c r="CH203" s="2"/>
      <x:c r="CI203" s="2"/>
      <x:c r="CJ203" s="2"/>
      <x:c r="CK203" s="2"/>
      <x:c r="CL203" s="2"/>
      <x:c r="CM203" s="2"/>
      <x:c r="CN203" s="2"/>
      <x:c r="CO203" s="2"/>
      <x:c r="CP203" s="2"/>
      <x:c r="CQ203" s="2"/>
      <x:c r="CR203" s="2"/>
      <x:c r="CS203" s="2"/>
      <x:c r="CT203" s="2"/>
      <x:c r="CU203" s="2"/>
      <x:c r="CV203" s="2"/>
      <x:c r="CW203" s="2"/>
      <x:c r="CX203" s="2"/>
      <x:c r="CY203" s="2"/>
    </x:row>
    <x:row r="204" ht="19" customHeight="1">
      <x:c r="A204" s="1"/>
      <x:c r="B204" s="1"/>
      <x:c r="C204" s="2" t="n">
        <x:v>44</x:v>
      </x:c>
      <x:c r="D204" s="31" t="n">
        <x:f>IF(OR(C204&gt;=$E$43,INDEX($I$51:$I$147,C204+1)&lt;=0.0000000001),0,IF($E$46=0,$E$44/MIN($E$43,COUNTIF($I$51:$I$110,"&gt;0.0000000001")),IF(C204=$E$45,$E$44,0)))</x:f>
        <x:v>0</x:v>
      </x:c>
      <x:c r="E204" s="31" t="n">
        <x:f>IF(D204=0,0,D204/(INDEX($I$51:$I$147,C204+1)*INDEX($H$51:$H$147,C204+1)))</x:f>
        <x:v>0</x:v>
      </x:c>
      <x:c r="F204" s="31" t="n">
        <x:f>E204*INDEX($G$51:$G$147,C204+1)</x:f>
        <x:v>0</x:v>
      </x:c>
      <x:c r="G204" s="2"/>
      <x:c r="H204" s="2"/>
      <x:c r="I204" s="2"/>
      <x:c r="J204" s="2"/>
      <x:c r="K204" s="2"/>
      <x:c r="L204" s="2"/>
      <x:c r="M204" s="2"/>
      <x:c r="N204" s="2"/>
      <x:c r="O204" s="2"/>
      <x:c r="P204" s="2"/>
      <x:c r="Q204" s="2"/>
      <x:c r="R204" s="2"/>
      <x:c r="S204" s="2"/>
      <x:c r="T204" s="2"/>
      <x:c r="U204" s="2"/>
      <x:c r="V204" s="2"/>
      <x:c r="W204" s="2"/>
      <x:c r="X204" s="2"/>
      <x:c r="Y204" s="2"/>
      <x:c r="Z204" s="2"/>
      <x:c r="AA204" s="2"/>
      <x:c r="AB204" s="2"/>
      <x:c r="AC204" s="2"/>
      <x:c r="AD204" s="2"/>
      <x:c r="AE204" s="2"/>
      <x:c r="AF204" s="2"/>
      <x:c r="AG204" s="2"/>
      <x:c r="AH204" s="2"/>
      <x:c r="AI204" s="2"/>
      <x:c r="AJ204" s="2"/>
      <x:c r="AK204" s="2"/>
      <x:c r="AL204" s="2"/>
      <x:c r="AM204" s="2"/>
      <x:c r="AN204" s="2"/>
      <x:c r="AO204" s="2"/>
      <x:c r="AP204" s="2"/>
      <x:c r="AQ204" s="2"/>
      <x:c r="AR204" s="2"/>
      <x:c r="AS204" s="2"/>
      <x:c r="AT204" s="2"/>
      <x:c r="AU204" s="2"/>
      <x:c r="AV204" s="2"/>
      <x:c r="AW204" s="2"/>
      <x:c r="AX204" s="2"/>
      <x:c r="AY204" s="2"/>
      <x:c r="AZ204" s="2"/>
      <x:c r="BA204" s="2"/>
      <x:c r="BB204" s="2"/>
      <x:c r="BC204" s="2"/>
      <x:c r="BD204" s="2"/>
      <x:c r="BE204" s="2"/>
      <x:c r="BF204" s="2"/>
      <x:c r="BG204" s="2"/>
      <x:c r="BH204" s="2"/>
      <x:c r="BI204" s="2"/>
      <x:c r="BJ204" s="2"/>
      <x:c r="BK204" s="2"/>
      <x:c r="BL204" s="2"/>
      <x:c r="BM204" s="2"/>
      <x:c r="BN204" s="2"/>
      <x:c r="BO204" s="2"/>
      <x:c r="BP204" s="2"/>
      <x:c r="BQ204" s="2"/>
      <x:c r="BR204" s="2"/>
      <x:c r="BS204" s="2"/>
      <x:c r="BT204" s="2"/>
      <x:c r="BU204" s="2"/>
      <x:c r="BV204" s="2"/>
      <x:c r="BW204" s="2"/>
      <x:c r="BX204" s="2"/>
      <x:c r="BY204" s="2"/>
      <x:c r="BZ204" s="2"/>
      <x:c r="CA204" s="2"/>
      <x:c r="CB204" s="2"/>
      <x:c r="CC204" s="2"/>
      <x:c r="CD204" s="2"/>
      <x:c r="CE204" s="2"/>
      <x:c r="CF204" s="2"/>
      <x:c r="CG204" s="2"/>
      <x:c r="CH204" s="2"/>
      <x:c r="CI204" s="2"/>
      <x:c r="CJ204" s="2"/>
      <x:c r="CK204" s="2"/>
      <x:c r="CL204" s="2"/>
      <x:c r="CM204" s="2"/>
      <x:c r="CN204" s="2"/>
      <x:c r="CO204" s="2"/>
      <x:c r="CP204" s="2"/>
      <x:c r="CQ204" s="2"/>
      <x:c r="CR204" s="2"/>
      <x:c r="CS204" s="2"/>
      <x:c r="CT204" s="2"/>
      <x:c r="CU204" s="2"/>
      <x:c r="CV204" s="2"/>
      <x:c r="CW204" s="2"/>
      <x:c r="CX204" s="2"/>
      <x:c r="CY204" s="2"/>
    </x:row>
    <x:row r="205" ht="19" customHeight="1">
      <x:c r="A205" s="1"/>
      <x:c r="B205" s="1"/>
      <x:c r="C205" s="2" t="n">
        <x:v>45</x:v>
      </x:c>
      <x:c r="D205" s="31" t="n">
        <x:f>IF(OR(C205&gt;=$E$43,INDEX($I$51:$I$147,C205+1)&lt;=0.0000000001),0,IF($E$46=0,$E$44/MIN($E$43,COUNTIF($I$51:$I$110,"&gt;0.0000000001")),IF(C205=$E$45,$E$44,0)))</x:f>
        <x:v>0</x:v>
      </x:c>
      <x:c r="E205" s="31" t="n">
        <x:f>IF(D205=0,0,D205/(INDEX($I$51:$I$147,C205+1)*INDEX($H$51:$H$147,C205+1)))</x:f>
        <x:v>0</x:v>
      </x:c>
      <x:c r="F205" s="31" t="n">
        <x:f>E205*INDEX($G$51:$G$147,C205+1)</x:f>
        <x:v>0</x:v>
      </x:c>
      <x:c r="G205" s="2"/>
      <x:c r="H205" s="2"/>
      <x:c r="I205" s="2"/>
      <x:c r="J205" s="2"/>
      <x:c r="K205" s="2"/>
      <x:c r="L205" s="2"/>
      <x:c r="M205" s="2"/>
      <x:c r="N205" s="2"/>
      <x:c r="O205" s="2"/>
      <x:c r="P205" s="2"/>
      <x:c r="Q205" s="2"/>
      <x:c r="R205" s="2"/>
      <x:c r="S205" s="2"/>
      <x:c r="T205" s="2"/>
      <x:c r="U205" s="2"/>
      <x:c r="V205" s="2"/>
      <x:c r="W205" s="2"/>
      <x:c r="X205" s="2"/>
      <x:c r="Y205" s="2"/>
      <x:c r="Z205" s="2"/>
      <x:c r="AA205" s="2"/>
      <x:c r="AB205" s="2"/>
      <x:c r="AC205" s="2"/>
      <x:c r="AD205" s="2"/>
      <x:c r="AE205" s="2"/>
      <x:c r="AF205" s="2"/>
      <x:c r="AG205" s="2"/>
      <x:c r="AH205" s="2"/>
      <x:c r="AI205" s="2"/>
      <x:c r="AJ205" s="2"/>
      <x:c r="AK205" s="2"/>
      <x:c r="AL205" s="2"/>
      <x:c r="AM205" s="2"/>
      <x:c r="AN205" s="2"/>
      <x:c r="AO205" s="2"/>
      <x:c r="AP205" s="2"/>
      <x:c r="AQ205" s="2"/>
      <x:c r="AR205" s="2"/>
      <x:c r="AS205" s="2"/>
      <x:c r="AT205" s="2"/>
      <x:c r="AU205" s="2"/>
      <x:c r="AV205" s="2"/>
      <x:c r="AW205" s="2"/>
      <x:c r="AX205" s="2"/>
      <x:c r="AY205" s="2"/>
      <x:c r="AZ205" s="2"/>
      <x:c r="BA205" s="2"/>
      <x:c r="BB205" s="2"/>
      <x:c r="BC205" s="2"/>
      <x:c r="BD205" s="2"/>
      <x:c r="BE205" s="2"/>
      <x:c r="BF205" s="2"/>
      <x:c r="BG205" s="2"/>
      <x:c r="BH205" s="2"/>
      <x:c r="BI205" s="2"/>
      <x:c r="BJ205" s="2"/>
      <x:c r="BK205" s="2"/>
      <x:c r="BL205" s="2"/>
      <x:c r="BM205" s="2"/>
      <x:c r="BN205" s="2"/>
      <x:c r="BO205" s="2"/>
      <x:c r="BP205" s="2"/>
      <x:c r="BQ205" s="2"/>
      <x:c r="BR205" s="2"/>
      <x:c r="BS205" s="2"/>
      <x:c r="BT205" s="2"/>
      <x:c r="BU205" s="2"/>
      <x:c r="BV205" s="2"/>
      <x:c r="BW205" s="2"/>
      <x:c r="BX205" s="2"/>
      <x:c r="BY205" s="2"/>
      <x:c r="BZ205" s="2"/>
      <x:c r="CA205" s="2"/>
      <x:c r="CB205" s="2"/>
      <x:c r="CC205" s="2"/>
      <x:c r="CD205" s="2"/>
      <x:c r="CE205" s="2"/>
      <x:c r="CF205" s="2"/>
      <x:c r="CG205" s="2"/>
      <x:c r="CH205" s="2"/>
      <x:c r="CI205" s="2"/>
      <x:c r="CJ205" s="2"/>
      <x:c r="CK205" s="2"/>
      <x:c r="CL205" s="2"/>
      <x:c r="CM205" s="2"/>
      <x:c r="CN205" s="2"/>
      <x:c r="CO205" s="2"/>
      <x:c r="CP205" s="2"/>
      <x:c r="CQ205" s="2"/>
      <x:c r="CR205" s="2"/>
      <x:c r="CS205" s="2"/>
      <x:c r="CT205" s="2"/>
      <x:c r="CU205" s="2"/>
      <x:c r="CV205" s="2"/>
      <x:c r="CW205" s="2"/>
      <x:c r="CX205" s="2"/>
      <x:c r="CY205" s="2"/>
    </x:row>
    <x:row r="206" ht="19" customHeight="1">
      <x:c r="A206" s="1"/>
      <x:c r="B206" s="1"/>
      <x:c r="C206" s="2" t="n">
        <x:v>46</x:v>
      </x:c>
      <x:c r="D206" s="31" t="n">
        <x:f>IF(OR(C206&gt;=$E$43,INDEX($I$51:$I$147,C206+1)&lt;=0.0000000001),0,IF($E$46=0,$E$44/MIN($E$43,COUNTIF($I$51:$I$110,"&gt;0.0000000001")),IF(C206=$E$45,$E$44,0)))</x:f>
        <x:v>0</x:v>
      </x:c>
      <x:c r="E206" s="31" t="n">
        <x:f>IF(D206=0,0,D206/(INDEX($I$51:$I$147,C206+1)*INDEX($H$51:$H$147,C206+1)))</x:f>
        <x:v>0</x:v>
      </x:c>
      <x:c r="F206" s="31" t="n">
        <x:f>E206*INDEX($G$51:$G$147,C206+1)</x:f>
        <x:v>0</x:v>
      </x:c>
      <x:c r="G206" s="2"/>
      <x:c r="H206" s="2"/>
      <x:c r="I206" s="2"/>
      <x:c r="J206" s="2"/>
      <x:c r="K206" s="2"/>
      <x:c r="L206" s="2"/>
      <x:c r="M206" s="2"/>
      <x:c r="N206" s="2"/>
      <x:c r="O206" s="2"/>
      <x:c r="P206" s="2"/>
      <x:c r="Q206" s="2"/>
      <x:c r="R206" s="2"/>
      <x:c r="S206" s="2"/>
      <x:c r="T206" s="2"/>
      <x:c r="U206" s="2"/>
      <x:c r="V206" s="2"/>
      <x:c r="W206" s="2"/>
      <x:c r="X206" s="2"/>
      <x:c r="Y206" s="2"/>
      <x:c r="Z206" s="2"/>
      <x:c r="AA206" s="2"/>
      <x:c r="AB206" s="2"/>
      <x:c r="AC206" s="2"/>
      <x:c r="AD206" s="2"/>
      <x:c r="AE206" s="2"/>
      <x:c r="AF206" s="2"/>
      <x:c r="AG206" s="2"/>
      <x:c r="AH206" s="2"/>
      <x:c r="AI206" s="2"/>
      <x:c r="AJ206" s="2"/>
      <x:c r="AK206" s="2"/>
      <x:c r="AL206" s="2"/>
      <x:c r="AM206" s="2"/>
      <x:c r="AN206" s="2"/>
      <x:c r="AO206" s="2"/>
      <x:c r="AP206" s="2"/>
      <x:c r="AQ206" s="2"/>
      <x:c r="AR206" s="2"/>
      <x:c r="AS206" s="2"/>
      <x:c r="AT206" s="2"/>
      <x:c r="AU206" s="2"/>
      <x:c r="AV206" s="2"/>
      <x:c r="AW206" s="2"/>
      <x:c r="AX206" s="2"/>
      <x:c r="AY206" s="2"/>
      <x:c r="AZ206" s="2"/>
      <x:c r="BA206" s="2"/>
      <x:c r="BB206" s="2"/>
      <x:c r="BC206" s="2"/>
      <x:c r="BD206" s="2"/>
      <x:c r="BE206" s="2"/>
      <x:c r="BF206" s="2"/>
      <x:c r="BG206" s="2"/>
      <x:c r="BH206" s="2"/>
      <x:c r="BI206" s="2"/>
      <x:c r="BJ206" s="2"/>
      <x:c r="BK206" s="2"/>
      <x:c r="BL206" s="2"/>
      <x:c r="BM206" s="2"/>
      <x:c r="BN206" s="2"/>
      <x:c r="BO206" s="2"/>
      <x:c r="BP206" s="2"/>
      <x:c r="BQ206" s="2"/>
      <x:c r="BR206" s="2"/>
      <x:c r="BS206" s="2"/>
      <x:c r="BT206" s="2"/>
      <x:c r="BU206" s="2"/>
      <x:c r="BV206" s="2"/>
      <x:c r="BW206" s="2"/>
      <x:c r="BX206" s="2"/>
      <x:c r="BY206" s="2"/>
      <x:c r="BZ206" s="2"/>
      <x:c r="CA206" s="2"/>
      <x:c r="CB206" s="2"/>
      <x:c r="CC206" s="2"/>
      <x:c r="CD206" s="2"/>
      <x:c r="CE206" s="2"/>
      <x:c r="CF206" s="2"/>
      <x:c r="CG206" s="2"/>
      <x:c r="CH206" s="2"/>
      <x:c r="CI206" s="2"/>
      <x:c r="CJ206" s="2"/>
      <x:c r="CK206" s="2"/>
      <x:c r="CL206" s="2"/>
      <x:c r="CM206" s="2"/>
      <x:c r="CN206" s="2"/>
      <x:c r="CO206" s="2"/>
      <x:c r="CP206" s="2"/>
      <x:c r="CQ206" s="2"/>
      <x:c r="CR206" s="2"/>
      <x:c r="CS206" s="2"/>
      <x:c r="CT206" s="2"/>
      <x:c r="CU206" s="2"/>
      <x:c r="CV206" s="2"/>
      <x:c r="CW206" s="2"/>
      <x:c r="CX206" s="2"/>
      <x:c r="CY206" s="2"/>
    </x:row>
    <x:row r="207" ht="19" customHeight="1">
      <x:c r="A207" s="1"/>
      <x:c r="B207" s="1"/>
      <x:c r="C207" s="2" t="n">
        <x:v>47</x:v>
      </x:c>
      <x:c r="D207" s="31" t="n">
        <x:f>IF(OR(C207&gt;=$E$43,INDEX($I$51:$I$147,C207+1)&lt;=0.0000000001),0,IF($E$46=0,$E$44/MIN($E$43,COUNTIF($I$51:$I$110,"&gt;0.0000000001")),IF(C207=$E$45,$E$44,0)))</x:f>
        <x:v>0</x:v>
      </x:c>
      <x:c r="E207" s="31" t="n">
        <x:f>IF(D207=0,0,D207/(INDEX($I$51:$I$147,C207+1)*INDEX($H$51:$H$147,C207+1)))</x:f>
        <x:v>0</x:v>
      </x:c>
      <x:c r="F207" s="31" t="n">
        <x:f>E207*INDEX($G$51:$G$147,C207+1)</x:f>
        <x:v>0</x:v>
      </x:c>
      <x:c r="G207" s="2"/>
      <x:c r="H207" s="2"/>
      <x:c r="I207" s="2"/>
      <x:c r="J207" s="2"/>
      <x:c r="K207" s="2"/>
      <x:c r="L207" s="2"/>
      <x:c r="M207" s="2"/>
      <x:c r="N207" s="2"/>
      <x:c r="O207" s="2"/>
      <x:c r="P207" s="2"/>
      <x:c r="Q207" s="2"/>
      <x:c r="R207" s="2"/>
      <x:c r="S207" s="2"/>
      <x:c r="T207" s="2"/>
      <x:c r="U207" s="2"/>
      <x:c r="V207" s="2"/>
      <x:c r="W207" s="2"/>
      <x:c r="X207" s="2"/>
      <x:c r="Y207" s="2"/>
      <x:c r="Z207" s="2"/>
      <x:c r="AA207" s="2"/>
      <x:c r="AB207" s="2"/>
      <x:c r="AC207" s="2"/>
      <x:c r="AD207" s="2"/>
      <x:c r="AE207" s="2"/>
      <x:c r="AF207" s="2"/>
      <x:c r="AG207" s="2"/>
      <x:c r="AH207" s="2"/>
      <x:c r="AI207" s="2"/>
      <x:c r="AJ207" s="2"/>
      <x:c r="AK207" s="2"/>
      <x:c r="AL207" s="2"/>
      <x:c r="AM207" s="2"/>
      <x:c r="AN207" s="2"/>
      <x:c r="AO207" s="2"/>
      <x:c r="AP207" s="2"/>
      <x:c r="AQ207" s="2"/>
      <x:c r="AR207" s="2"/>
      <x:c r="AS207" s="2"/>
      <x:c r="AT207" s="2"/>
      <x:c r="AU207" s="2"/>
      <x:c r="AV207" s="2"/>
      <x:c r="AW207" s="2"/>
      <x:c r="AX207" s="2"/>
      <x:c r="AY207" s="2"/>
      <x:c r="AZ207" s="2"/>
      <x:c r="BA207" s="2"/>
      <x:c r="BB207" s="2"/>
      <x:c r="BC207" s="2"/>
      <x:c r="BD207" s="2"/>
      <x:c r="BE207" s="2"/>
      <x:c r="BF207" s="2"/>
      <x:c r="BG207" s="2"/>
      <x:c r="BH207" s="2"/>
      <x:c r="BI207" s="2"/>
      <x:c r="BJ207" s="2"/>
      <x:c r="BK207" s="2"/>
      <x:c r="BL207" s="2"/>
      <x:c r="BM207" s="2"/>
      <x:c r="BN207" s="2"/>
      <x:c r="BO207" s="2"/>
      <x:c r="BP207" s="2"/>
      <x:c r="BQ207" s="2"/>
      <x:c r="BR207" s="2"/>
      <x:c r="BS207" s="2"/>
      <x:c r="BT207" s="2"/>
      <x:c r="BU207" s="2"/>
      <x:c r="BV207" s="2"/>
      <x:c r="BW207" s="2"/>
      <x:c r="BX207" s="2"/>
      <x:c r="BY207" s="2"/>
      <x:c r="BZ207" s="2"/>
      <x:c r="CA207" s="2"/>
      <x:c r="CB207" s="2"/>
      <x:c r="CC207" s="2"/>
      <x:c r="CD207" s="2"/>
      <x:c r="CE207" s="2"/>
      <x:c r="CF207" s="2"/>
      <x:c r="CG207" s="2"/>
      <x:c r="CH207" s="2"/>
      <x:c r="CI207" s="2"/>
      <x:c r="CJ207" s="2"/>
      <x:c r="CK207" s="2"/>
      <x:c r="CL207" s="2"/>
      <x:c r="CM207" s="2"/>
      <x:c r="CN207" s="2"/>
      <x:c r="CO207" s="2"/>
      <x:c r="CP207" s="2"/>
      <x:c r="CQ207" s="2"/>
      <x:c r="CR207" s="2"/>
      <x:c r="CS207" s="2"/>
      <x:c r="CT207" s="2"/>
      <x:c r="CU207" s="2"/>
      <x:c r="CV207" s="2"/>
      <x:c r="CW207" s="2"/>
      <x:c r="CX207" s="2"/>
      <x:c r="CY207" s="2"/>
    </x:row>
    <x:row r="208" ht="19" customHeight="1">
      <x:c r="A208" s="1"/>
      <x:c r="B208" s="1"/>
      <x:c r="C208" s="2" t="n">
        <x:v>48</x:v>
      </x:c>
      <x:c r="D208" s="31" t="n">
        <x:f>IF(OR(C208&gt;=$E$43,INDEX($I$51:$I$147,C208+1)&lt;=0.0000000001),0,IF($E$46=0,$E$44/MIN($E$43,COUNTIF($I$51:$I$110,"&gt;0.0000000001")),IF(C208=$E$45,$E$44,0)))</x:f>
        <x:v>0</x:v>
      </x:c>
      <x:c r="E208" s="31" t="n">
        <x:f>IF(D208=0,0,D208/(INDEX($I$51:$I$147,C208+1)*INDEX($H$51:$H$147,C208+1)))</x:f>
        <x:v>0</x:v>
      </x:c>
      <x:c r="F208" s="31" t="n">
        <x:f>E208*INDEX($G$51:$G$147,C208+1)</x:f>
        <x:v>0</x:v>
      </x:c>
      <x:c r="G208" s="2"/>
      <x:c r="H208" s="2"/>
      <x:c r="I208" s="2"/>
      <x:c r="J208" s="2"/>
      <x:c r="K208" s="2"/>
      <x:c r="L208" s="2"/>
      <x:c r="M208" s="2"/>
      <x:c r="N208" s="2"/>
      <x:c r="O208" s="2"/>
      <x:c r="P208" s="2"/>
      <x:c r="Q208" s="2"/>
      <x:c r="R208" s="2"/>
      <x:c r="S208" s="2"/>
      <x:c r="T208" s="2"/>
      <x:c r="U208" s="2"/>
      <x:c r="V208" s="2"/>
      <x:c r="W208" s="2"/>
      <x:c r="X208" s="2"/>
      <x:c r="Y208" s="2"/>
      <x:c r="Z208" s="2"/>
      <x:c r="AA208" s="2"/>
      <x:c r="AB208" s="2"/>
      <x:c r="AC208" s="2"/>
      <x:c r="AD208" s="2"/>
      <x:c r="AE208" s="2"/>
      <x:c r="AF208" s="2"/>
      <x:c r="AG208" s="2"/>
      <x:c r="AH208" s="2"/>
      <x:c r="AI208" s="2"/>
      <x:c r="AJ208" s="2"/>
      <x:c r="AK208" s="2"/>
      <x:c r="AL208" s="2"/>
      <x:c r="AM208" s="2"/>
      <x:c r="AN208" s="2"/>
      <x:c r="AO208" s="2"/>
      <x:c r="AP208" s="2"/>
      <x:c r="AQ208" s="2"/>
      <x:c r="AR208" s="2"/>
      <x:c r="AS208" s="2"/>
      <x:c r="AT208" s="2"/>
      <x:c r="AU208" s="2"/>
      <x:c r="AV208" s="2"/>
      <x:c r="AW208" s="2"/>
      <x:c r="AX208" s="2"/>
      <x:c r="AY208" s="2"/>
      <x:c r="AZ208" s="2"/>
      <x:c r="BA208" s="2"/>
      <x:c r="BB208" s="2"/>
      <x:c r="BC208" s="2"/>
      <x:c r="BD208" s="2"/>
      <x:c r="BE208" s="2"/>
      <x:c r="BF208" s="2"/>
      <x:c r="BG208" s="2"/>
      <x:c r="BH208" s="2"/>
      <x:c r="BI208" s="2"/>
      <x:c r="BJ208" s="2"/>
      <x:c r="BK208" s="2"/>
      <x:c r="BL208" s="2"/>
      <x:c r="BM208" s="2"/>
      <x:c r="BN208" s="2"/>
      <x:c r="BO208" s="2"/>
      <x:c r="BP208" s="2"/>
      <x:c r="BQ208" s="2"/>
      <x:c r="BR208" s="2"/>
      <x:c r="BS208" s="2"/>
      <x:c r="BT208" s="2"/>
      <x:c r="BU208" s="2"/>
      <x:c r="BV208" s="2"/>
      <x:c r="BW208" s="2"/>
      <x:c r="BX208" s="2"/>
      <x:c r="BY208" s="2"/>
      <x:c r="BZ208" s="2"/>
      <x:c r="CA208" s="2"/>
      <x:c r="CB208" s="2"/>
      <x:c r="CC208" s="2"/>
      <x:c r="CD208" s="2"/>
      <x:c r="CE208" s="2"/>
      <x:c r="CF208" s="2"/>
      <x:c r="CG208" s="2"/>
      <x:c r="CH208" s="2"/>
      <x:c r="CI208" s="2"/>
      <x:c r="CJ208" s="2"/>
      <x:c r="CK208" s="2"/>
      <x:c r="CL208" s="2"/>
      <x:c r="CM208" s="2"/>
      <x:c r="CN208" s="2"/>
      <x:c r="CO208" s="2"/>
      <x:c r="CP208" s="2"/>
      <x:c r="CQ208" s="2"/>
      <x:c r="CR208" s="2"/>
      <x:c r="CS208" s="2"/>
      <x:c r="CT208" s="2"/>
      <x:c r="CU208" s="2"/>
      <x:c r="CV208" s="2"/>
      <x:c r="CW208" s="2"/>
      <x:c r="CX208" s="2"/>
      <x:c r="CY208" s="2"/>
    </x:row>
    <x:row r="209" ht="19" customHeight="1">
      <x:c r="A209" s="1"/>
      <x:c r="B209" s="1"/>
      <x:c r="C209" s="2" t="n">
        <x:v>49</x:v>
      </x:c>
      <x:c r="D209" s="31" t="n">
        <x:f>IF(OR(C209&gt;=$E$43,INDEX($I$51:$I$147,C209+1)&lt;=0.0000000001),0,IF($E$46=0,$E$44/MIN($E$43,COUNTIF($I$51:$I$110,"&gt;0.0000000001")),IF(C209=$E$45,$E$44,0)))</x:f>
        <x:v>0</x:v>
      </x:c>
      <x:c r="E209" s="31" t="n">
        <x:f>IF(D209=0,0,D209/(INDEX($I$51:$I$147,C209+1)*INDEX($H$51:$H$147,C209+1)))</x:f>
        <x:v>0</x:v>
      </x:c>
      <x:c r="F209" s="31" t="n">
        <x:f>E209*INDEX($G$51:$G$147,C209+1)</x:f>
        <x:v>0</x:v>
      </x:c>
      <x:c r="G209" s="2"/>
      <x:c r="H209" s="2"/>
      <x:c r="I209" s="2"/>
      <x:c r="J209" s="2"/>
      <x:c r="K209" s="2"/>
      <x:c r="L209" s="2"/>
      <x:c r="M209" s="2"/>
      <x:c r="N209" s="2"/>
      <x:c r="O209" s="2"/>
      <x:c r="P209" s="2"/>
      <x:c r="Q209" s="2"/>
      <x:c r="R209" s="2"/>
      <x:c r="S209" s="2"/>
      <x:c r="T209" s="2"/>
      <x:c r="U209" s="2"/>
      <x:c r="V209" s="2"/>
      <x:c r="W209" s="2"/>
      <x:c r="X209" s="2"/>
      <x:c r="Y209" s="2"/>
      <x:c r="Z209" s="2"/>
      <x:c r="AA209" s="2"/>
      <x:c r="AB209" s="2"/>
      <x:c r="AC209" s="2"/>
      <x:c r="AD209" s="2"/>
      <x:c r="AE209" s="2"/>
      <x:c r="AF209" s="2"/>
      <x:c r="AG209" s="2"/>
      <x:c r="AH209" s="2"/>
      <x:c r="AI209" s="2"/>
      <x:c r="AJ209" s="2"/>
      <x:c r="AK209" s="2"/>
      <x:c r="AL209" s="2"/>
      <x:c r="AM209" s="2"/>
      <x:c r="AN209" s="2"/>
      <x:c r="AO209" s="2"/>
      <x:c r="AP209" s="2"/>
      <x:c r="AQ209" s="2"/>
      <x:c r="AR209" s="2"/>
      <x:c r="AS209" s="2"/>
      <x:c r="AT209" s="2"/>
      <x:c r="AU209" s="2"/>
      <x:c r="AV209" s="2"/>
      <x:c r="AW209" s="2"/>
      <x:c r="AX209" s="2"/>
      <x:c r="AY209" s="2"/>
      <x:c r="AZ209" s="2"/>
      <x:c r="BA209" s="2"/>
      <x:c r="BB209" s="2"/>
      <x:c r="BC209" s="2"/>
      <x:c r="BD209" s="2"/>
      <x:c r="BE209" s="2"/>
      <x:c r="BF209" s="2"/>
      <x:c r="BG209" s="2"/>
      <x:c r="BH209" s="2"/>
      <x:c r="BI209" s="2"/>
      <x:c r="BJ209" s="2"/>
      <x:c r="BK209" s="2"/>
      <x:c r="BL209" s="2"/>
      <x:c r="BM209" s="2"/>
      <x:c r="BN209" s="2"/>
      <x:c r="BO209" s="2"/>
      <x:c r="BP209" s="2"/>
      <x:c r="BQ209" s="2"/>
      <x:c r="BR209" s="2"/>
      <x:c r="BS209" s="2"/>
      <x:c r="BT209" s="2"/>
      <x:c r="BU209" s="2"/>
      <x:c r="BV209" s="2"/>
      <x:c r="BW209" s="2"/>
      <x:c r="BX209" s="2"/>
      <x:c r="BY209" s="2"/>
      <x:c r="BZ209" s="2"/>
      <x:c r="CA209" s="2"/>
      <x:c r="CB209" s="2"/>
      <x:c r="CC209" s="2"/>
      <x:c r="CD209" s="2"/>
      <x:c r="CE209" s="2"/>
      <x:c r="CF209" s="2"/>
      <x:c r="CG209" s="2"/>
      <x:c r="CH209" s="2"/>
      <x:c r="CI209" s="2"/>
      <x:c r="CJ209" s="2"/>
      <x:c r="CK209" s="2"/>
      <x:c r="CL209" s="2"/>
      <x:c r="CM209" s="2"/>
      <x:c r="CN209" s="2"/>
      <x:c r="CO209" s="2"/>
      <x:c r="CP209" s="2"/>
      <x:c r="CQ209" s="2"/>
      <x:c r="CR209" s="2"/>
      <x:c r="CS209" s="2"/>
      <x:c r="CT209" s="2"/>
      <x:c r="CU209" s="2"/>
      <x:c r="CV209" s="2"/>
      <x:c r="CW209" s="2"/>
      <x:c r="CX209" s="2"/>
      <x:c r="CY209" s="2"/>
    </x:row>
    <x:row r="210" ht="19" customHeight="1">
      <x:c r="A210" s="1"/>
      <x:c r="B210" s="1"/>
      <x:c r="C210" s="2" t="n">
        <x:v>50</x:v>
      </x:c>
      <x:c r="D210" s="31" t="n">
        <x:f>IF(OR(C210&gt;=$E$43,INDEX($I$51:$I$147,C210+1)&lt;=0.0000000001),0,IF($E$46=0,$E$44/MIN($E$43,COUNTIF($I$51:$I$110,"&gt;0.0000000001")),IF(C210=$E$45,$E$44,0)))</x:f>
        <x:v>0</x:v>
      </x:c>
      <x:c r="E210" s="31" t="n">
        <x:f>IF(D210=0,0,D210/(INDEX($I$51:$I$147,C210+1)*INDEX($H$51:$H$147,C210+1)))</x:f>
        <x:v>0</x:v>
      </x:c>
      <x:c r="F210" s="31" t="n">
        <x:f>E210*INDEX($G$51:$G$147,C210+1)</x:f>
        <x:v>0</x:v>
      </x:c>
      <x:c r="G210" s="2"/>
      <x:c r="H210" s="2"/>
      <x:c r="I210" s="2"/>
      <x:c r="J210" s="2"/>
      <x:c r="K210" s="2"/>
      <x:c r="L210" s="2"/>
      <x:c r="M210" s="2"/>
      <x:c r="N210" s="2"/>
      <x:c r="O210" s="2"/>
      <x:c r="P210" s="2"/>
      <x:c r="Q210" s="2"/>
      <x:c r="R210" s="2"/>
      <x:c r="S210" s="2"/>
      <x:c r="T210" s="2"/>
      <x:c r="U210" s="2"/>
      <x:c r="V210" s="2"/>
      <x:c r="W210" s="2"/>
      <x:c r="X210" s="2"/>
      <x:c r="Y210" s="2"/>
      <x:c r="Z210" s="2"/>
      <x:c r="AA210" s="2"/>
      <x:c r="AB210" s="2"/>
      <x:c r="AC210" s="2"/>
      <x:c r="AD210" s="2"/>
      <x:c r="AE210" s="2"/>
      <x:c r="AF210" s="2"/>
      <x:c r="AG210" s="2"/>
      <x:c r="AH210" s="2"/>
      <x:c r="AI210" s="2"/>
      <x:c r="AJ210" s="2"/>
      <x:c r="AK210" s="2"/>
      <x:c r="AL210" s="2"/>
      <x:c r="AM210" s="2"/>
      <x:c r="AN210" s="2"/>
      <x:c r="AO210" s="2"/>
      <x:c r="AP210" s="2"/>
      <x:c r="AQ210" s="2"/>
      <x:c r="AR210" s="2"/>
      <x:c r="AS210" s="2"/>
      <x:c r="AT210" s="2"/>
      <x:c r="AU210" s="2"/>
      <x:c r="AV210" s="2"/>
      <x:c r="AW210" s="2"/>
      <x:c r="AX210" s="2"/>
      <x:c r="AY210" s="2"/>
      <x:c r="AZ210" s="2"/>
      <x:c r="BA210" s="2"/>
      <x:c r="BB210" s="2"/>
      <x:c r="BC210" s="2"/>
      <x:c r="BD210" s="2"/>
      <x:c r="BE210" s="2"/>
      <x:c r="BF210" s="2"/>
      <x:c r="BG210" s="2"/>
      <x:c r="BH210" s="2"/>
      <x:c r="BI210" s="2"/>
      <x:c r="BJ210" s="2"/>
      <x:c r="BK210" s="2"/>
      <x:c r="BL210" s="2"/>
      <x:c r="BM210" s="2"/>
      <x:c r="BN210" s="2"/>
      <x:c r="BO210" s="2"/>
      <x:c r="BP210" s="2"/>
      <x:c r="BQ210" s="2"/>
      <x:c r="BR210" s="2"/>
      <x:c r="BS210" s="2"/>
      <x:c r="BT210" s="2"/>
      <x:c r="BU210" s="2"/>
      <x:c r="BV210" s="2"/>
      <x:c r="BW210" s="2"/>
      <x:c r="BX210" s="2"/>
      <x:c r="BY210" s="2"/>
      <x:c r="BZ210" s="2"/>
      <x:c r="CA210" s="2"/>
      <x:c r="CB210" s="2"/>
      <x:c r="CC210" s="2"/>
      <x:c r="CD210" s="2"/>
      <x:c r="CE210" s="2"/>
      <x:c r="CF210" s="2"/>
      <x:c r="CG210" s="2"/>
      <x:c r="CH210" s="2"/>
      <x:c r="CI210" s="2"/>
      <x:c r="CJ210" s="2"/>
      <x:c r="CK210" s="2"/>
      <x:c r="CL210" s="2"/>
      <x:c r="CM210" s="2"/>
      <x:c r="CN210" s="2"/>
      <x:c r="CO210" s="2"/>
      <x:c r="CP210" s="2"/>
      <x:c r="CQ210" s="2"/>
      <x:c r="CR210" s="2"/>
      <x:c r="CS210" s="2"/>
      <x:c r="CT210" s="2"/>
      <x:c r="CU210" s="2"/>
      <x:c r="CV210" s="2"/>
      <x:c r="CW210" s="2"/>
      <x:c r="CX210" s="2"/>
      <x:c r="CY210" s="2"/>
    </x:row>
    <x:row r="211" ht="19" customHeight="1">
      <x:c r="A211" s="1"/>
      <x:c r="B211" s="1"/>
      <x:c r="C211" s="2" t="n">
        <x:v>51</x:v>
      </x:c>
      <x:c r="D211" s="31" t="n">
        <x:f>IF(OR(C211&gt;=$E$43,INDEX($I$51:$I$147,C211+1)&lt;=0.0000000001),0,IF($E$46=0,$E$44/MIN($E$43,COUNTIF($I$51:$I$110,"&gt;0.0000000001")),IF(C211=$E$45,$E$44,0)))</x:f>
        <x:v>0</x:v>
      </x:c>
      <x:c r="E211" s="31" t="n">
        <x:f>IF(D211=0,0,D211/(INDEX($I$51:$I$147,C211+1)*INDEX($H$51:$H$147,C211+1)))</x:f>
        <x:v>0</x:v>
      </x:c>
      <x:c r="F211" s="31" t="n">
        <x:f>E211*INDEX($G$51:$G$147,C211+1)</x:f>
        <x:v>0</x:v>
      </x:c>
      <x:c r="G211" s="2"/>
      <x:c r="H211" s="2"/>
      <x:c r="I211" s="2"/>
      <x:c r="J211" s="2"/>
      <x:c r="K211" s="2"/>
      <x:c r="L211" s="2"/>
      <x:c r="M211" s="2"/>
      <x:c r="N211" s="2"/>
      <x:c r="O211" s="2"/>
      <x:c r="P211" s="2"/>
      <x:c r="Q211" s="2"/>
      <x:c r="R211" s="2"/>
      <x:c r="S211" s="2"/>
      <x:c r="T211" s="2"/>
      <x:c r="U211" s="2"/>
      <x:c r="V211" s="2"/>
      <x:c r="W211" s="2"/>
      <x:c r="X211" s="2"/>
      <x:c r="Y211" s="2"/>
      <x:c r="Z211" s="2"/>
      <x:c r="AA211" s="2"/>
      <x:c r="AB211" s="2"/>
      <x:c r="AC211" s="2"/>
      <x:c r="AD211" s="2"/>
      <x:c r="AE211" s="2"/>
      <x:c r="AF211" s="2"/>
      <x:c r="AG211" s="2"/>
      <x:c r="AH211" s="2"/>
      <x:c r="AI211" s="2"/>
      <x:c r="AJ211" s="2"/>
      <x:c r="AK211" s="2"/>
      <x:c r="AL211" s="2"/>
      <x:c r="AM211" s="2"/>
      <x:c r="AN211" s="2"/>
      <x:c r="AO211" s="2"/>
      <x:c r="AP211" s="2"/>
      <x:c r="AQ211" s="2"/>
      <x:c r="AR211" s="2"/>
      <x:c r="AS211" s="2"/>
      <x:c r="AT211" s="2"/>
      <x:c r="AU211" s="2"/>
      <x:c r="AV211" s="2"/>
      <x:c r="AW211" s="2"/>
      <x:c r="AX211" s="2"/>
      <x:c r="AY211" s="2"/>
      <x:c r="AZ211" s="2"/>
      <x:c r="BA211" s="2"/>
      <x:c r="BB211" s="2"/>
      <x:c r="BC211" s="2"/>
      <x:c r="BD211" s="2"/>
      <x:c r="BE211" s="2"/>
      <x:c r="BF211" s="2"/>
      <x:c r="BG211" s="2"/>
      <x:c r="BH211" s="2"/>
      <x:c r="BI211" s="2"/>
      <x:c r="BJ211" s="2"/>
      <x:c r="BK211" s="2"/>
      <x:c r="BL211" s="2"/>
      <x:c r="BM211" s="2"/>
      <x:c r="BN211" s="2"/>
      <x:c r="BO211" s="2"/>
      <x:c r="BP211" s="2"/>
      <x:c r="BQ211" s="2"/>
      <x:c r="BR211" s="2"/>
      <x:c r="BS211" s="2"/>
      <x:c r="BT211" s="2"/>
      <x:c r="BU211" s="2"/>
      <x:c r="BV211" s="2"/>
      <x:c r="BW211" s="2"/>
      <x:c r="BX211" s="2"/>
      <x:c r="BY211" s="2"/>
      <x:c r="BZ211" s="2"/>
      <x:c r="CA211" s="2"/>
      <x:c r="CB211" s="2"/>
      <x:c r="CC211" s="2"/>
      <x:c r="CD211" s="2"/>
      <x:c r="CE211" s="2"/>
      <x:c r="CF211" s="2"/>
      <x:c r="CG211" s="2"/>
      <x:c r="CH211" s="2"/>
      <x:c r="CI211" s="2"/>
      <x:c r="CJ211" s="2"/>
      <x:c r="CK211" s="2"/>
      <x:c r="CL211" s="2"/>
      <x:c r="CM211" s="2"/>
      <x:c r="CN211" s="2"/>
      <x:c r="CO211" s="2"/>
      <x:c r="CP211" s="2"/>
      <x:c r="CQ211" s="2"/>
      <x:c r="CR211" s="2"/>
      <x:c r="CS211" s="2"/>
      <x:c r="CT211" s="2"/>
      <x:c r="CU211" s="2"/>
      <x:c r="CV211" s="2"/>
      <x:c r="CW211" s="2"/>
      <x:c r="CX211" s="2"/>
      <x:c r="CY211" s="2"/>
    </x:row>
    <x:row r="212" ht="19" customHeight="1">
      <x:c r="A212" s="1"/>
      <x:c r="B212" s="1"/>
      <x:c r="C212" s="2" t="n">
        <x:v>52</x:v>
      </x:c>
      <x:c r="D212" s="31" t="n">
        <x:f>IF(OR(C212&gt;=$E$43,INDEX($I$51:$I$147,C212+1)&lt;=0.0000000001),0,IF($E$46=0,$E$44/MIN($E$43,COUNTIF($I$51:$I$110,"&gt;0.0000000001")),IF(C212=$E$45,$E$44,0)))</x:f>
        <x:v>0</x:v>
      </x:c>
      <x:c r="E212" s="31" t="n">
        <x:f>IF(D212=0,0,D212/(INDEX($I$51:$I$147,C212+1)*INDEX($H$51:$H$147,C212+1)))</x:f>
        <x:v>0</x:v>
      </x:c>
      <x:c r="F212" s="31" t="n">
        <x:f>E212*INDEX($G$51:$G$147,C212+1)</x:f>
        <x:v>0</x:v>
      </x:c>
      <x:c r="G212" s="2"/>
      <x:c r="H212" s="2"/>
      <x:c r="I212" s="2"/>
      <x:c r="J212" s="2"/>
      <x:c r="K212" s="2"/>
      <x:c r="L212" s="2"/>
      <x:c r="M212" s="2"/>
      <x:c r="N212" s="2"/>
      <x:c r="O212" s="2"/>
      <x:c r="P212" s="2"/>
      <x:c r="Q212" s="2"/>
      <x:c r="R212" s="2"/>
      <x:c r="S212" s="2"/>
      <x:c r="T212" s="2"/>
      <x:c r="U212" s="2"/>
      <x:c r="V212" s="2"/>
      <x:c r="W212" s="2"/>
      <x:c r="X212" s="2"/>
      <x:c r="Y212" s="2"/>
      <x:c r="Z212" s="2"/>
      <x:c r="AA212" s="2"/>
      <x:c r="AB212" s="2"/>
      <x:c r="AC212" s="2"/>
      <x:c r="AD212" s="2"/>
      <x:c r="AE212" s="2"/>
      <x:c r="AF212" s="2"/>
      <x:c r="AG212" s="2"/>
      <x:c r="AH212" s="2"/>
      <x:c r="AI212" s="2"/>
      <x:c r="AJ212" s="2"/>
      <x:c r="AK212" s="2"/>
      <x:c r="AL212" s="2"/>
      <x:c r="AM212" s="2"/>
      <x:c r="AN212" s="2"/>
      <x:c r="AO212" s="2"/>
      <x:c r="AP212" s="2"/>
      <x:c r="AQ212" s="2"/>
      <x:c r="AR212" s="2"/>
      <x:c r="AS212" s="2"/>
      <x:c r="AT212" s="2"/>
      <x:c r="AU212" s="2"/>
      <x:c r="AV212" s="2"/>
      <x:c r="AW212" s="2"/>
      <x:c r="AX212" s="2"/>
      <x:c r="AY212" s="2"/>
      <x:c r="AZ212" s="2"/>
      <x:c r="BA212" s="2"/>
      <x:c r="BB212" s="2"/>
      <x:c r="BC212" s="2"/>
      <x:c r="BD212" s="2"/>
      <x:c r="BE212" s="2"/>
      <x:c r="BF212" s="2"/>
      <x:c r="BG212" s="2"/>
      <x:c r="BH212" s="2"/>
      <x:c r="BI212" s="2"/>
      <x:c r="BJ212" s="2"/>
      <x:c r="BK212" s="2"/>
      <x:c r="BL212" s="2"/>
      <x:c r="BM212" s="2"/>
      <x:c r="BN212" s="2"/>
      <x:c r="BO212" s="2"/>
      <x:c r="BP212" s="2"/>
      <x:c r="BQ212" s="2"/>
      <x:c r="BR212" s="2"/>
      <x:c r="BS212" s="2"/>
      <x:c r="BT212" s="2"/>
      <x:c r="BU212" s="2"/>
      <x:c r="BV212" s="2"/>
      <x:c r="BW212" s="2"/>
      <x:c r="BX212" s="2"/>
      <x:c r="BY212" s="2"/>
      <x:c r="BZ212" s="2"/>
      <x:c r="CA212" s="2"/>
      <x:c r="CB212" s="2"/>
      <x:c r="CC212" s="2"/>
      <x:c r="CD212" s="2"/>
      <x:c r="CE212" s="2"/>
      <x:c r="CF212" s="2"/>
      <x:c r="CG212" s="2"/>
      <x:c r="CH212" s="2"/>
      <x:c r="CI212" s="2"/>
      <x:c r="CJ212" s="2"/>
      <x:c r="CK212" s="2"/>
      <x:c r="CL212" s="2"/>
      <x:c r="CM212" s="2"/>
      <x:c r="CN212" s="2"/>
      <x:c r="CO212" s="2"/>
      <x:c r="CP212" s="2"/>
      <x:c r="CQ212" s="2"/>
      <x:c r="CR212" s="2"/>
      <x:c r="CS212" s="2"/>
      <x:c r="CT212" s="2"/>
      <x:c r="CU212" s="2"/>
      <x:c r="CV212" s="2"/>
      <x:c r="CW212" s="2"/>
      <x:c r="CX212" s="2"/>
      <x:c r="CY212" s="2"/>
    </x:row>
    <x:row r="213" ht="19" customHeight="1">
      <x:c r="A213" s="1"/>
      <x:c r="B213" s="1"/>
      <x:c r="C213" s="2" t="n">
        <x:v>53</x:v>
      </x:c>
      <x:c r="D213" s="31" t="n">
        <x:f>IF(OR(C213&gt;=$E$43,INDEX($I$51:$I$147,C213+1)&lt;=0.0000000001),0,IF($E$46=0,$E$44/MIN($E$43,COUNTIF($I$51:$I$110,"&gt;0.0000000001")),IF(C213=$E$45,$E$44,0)))</x:f>
        <x:v>0</x:v>
      </x:c>
      <x:c r="E213" s="31" t="n">
        <x:f>IF(D213=0,0,D213/(INDEX($I$51:$I$147,C213+1)*INDEX($H$51:$H$147,C213+1)))</x:f>
        <x:v>0</x:v>
      </x:c>
      <x:c r="F213" s="31" t="n">
        <x:f>E213*INDEX($G$51:$G$147,C213+1)</x:f>
        <x:v>0</x:v>
      </x:c>
      <x:c r="G213" s="2"/>
      <x:c r="H213" s="2"/>
      <x:c r="I213" s="2"/>
      <x:c r="J213" s="2"/>
      <x:c r="K213" s="2"/>
      <x:c r="L213" s="2"/>
      <x:c r="M213" s="2"/>
      <x:c r="N213" s="2"/>
      <x:c r="O213" s="2"/>
      <x:c r="P213" s="2"/>
      <x:c r="Q213" s="2"/>
      <x:c r="R213" s="2"/>
      <x:c r="S213" s="2"/>
      <x:c r="T213" s="2"/>
      <x:c r="U213" s="2"/>
      <x:c r="V213" s="2"/>
      <x:c r="W213" s="2"/>
      <x:c r="X213" s="2"/>
      <x:c r="Y213" s="2"/>
      <x:c r="Z213" s="2"/>
      <x:c r="AA213" s="2"/>
      <x:c r="AB213" s="2"/>
      <x:c r="AC213" s="2"/>
      <x:c r="AD213" s="2"/>
      <x:c r="AE213" s="2"/>
      <x:c r="AF213" s="2"/>
      <x:c r="AG213" s="2"/>
      <x:c r="AH213" s="2"/>
      <x:c r="AI213" s="2"/>
      <x:c r="AJ213" s="2"/>
      <x:c r="AK213" s="2"/>
      <x:c r="AL213" s="2"/>
      <x:c r="AM213" s="2"/>
      <x:c r="AN213" s="2"/>
      <x:c r="AO213" s="2"/>
      <x:c r="AP213" s="2"/>
      <x:c r="AQ213" s="2"/>
      <x:c r="AR213" s="2"/>
      <x:c r="AS213" s="2"/>
      <x:c r="AT213" s="2"/>
      <x:c r="AU213" s="2"/>
      <x:c r="AV213" s="2"/>
      <x:c r="AW213" s="2"/>
      <x:c r="AX213" s="2"/>
      <x:c r="AY213" s="2"/>
      <x:c r="AZ213" s="2"/>
      <x:c r="BA213" s="2"/>
      <x:c r="BB213" s="2"/>
      <x:c r="BC213" s="2"/>
      <x:c r="BD213" s="2"/>
      <x:c r="BE213" s="2"/>
      <x:c r="BF213" s="2"/>
      <x:c r="BG213" s="2"/>
      <x:c r="BH213" s="2"/>
      <x:c r="BI213" s="2"/>
      <x:c r="BJ213" s="2"/>
      <x:c r="BK213" s="2"/>
      <x:c r="BL213" s="2"/>
      <x:c r="BM213" s="2"/>
      <x:c r="BN213" s="2"/>
      <x:c r="BO213" s="2"/>
      <x:c r="BP213" s="2"/>
      <x:c r="BQ213" s="2"/>
      <x:c r="BR213" s="2"/>
      <x:c r="BS213" s="2"/>
      <x:c r="BT213" s="2"/>
      <x:c r="BU213" s="2"/>
      <x:c r="BV213" s="2"/>
      <x:c r="BW213" s="2"/>
      <x:c r="BX213" s="2"/>
      <x:c r="BY213" s="2"/>
      <x:c r="BZ213" s="2"/>
      <x:c r="CA213" s="2"/>
      <x:c r="CB213" s="2"/>
      <x:c r="CC213" s="2"/>
      <x:c r="CD213" s="2"/>
      <x:c r="CE213" s="2"/>
      <x:c r="CF213" s="2"/>
      <x:c r="CG213" s="2"/>
      <x:c r="CH213" s="2"/>
      <x:c r="CI213" s="2"/>
      <x:c r="CJ213" s="2"/>
      <x:c r="CK213" s="2"/>
      <x:c r="CL213" s="2"/>
      <x:c r="CM213" s="2"/>
      <x:c r="CN213" s="2"/>
      <x:c r="CO213" s="2"/>
      <x:c r="CP213" s="2"/>
      <x:c r="CQ213" s="2"/>
      <x:c r="CR213" s="2"/>
      <x:c r="CS213" s="2"/>
      <x:c r="CT213" s="2"/>
      <x:c r="CU213" s="2"/>
      <x:c r="CV213" s="2"/>
      <x:c r="CW213" s="2"/>
      <x:c r="CX213" s="2"/>
      <x:c r="CY213" s="2"/>
    </x:row>
    <x:row r="214" ht="19" customHeight="1">
      <x:c r="A214" s="1"/>
      <x:c r="B214" s="1"/>
      <x:c r="C214" s="2" t="n">
        <x:v>54</x:v>
      </x:c>
      <x:c r="D214" s="31" t="n">
        <x:f>IF(OR(C214&gt;=$E$43,INDEX($I$51:$I$147,C214+1)&lt;=0.0000000001),0,IF($E$46=0,$E$44/MIN($E$43,COUNTIF($I$51:$I$110,"&gt;0.0000000001")),IF(C214=$E$45,$E$44,0)))</x:f>
        <x:v>0</x:v>
      </x:c>
      <x:c r="E214" s="31" t="n">
        <x:f>IF(D214=0,0,D214/(INDEX($I$51:$I$147,C214+1)*INDEX($H$51:$H$147,C214+1)))</x:f>
        <x:v>0</x:v>
      </x:c>
      <x:c r="F214" s="31" t="n">
        <x:f>E214*INDEX($G$51:$G$147,C214+1)</x:f>
        <x:v>0</x:v>
      </x:c>
      <x:c r="G214" s="2"/>
      <x:c r="H214" s="2"/>
      <x:c r="I214" s="2"/>
      <x:c r="J214" s="2"/>
      <x:c r="K214" s="2"/>
      <x:c r="L214" s="2"/>
      <x:c r="M214" s="2"/>
      <x:c r="N214" s="2"/>
      <x:c r="O214" s="2"/>
      <x:c r="P214" s="2"/>
      <x:c r="Q214" s="2"/>
      <x:c r="R214" s="2"/>
      <x:c r="S214" s="2"/>
      <x:c r="T214" s="2"/>
      <x:c r="U214" s="2"/>
      <x:c r="V214" s="2"/>
      <x:c r="W214" s="2"/>
      <x:c r="X214" s="2"/>
      <x:c r="Y214" s="2"/>
      <x:c r="Z214" s="2"/>
      <x:c r="AA214" s="2"/>
      <x:c r="AB214" s="2"/>
      <x:c r="AC214" s="2"/>
      <x:c r="AD214" s="2"/>
      <x:c r="AE214" s="2"/>
      <x:c r="AF214" s="2"/>
      <x:c r="AG214" s="2"/>
      <x:c r="AH214" s="2"/>
      <x:c r="AI214" s="2"/>
      <x:c r="AJ214" s="2"/>
      <x:c r="AK214" s="2"/>
      <x:c r="AL214" s="2"/>
      <x:c r="AM214" s="2"/>
      <x:c r="AN214" s="2"/>
      <x:c r="AO214" s="2"/>
      <x:c r="AP214" s="2"/>
      <x:c r="AQ214" s="2"/>
      <x:c r="AR214" s="2"/>
      <x:c r="AS214" s="2"/>
      <x:c r="AT214" s="2"/>
      <x:c r="AU214" s="2"/>
      <x:c r="AV214" s="2"/>
      <x:c r="AW214" s="2"/>
      <x:c r="AX214" s="2"/>
      <x:c r="AY214" s="2"/>
      <x:c r="AZ214" s="2"/>
      <x:c r="BA214" s="2"/>
      <x:c r="BB214" s="2"/>
      <x:c r="BC214" s="2"/>
      <x:c r="BD214" s="2"/>
      <x:c r="BE214" s="2"/>
      <x:c r="BF214" s="2"/>
      <x:c r="BG214" s="2"/>
      <x:c r="BH214" s="2"/>
      <x:c r="BI214" s="2"/>
      <x:c r="BJ214" s="2"/>
      <x:c r="BK214" s="2"/>
      <x:c r="BL214" s="2"/>
      <x:c r="BM214" s="2"/>
      <x:c r="BN214" s="2"/>
      <x:c r="BO214" s="2"/>
      <x:c r="BP214" s="2"/>
      <x:c r="BQ214" s="2"/>
      <x:c r="BR214" s="2"/>
      <x:c r="BS214" s="2"/>
      <x:c r="BT214" s="2"/>
      <x:c r="BU214" s="2"/>
      <x:c r="BV214" s="2"/>
      <x:c r="BW214" s="2"/>
      <x:c r="BX214" s="2"/>
      <x:c r="BY214" s="2"/>
      <x:c r="BZ214" s="2"/>
      <x:c r="CA214" s="2"/>
      <x:c r="CB214" s="2"/>
      <x:c r="CC214" s="2"/>
      <x:c r="CD214" s="2"/>
      <x:c r="CE214" s="2"/>
      <x:c r="CF214" s="2"/>
      <x:c r="CG214" s="2"/>
      <x:c r="CH214" s="2"/>
      <x:c r="CI214" s="2"/>
      <x:c r="CJ214" s="2"/>
      <x:c r="CK214" s="2"/>
      <x:c r="CL214" s="2"/>
      <x:c r="CM214" s="2"/>
      <x:c r="CN214" s="2"/>
      <x:c r="CO214" s="2"/>
      <x:c r="CP214" s="2"/>
      <x:c r="CQ214" s="2"/>
      <x:c r="CR214" s="2"/>
      <x:c r="CS214" s="2"/>
      <x:c r="CT214" s="2"/>
      <x:c r="CU214" s="2"/>
      <x:c r="CV214" s="2"/>
      <x:c r="CW214" s="2"/>
      <x:c r="CX214" s="2"/>
      <x:c r="CY214" s="2"/>
    </x:row>
    <x:row r="215" ht="19" customHeight="1">
      <x:c r="A215" s="1"/>
      <x:c r="B215" s="1"/>
      <x:c r="C215" s="2" t="n">
        <x:v>55</x:v>
      </x:c>
      <x:c r="D215" s="31" t="n">
        <x:f>IF(OR(C215&gt;=$E$43,INDEX($I$51:$I$147,C215+1)&lt;=0.0000000001),0,IF($E$46=0,$E$44/MIN($E$43,COUNTIF($I$51:$I$110,"&gt;0.0000000001")),IF(C215=$E$45,$E$44,0)))</x:f>
        <x:v>0</x:v>
      </x:c>
      <x:c r="E215" s="31" t="n">
        <x:f>IF(D215=0,0,D215/(INDEX($I$51:$I$147,C215+1)*INDEX($H$51:$H$147,C215+1)))</x:f>
        <x:v>0</x:v>
      </x:c>
      <x:c r="F215" s="31" t="n">
        <x:f>E215*INDEX($G$51:$G$147,C215+1)</x:f>
        <x:v>0</x:v>
      </x:c>
      <x:c r="G215" s="2"/>
      <x:c r="H215" s="2"/>
      <x:c r="I215" s="2"/>
      <x:c r="J215" s="2"/>
      <x:c r="K215" s="2"/>
      <x:c r="L215" s="2"/>
      <x:c r="M215" s="2"/>
      <x:c r="N215" s="2"/>
      <x:c r="O215" s="2"/>
      <x:c r="P215" s="2"/>
      <x:c r="Q215" s="2"/>
      <x:c r="R215" s="2"/>
      <x:c r="S215" s="2"/>
      <x:c r="T215" s="2"/>
      <x:c r="U215" s="2"/>
      <x:c r="V215" s="2"/>
      <x:c r="W215" s="2"/>
      <x:c r="X215" s="2"/>
      <x:c r="Y215" s="2"/>
      <x:c r="Z215" s="2"/>
      <x:c r="AA215" s="2"/>
      <x:c r="AB215" s="2"/>
      <x:c r="AC215" s="2"/>
      <x:c r="AD215" s="2"/>
      <x:c r="AE215" s="2"/>
      <x:c r="AF215" s="2"/>
      <x:c r="AG215" s="2"/>
      <x:c r="AH215" s="2"/>
      <x:c r="AI215" s="2"/>
      <x:c r="AJ215" s="2"/>
      <x:c r="AK215" s="2"/>
      <x:c r="AL215" s="2"/>
      <x:c r="AM215" s="2"/>
      <x:c r="AN215" s="2"/>
      <x:c r="AO215" s="2"/>
      <x:c r="AP215" s="2"/>
      <x:c r="AQ215" s="2"/>
      <x:c r="AR215" s="2"/>
      <x:c r="AS215" s="2"/>
      <x:c r="AT215" s="2"/>
      <x:c r="AU215" s="2"/>
      <x:c r="AV215" s="2"/>
      <x:c r="AW215" s="2"/>
      <x:c r="AX215" s="2"/>
      <x:c r="AY215" s="2"/>
      <x:c r="AZ215" s="2"/>
      <x:c r="BA215" s="2"/>
      <x:c r="BB215" s="2"/>
      <x:c r="BC215" s="2"/>
      <x:c r="BD215" s="2"/>
      <x:c r="BE215" s="2"/>
      <x:c r="BF215" s="2"/>
      <x:c r="BG215" s="2"/>
      <x:c r="BH215" s="2"/>
      <x:c r="BI215" s="2"/>
      <x:c r="BJ215" s="2"/>
      <x:c r="BK215" s="2"/>
      <x:c r="BL215" s="2"/>
      <x:c r="BM215" s="2"/>
      <x:c r="BN215" s="2"/>
      <x:c r="BO215" s="2"/>
      <x:c r="BP215" s="2"/>
      <x:c r="BQ215" s="2"/>
      <x:c r="BR215" s="2"/>
      <x:c r="BS215" s="2"/>
      <x:c r="BT215" s="2"/>
      <x:c r="BU215" s="2"/>
      <x:c r="BV215" s="2"/>
      <x:c r="BW215" s="2"/>
      <x:c r="BX215" s="2"/>
      <x:c r="BY215" s="2"/>
      <x:c r="BZ215" s="2"/>
      <x:c r="CA215" s="2"/>
      <x:c r="CB215" s="2"/>
      <x:c r="CC215" s="2"/>
      <x:c r="CD215" s="2"/>
      <x:c r="CE215" s="2"/>
      <x:c r="CF215" s="2"/>
      <x:c r="CG215" s="2"/>
      <x:c r="CH215" s="2"/>
      <x:c r="CI215" s="2"/>
      <x:c r="CJ215" s="2"/>
      <x:c r="CK215" s="2"/>
      <x:c r="CL215" s="2"/>
      <x:c r="CM215" s="2"/>
      <x:c r="CN215" s="2"/>
      <x:c r="CO215" s="2"/>
      <x:c r="CP215" s="2"/>
      <x:c r="CQ215" s="2"/>
      <x:c r="CR215" s="2"/>
      <x:c r="CS215" s="2"/>
      <x:c r="CT215" s="2"/>
      <x:c r="CU215" s="2"/>
      <x:c r="CV215" s="2"/>
      <x:c r="CW215" s="2"/>
      <x:c r="CX215" s="2"/>
      <x:c r="CY215" s="2"/>
    </x:row>
    <x:row r="216" ht="19" customHeight="1">
      <x:c r="A216" s="1"/>
      <x:c r="B216" s="1"/>
      <x:c r="C216" s="2" t="n">
        <x:v>56</x:v>
      </x:c>
      <x:c r="D216" s="31" t="n">
        <x:f>IF(OR(C216&gt;=$E$43,INDEX($I$51:$I$147,C216+1)&lt;=0.0000000001),0,IF($E$46=0,$E$44/MIN($E$43,COUNTIF($I$51:$I$110,"&gt;0.0000000001")),IF(C216=$E$45,$E$44,0)))</x:f>
        <x:v>0</x:v>
      </x:c>
      <x:c r="E216" s="31" t="n">
        <x:f>IF(D216=0,0,D216/(INDEX($I$51:$I$147,C216+1)*INDEX($H$51:$H$147,C216+1)))</x:f>
        <x:v>0</x:v>
      </x:c>
      <x:c r="F216" s="31" t="n">
        <x:f>E216*INDEX($G$51:$G$147,C216+1)</x:f>
        <x:v>0</x:v>
      </x:c>
      <x:c r="G216" s="2"/>
      <x:c r="H216" s="2"/>
      <x:c r="I216" s="2"/>
      <x:c r="J216" s="2"/>
      <x:c r="K216" s="2"/>
      <x:c r="L216" s="2"/>
      <x:c r="M216" s="2"/>
      <x:c r="N216" s="2"/>
      <x:c r="O216" s="2"/>
      <x:c r="P216" s="2"/>
      <x:c r="Q216" s="2"/>
      <x:c r="R216" s="2"/>
      <x:c r="S216" s="2"/>
      <x:c r="T216" s="2"/>
      <x:c r="U216" s="2"/>
      <x:c r="V216" s="2"/>
      <x:c r="W216" s="2"/>
      <x:c r="X216" s="2"/>
      <x:c r="Y216" s="2"/>
      <x:c r="Z216" s="2"/>
      <x:c r="AA216" s="2"/>
      <x:c r="AB216" s="2"/>
      <x:c r="AC216" s="2"/>
      <x:c r="AD216" s="2"/>
      <x:c r="AE216" s="2"/>
      <x:c r="AF216" s="2"/>
      <x:c r="AG216" s="2"/>
      <x:c r="AH216" s="2"/>
      <x:c r="AI216" s="2"/>
      <x:c r="AJ216" s="2"/>
      <x:c r="AK216" s="2"/>
      <x:c r="AL216" s="2"/>
      <x:c r="AM216" s="2"/>
      <x:c r="AN216" s="2"/>
      <x:c r="AO216" s="2"/>
      <x:c r="AP216" s="2"/>
      <x:c r="AQ216" s="2"/>
      <x:c r="AR216" s="2"/>
      <x:c r="AS216" s="2"/>
      <x:c r="AT216" s="2"/>
      <x:c r="AU216" s="2"/>
      <x:c r="AV216" s="2"/>
      <x:c r="AW216" s="2"/>
      <x:c r="AX216" s="2"/>
      <x:c r="AY216" s="2"/>
      <x:c r="AZ216" s="2"/>
      <x:c r="BA216" s="2"/>
      <x:c r="BB216" s="2"/>
      <x:c r="BC216" s="2"/>
      <x:c r="BD216" s="2"/>
      <x:c r="BE216" s="2"/>
      <x:c r="BF216" s="2"/>
      <x:c r="BG216" s="2"/>
      <x:c r="BH216" s="2"/>
      <x:c r="BI216" s="2"/>
      <x:c r="BJ216" s="2"/>
      <x:c r="BK216" s="2"/>
      <x:c r="BL216" s="2"/>
      <x:c r="BM216" s="2"/>
      <x:c r="BN216" s="2"/>
      <x:c r="BO216" s="2"/>
      <x:c r="BP216" s="2"/>
      <x:c r="BQ216" s="2"/>
      <x:c r="BR216" s="2"/>
      <x:c r="BS216" s="2"/>
      <x:c r="BT216" s="2"/>
      <x:c r="BU216" s="2"/>
      <x:c r="BV216" s="2"/>
      <x:c r="BW216" s="2"/>
      <x:c r="BX216" s="2"/>
      <x:c r="BY216" s="2"/>
      <x:c r="BZ216" s="2"/>
      <x:c r="CA216" s="2"/>
      <x:c r="CB216" s="2"/>
      <x:c r="CC216" s="2"/>
      <x:c r="CD216" s="2"/>
      <x:c r="CE216" s="2"/>
      <x:c r="CF216" s="2"/>
      <x:c r="CG216" s="2"/>
      <x:c r="CH216" s="2"/>
      <x:c r="CI216" s="2"/>
      <x:c r="CJ216" s="2"/>
      <x:c r="CK216" s="2"/>
      <x:c r="CL216" s="2"/>
      <x:c r="CM216" s="2"/>
      <x:c r="CN216" s="2"/>
      <x:c r="CO216" s="2"/>
      <x:c r="CP216" s="2"/>
      <x:c r="CQ216" s="2"/>
      <x:c r="CR216" s="2"/>
      <x:c r="CS216" s="2"/>
      <x:c r="CT216" s="2"/>
      <x:c r="CU216" s="2"/>
      <x:c r="CV216" s="2"/>
      <x:c r="CW216" s="2"/>
      <x:c r="CX216" s="2"/>
      <x:c r="CY216" s="2"/>
    </x:row>
    <x:row r="217" ht="19" customHeight="1">
      <x:c r="A217" s="1"/>
      <x:c r="B217" s="1"/>
      <x:c r="C217" s="2" t="n">
        <x:v>57</x:v>
      </x:c>
      <x:c r="D217" s="31" t="n">
        <x:f>IF(OR(C217&gt;=$E$43,INDEX($I$51:$I$147,C217+1)&lt;=0.0000000001),0,IF($E$46=0,$E$44/MIN($E$43,COUNTIF($I$51:$I$110,"&gt;0.0000000001")),IF(C217=$E$45,$E$44,0)))</x:f>
        <x:v>0</x:v>
      </x:c>
      <x:c r="E217" s="31" t="n">
        <x:f>IF(D217=0,0,D217/(INDEX($I$51:$I$147,C217+1)*INDEX($H$51:$H$147,C217+1)))</x:f>
        <x:v>0</x:v>
      </x:c>
      <x:c r="F217" s="31" t="n">
        <x:f>E217*INDEX($G$51:$G$147,C217+1)</x:f>
        <x:v>0</x:v>
      </x:c>
      <x:c r="G217" s="2"/>
      <x:c r="H217" s="2"/>
      <x:c r="I217" s="2"/>
      <x:c r="J217" s="2"/>
      <x:c r="K217" s="2"/>
      <x:c r="L217" s="2"/>
      <x:c r="M217" s="2"/>
      <x:c r="N217" s="2"/>
      <x:c r="O217" s="2"/>
      <x:c r="P217" s="2"/>
      <x:c r="Q217" s="2"/>
      <x:c r="R217" s="2"/>
      <x:c r="S217" s="2"/>
      <x:c r="T217" s="2"/>
      <x:c r="U217" s="2"/>
      <x:c r="V217" s="2"/>
      <x:c r="W217" s="2"/>
      <x:c r="X217" s="2"/>
      <x:c r="Y217" s="2"/>
      <x:c r="Z217" s="2"/>
      <x:c r="AA217" s="2"/>
      <x:c r="AB217" s="2"/>
      <x:c r="AC217" s="2"/>
      <x:c r="AD217" s="2"/>
      <x:c r="AE217" s="2"/>
      <x:c r="AF217" s="2"/>
      <x:c r="AG217" s="2"/>
      <x:c r="AH217" s="2"/>
      <x:c r="AI217" s="2"/>
      <x:c r="AJ217" s="2"/>
      <x:c r="AK217" s="2"/>
      <x:c r="AL217" s="2"/>
      <x:c r="AM217" s="2"/>
      <x:c r="AN217" s="2"/>
      <x:c r="AO217" s="2"/>
      <x:c r="AP217" s="2"/>
      <x:c r="AQ217" s="2"/>
      <x:c r="AR217" s="2"/>
      <x:c r="AS217" s="2"/>
      <x:c r="AT217" s="2"/>
      <x:c r="AU217" s="2"/>
      <x:c r="AV217" s="2"/>
      <x:c r="AW217" s="2"/>
      <x:c r="AX217" s="2"/>
      <x:c r="AY217" s="2"/>
      <x:c r="AZ217" s="2"/>
      <x:c r="BA217" s="2"/>
      <x:c r="BB217" s="2"/>
      <x:c r="BC217" s="2"/>
      <x:c r="BD217" s="2"/>
      <x:c r="BE217" s="2"/>
      <x:c r="BF217" s="2"/>
      <x:c r="BG217" s="2"/>
      <x:c r="BH217" s="2"/>
      <x:c r="BI217" s="2"/>
      <x:c r="BJ217" s="2"/>
      <x:c r="BK217" s="2"/>
      <x:c r="BL217" s="2"/>
      <x:c r="BM217" s="2"/>
      <x:c r="BN217" s="2"/>
      <x:c r="BO217" s="2"/>
      <x:c r="BP217" s="2"/>
      <x:c r="BQ217" s="2"/>
      <x:c r="BR217" s="2"/>
      <x:c r="BS217" s="2"/>
      <x:c r="BT217" s="2"/>
      <x:c r="BU217" s="2"/>
      <x:c r="BV217" s="2"/>
      <x:c r="BW217" s="2"/>
      <x:c r="BX217" s="2"/>
      <x:c r="BY217" s="2"/>
      <x:c r="BZ217" s="2"/>
      <x:c r="CA217" s="2"/>
      <x:c r="CB217" s="2"/>
      <x:c r="CC217" s="2"/>
      <x:c r="CD217" s="2"/>
      <x:c r="CE217" s="2"/>
      <x:c r="CF217" s="2"/>
      <x:c r="CG217" s="2"/>
      <x:c r="CH217" s="2"/>
      <x:c r="CI217" s="2"/>
      <x:c r="CJ217" s="2"/>
      <x:c r="CK217" s="2"/>
      <x:c r="CL217" s="2"/>
      <x:c r="CM217" s="2"/>
      <x:c r="CN217" s="2"/>
      <x:c r="CO217" s="2"/>
      <x:c r="CP217" s="2"/>
      <x:c r="CQ217" s="2"/>
      <x:c r="CR217" s="2"/>
      <x:c r="CS217" s="2"/>
      <x:c r="CT217" s="2"/>
      <x:c r="CU217" s="2"/>
      <x:c r="CV217" s="2"/>
      <x:c r="CW217" s="2"/>
      <x:c r="CX217" s="2"/>
      <x:c r="CY217" s="2"/>
    </x:row>
    <x:row r="218" ht="19" customHeight="1">
      <x:c r="A218" s="1"/>
      <x:c r="B218" s="1"/>
      <x:c r="C218" s="2" t="n">
        <x:v>58</x:v>
      </x:c>
      <x:c r="D218" s="31" t="n">
        <x:f>IF(OR(C218&gt;=$E$43,INDEX($I$51:$I$147,C218+1)&lt;=0.0000000001),0,IF($E$46=0,$E$44/MIN($E$43,COUNTIF($I$51:$I$110,"&gt;0.0000000001")),IF(C218=$E$45,$E$44,0)))</x:f>
        <x:v>0</x:v>
      </x:c>
      <x:c r="E218" s="31" t="n">
        <x:f>IF(D218=0,0,D218/(INDEX($I$51:$I$147,C218+1)*INDEX($H$51:$H$147,C218+1)))</x:f>
        <x:v>0</x:v>
      </x:c>
      <x:c r="F218" s="31" t="n">
        <x:f>E218*INDEX($G$51:$G$147,C218+1)</x:f>
        <x:v>0</x:v>
      </x:c>
      <x:c r="G218" s="2"/>
      <x:c r="H218" s="2"/>
      <x:c r="I218" s="2"/>
      <x:c r="J218" s="2"/>
      <x:c r="K218" s="2"/>
      <x:c r="L218" s="2"/>
      <x:c r="M218" s="2"/>
      <x:c r="N218" s="2"/>
      <x:c r="O218" s="2"/>
      <x:c r="P218" s="2"/>
      <x:c r="Q218" s="2"/>
      <x:c r="R218" s="2"/>
      <x:c r="S218" s="2"/>
      <x:c r="T218" s="2"/>
      <x:c r="U218" s="2"/>
      <x:c r="V218" s="2"/>
      <x:c r="W218" s="2"/>
      <x:c r="X218" s="2"/>
      <x:c r="Y218" s="2"/>
      <x:c r="Z218" s="2"/>
      <x:c r="AA218" s="2"/>
      <x:c r="AB218" s="2"/>
      <x:c r="AC218" s="2"/>
      <x:c r="AD218" s="2"/>
      <x:c r="AE218" s="2"/>
      <x:c r="AF218" s="2"/>
      <x:c r="AG218" s="2"/>
      <x:c r="AH218" s="2"/>
      <x:c r="AI218" s="2"/>
      <x:c r="AJ218" s="2"/>
      <x:c r="AK218" s="2"/>
      <x:c r="AL218" s="2"/>
      <x:c r="AM218" s="2"/>
      <x:c r="AN218" s="2"/>
      <x:c r="AO218" s="2"/>
      <x:c r="AP218" s="2"/>
      <x:c r="AQ218" s="2"/>
      <x:c r="AR218" s="2"/>
      <x:c r="AS218" s="2"/>
      <x:c r="AT218" s="2"/>
      <x:c r="AU218" s="2"/>
      <x:c r="AV218" s="2"/>
      <x:c r="AW218" s="2"/>
      <x:c r="AX218" s="2"/>
      <x:c r="AY218" s="2"/>
      <x:c r="AZ218" s="2"/>
      <x:c r="BA218" s="2"/>
      <x:c r="BB218" s="2"/>
      <x:c r="BC218" s="2"/>
      <x:c r="BD218" s="2"/>
      <x:c r="BE218" s="2"/>
      <x:c r="BF218" s="2"/>
      <x:c r="BG218" s="2"/>
      <x:c r="BH218" s="2"/>
      <x:c r="BI218" s="2"/>
      <x:c r="BJ218" s="2"/>
      <x:c r="BK218" s="2"/>
      <x:c r="BL218" s="2"/>
      <x:c r="BM218" s="2"/>
      <x:c r="BN218" s="2"/>
      <x:c r="BO218" s="2"/>
      <x:c r="BP218" s="2"/>
      <x:c r="BQ218" s="2"/>
      <x:c r="BR218" s="2"/>
      <x:c r="BS218" s="2"/>
      <x:c r="BT218" s="2"/>
      <x:c r="BU218" s="2"/>
      <x:c r="BV218" s="2"/>
      <x:c r="BW218" s="2"/>
      <x:c r="BX218" s="2"/>
      <x:c r="BY218" s="2"/>
      <x:c r="BZ218" s="2"/>
      <x:c r="CA218" s="2"/>
      <x:c r="CB218" s="2"/>
      <x:c r="CC218" s="2"/>
      <x:c r="CD218" s="2"/>
      <x:c r="CE218" s="2"/>
      <x:c r="CF218" s="2"/>
      <x:c r="CG218" s="2"/>
      <x:c r="CH218" s="2"/>
      <x:c r="CI218" s="2"/>
      <x:c r="CJ218" s="2"/>
      <x:c r="CK218" s="2"/>
      <x:c r="CL218" s="2"/>
      <x:c r="CM218" s="2"/>
      <x:c r="CN218" s="2"/>
      <x:c r="CO218" s="2"/>
      <x:c r="CP218" s="2"/>
      <x:c r="CQ218" s="2"/>
      <x:c r="CR218" s="2"/>
      <x:c r="CS218" s="2"/>
      <x:c r="CT218" s="2"/>
      <x:c r="CU218" s="2"/>
      <x:c r="CV218" s="2"/>
      <x:c r="CW218" s="2"/>
      <x:c r="CX218" s="2"/>
      <x:c r="CY218" s="2"/>
    </x:row>
    <x:row r="219" ht="19" customHeight="1">
      <x:c r="A219" s="1"/>
      <x:c r="B219" s="1"/>
      <x:c r="C219" s="2" t="n">
        <x:v>59</x:v>
      </x:c>
      <x:c r="D219" s="31" t="n">
        <x:f>IF(OR(C219&gt;=$E$43,INDEX($I$51:$I$147,C219+1)&lt;=0.0000000001),0,IF($E$46=0,$E$44/MIN($E$43,COUNTIF($I$51:$I$110,"&gt;0.0000000001")),IF(C219=$E$45,$E$44,0)))</x:f>
        <x:v>0</x:v>
      </x:c>
      <x:c r="E219" s="31" t="n">
        <x:f>IF(D219=0,0,D219/(INDEX($I$51:$I$147,C219+1)*INDEX($H$51:$H$147,C219+1)))</x:f>
        <x:v>0</x:v>
      </x:c>
      <x:c r="F219" s="31" t="n">
        <x:f>E219*INDEX($G$51:$G$147,C219+1)</x:f>
        <x:v>0</x:v>
      </x:c>
      <x:c r="G219" s="2"/>
      <x:c r="H219" s="2"/>
      <x:c r="I219" s="2"/>
      <x:c r="J219" s="2"/>
      <x:c r="K219" s="2"/>
      <x:c r="L219" s="2"/>
      <x:c r="M219" s="2"/>
      <x:c r="N219" s="2"/>
      <x:c r="O219" s="2"/>
      <x:c r="P219" s="2"/>
      <x:c r="Q219" s="2"/>
      <x:c r="R219" s="2"/>
      <x:c r="S219" s="2"/>
      <x:c r="T219" s="2"/>
      <x:c r="U219" s="2"/>
      <x:c r="V219" s="2"/>
      <x:c r="W219" s="2"/>
      <x:c r="X219" s="2"/>
      <x:c r="Y219" s="2"/>
      <x:c r="Z219" s="2"/>
      <x:c r="AA219" s="2"/>
      <x:c r="AB219" s="2"/>
      <x:c r="AC219" s="2"/>
      <x:c r="AD219" s="2"/>
      <x:c r="AE219" s="2"/>
      <x:c r="AF219" s="2"/>
      <x:c r="AG219" s="2"/>
      <x:c r="AH219" s="2"/>
      <x:c r="AI219" s="2"/>
      <x:c r="AJ219" s="2"/>
      <x:c r="AK219" s="2"/>
      <x:c r="AL219" s="2"/>
      <x:c r="AM219" s="2"/>
      <x:c r="AN219" s="2"/>
      <x:c r="AO219" s="2"/>
      <x:c r="AP219" s="2"/>
      <x:c r="AQ219" s="2"/>
      <x:c r="AR219" s="2"/>
      <x:c r="AS219" s="2"/>
      <x:c r="AT219" s="2"/>
      <x:c r="AU219" s="2"/>
      <x:c r="AV219" s="2"/>
      <x:c r="AW219" s="2"/>
      <x:c r="AX219" s="2"/>
      <x:c r="AY219" s="2"/>
      <x:c r="AZ219" s="2"/>
      <x:c r="BA219" s="2"/>
      <x:c r="BB219" s="2"/>
      <x:c r="BC219" s="2"/>
      <x:c r="BD219" s="2"/>
      <x:c r="BE219" s="2"/>
      <x:c r="BF219" s="2"/>
      <x:c r="BG219" s="2"/>
      <x:c r="BH219" s="2"/>
      <x:c r="BI219" s="2"/>
      <x:c r="BJ219" s="2"/>
      <x:c r="BK219" s="2"/>
      <x:c r="BL219" s="2"/>
      <x:c r="BM219" s="2"/>
      <x:c r="BN219" s="2"/>
      <x:c r="BO219" s="2"/>
      <x:c r="BP219" s="2"/>
      <x:c r="BQ219" s="2"/>
      <x:c r="BR219" s="2"/>
      <x:c r="BS219" s="2"/>
      <x:c r="BT219" s="2"/>
      <x:c r="BU219" s="2"/>
      <x:c r="BV219" s="2"/>
      <x:c r="BW219" s="2"/>
      <x:c r="BX219" s="2"/>
      <x:c r="BY219" s="2"/>
      <x:c r="BZ219" s="2"/>
      <x:c r="CA219" s="2"/>
      <x:c r="CB219" s="2"/>
      <x:c r="CC219" s="2"/>
      <x:c r="CD219" s="2"/>
      <x:c r="CE219" s="2"/>
      <x:c r="CF219" s="2"/>
      <x:c r="CG219" s="2"/>
      <x:c r="CH219" s="2"/>
      <x:c r="CI219" s="2"/>
      <x:c r="CJ219" s="2"/>
      <x:c r="CK219" s="2"/>
      <x:c r="CL219" s="2"/>
      <x:c r="CM219" s="2"/>
      <x:c r="CN219" s="2"/>
      <x:c r="CO219" s="2"/>
      <x:c r="CP219" s="2"/>
      <x:c r="CQ219" s="2"/>
      <x:c r="CR219" s="2"/>
      <x:c r="CS219" s="2"/>
      <x:c r="CT219" s="2"/>
      <x:c r="CU219" s="2"/>
      <x:c r="CV219" s="2"/>
      <x:c r="CW219" s="2"/>
      <x:c r="CX219" s="2"/>
      <x:c r="CY219" s="2"/>
    </x:row>
  </x:sheetData>
  <x:conditionalFormatting sqref="G35:AP37">
    <x:cfRule type="expression" dxfId="3" priority="1">
      <x:formula>ABS(G35)&gt;0.01</x:formula>
    </x:cfRule>
  </x:conditionalFormatting>
  <x:pageMargins left="0.7" right="0.7" top="0.75" bottom="0.75" header="0.3" footer="0.3"/>
</x:worksheet>
</file>