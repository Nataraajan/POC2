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12c683a2b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 model" sheetId="1" r:id="Re040250abdf643d6"/>
    <x:sheet xmlns:r="http://schemas.openxmlformats.org/officeDocument/2006/relationships" name="Assumptions" sheetId="2" r:id="Rbdf89b9582c14882"/>
    <x:sheet xmlns:r="http://schemas.openxmlformats.org/officeDocument/2006/relationships" name="Short-Term build" sheetId="3" r:id="Rf5dd707450974136"/>
    <x:sheet xmlns:r="http://schemas.openxmlformats.org/officeDocument/2006/relationships" name="Installment build" sheetId="4" r:id="Rd5b63ddc300c4815"/>
    <x:sheet xmlns:r="http://schemas.openxmlformats.org/officeDocument/2006/relationships" name="CF Short-Term" sheetId="5" r:id="R07d69ecd93ab47b6"/>
    <x:sheet xmlns:r="http://schemas.openxmlformats.org/officeDocument/2006/relationships" name="CF Installment" sheetId="6" r:id="R07ec44e5793c4f3b"/>
    <x:sheet xmlns:r="http://schemas.openxmlformats.org/officeDocument/2006/relationships" name="MK Short-Term" sheetId="7" r:id="R6faee0a58b7040f0"/>
    <x:sheet xmlns:r="http://schemas.openxmlformats.org/officeDocument/2006/relationships" name="MK Installment" sheetId="8" r:id="Rfaed8a193fe4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;(#,##0);&quot;-&quot;"/>
    <x:numFmt numFmtId="201" formatCode="0.00"/>
    <x:numFmt numFmtId="202" formatCode="0.0%;(0.0%);&quot;-&quot;"/>
    <x:numFmt numFmtId="203" formatCode="$#,##0;($#,##0);&quot;-&quot;"/>
    <x:numFmt numFmtId="204" formatCode="0"/>
    <x:numFmt numFmtId="205" formatCode="0.00x"/>
    <x:numFmt numFmtId="206" formatCode="&quot;Month &quot;0"/>
    <x:numFmt numFmtId="207" formatCode="0.00%"/>
    <x:numFmt numFmtId="208" formatCode="0.0000%"/>
    <x:numFmt numFmtId="209" formatCode="#,##0.00;(#,##0.00);&quot;-&quot;"/>
    <x:numFmt numFmtId="210" formatCode="$#,##0"/>
    <x:numFmt numFmtId="211" formatCode="#,##0,;(#,##0,);&quot;-&quot;"/>
    <x:numFmt numFmtId="212" formatCode="0.0%"/>
  </x:numFmts>
  <x:fonts count="9">
    <x:font>
      <x:sz val="11"/>
      <x:name val="Carlito"/>
    </x:font>
    <x:font>
      <x:sz val="10"/>
      <x:color rgb="FF000000"/>
      <x:name val="Arial"/>
    </x:font>
    <x:font>
      <x:b/>
      <x:sz val="14"/>
      <x:color rgb="FF17365D"/>
      <x:name val="Arial"/>
    </x:font>
    <x:font>
      <x:sz val="10"/>
      <x:color rgb="FF00800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000000"/>
      <x:name val="Arial"/>
    </x:font>
    <x:font>
      <x:sz val="10"/>
      <x:color rgb="FF12274B"/>
      <x:name val="Arial"/>
    </x:font>
    <x:font>
      <x:sz val="10"/>
      <x:color rgb="FF566A89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8F0FA"/>
      </x:patternFill>
    </x:fill>
    <x:fill>
      <x:patternFill patternType="solid">
        <x:fgColor rgb="FFDCE6F1"/>
      </x:patternFill>
    </x:fill>
    <x:fill>
      <x:patternFill patternType="solid">
        <x:fgColor rgb="FFF0F4F9"/>
      </x:patternFill>
    </x:fill>
    <x:fill>
      <x:patternFill patternType="solid">
        <x:fgColor rgb="FFE7EEF7"/>
      </x:patternFill>
    </x:fill>
  </x:fills>
  <x:borders count="2">
    <x:border/>
    <x:border>
      <x:top style="thin">
        <x:color rgb="FFB7C9DD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2" borderId="0" xfId="0" applyNumberFormat="1" applyFont="1" applyFill="1" applyBorder="1" applyAlignment="1">
      <x:alignment vertical="center"/>
    </x:xf>
    <x:xf numFmtId="206" fontId="4" fillId="2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10" fontId="3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11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11" fontId="6" fillId="6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211" fontId="6" fillId="6" borderId="1" xfId="0" applyNumberFormat="1" applyFont="1" applyFill="1" applyBorder="1" applyAlignment="1">
      <x:alignment vertical="center"/>
    </x:xf>
    <x:xf numFmtId="211" fontId="1" fillId="5" borderId="0" xfId="0" applyNumberFormat="1" applyFont="1" applyFill="1" applyBorder="1" applyAlignment="1">
      <x:alignment vertical="center"/>
    </x:xf>
    <x:xf numFmtId="211" fontId="6" fillId="5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211" fontId="6" fillId="5" borderId="1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/>
    </x:xf>
    <x:xf numFmtId="211" fontId="3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 wrapText="1"/>
    </x:xf>
    <x:xf numFmtId="212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f0a89300084fc1" /><Relationship Type="http://schemas.openxmlformats.org/officeDocument/2006/relationships/theme" Target="/xl/theme/theme1.xml" Id="R7f4851e72f264d75" /><Relationship Type="http://schemas.openxmlformats.org/officeDocument/2006/relationships/sharedStrings" Target="/xl/sharedStrings.xml" Id="R2655b52fcc744ea6" /><Relationship Type="http://schemas.openxmlformats.org/officeDocument/2006/relationships/worksheet" Target="/xl/worksheets/sheet1.xml" Id="Re040250abdf643d6" /><Relationship Type="http://schemas.openxmlformats.org/officeDocument/2006/relationships/worksheet" Target="/xl/worksheets/sheet2.xml" Id="Rbdf89b9582c14882" /><Relationship Type="http://schemas.openxmlformats.org/officeDocument/2006/relationships/worksheet" Target="/xl/worksheets/sheet3.xml" Id="Rf5dd707450974136" /><Relationship Type="http://schemas.openxmlformats.org/officeDocument/2006/relationships/worksheet" Target="/xl/worksheets/sheet4.xml" Id="Rd5b63ddc300c4815" /><Relationship Type="http://schemas.openxmlformats.org/officeDocument/2006/relationships/worksheet" Target="/xl/worksheets/sheet5.xml" Id="R07d69ecd93ab47b6" /><Relationship Type="http://schemas.openxmlformats.org/officeDocument/2006/relationships/worksheet" Target="/xl/worksheets/sheet6.xml" Id="R07ec44e5793c4f3b" /><Relationship Type="http://schemas.openxmlformats.org/officeDocument/2006/relationships/worksheet" Target="/xl/worksheets/sheet7.xml" Id="R6faee0a58b7040f0" /><Relationship Type="http://schemas.openxmlformats.org/officeDocument/2006/relationships/worksheet" Target="/xl/worksheets/sheet8.xml" Id="Rfaed8a193fe44d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3" hidden="0" customWidth="1"/>
    <x:col min="5" max="5" width="17" hidden="0" customWidth="1"/>
    <x:col min="6" max="6" width="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</x:cols>
  <x:sheetData>
    <x:row r="1" ht="19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</x:row>
    <x:row r="2" ht="19" customHeight="1">
      <x:c r="A2" s="1"/>
      <x:c r="B2" s="1"/>
      <x:c r="C2" s="3" t="str">
        <x:v>LendSight CLAB revenue model</x:v>
      </x:c>
      <x:c r="D2" s="3"/>
      <x:c r="E2" s="3"/>
      <x:c r="F2" s="3"/>
      <x:c r="G2" s="3"/>
      <x:c r="H2" s="3"/>
      <x:c r="I2" s="3"/>
      <x:c r="J2" s="3"/>
      <x:c r="K2" s="3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</x:row>
    <x:row r="3" ht="19" customHeight="1">
      <x:c r="A3" s="1"/>
      <x:c r="B3" s="1"/>
      <x:c r="C3" s="2" t="str">
        <x:v>Exported scenario</x:v>
      </x:c>
      <x:c r="D3" s="2"/>
      <x:c r="E3" s="4" t="str">
        <x:f>'Assumptions'!$E$8</x:f>
        <x:v>Base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</x:row>
    <x:row r="4" ht="19" customHeight="1">
      <x:c r="A4" s="1"/>
      <x:c r="B4" s="1"/>
      <x:c r="C4" s="2" t="str">
        <x:v>USD thousands unless noted. Main-sheet totals calculate locally; cohort details link to product builds.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</x:row>
    <x:row r="5" ht="19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</x:row>
    <x:row r="6" ht="19" customHeight="1">
      <x:c r="A6" s="1"/>
      <x:c r="B6" s="1"/>
      <x:c r="C6" s="6"/>
      <x:c r="D6" s="6"/>
      <x:c r="E6" s="6" t="str">
        <x:v>Horizon total / end</x:v>
      </x:c>
      <x:c r="F6" s="6"/>
      <x:c r="G6" s="21" t="n">
        <x:v>1</x:v>
      </x:c>
      <x:c r="H6" s="21" t="n">
        <x:v>2</x:v>
      </x:c>
      <x:c r="I6" s="21" t="n">
        <x:v>3</x:v>
      </x:c>
      <x:c r="J6" s="21" t="n">
        <x:v>4</x:v>
      </x:c>
      <x:c r="K6" s="21" t="n">
        <x:v>5</x:v>
      </x:c>
      <x:c r="L6" s="21" t="n">
        <x:v>6</x:v>
      </x:c>
      <x:c r="M6" s="21" t="n">
        <x:v>7</x:v>
      </x:c>
      <x:c r="N6" s="21" t="n">
        <x:v>8</x:v>
      </x:c>
      <x:c r="O6" s="21" t="n">
        <x:v>9</x:v>
      </x:c>
      <x:c r="P6" s="21" t="n">
        <x:v>10</x:v>
      </x:c>
      <x:c r="Q6" s="21" t="n">
        <x:v>11</x:v>
      </x:c>
      <x:c r="R6" s="21" t="n">
        <x:v>12</x:v>
      </x:c>
      <x:c r="S6" s="21" t="n">
        <x:v>13</x:v>
      </x:c>
      <x:c r="T6" s="21" t="n">
        <x:v>14</x:v>
      </x:c>
      <x:c r="U6" s="21" t="n">
        <x:v>15</x:v>
      </x:c>
      <x:c r="V6" s="21" t="n">
        <x:v>16</x:v>
      </x:c>
      <x:c r="W6" s="21" t="n">
        <x:v>17</x:v>
      </x:c>
      <x:c r="X6" s="21" t="n">
        <x:v>18</x:v>
      </x:c>
      <x:c r="Y6" s="21" t="n">
        <x:v>19</x:v>
      </x:c>
      <x:c r="Z6" s="21" t="n">
        <x:v>20</x:v>
      </x:c>
      <x:c r="AA6" s="21" t="n">
        <x:v>21</x:v>
      </x:c>
      <x:c r="AB6" s="21" t="n">
        <x:v>22</x:v>
      </x:c>
      <x:c r="AC6" s="21" t="n">
        <x:v>23</x:v>
      </x:c>
      <x:c r="AD6" s="21" t="n">
        <x:v>24</x:v>
      </x:c>
      <x:c r="AE6" s="21" t="n">
        <x:v>25</x:v>
      </x:c>
      <x:c r="AF6" s="21" t="n">
        <x:v>26</x:v>
      </x:c>
      <x:c r="AG6" s="21" t="n">
        <x:v>27</x:v>
      </x:c>
      <x:c r="AH6" s="21" t="n">
        <x:v>28</x:v>
      </x:c>
      <x:c r="AI6" s="21" t="n">
        <x:v>29</x:v>
      </x:c>
      <x:c r="AJ6" s="21" t="n">
        <x:v>30</x:v>
      </x:c>
      <x:c r="AK6" s="21" t="n">
        <x:v>31</x:v>
      </x:c>
      <x:c r="AL6" s="21" t="n">
        <x:v>32</x:v>
      </x:c>
      <x:c r="AM6" s="21" t="n">
        <x:v>33</x:v>
      </x:c>
      <x:c r="AN6" s="21" t="n">
        <x:v>34</x:v>
      </x:c>
      <x:c r="AO6" s="21" t="n">
        <x:v>35</x:v>
      </x:c>
      <x:c r="AP6" s="21" t="n">
        <x:v>36</x:v>
      </x:c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</x:row>
    <x:row r="7" ht="19" customHeight="1">
      <x:c r="A7" s="1"/>
      <x:c r="B7" s="1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</x:row>
    <x:row r="8" ht="19" customHeight="1">
      <x:c r="A8" s="1"/>
      <x:c r="B8" s="1"/>
      <x:c r="C8" s="2" t="str">
        <x:v>Applications</x:v>
      </x:c>
      <x:c r="D8" s="2"/>
      <x:c r="E8" s="37" t="n">
        <x:f>SUMIFS(G8:AP8,$G$6:$AP$6,"&lt;="&amp;'Assumptions'!$E$7)</x:f>
        <x:v>1008000</x:v>
      </x:c>
      <x:c r="F8" s="2"/>
      <x:c r="G8" s="37" t="n">
        <x:f>IF('Assumptions'!$E$9=2,'Short-Term build'!G8,IF('Assumptions'!$E$9=3,'Installment build'!G8,'Short-Term build'!G8+'Installment build'!G8))</x:f>
        <x:v>42000</x:v>
      </x:c>
      <x:c r="H8" s="37" t="n">
        <x:f>IF('Assumptions'!$E$9=2,'Short-Term build'!H8,IF('Assumptions'!$E$9=3,'Installment build'!H8,'Short-Term build'!H8+'Installment build'!H8))</x:f>
        <x:v>42000</x:v>
      </x:c>
      <x:c r="I8" s="37" t="n">
        <x:f>IF('Assumptions'!$E$9=2,'Short-Term build'!I8,IF('Assumptions'!$E$9=3,'Installment build'!I8,'Short-Term build'!I8+'Installment build'!I8))</x:f>
        <x:v>42000</x:v>
      </x:c>
      <x:c r="J8" s="37" t="n">
        <x:f>IF('Assumptions'!$E$9=2,'Short-Term build'!J8,IF('Assumptions'!$E$9=3,'Installment build'!J8,'Short-Term build'!J8+'Installment build'!J8))</x:f>
        <x:v>42000</x:v>
      </x:c>
      <x:c r="K8" s="37" t="n">
        <x:f>IF('Assumptions'!$E$9=2,'Short-Term build'!K8,IF('Assumptions'!$E$9=3,'Installment build'!K8,'Short-Term build'!K8+'Installment build'!K8))</x:f>
        <x:v>42000</x:v>
      </x:c>
      <x:c r="L8" s="37" t="n">
        <x:f>IF('Assumptions'!$E$9=2,'Short-Term build'!L8,IF('Assumptions'!$E$9=3,'Installment build'!L8,'Short-Term build'!L8+'Installment build'!L8))</x:f>
        <x:v>42000</x:v>
      </x:c>
      <x:c r="M8" s="37" t="n">
        <x:f>IF('Assumptions'!$E$9=2,'Short-Term build'!M8,IF('Assumptions'!$E$9=3,'Installment build'!M8,'Short-Term build'!M8+'Installment build'!M8))</x:f>
        <x:v>42000</x:v>
      </x:c>
      <x:c r="N8" s="37" t="n">
        <x:f>IF('Assumptions'!$E$9=2,'Short-Term build'!N8,IF('Assumptions'!$E$9=3,'Installment build'!N8,'Short-Term build'!N8+'Installment build'!N8))</x:f>
        <x:v>42000</x:v>
      </x:c>
      <x:c r="O8" s="37" t="n">
        <x:f>IF('Assumptions'!$E$9=2,'Short-Term build'!O8,IF('Assumptions'!$E$9=3,'Installment build'!O8,'Short-Term build'!O8+'Installment build'!O8))</x:f>
        <x:v>42000</x:v>
      </x:c>
      <x:c r="P8" s="37" t="n">
        <x:f>IF('Assumptions'!$E$9=2,'Short-Term build'!P8,IF('Assumptions'!$E$9=3,'Installment build'!P8,'Short-Term build'!P8+'Installment build'!P8))</x:f>
        <x:v>42000</x:v>
      </x:c>
      <x:c r="Q8" s="37" t="n">
        <x:f>IF('Assumptions'!$E$9=2,'Short-Term build'!Q8,IF('Assumptions'!$E$9=3,'Installment build'!Q8,'Short-Term build'!Q8+'Installment build'!Q8))</x:f>
        <x:v>42000</x:v>
      </x:c>
      <x:c r="R8" s="37" t="n">
        <x:f>IF('Assumptions'!$E$9=2,'Short-Term build'!R8,IF('Assumptions'!$E$9=3,'Installment build'!R8,'Short-Term build'!R8+'Installment build'!R8))</x:f>
        <x:v>42000</x:v>
      </x:c>
      <x:c r="S8" s="37" t="n">
        <x:f>IF('Assumptions'!$E$9=2,'Short-Term build'!S8,IF('Assumptions'!$E$9=3,'Installment build'!S8,'Short-Term build'!S8+'Installment build'!S8))</x:f>
        <x:v>42000</x:v>
      </x:c>
      <x:c r="T8" s="37" t="n">
        <x:f>IF('Assumptions'!$E$9=2,'Short-Term build'!T8,IF('Assumptions'!$E$9=3,'Installment build'!T8,'Short-Term build'!T8+'Installment build'!T8))</x:f>
        <x:v>42000</x:v>
      </x:c>
      <x:c r="U8" s="37" t="n">
        <x:f>IF('Assumptions'!$E$9=2,'Short-Term build'!U8,IF('Assumptions'!$E$9=3,'Installment build'!U8,'Short-Term build'!U8+'Installment build'!U8))</x:f>
        <x:v>42000</x:v>
      </x:c>
      <x:c r="V8" s="37" t="n">
        <x:f>IF('Assumptions'!$E$9=2,'Short-Term build'!V8,IF('Assumptions'!$E$9=3,'Installment build'!V8,'Short-Term build'!V8+'Installment build'!V8))</x:f>
        <x:v>42000</x:v>
      </x:c>
      <x:c r="W8" s="37" t="n">
        <x:f>IF('Assumptions'!$E$9=2,'Short-Term build'!W8,IF('Assumptions'!$E$9=3,'Installment build'!W8,'Short-Term build'!W8+'Installment build'!W8))</x:f>
        <x:v>42000</x:v>
      </x:c>
      <x:c r="X8" s="37" t="n">
        <x:f>IF('Assumptions'!$E$9=2,'Short-Term build'!X8,IF('Assumptions'!$E$9=3,'Installment build'!X8,'Short-Term build'!X8+'Installment build'!X8))</x:f>
        <x:v>42000</x:v>
      </x:c>
      <x:c r="Y8" s="37" t="n">
        <x:f>IF('Assumptions'!$E$9=2,'Short-Term build'!Y8,IF('Assumptions'!$E$9=3,'Installment build'!Y8,'Short-Term build'!Y8+'Installment build'!Y8))</x:f>
        <x:v>42000</x:v>
      </x:c>
      <x:c r="Z8" s="37" t="n">
        <x:f>IF('Assumptions'!$E$9=2,'Short-Term build'!Z8,IF('Assumptions'!$E$9=3,'Installment build'!Z8,'Short-Term build'!Z8+'Installment build'!Z8))</x:f>
        <x:v>42000</x:v>
      </x:c>
      <x:c r="AA8" s="37" t="n">
        <x:f>IF('Assumptions'!$E$9=2,'Short-Term build'!AA8,IF('Assumptions'!$E$9=3,'Installment build'!AA8,'Short-Term build'!AA8+'Installment build'!AA8))</x:f>
        <x:v>42000</x:v>
      </x:c>
      <x:c r="AB8" s="37" t="n">
        <x:f>IF('Assumptions'!$E$9=2,'Short-Term build'!AB8,IF('Assumptions'!$E$9=3,'Installment build'!AB8,'Short-Term build'!AB8+'Installment build'!AB8))</x:f>
        <x:v>42000</x:v>
      </x:c>
      <x:c r="AC8" s="37" t="n">
        <x:f>IF('Assumptions'!$E$9=2,'Short-Term build'!AC8,IF('Assumptions'!$E$9=3,'Installment build'!AC8,'Short-Term build'!AC8+'Installment build'!AC8))</x:f>
        <x:v>42000</x:v>
      </x:c>
      <x:c r="AD8" s="37" t="n">
        <x:f>IF('Assumptions'!$E$9=2,'Short-Term build'!AD8,IF('Assumptions'!$E$9=3,'Installment build'!AD8,'Short-Term build'!AD8+'Installment build'!AD8))</x:f>
        <x:v>42000</x:v>
      </x:c>
      <x:c r="AE8" s="37" t="n">
        <x:f>IF('Assumptions'!$E$9=2,'Short-Term build'!AE8,IF('Assumptions'!$E$9=3,'Installment build'!AE8,'Short-Term build'!AE8+'Installment build'!AE8))</x:f>
        <x:v>42000</x:v>
      </x:c>
      <x:c r="AF8" s="37" t="n">
        <x:f>IF('Assumptions'!$E$9=2,'Short-Term build'!AF8,IF('Assumptions'!$E$9=3,'Installment build'!AF8,'Short-Term build'!AF8+'Installment build'!AF8))</x:f>
        <x:v>42000</x:v>
      </x:c>
      <x:c r="AG8" s="37" t="n">
        <x:f>IF('Assumptions'!$E$9=2,'Short-Term build'!AG8,IF('Assumptions'!$E$9=3,'Installment build'!AG8,'Short-Term build'!AG8+'Installment build'!AG8))</x:f>
        <x:v>42000</x:v>
      </x:c>
      <x:c r="AH8" s="37" t="n">
        <x:f>IF('Assumptions'!$E$9=2,'Short-Term build'!AH8,IF('Assumptions'!$E$9=3,'Installment build'!AH8,'Short-Term build'!AH8+'Installment build'!AH8))</x:f>
        <x:v>42000</x:v>
      </x:c>
      <x:c r="AI8" s="37" t="n">
        <x:f>IF('Assumptions'!$E$9=2,'Short-Term build'!AI8,IF('Assumptions'!$E$9=3,'Installment build'!AI8,'Short-Term build'!AI8+'Installment build'!AI8))</x:f>
        <x:v>42000</x:v>
      </x:c>
      <x:c r="AJ8" s="37" t="n">
        <x:f>IF('Assumptions'!$E$9=2,'Short-Term build'!AJ8,IF('Assumptions'!$E$9=3,'Installment build'!AJ8,'Short-Term build'!AJ8+'Installment build'!AJ8))</x:f>
        <x:v>42000</x:v>
      </x:c>
      <x:c r="AK8" s="37" t="n">
        <x:f>IF('Assumptions'!$E$9=2,'Short-Term build'!AK8,IF('Assumptions'!$E$9=3,'Installment build'!AK8,'Short-Term build'!AK8+'Installment build'!AK8))</x:f>
        <x:v>42000</x:v>
      </x:c>
      <x:c r="AL8" s="37" t="n">
        <x:f>IF('Assumptions'!$E$9=2,'Short-Term build'!AL8,IF('Assumptions'!$E$9=3,'Installment build'!AL8,'Short-Term build'!AL8+'Installment build'!AL8))</x:f>
        <x:v>42000</x:v>
      </x:c>
      <x:c r="AM8" s="37" t="n">
        <x:f>IF('Assumptions'!$E$9=2,'Short-Term build'!AM8,IF('Assumptions'!$E$9=3,'Installment build'!AM8,'Short-Term build'!AM8+'Installment build'!AM8))</x:f>
        <x:v>42000</x:v>
      </x:c>
      <x:c r="AN8" s="37" t="n">
        <x:f>IF('Assumptions'!$E$9=2,'Short-Term build'!AN8,IF('Assumptions'!$E$9=3,'Installment build'!AN8,'Short-Term build'!AN8+'Installment build'!AN8))</x:f>
        <x:v>42000</x:v>
      </x:c>
      <x:c r="AO8" s="37" t="n">
        <x:f>IF('Assumptions'!$E$9=2,'Short-Term build'!AO8,IF('Assumptions'!$E$9=3,'Installment build'!AO8,'Short-Term build'!AO8+'Installment build'!AO8))</x:f>
        <x:v>42000</x:v>
      </x:c>
      <x:c r="AP8" s="37" t="n">
        <x:f>IF('Assumptions'!$E$9=2,'Short-Term build'!AP8,IF('Assumptions'!$E$9=3,'Installment build'!AP8,'Short-Term build'!AP8+'Installment build'!AP8))</x:f>
        <x:v>42000</x:v>
      </x:c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</x:row>
    <x:row r="9" ht="19" customHeight="1">
      <x:c r="A9" s="1"/>
      <x:c r="B9" s="1"/>
      <x:c r="C9" s="2" t="str">
        <x:v>Approval rate</x:v>
      </x:c>
      <x:c r="D9" s="2"/>
      <x:c r="E9" s="35"/>
      <x:c r="F9" s="2"/>
      <x:c r="G9" s="12" t="n">
        <x:f>IF(G8=0,0,IF('Assumptions'!$E$9=2,'Short-Term build'!G9,IF('Assumptions'!$E$9=3,'Installment build'!G9,('Short-Term build'!G8*'Short-Term build'!G9+'Installment build'!G8*'Installment build'!G9)/G8)))</x:f>
        <x:v>0.34285714285714286</x:v>
      </x:c>
      <x:c r="H9" s="12" t="n">
        <x:f>IF(H8=0,0,IF('Assumptions'!$E$9=2,'Short-Term build'!H9,IF('Assumptions'!$E$9=3,'Installment build'!H9,('Short-Term build'!H8*'Short-Term build'!H9+'Installment build'!H8*'Installment build'!H9)/H8)))</x:f>
        <x:v>0.34285714285714286</x:v>
      </x:c>
      <x:c r="I9" s="12" t="n">
        <x:f>IF(I8=0,0,IF('Assumptions'!$E$9=2,'Short-Term build'!I9,IF('Assumptions'!$E$9=3,'Installment build'!I9,('Short-Term build'!I8*'Short-Term build'!I9+'Installment build'!I8*'Installment build'!I9)/I8)))</x:f>
        <x:v>0.34285714285714286</x:v>
      </x:c>
      <x:c r="J9" s="12" t="n">
        <x:f>IF(J8=0,0,IF('Assumptions'!$E$9=2,'Short-Term build'!J9,IF('Assumptions'!$E$9=3,'Installment build'!J9,('Short-Term build'!J8*'Short-Term build'!J9+'Installment build'!J8*'Installment build'!J9)/J8)))</x:f>
        <x:v>0.34285714285714286</x:v>
      </x:c>
      <x:c r="K9" s="12" t="n">
        <x:f>IF(K8=0,0,IF('Assumptions'!$E$9=2,'Short-Term build'!K9,IF('Assumptions'!$E$9=3,'Installment build'!K9,('Short-Term build'!K8*'Short-Term build'!K9+'Installment build'!K8*'Installment build'!K9)/K8)))</x:f>
        <x:v>0.34285714285714286</x:v>
      </x:c>
      <x:c r="L9" s="12" t="n">
        <x:f>IF(L8=0,0,IF('Assumptions'!$E$9=2,'Short-Term build'!L9,IF('Assumptions'!$E$9=3,'Installment build'!L9,('Short-Term build'!L8*'Short-Term build'!L9+'Installment build'!L8*'Installment build'!L9)/L8)))</x:f>
        <x:v>0.34285714285714286</x:v>
      </x:c>
      <x:c r="M9" s="12" t="n">
        <x:f>IF(M8=0,0,IF('Assumptions'!$E$9=2,'Short-Term build'!M9,IF('Assumptions'!$E$9=3,'Installment build'!M9,('Short-Term build'!M8*'Short-Term build'!M9+'Installment build'!M8*'Installment build'!M9)/M8)))</x:f>
        <x:v>0.34285714285714286</x:v>
      </x:c>
      <x:c r="N9" s="12" t="n">
        <x:f>IF(N8=0,0,IF('Assumptions'!$E$9=2,'Short-Term build'!N9,IF('Assumptions'!$E$9=3,'Installment build'!N9,('Short-Term build'!N8*'Short-Term build'!N9+'Installment build'!N8*'Installment build'!N9)/N8)))</x:f>
        <x:v>0.34285714285714286</x:v>
      </x:c>
      <x:c r="O9" s="12" t="n">
        <x:f>IF(O8=0,0,IF('Assumptions'!$E$9=2,'Short-Term build'!O9,IF('Assumptions'!$E$9=3,'Installment build'!O9,('Short-Term build'!O8*'Short-Term build'!O9+'Installment build'!O8*'Installment build'!O9)/O8)))</x:f>
        <x:v>0.34285714285714286</x:v>
      </x:c>
      <x:c r="P9" s="12" t="n">
        <x:f>IF(P8=0,0,IF('Assumptions'!$E$9=2,'Short-Term build'!P9,IF('Assumptions'!$E$9=3,'Installment build'!P9,('Short-Term build'!P8*'Short-Term build'!P9+'Installment build'!P8*'Installment build'!P9)/P8)))</x:f>
        <x:v>0.34285714285714286</x:v>
      </x:c>
      <x:c r="Q9" s="12" t="n">
        <x:f>IF(Q8=0,0,IF('Assumptions'!$E$9=2,'Short-Term build'!Q9,IF('Assumptions'!$E$9=3,'Installment build'!Q9,('Short-Term build'!Q8*'Short-Term build'!Q9+'Installment build'!Q8*'Installment build'!Q9)/Q8)))</x:f>
        <x:v>0.34285714285714286</x:v>
      </x:c>
      <x:c r="R9" s="12" t="n">
        <x:f>IF(R8=0,0,IF('Assumptions'!$E$9=2,'Short-Term build'!R9,IF('Assumptions'!$E$9=3,'Installment build'!R9,('Short-Term build'!R8*'Short-Term build'!R9+'Installment build'!R8*'Installment build'!R9)/R8)))</x:f>
        <x:v>0.34285714285714286</x:v>
      </x:c>
      <x:c r="S9" s="12" t="n">
        <x:f>IF(S8=0,0,IF('Assumptions'!$E$9=2,'Short-Term build'!S9,IF('Assumptions'!$E$9=3,'Installment build'!S9,('Short-Term build'!S8*'Short-Term build'!S9+'Installment build'!S8*'Installment build'!S9)/S8)))</x:f>
        <x:v>0.34285714285714286</x:v>
      </x:c>
      <x:c r="T9" s="12" t="n">
        <x:f>IF(T8=0,0,IF('Assumptions'!$E$9=2,'Short-Term build'!T9,IF('Assumptions'!$E$9=3,'Installment build'!T9,('Short-Term build'!T8*'Short-Term build'!T9+'Installment build'!T8*'Installment build'!T9)/T8)))</x:f>
        <x:v>0.34285714285714286</x:v>
      </x:c>
      <x:c r="U9" s="12" t="n">
        <x:f>IF(U8=0,0,IF('Assumptions'!$E$9=2,'Short-Term build'!U9,IF('Assumptions'!$E$9=3,'Installment build'!U9,('Short-Term build'!U8*'Short-Term build'!U9+'Installment build'!U8*'Installment build'!U9)/U8)))</x:f>
        <x:v>0.34285714285714286</x:v>
      </x:c>
      <x:c r="V9" s="12" t="n">
        <x:f>IF(V8=0,0,IF('Assumptions'!$E$9=2,'Short-Term build'!V9,IF('Assumptions'!$E$9=3,'Installment build'!V9,('Short-Term build'!V8*'Short-Term build'!V9+'Installment build'!V8*'Installment build'!V9)/V8)))</x:f>
        <x:v>0.34285714285714286</x:v>
      </x:c>
      <x:c r="W9" s="12" t="n">
        <x:f>IF(W8=0,0,IF('Assumptions'!$E$9=2,'Short-Term build'!W9,IF('Assumptions'!$E$9=3,'Installment build'!W9,('Short-Term build'!W8*'Short-Term build'!W9+'Installment build'!W8*'Installment build'!W9)/W8)))</x:f>
        <x:v>0.34285714285714286</x:v>
      </x:c>
      <x:c r="X9" s="12" t="n">
        <x:f>IF(X8=0,0,IF('Assumptions'!$E$9=2,'Short-Term build'!X9,IF('Assumptions'!$E$9=3,'Installment build'!X9,('Short-Term build'!X8*'Short-Term build'!X9+'Installment build'!X8*'Installment build'!X9)/X8)))</x:f>
        <x:v>0.34285714285714286</x:v>
      </x:c>
      <x:c r="Y9" s="12" t="n">
        <x:f>IF(Y8=0,0,IF('Assumptions'!$E$9=2,'Short-Term build'!Y9,IF('Assumptions'!$E$9=3,'Installment build'!Y9,('Short-Term build'!Y8*'Short-Term build'!Y9+'Installment build'!Y8*'Installment build'!Y9)/Y8)))</x:f>
        <x:v>0.34285714285714286</x:v>
      </x:c>
      <x:c r="Z9" s="12" t="n">
        <x:f>IF(Z8=0,0,IF('Assumptions'!$E$9=2,'Short-Term build'!Z9,IF('Assumptions'!$E$9=3,'Installment build'!Z9,('Short-Term build'!Z8*'Short-Term build'!Z9+'Installment build'!Z8*'Installment build'!Z9)/Z8)))</x:f>
        <x:v>0.34285714285714286</x:v>
      </x:c>
      <x:c r="AA9" s="12" t="n">
        <x:f>IF(AA8=0,0,IF('Assumptions'!$E$9=2,'Short-Term build'!AA9,IF('Assumptions'!$E$9=3,'Installment build'!AA9,('Short-Term build'!AA8*'Short-Term build'!AA9+'Installment build'!AA8*'Installment build'!AA9)/AA8)))</x:f>
        <x:v>0.34285714285714286</x:v>
      </x:c>
      <x:c r="AB9" s="12" t="n">
        <x:f>IF(AB8=0,0,IF('Assumptions'!$E$9=2,'Short-Term build'!AB9,IF('Assumptions'!$E$9=3,'Installment build'!AB9,('Short-Term build'!AB8*'Short-Term build'!AB9+'Installment build'!AB8*'Installment build'!AB9)/AB8)))</x:f>
        <x:v>0.34285714285714286</x:v>
      </x:c>
      <x:c r="AC9" s="12" t="n">
        <x:f>IF(AC8=0,0,IF('Assumptions'!$E$9=2,'Short-Term build'!AC9,IF('Assumptions'!$E$9=3,'Installment build'!AC9,('Short-Term build'!AC8*'Short-Term build'!AC9+'Installment build'!AC8*'Installment build'!AC9)/AC8)))</x:f>
        <x:v>0.34285714285714286</x:v>
      </x:c>
      <x:c r="AD9" s="12" t="n">
        <x:f>IF(AD8=0,0,IF('Assumptions'!$E$9=2,'Short-Term build'!AD9,IF('Assumptions'!$E$9=3,'Installment build'!AD9,('Short-Term build'!AD8*'Short-Term build'!AD9+'Installment build'!AD8*'Installment build'!AD9)/AD8)))</x:f>
        <x:v>0.34285714285714286</x:v>
      </x:c>
      <x:c r="AE9" s="12" t="n">
        <x:f>IF(AE8=0,0,IF('Assumptions'!$E$9=2,'Short-Term build'!AE9,IF('Assumptions'!$E$9=3,'Installment build'!AE9,('Short-Term build'!AE8*'Short-Term build'!AE9+'Installment build'!AE8*'Installment build'!AE9)/AE8)))</x:f>
        <x:v>0.34285714285714286</x:v>
      </x:c>
      <x:c r="AF9" s="12" t="n">
        <x:f>IF(AF8=0,0,IF('Assumptions'!$E$9=2,'Short-Term build'!AF9,IF('Assumptions'!$E$9=3,'Installment build'!AF9,('Short-Term build'!AF8*'Short-Term build'!AF9+'Installment build'!AF8*'Installment build'!AF9)/AF8)))</x:f>
        <x:v>0.34285714285714286</x:v>
      </x:c>
      <x:c r="AG9" s="12" t="n">
        <x:f>IF(AG8=0,0,IF('Assumptions'!$E$9=2,'Short-Term build'!AG9,IF('Assumptions'!$E$9=3,'Installment build'!AG9,('Short-Term build'!AG8*'Short-Term build'!AG9+'Installment build'!AG8*'Installment build'!AG9)/AG8)))</x:f>
        <x:v>0.34285714285714286</x:v>
      </x:c>
      <x:c r="AH9" s="12" t="n">
        <x:f>IF(AH8=0,0,IF('Assumptions'!$E$9=2,'Short-Term build'!AH9,IF('Assumptions'!$E$9=3,'Installment build'!AH9,('Short-Term build'!AH8*'Short-Term build'!AH9+'Installment build'!AH8*'Installment build'!AH9)/AH8)))</x:f>
        <x:v>0.34285714285714286</x:v>
      </x:c>
      <x:c r="AI9" s="12" t="n">
        <x:f>IF(AI8=0,0,IF('Assumptions'!$E$9=2,'Short-Term build'!AI9,IF('Assumptions'!$E$9=3,'Installment build'!AI9,('Short-Term build'!AI8*'Short-Term build'!AI9+'Installment build'!AI8*'Installment build'!AI9)/AI8)))</x:f>
        <x:v>0.34285714285714286</x:v>
      </x:c>
      <x:c r="AJ9" s="12" t="n">
        <x:f>IF(AJ8=0,0,IF('Assumptions'!$E$9=2,'Short-Term build'!AJ9,IF('Assumptions'!$E$9=3,'Installment build'!AJ9,('Short-Term build'!AJ8*'Short-Term build'!AJ9+'Installment build'!AJ8*'Installment build'!AJ9)/AJ8)))</x:f>
        <x:v>0.34285714285714286</x:v>
      </x:c>
      <x:c r="AK9" s="12" t="n">
        <x:f>IF(AK8=0,0,IF('Assumptions'!$E$9=2,'Short-Term build'!AK9,IF('Assumptions'!$E$9=3,'Installment build'!AK9,('Short-Term build'!AK8*'Short-Term build'!AK9+'Installment build'!AK8*'Installment build'!AK9)/AK8)))</x:f>
        <x:v>0.34285714285714286</x:v>
      </x:c>
      <x:c r="AL9" s="12" t="n">
        <x:f>IF(AL8=0,0,IF('Assumptions'!$E$9=2,'Short-Term build'!AL9,IF('Assumptions'!$E$9=3,'Installment build'!AL9,('Short-Term build'!AL8*'Short-Term build'!AL9+'Installment build'!AL8*'Installment build'!AL9)/AL8)))</x:f>
        <x:v>0.34285714285714286</x:v>
      </x:c>
      <x:c r="AM9" s="12" t="n">
        <x:f>IF(AM8=0,0,IF('Assumptions'!$E$9=2,'Short-Term build'!AM9,IF('Assumptions'!$E$9=3,'Installment build'!AM9,('Short-Term build'!AM8*'Short-Term build'!AM9+'Installment build'!AM8*'Installment build'!AM9)/AM8)))</x:f>
        <x:v>0.34285714285714286</x:v>
      </x:c>
      <x:c r="AN9" s="12" t="n">
        <x:f>IF(AN8=0,0,IF('Assumptions'!$E$9=2,'Short-Term build'!AN9,IF('Assumptions'!$E$9=3,'Installment build'!AN9,('Short-Term build'!AN8*'Short-Term build'!AN9+'Installment build'!AN8*'Installment build'!AN9)/AN8)))</x:f>
        <x:v>0.34285714285714286</x:v>
      </x:c>
      <x:c r="AO9" s="12" t="n">
        <x:f>IF(AO8=0,0,IF('Assumptions'!$E$9=2,'Short-Term build'!AO9,IF('Assumptions'!$E$9=3,'Installment build'!AO9,('Short-Term build'!AO8*'Short-Term build'!AO9+'Installment build'!AO8*'Installment build'!AO9)/AO8)))</x:f>
        <x:v>0.34285714285714286</x:v>
      </x:c>
      <x:c r="AP9" s="12" t="n">
        <x:f>IF(AP8=0,0,IF('Assumptions'!$E$9=2,'Short-Term build'!AP9,IF('Assumptions'!$E$9=3,'Installment build'!AP9,('Short-Term build'!AP8*'Short-Term build'!AP9+'Installment build'!AP8*'Installment build'!AP9)/AP8)))</x:f>
        <x:v>0.34285714285714286</x:v>
      </x:c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</x:row>
    <x:row r="10" ht="19" customHeight="1">
      <x:c r="A10" s="1"/>
      <x:c r="B10" s="1"/>
      <x:c r="C10" s="2" t="str">
        <x:v>Average loan size ($)</x:v>
      </x:c>
      <x:c r="D10" s="2"/>
      <x:c r="E10" s="35"/>
      <x:c r="F10" s="2"/>
      <x:c r="G10" s="48" t="n">
        <x:f>IF(G8*G9=0,0,IF('Assumptions'!$E$9=2,'Short-Term build'!G10,IF('Assumptions'!$E$9=3,'Installment build'!G10,('Short-Term build'!G8*'Short-Term build'!G9*'Short-Term build'!G10+'Installment build'!G8*'Installment build'!G9*'Installment build'!G10)/(G8*G9))))</x:f>
        <x:v>2437.5</x:v>
      </x:c>
      <x:c r="H10" s="48" t="n">
        <x:f>IF(H8*H9=0,0,IF('Assumptions'!$E$9=2,'Short-Term build'!H10,IF('Assumptions'!$E$9=3,'Installment build'!H10,('Short-Term build'!H8*'Short-Term build'!H9*'Short-Term build'!H10+'Installment build'!H8*'Installment build'!H9*'Installment build'!H10)/(H8*H9))))</x:f>
        <x:v>2437.5</x:v>
      </x:c>
      <x:c r="I10" s="48" t="n">
        <x:f>IF(I8*I9=0,0,IF('Assumptions'!$E$9=2,'Short-Term build'!I10,IF('Assumptions'!$E$9=3,'Installment build'!I10,('Short-Term build'!I8*'Short-Term build'!I9*'Short-Term build'!I10+'Installment build'!I8*'Installment build'!I9*'Installment build'!I10)/(I8*I9))))</x:f>
        <x:v>2437.5</x:v>
      </x:c>
      <x:c r="J10" s="48" t="n">
        <x:f>IF(J8*J9=0,0,IF('Assumptions'!$E$9=2,'Short-Term build'!J10,IF('Assumptions'!$E$9=3,'Installment build'!J10,('Short-Term build'!J8*'Short-Term build'!J9*'Short-Term build'!J10+'Installment build'!J8*'Installment build'!J9*'Installment build'!J10)/(J8*J9))))</x:f>
        <x:v>2437.5</x:v>
      </x:c>
      <x:c r="K10" s="48" t="n">
        <x:f>IF(K8*K9=0,0,IF('Assumptions'!$E$9=2,'Short-Term build'!K10,IF('Assumptions'!$E$9=3,'Installment build'!K10,('Short-Term build'!K8*'Short-Term build'!K9*'Short-Term build'!K10+'Installment build'!K8*'Installment build'!K9*'Installment build'!K10)/(K8*K9))))</x:f>
        <x:v>2437.5</x:v>
      </x:c>
      <x:c r="L10" s="48" t="n">
        <x:f>IF(L8*L9=0,0,IF('Assumptions'!$E$9=2,'Short-Term build'!L10,IF('Assumptions'!$E$9=3,'Installment build'!L10,('Short-Term build'!L8*'Short-Term build'!L9*'Short-Term build'!L10+'Installment build'!L8*'Installment build'!L9*'Installment build'!L10)/(L8*L9))))</x:f>
        <x:v>2437.5</x:v>
      </x:c>
      <x:c r="M10" s="48" t="n">
        <x:f>IF(M8*M9=0,0,IF('Assumptions'!$E$9=2,'Short-Term build'!M10,IF('Assumptions'!$E$9=3,'Installment build'!M10,('Short-Term build'!M8*'Short-Term build'!M9*'Short-Term build'!M10+'Installment build'!M8*'Installment build'!M9*'Installment build'!M10)/(M8*M9))))</x:f>
        <x:v>2437.5</x:v>
      </x:c>
      <x:c r="N10" s="48" t="n">
        <x:f>IF(N8*N9=0,0,IF('Assumptions'!$E$9=2,'Short-Term build'!N10,IF('Assumptions'!$E$9=3,'Installment build'!N10,('Short-Term build'!N8*'Short-Term build'!N9*'Short-Term build'!N10+'Installment build'!N8*'Installment build'!N9*'Installment build'!N10)/(N8*N9))))</x:f>
        <x:v>2437.5</x:v>
      </x:c>
      <x:c r="O10" s="48" t="n">
        <x:f>IF(O8*O9=0,0,IF('Assumptions'!$E$9=2,'Short-Term build'!O10,IF('Assumptions'!$E$9=3,'Installment build'!O10,('Short-Term build'!O8*'Short-Term build'!O9*'Short-Term build'!O10+'Installment build'!O8*'Installment build'!O9*'Installment build'!O10)/(O8*O9))))</x:f>
        <x:v>2437.5</x:v>
      </x:c>
      <x:c r="P10" s="48" t="n">
        <x:f>IF(P8*P9=0,0,IF('Assumptions'!$E$9=2,'Short-Term build'!P10,IF('Assumptions'!$E$9=3,'Installment build'!P10,('Short-Term build'!P8*'Short-Term build'!P9*'Short-Term build'!P10+'Installment build'!P8*'Installment build'!P9*'Installment build'!P10)/(P8*P9))))</x:f>
        <x:v>2437.5</x:v>
      </x:c>
      <x:c r="Q10" s="48" t="n">
        <x:f>IF(Q8*Q9=0,0,IF('Assumptions'!$E$9=2,'Short-Term build'!Q10,IF('Assumptions'!$E$9=3,'Installment build'!Q10,('Short-Term build'!Q8*'Short-Term build'!Q9*'Short-Term build'!Q10+'Installment build'!Q8*'Installment build'!Q9*'Installment build'!Q10)/(Q8*Q9))))</x:f>
        <x:v>2437.5</x:v>
      </x:c>
      <x:c r="R10" s="48" t="n">
        <x:f>IF(R8*R9=0,0,IF('Assumptions'!$E$9=2,'Short-Term build'!R10,IF('Assumptions'!$E$9=3,'Installment build'!R10,('Short-Term build'!R8*'Short-Term build'!R9*'Short-Term build'!R10+'Installment build'!R8*'Installment build'!R9*'Installment build'!R10)/(R8*R9))))</x:f>
        <x:v>2437.5</x:v>
      </x:c>
      <x:c r="S10" s="48" t="n">
        <x:f>IF(S8*S9=0,0,IF('Assumptions'!$E$9=2,'Short-Term build'!S10,IF('Assumptions'!$E$9=3,'Installment build'!S10,('Short-Term build'!S8*'Short-Term build'!S9*'Short-Term build'!S10+'Installment build'!S8*'Installment build'!S9*'Installment build'!S10)/(S8*S9))))</x:f>
        <x:v>2437.5</x:v>
      </x:c>
      <x:c r="T10" s="48" t="n">
        <x:f>IF(T8*T9=0,0,IF('Assumptions'!$E$9=2,'Short-Term build'!T10,IF('Assumptions'!$E$9=3,'Installment build'!T10,('Short-Term build'!T8*'Short-Term build'!T9*'Short-Term build'!T10+'Installment build'!T8*'Installment build'!T9*'Installment build'!T10)/(T8*T9))))</x:f>
        <x:v>2437.5</x:v>
      </x:c>
      <x:c r="U10" s="48" t="n">
        <x:f>IF(U8*U9=0,0,IF('Assumptions'!$E$9=2,'Short-Term build'!U10,IF('Assumptions'!$E$9=3,'Installment build'!U10,('Short-Term build'!U8*'Short-Term build'!U9*'Short-Term build'!U10+'Installment build'!U8*'Installment build'!U9*'Installment build'!U10)/(U8*U9))))</x:f>
        <x:v>2437.5</x:v>
      </x:c>
      <x:c r="V10" s="48" t="n">
        <x:f>IF(V8*V9=0,0,IF('Assumptions'!$E$9=2,'Short-Term build'!V10,IF('Assumptions'!$E$9=3,'Installment build'!V10,('Short-Term build'!V8*'Short-Term build'!V9*'Short-Term build'!V10+'Installment build'!V8*'Installment build'!V9*'Installment build'!V10)/(V8*V9))))</x:f>
        <x:v>2437.5</x:v>
      </x:c>
      <x:c r="W10" s="48" t="n">
        <x:f>IF(W8*W9=0,0,IF('Assumptions'!$E$9=2,'Short-Term build'!W10,IF('Assumptions'!$E$9=3,'Installment build'!W10,('Short-Term build'!W8*'Short-Term build'!W9*'Short-Term build'!W10+'Installment build'!W8*'Installment build'!W9*'Installment build'!W10)/(W8*W9))))</x:f>
        <x:v>2437.5</x:v>
      </x:c>
      <x:c r="X10" s="48" t="n">
        <x:f>IF(X8*X9=0,0,IF('Assumptions'!$E$9=2,'Short-Term build'!X10,IF('Assumptions'!$E$9=3,'Installment build'!X10,('Short-Term build'!X8*'Short-Term build'!X9*'Short-Term build'!X10+'Installment build'!X8*'Installment build'!X9*'Installment build'!X10)/(X8*X9))))</x:f>
        <x:v>2437.5</x:v>
      </x:c>
      <x:c r="Y10" s="48" t="n">
        <x:f>IF(Y8*Y9=0,0,IF('Assumptions'!$E$9=2,'Short-Term build'!Y10,IF('Assumptions'!$E$9=3,'Installment build'!Y10,('Short-Term build'!Y8*'Short-Term build'!Y9*'Short-Term build'!Y10+'Installment build'!Y8*'Installment build'!Y9*'Installment build'!Y10)/(Y8*Y9))))</x:f>
        <x:v>2437.5</x:v>
      </x:c>
      <x:c r="Z10" s="48" t="n">
        <x:f>IF(Z8*Z9=0,0,IF('Assumptions'!$E$9=2,'Short-Term build'!Z10,IF('Assumptions'!$E$9=3,'Installment build'!Z10,('Short-Term build'!Z8*'Short-Term build'!Z9*'Short-Term build'!Z10+'Installment build'!Z8*'Installment build'!Z9*'Installment build'!Z10)/(Z8*Z9))))</x:f>
        <x:v>2437.5</x:v>
      </x:c>
      <x:c r="AA10" s="48" t="n">
        <x:f>IF(AA8*AA9=0,0,IF('Assumptions'!$E$9=2,'Short-Term build'!AA10,IF('Assumptions'!$E$9=3,'Installment build'!AA10,('Short-Term build'!AA8*'Short-Term build'!AA9*'Short-Term build'!AA10+'Installment build'!AA8*'Installment build'!AA9*'Installment build'!AA10)/(AA8*AA9))))</x:f>
        <x:v>2437.5</x:v>
      </x:c>
      <x:c r="AB10" s="48" t="n">
        <x:f>IF(AB8*AB9=0,0,IF('Assumptions'!$E$9=2,'Short-Term build'!AB10,IF('Assumptions'!$E$9=3,'Installment build'!AB10,('Short-Term build'!AB8*'Short-Term build'!AB9*'Short-Term build'!AB10+'Installment build'!AB8*'Installment build'!AB9*'Installment build'!AB10)/(AB8*AB9))))</x:f>
        <x:v>2437.5</x:v>
      </x:c>
      <x:c r="AC10" s="48" t="n">
        <x:f>IF(AC8*AC9=0,0,IF('Assumptions'!$E$9=2,'Short-Term build'!AC10,IF('Assumptions'!$E$9=3,'Installment build'!AC10,('Short-Term build'!AC8*'Short-Term build'!AC9*'Short-Term build'!AC10+'Installment build'!AC8*'Installment build'!AC9*'Installment build'!AC10)/(AC8*AC9))))</x:f>
        <x:v>2437.5</x:v>
      </x:c>
      <x:c r="AD10" s="48" t="n">
        <x:f>IF(AD8*AD9=0,0,IF('Assumptions'!$E$9=2,'Short-Term build'!AD10,IF('Assumptions'!$E$9=3,'Installment build'!AD10,('Short-Term build'!AD8*'Short-Term build'!AD9*'Short-Term build'!AD10+'Installment build'!AD8*'Installment build'!AD9*'Installment build'!AD10)/(AD8*AD9))))</x:f>
        <x:v>2437.5</x:v>
      </x:c>
      <x:c r="AE10" s="48" t="n">
        <x:f>IF(AE8*AE9=0,0,IF('Assumptions'!$E$9=2,'Short-Term build'!AE10,IF('Assumptions'!$E$9=3,'Installment build'!AE10,('Short-Term build'!AE8*'Short-Term build'!AE9*'Short-Term build'!AE10+'Installment build'!AE8*'Installment build'!AE9*'Installment build'!AE10)/(AE8*AE9))))</x:f>
        <x:v>2437.5</x:v>
      </x:c>
      <x:c r="AF10" s="48" t="n">
        <x:f>IF(AF8*AF9=0,0,IF('Assumptions'!$E$9=2,'Short-Term build'!AF10,IF('Assumptions'!$E$9=3,'Installment build'!AF10,('Short-Term build'!AF8*'Short-Term build'!AF9*'Short-Term build'!AF10+'Installment build'!AF8*'Installment build'!AF9*'Installment build'!AF10)/(AF8*AF9))))</x:f>
        <x:v>2437.5</x:v>
      </x:c>
      <x:c r="AG10" s="48" t="n">
        <x:f>IF(AG8*AG9=0,0,IF('Assumptions'!$E$9=2,'Short-Term build'!AG10,IF('Assumptions'!$E$9=3,'Installment build'!AG10,('Short-Term build'!AG8*'Short-Term build'!AG9*'Short-Term build'!AG10+'Installment build'!AG8*'Installment build'!AG9*'Installment build'!AG10)/(AG8*AG9))))</x:f>
        <x:v>2437.5</x:v>
      </x:c>
      <x:c r="AH10" s="48" t="n">
        <x:f>IF(AH8*AH9=0,0,IF('Assumptions'!$E$9=2,'Short-Term build'!AH10,IF('Assumptions'!$E$9=3,'Installment build'!AH10,('Short-Term build'!AH8*'Short-Term build'!AH9*'Short-Term build'!AH10+'Installment build'!AH8*'Installment build'!AH9*'Installment build'!AH10)/(AH8*AH9))))</x:f>
        <x:v>2437.5</x:v>
      </x:c>
      <x:c r="AI10" s="48" t="n">
        <x:f>IF(AI8*AI9=0,0,IF('Assumptions'!$E$9=2,'Short-Term build'!AI10,IF('Assumptions'!$E$9=3,'Installment build'!AI10,('Short-Term build'!AI8*'Short-Term build'!AI9*'Short-Term build'!AI10+'Installment build'!AI8*'Installment build'!AI9*'Installment build'!AI10)/(AI8*AI9))))</x:f>
        <x:v>2437.5</x:v>
      </x:c>
      <x:c r="AJ10" s="48" t="n">
        <x:f>IF(AJ8*AJ9=0,0,IF('Assumptions'!$E$9=2,'Short-Term build'!AJ10,IF('Assumptions'!$E$9=3,'Installment build'!AJ10,('Short-Term build'!AJ8*'Short-Term build'!AJ9*'Short-Term build'!AJ10+'Installment build'!AJ8*'Installment build'!AJ9*'Installment build'!AJ10)/(AJ8*AJ9))))</x:f>
        <x:v>2437.5</x:v>
      </x:c>
      <x:c r="AK10" s="48" t="n">
        <x:f>IF(AK8*AK9=0,0,IF('Assumptions'!$E$9=2,'Short-Term build'!AK10,IF('Assumptions'!$E$9=3,'Installment build'!AK10,('Short-Term build'!AK8*'Short-Term build'!AK9*'Short-Term build'!AK10+'Installment build'!AK8*'Installment build'!AK9*'Installment build'!AK10)/(AK8*AK9))))</x:f>
        <x:v>2437.5</x:v>
      </x:c>
      <x:c r="AL10" s="48" t="n">
        <x:f>IF(AL8*AL9=0,0,IF('Assumptions'!$E$9=2,'Short-Term build'!AL10,IF('Assumptions'!$E$9=3,'Installment build'!AL10,('Short-Term build'!AL8*'Short-Term build'!AL9*'Short-Term build'!AL10+'Installment build'!AL8*'Installment build'!AL9*'Installment build'!AL10)/(AL8*AL9))))</x:f>
        <x:v>2437.5</x:v>
      </x:c>
      <x:c r="AM10" s="48" t="n">
        <x:f>IF(AM8*AM9=0,0,IF('Assumptions'!$E$9=2,'Short-Term build'!AM10,IF('Assumptions'!$E$9=3,'Installment build'!AM10,('Short-Term build'!AM8*'Short-Term build'!AM9*'Short-Term build'!AM10+'Installment build'!AM8*'Installment build'!AM9*'Installment build'!AM10)/(AM8*AM9))))</x:f>
        <x:v>2437.5</x:v>
      </x:c>
      <x:c r="AN10" s="48" t="n">
        <x:f>IF(AN8*AN9=0,0,IF('Assumptions'!$E$9=2,'Short-Term build'!AN10,IF('Assumptions'!$E$9=3,'Installment build'!AN10,('Short-Term build'!AN8*'Short-Term build'!AN9*'Short-Term build'!AN10+'Installment build'!AN8*'Installment build'!AN9*'Installment build'!AN10)/(AN8*AN9))))</x:f>
        <x:v>2437.5</x:v>
      </x:c>
      <x:c r="AO10" s="48" t="n">
        <x:f>IF(AO8*AO9=0,0,IF('Assumptions'!$E$9=2,'Short-Term build'!AO10,IF('Assumptions'!$E$9=3,'Installment build'!AO10,('Short-Term build'!AO8*'Short-Term build'!AO9*'Short-Term build'!AO10+'Installment build'!AO8*'Installment build'!AO9*'Installment build'!AO10)/(AO8*AO9))))</x:f>
        <x:v>2437.5</x:v>
      </x:c>
      <x:c r="AP10" s="48" t="n">
        <x:f>IF(AP8*AP9=0,0,IF('Assumptions'!$E$9=2,'Short-Term build'!AP10,IF('Assumptions'!$E$9=3,'Installment build'!AP10,('Short-Term build'!AP8*'Short-Term build'!AP9*'Short-Term build'!AP10+'Installment build'!AP8*'Installment build'!AP9*'Installment build'!AP10)/(AP8*AP9))))</x:f>
        <x:v>2437.5</x:v>
      </x:c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</x:row>
    <x:row r="11" ht="19" customHeight="1">
      <x:c r="A11" s="1"/>
      <x:c r="B11" s="1"/>
      <x:c r="C11" s="42" t="str">
        <x:v>Originations</x:v>
      </x:c>
      <x:c r="D11" s="42"/>
      <x:c r="E11" s="43" t="n">
        <x:f>SUMIFS(G11:AP11,$G$6:$AP$6,"&lt;="&amp;'Assumptions'!$E$7)</x:f>
        <x:v>842400000</x:v>
      </x:c>
      <x:c r="F11" s="42"/>
      <x:c r="G11" s="43" t="n">
        <x:f>G8*G9*G10</x:f>
        <x:v>35100000</x:v>
      </x:c>
      <x:c r="H11" s="43" t="n">
        <x:f>H8*H9*H10</x:f>
        <x:v>35100000</x:v>
      </x:c>
      <x:c r="I11" s="43" t="n">
        <x:f>I8*I9*I10</x:f>
        <x:v>35100000</x:v>
      </x:c>
      <x:c r="J11" s="43" t="n">
        <x:f>J8*J9*J10</x:f>
        <x:v>35100000</x:v>
      </x:c>
      <x:c r="K11" s="43" t="n">
        <x:f>K8*K9*K10</x:f>
        <x:v>35100000</x:v>
      </x:c>
      <x:c r="L11" s="43" t="n">
        <x:f>L8*L9*L10</x:f>
        <x:v>35100000</x:v>
      </x:c>
      <x:c r="M11" s="43" t="n">
        <x:f>M8*M9*M10</x:f>
        <x:v>35100000</x:v>
      </x:c>
      <x:c r="N11" s="43" t="n">
        <x:f>N8*N9*N10</x:f>
        <x:v>35100000</x:v>
      </x:c>
      <x:c r="O11" s="43" t="n">
        <x:f>O8*O9*O10</x:f>
        <x:v>35100000</x:v>
      </x:c>
      <x:c r="P11" s="43" t="n">
        <x:f>P8*P9*P10</x:f>
        <x:v>35100000</x:v>
      </x:c>
      <x:c r="Q11" s="43" t="n">
        <x:f>Q8*Q9*Q10</x:f>
        <x:v>35100000</x:v>
      </x:c>
      <x:c r="R11" s="43" t="n">
        <x:f>R8*R9*R10</x:f>
        <x:v>35100000</x:v>
      </x:c>
      <x:c r="S11" s="43" t="n">
        <x:f>S8*S9*S10</x:f>
        <x:v>35100000</x:v>
      </x:c>
      <x:c r="T11" s="43" t="n">
        <x:f>T8*T9*T10</x:f>
        <x:v>35100000</x:v>
      </x:c>
      <x:c r="U11" s="43" t="n">
        <x:f>U8*U9*U10</x:f>
        <x:v>35100000</x:v>
      </x:c>
      <x:c r="V11" s="43" t="n">
        <x:f>V8*V9*V10</x:f>
        <x:v>35100000</x:v>
      </x:c>
      <x:c r="W11" s="43" t="n">
        <x:f>W8*W9*W10</x:f>
        <x:v>35100000</x:v>
      </x:c>
      <x:c r="X11" s="43" t="n">
        <x:f>X8*X9*X10</x:f>
        <x:v>35100000</x:v>
      </x:c>
      <x:c r="Y11" s="43" t="n">
        <x:f>Y8*Y9*Y10</x:f>
        <x:v>35100000</x:v>
      </x:c>
      <x:c r="Z11" s="43" t="n">
        <x:f>Z8*Z9*Z10</x:f>
        <x:v>35100000</x:v>
      </x:c>
      <x:c r="AA11" s="43" t="n">
        <x:f>AA8*AA9*AA10</x:f>
        <x:v>35100000</x:v>
      </x:c>
      <x:c r="AB11" s="43" t="n">
        <x:f>AB8*AB9*AB10</x:f>
        <x:v>35100000</x:v>
      </x:c>
      <x:c r="AC11" s="43" t="n">
        <x:f>AC8*AC9*AC10</x:f>
        <x:v>35100000</x:v>
      </x:c>
      <x:c r="AD11" s="43" t="n">
        <x:f>AD8*AD9*AD10</x:f>
        <x:v>35100000</x:v>
      </x:c>
      <x:c r="AE11" s="43" t="n">
        <x:f>AE8*AE9*AE10</x:f>
        <x:v>35100000</x:v>
      </x:c>
      <x:c r="AF11" s="43" t="n">
        <x:f>AF8*AF9*AF10</x:f>
        <x:v>35100000</x:v>
      </x:c>
      <x:c r="AG11" s="43" t="n">
        <x:f>AG8*AG9*AG10</x:f>
        <x:v>35100000</x:v>
      </x:c>
      <x:c r="AH11" s="43" t="n">
        <x:f>AH8*AH9*AH10</x:f>
        <x:v>35100000</x:v>
      </x:c>
      <x:c r="AI11" s="43" t="n">
        <x:f>AI8*AI9*AI10</x:f>
        <x:v>35100000</x:v>
      </x:c>
      <x:c r="AJ11" s="43" t="n">
        <x:f>AJ8*AJ9*AJ10</x:f>
        <x:v>35100000</x:v>
      </x:c>
      <x:c r="AK11" s="43" t="n">
        <x:f>AK8*AK9*AK10</x:f>
        <x:v>35100000</x:v>
      </x:c>
      <x:c r="AL11" s="43" t="n">
        <x:f>AL8*AL9*AL10</x:f>
        <x:v>35100000</x:v>
      </x:c>
      <x:c r="AM11" s="43" t="n">
        <x:f>AM8*AM9*AM10</x:f>
        <x:v>35100000</x:v>
      </x:c>
      <x:c r="AN11" s="43" t="n">
        <x:f>AN8*AN9*AN10</x:f>
        <x:v>35100000</x:v>
      </x:c>
      <x:c r="AO11" s="43" t="n">
        <x:f>AO8*AO9*AO10</x:f>
        <x:v>35100000</x:v>
      </x:c>
      <x:c r="AP11" s="43" t="n">
        <x:f>AP8*AP9*AP10</x:f>
        <x:v>35100000</x:v>
      </x:c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</x:row>
    <x:row r="12" ht="19" customHeight="1">
      <x:c r="A12" s="1"/>
      <x:c r="B12" s="1"/>
      <x:c r="C12" s="2"/>
      <x:c r="D12" s="2"/>
      <x:c r="E12" s="35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</x:row>
    <x:row r="13" ht="19" customHeight="1">
      <x:c r="A13" s="1"/>
      <x:c r="B13" s="1"/>
      <x:c r="C13" s="2" t="str">
        <x:v>Beginning gross CLAB</x:v>
      </x:c>
      <x:c r="D13" s="2"/>
      <x:c r="E13" s="35" t="n">
        <x:f>G13</x:f>
        <x:v>639000000</x:v>
      </x:c>
      <x:c r="F13" s="2"/>
      <x:c r="G13" s="35" t="n">
        <x:f>IF('Assumptions'!$E$9=2,'Short-Term build'!G13,IF('Assumptions'!$E$9=3,'Installment build'!G13,'Short-Term build'!G13+'Installment build'!G13))</x:f>
        <x:v>639000000</x:v>
      </x:c>
      <x:c r="H13" s="35" t="n">
        <x:f>G16</x:f>
        <x:v>365696059.6294621</x:v>
      </x:c>
      <x:c r="I13" s="35" t="n">
        <x:f>H16</x:f>
        <x:v>236633652.03886664</x:v>
      </x:c>
      <x:c r="J13" s="35" t="n">
        <x:f>I16</x:f>
        <x:v>170007293.54580846</x:v>
      </x:c>
      <x:c r="K13" s="35" t="n">
        <x:f>J16</x:f>
        <x:v>135162029.32247338</x:v>
      </x:c>
      <x:c r="L13" s="35" t="n">
        <x:f>K16</x:f>
        <x:v>117223565.67349264</x:v>
      </x:c>
      <x:c r="M13" s="35" t="n">
        <x:f>L16</x:f>
        <x:v>108361800.31373739</x:v>
      </x:c>
      <x:c r="N13" s="35" t="n">
        <x:f>M16</x:f>
        <x:v>104066032.54939733</x:v>
      </x:c>
      <x:c r="O13" s="35" t="n">
        <x:f>N16</x:f>
        <x:v>102246508.94417654</x:v>
      </x:c>
      <x:c r="P13" s="35" t="n">
        <x:f>O16</x:f>
        <x:v>101692526.32803512</x:v>
      </x:c>
      <x:c r="Q13" s="35" t="n">
        <x:f>P16</x:f>
        <x:v>101692526.32803512</x:v>
      </x:c>
      <x:c r="R13" s="35" t="n">
        <x:f>Q16</x:f>
        <x:v>101692526.32803512</x:v>
      </x:c>
      <x:c r="S13" s="35" t="n">
        <x:f>R16</x:f>
        <x:v>101692526.32803512</x:v>
      </x:c>
      <x:c r="T13" s="35" t="n">
        <x:f>S16</x:f>
        <x:v>101692526.32803512</x:v>
      </x:c>
      <x:c r="U13" s="35" t="n">
        <x:f>T16</x:f>
        <x:v>101692526.32803512</x:v>
      </x:c>
      <x:c r="V13" s="35" t="n">
        <x:f>U16</x:f>
        <x:v>101692526.32803512</x:v>
      </x:c>
      <x:c r="W13" s="35" t="n">
        <x:f>V16</x:f>
        <x:v>101692526.32803512</x:v>
      </x:c>
      <x:c r="X13" s="35" t="n">
        <x:f>W16</x:f>
        <x:v>101692526.32803512</x:v>
      </x:c>
      <x:c r="Y13" s="35" t="n">
        <x:f>X16</x:f>
        <x:v>101692526.32803512</x:v>
      </x:c>
      <x:c r="Z13" s="35" t="n">
        <x:f>Y16</x:f>
        <x:v>101692526.32803512</x:v>
      </x:c>
      <x:c r="AA13" s="35" t="n">
        <x:f>Z16</x:f>
        <x:v>101692526.32803512</x:v>
      </x:c>
      <x:c r="AB13" s="35" t="n">
        <x:f>AA16</x:f>
        <x:v>101692526.32803512</x:v>
      </x:c>
      <x:c r="AC13" s="35" t="n">
        <x:f>AB16</x:f>
        <x:v>101692526.32803512</x:v>
      </x:c>
      <x:c r="AD13" s="35" t="n">
        <x:f>AC16</x:f>
        <x:v>101692526.32803512</x:v>
      </x:c>
      <x:c r="AE13" s="35" t="n">
        <x:f>AD16</x:f>
        <x:v>101692526.32803512</x:v>
      </x:c>
      <x:c r="AF13" s="35" t="n">
        <x:f>AE16</x:f>
        <x:v>101692526.32803512</x:v>
      </x:c>
      <x:c r="AG13" s="35" t="n">
        <x:f>AF16</x:f>
        <x:v>101692526.32803512</x:v>
      </x:c>
      <x:c r="AH13" s="35" t="n">
        <x:f>AG16</x:f>
        <x:v>101692526.32803512</x:v>
      </x:c>
      <x:c r="AI13" s="35" t="n">
        <x:f>AH16</x:f>
        <x:v>101692526.32803512</x:v>
      </x:c>
      <x:c r="AJ13" s="35" t="n">
        <x:f>AI16</x:f>
        <x:v>101692526.32803512</x:v>
      </x:c>
      <x:c r="AK13" s="35" t="n">
        <x:f>AJ16</x:f>
        <x:v>101692526.32803512</x:v>
      </x:c>
      <x:c r="AL13" s="35" t="n">
        <x:f>AK16</x:f>
        <x:v>101692526.32803512</x:v>
      </x:c>
      <x:c r="AM13" s="35" t="n">
        <x:f>AL16</x:f>
        <x:v>101692526.32803512</x:v>
      </x:c>
      <x:c r="AN13" s="35" t="n">
        <x:f>AM16</x:f>
        <x:v>101692526.32803512</x:v>
      </x:c>
      <x:c r="AO13" s="35" t="n">
        <x:f>AN16</x:f>
        <x:v>101692526.32803512</x:v>
      </x:c>
      <x:c r="AP13" s="35" t="n">
        <x:f>AO16</x:f>
        <x:v>101692526.32803512</x:v>
      </x:c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</x:row>
    <x:row r="14" ht="19" customHeight="1">
      <x:c r="A14" s="1"/>
      <x:c r="B14" s="1"/>
      <x:c r="C14" s="2" t="str">
        <x:v>Principal repayments</x:v>
      </x:c>
      <x:c r="D14" s="2"/>
      <x:c r="E14" s="35" t="n">
        <x:f>SUMIFS(G14:AP14,$G$6:$AP$6,"&lt;="&amp;'Assumptions'!$E$7)</x:f>
        <x:v>1071977560.9034091</x:v>
      </x:c>
      <x:c r="F14" s="2"/>
      <x:c r="G14" s="35" t="n">
        <x:f>IF('Assumptions'!$E$9=2,'Short-Term build'!G14,IF('Assumptions'!$E$9=3,'Installment build'!G14,'Short-Term build'!G14+'Installment build'!G14))</x:f>
        <x:v>233823445.6490111</x:v>
      </x:c>
      <x:c r="H14" s="35" t="n">
        <x:f>IF('Assumptions'!$E$9=2,'Short-Term build'!H14,IF('Assumptions'!$E$9=3,'Installment build'!H14,'Short-Term build'!H14+'Installment build'!H14))</x:f>
        <x:v>126109150.49415682</x:v>
      </x:c>
      <x:c r="I14" s="35" t="n">
        <x:f>IF('Assumptions'!$E$9=2,'Short-Term build'!I14,IF('Assumptions'!$E$9=3,'Installment build'!I14,'Short-Term build'!I14+'Installment build'!I14))</x:f>
        <x:v>78907162.74735606</x:v>
      </x:c>
      <x:c r="J14" s="35" t="n">
        <x:f>IF('Assumptions'!$E$9=2,'Short-Term build'!J14,IF('Assumptions'!$E$9=3,'Installment build'!J14,'Short-Term build'!J14+'Installment build'!J14))</x:f>
        <x:v>54632426.940553114</x:v>
      </x:c>
      <x:c r="K14" s="35" t="n">
        <x:f>IF('Assumptions'!$E$9=2,'Short-Term build'!K14,IF('Assumptions'!$E$9=3,'Installment build'!K14,'Short-Term build'!K14+'Installment build'!K14))</x:f>
        <x:v>41616682.83091278</x:v>
      </x:c>
      <x:c r="L14" s="35" t="n">
        <x:f>IF('Assumptions'!$E$9=2,'Short-Term build'!L14,IF('Assumptions'!$E$9=3,'Installment build'!L14,'Short-Term build'!L14+'Installment build'!L14))</x:f>
        <x:v>34596074.007692225</x:v>
      </x:c>
      <x:c r="M14" s="35" t="n">
        <x:f>IF('Assumptions'!$E$9=2,'Short-Term build'!M14,IF('Assumptions'!$E$9=3,'Installment build'!M14,'Short-Term build'!M14+'Installment build'!M14))</x:f>
        <x:v>30975502.86412068</x:v>
      </x:c>
      <x:c r="N14" s="35" t="n">
        <x:f>IF('Assumptions'!$E$9=2,'Short-Term build'!N14,IF('Assumptions'!$E$9=3,'Installment build'!N14,'Short-Term build'!N14+'Installment build'!N14))</x:f>
        <x:v>29023603.276983827</x:v>
      </x:c>
      <x:c r="O14" s="35" t="n">
        <x:f>IF('Assumptions'!$E$9=2,'Short-Term build'!O14,IF('Assumptions'!$E$9=3,'Installment build'!O14,'Short-Term build'!O14+'Installment build'!O14))</x:f>
        <x:v>28044159.208803713</x:v>
      </x:c>
      <x:c r="P14" s="35" t="n">
        <x:f>IF('Assumptions'!$E$9=2,'Short-Term build'!P14,IF('Assumptions'!$E$9=3,'Installment build'!P14,'Short-Term build'!P14+'Installment build'!P14))</x:f>
        <x:v>27616623.525587924</x:v>
      </x:c>
      <x:c r="Q14" s="35" t="n">
        <x:f>IF('Assumptions'!$E$9=2,'Short-Term build'!Q14,IF('Assumptions'!$E$9=3,'Installment build'!Q14,'Short-Term build'!Q14+'Installment build'!Q14))</x:f>
        <x:v>27616623.525587924</x:v>
      </x:c>
      <x:c r="R14" s="35" t="n">
        <x:f>IF('Assumptions'!$E$9=2,'Short-Term build'!R14,IF('Assumptions'!$E$9=3,'Installment build'!R14,'Short-Term build'!R14+'Installment build'!R14))</x:f>
        <x:v>27616623.525587924</x:v>
      </x:c>
      <x:c r="S14" s="35" t="n">
        <x:f>IF('Assumptions'!$E$9=2,'Short-Term build'!S14,IF('Assumptions'!$E$9=3,'Installment build'!S14,'Short-Term build'!S14+'Installment build'!S14))</x:f>
        <x:v>27616623.525587924</x:v>
      </x:c>
      <x:c r="T14" s="35" t="n">
        <x:f>IF('Assumptions'!$E$9=2,'Short-Term build'!T14,IF('Assumptions'!$E$9=3,'Installment build'!T14,'Short-Term build'!T14+'Installment build'!T14))</x:f>
        <x:v>27616623.525587924</x:v>
      </x:c>
      <x:c r="U14" s="35" t="n">
        <x:f>IF('Assumptions'!$E$9=2,'Short-Term build'!U14,IF('Assumptions'!$E$9=3,'Installment build'!U14,'Short-Term build'!U14+'Installment build'!U14))</x:f>
        <x:v>27616623.525587924</x:v>
      </x:c>
      <x:c r="V14" s="35" t="n">
        <x:f>IF('Assumptions'!$E$9=2,'Short-Term build'!V14,IF('Assumptions'!$E$9=3,'Installment build'!V14,'Short-Term build'!V14+'Installment build'!V14))</x:f>
        <x:v>27616623.525587924</x:v>
      </x:c>
      <x:c r="W14" s="35" t="n">
        <x:f>IF('Assumptions'!$E$9=2,'Short-Term build'!W14,IF('Assumptions'!$E$9=3,'Installment build'!W14,'Short-Term build'!W14+'Installment build'!W14))</x:f>
        <x:v>27616623.525587924</x:v>
      </x:c>
      <x:c r="X14" s="35" t="n">
        <x:f>IF('Assumptions'!$E$9=2,'Short-Term build'!X14,IF('Assumptions'!$E$9=3,'Installment build'!X14,'Short-Term build'!X14+'Installment build'!X14))</x:f>
        <x:v>27616623.525587924</x:v>
      </x:c>
      <x:c r="Y14" s="35" t="n">
        <x:f>IF('Assumptions'!$E$9=2,'Short-Term build'!Y14,IF('Assumptions'!$E$9=3,'Installment build'!Y14,'Short-Term build'!Y14+'Installment build'!Y14))</x:f>
        <x:v>27616623.525587924</x:v>
      </x:c>
      <x:c r="Z14" s="35" t="n">
        <x:f>IF('Assumptions'!$E$9=2,'Short-Term build'!Z14,IF('Assumptions'!$E$9=3,'Installment build'!Z14,'Short-Term build'!Z14+'Installment build'!Z14))</x:f>
        <x:v>27616623.525587924</x:v>
      </x:c>
      <x:c r="AA14" s="35" t="n">
        <x:f>IF('Assumptions'!$E$9=2,'Short-Term build'!AA14,IF('Assumptions'!$E$9=3,'Installment build'!AA14,'Short-Term build'!AA14+'Installment build'!AA14))</x:f>
        <x:v>27616623.525587924</x:v>
      </x:c>
      <x:c r="AB14" s="35" t="n">
        <x:f>IF('Assumptions'!$E$9=2,'Short-Term build'!AB14,IF('Assumptions'!$E$9=3,'Installment build'!AB14,'Short-Term build'!AB14+'Installment build'!AB14))</x:f>
        <x:v>27616623.525587924</x:v>
      </x:c>
      <x:c r="AC14" s="35" t="n">
        <x:f>IF('Assumptions'!$E$9=2,'Short-Term build'!AC14,IF('Assumptions'!$E$9=3,'Installment build'!AC14,'Short-Term build'!AC14+'Installment build'!AC14))</x:f>
        <x:v>27616623.525587924</x:v>
      </x:c>
      <x:c r="AD14" s="35" t="n">
        <x:f>IF('Assumptions'!$E$9=2,'Short-Term build'!AD14,IF('Assumptions'!$E$9=3,'Installment build'!AD14,'Short-Term build'!AD14+'Installment build'!AD14))</x:f>
        <x:v>27616623.525587924</x:v>
      </x:c>
      <x:c r="AE14" s="35" t="n">
        <x:f>IF('Assumptions'!$E$9=2,'Short-Term build'!AE14,IF('Assumptions'!$E$9=3,'Installment build'!AE14,'Short-Term build'!AE14+'Installment build'!AE14))</x:f>
        <x:v>27616623.525587924</x:v>
      </x:c>
      <x:c r="AF14" s="35" t="n">
        <x:f>IF('Assumptions'!$E$9=2,'Short-Term build'!AF14,IF('Assumptions'!$E$9=3,'Installment build'!AF14,'Short-Term build'!AF14+'Installment build'!AF14))</x:f>
        <x:v>27616623.525587924</x:v>
      </x:c>
      <x:c r="AG14" s="35" t="n">
        <x:f>IF('Assumptions'!$E$9=2,'Short-Term build'!AG14,IF('Assumptions'!$E$9=3,'Installment build'!AG14,'Short-Term build'!AG14+'Installment build'!AG14))</x:f>
        <x:v>27616623.525587924</x:v>
      </x:c>
      <x:c r="AH14" s="35" t="n">
        <x:f>IF('Assumptions'!$E$9=2,'Short-Term build'!AH14,IF('Assumptions'!$E$9=3,'Installment build'!AH14,'Short-Term build'!AH14+'Installment build'!AH14))</x:f>
        <x:v>27616623.525587924</x:v>
      </x:c>
      <x:c r="AI14" s="35" t="n">
        <x:f>IF('Assumptions'!$E$9=2,'Short-Term build'!AI14,IF('Assumptions'!$E$9=3,'Installment build'!AI14,'Short-Term build'!AI14+'Installment build'!AI14))</x:f>
        <x:v>27616623.525587924</x:v>
      </x:c>
      <x:c r="AJ14" s="35" t="n">
        <x:f>IF('Assumptions'!$E$9=2,'Short-Term build'!AJ14,IF('Assumptions'!$E$9=3,'Installment build'!AJ14,'Short-Term build'!AJ14+'Installment build'!AJ14))</x:f>
        <x:v>27616623.525587924</x:v>
      </x:c>
      <x:c r="AK14" s="35" t="n">
        <x:f>IF('Assumptions'!$E$9=2,'Short-Term build'!AK14,IF('Assumptions'!$E$9=3,'Installment build'!AK14,'Short-Term build'!AK14+'Installment build'!AK14))</x:f>
        <x:v>27616623.525587924</x:v>
      </x:c>
      <x:c r="AL14" s="35" t="n">
        <x:f>IF('Assumptions'!$E$9=2,'Short-Term build'!AL14,IF('Assumptions'!$E$9=3,'Installment build'!AL14,'Short-Term build'!AL14+'Installment build'!AL14))</x:f>
        <x:v>27616623.525587924</x:v>
      </x:c>
      <x:c r="AM14" s="35" t="n">
        <x:f>IF('Assumptions'!$E$9=2,'Short-Term build'!AM14,IF('Assumptions'!$E$9=3,'Installment build'!AM14,'Short-Term build'!AM14+'Installment build'!AM14))</x:f>
        <x:v>27616623.525587924</x:v>
      </x:c>
      <x:c r="AN14" s="35" t="n">
        <x:f>IF('Assumptions'!$E$9=2,'Short-Term build'!AN14,IF('Assumptions'!$E$9=3,'Installment build'!AN14,'Short-Term build'!AN14+'Installment build'!AN14))</x:f>
        <x:v>27616623.525587924</x:v>
      </x:c>
      <x:c r="AO14" s="35" t="n">
        <x:f>IF('Assumptions'!$E$9=2,'Short-Term build'!AO14,IF('Assumptions'!$E$9=3,'Installment build'!AO14,'Short-Term build'!AO14+'Installment build'!AO14))</x:f>
        <x:v>27616623.525587924</x:v>
      </x:c>
      <x:c r="AP14" s="35" t="n">
        <x:f>IF('Assumptions'!$E$9=2,'Short-Term build'!AP14,IF('Assumptions'!$E$9=3,'Installment build'!AP14,'Short-Term build'!AP14+'Installment build'!AP14))</x:f>
        <x:v>27616623.525587924</x:v>
      </x:c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</x:row>
    <x:row r="15" ht="19" customHeight="1">
      <x:c r="A15" s="1"/>
      <x:c r="B15" s="1"/>
      <x:c r="C15" s="2" t="str">
        <x:v>Charge-offs</x:v>
      </x:c>
      <x:c r="D15" s="2"/>
      <x:c r="E15" s="35" t="n">
        <x:f>SUMIFS(G15:AP15,$G$6:$AP$6,"&lt;="&amp;'Assumptions'!$E$7)</x:f>
        <x:v>307729912.7685558</x:v>
      </x:c>
      <x:c r="F15" s="2"/>
      <x:c r="G15" s="35" t="n">
        <x:f>IF('Assumptions'!$E$9=2,'Short-Term build'!G15,IF('Assumptions'!$E$9=3,'Installment build'!G15,'Short-Term build'!G15+'Installment build'!G15))</x:f>
        <x:v>74580494.72152674</x:v>
      </x:c>
      <x:c r="H15" s="35" t="n">
        <x:f>IF('Assumptions'!$E$9=2,'Short-Term build'!H15,IF('Assumptions'!$E$9=3,'Installment build'!H15,'Short-Term build'!H15+'Installment build'!H15))</x:f>
        <x:v>38053257.09643865</x:v>
      </x:c>
      <x:c r="I15" s="35" t="n">
        <x:f>IF('Assumptions'!$E$9=2,'Short-Term build'!I15,IF('Assumptions'!$E$9=3,'Installment build'!I15,'Short-Term build'!I15+'Installment build'!I15))</x:f>
        <x:v>22819195.745702125</x:v>
      </x:c>
      <x:c r="J15" s="35" t="n">
        <x:f>IF('Assumptions'!$E$9=2,'Short-Term build'!J15,IF('Assumptions'!$E$9=3,'Installment build'!J15,'Short-Term build'!J15+'Installment build'!J15))</x:f>
        <x:v>15312837.282781998</x:v>
      </x:c>
      <x:c r="K15" s="35" t="n">
        <x:f>IF('Assumptions'!$E$9=2,'Short-Term build'!K15,IF('Assumptions'!$E$9=3,'Installment build'!K15,'Short-Term build'!K15+'Installment build'!K15))</x:f>
        <x:v>11421780.818067968</x:v>
      </x:c>
      <x:c r="L15" s="35" t="n">
        <x:f>IF('Assumptions'!$E$9=2,'Short-Term build'!L15,IF('Assumptions'!$E$9=3,'Installment build'!L15,'Short-Term build'!L15+'Installment build'!L15))</x:f>
        <x:v>9365691.352063024</x:v>
      </x:c>
      <x:c r="M15" s="35" t="n">
        <x:f>IF('Assumptions'!$E$9=2,'Short-Term build'!M15,IF('Assumptions'!$E$9=3,'Installment build'!M15,'Short-Term build'!M15+'Installment build'!M15))</x:f>
        <x:v>8420264.900219377</x:v>
      </x:c>
      <x:c r="N15" s="35" t="n">
        <x:f>IF('Assumptions'!$E$9=2,'Short-Term build'!N15,IF('Assumptions'!$E$9=3,'Installment build'!N15,'Short-Term build'!N15+'Installment build'!N15))</x:f>
        <x:v>7895920.328236985</x:v>
      </x:c>
      <x:c r="O15" s="35" t="n">
        <x:f>IF('Assumptions'!$E$9=2,'Short-Term build'!O15,IF('Assumptions'!$E$9=3,'Installment build'!O15,'Short-Term build'!O15+'Installment build'!O15))</x:f>
        <x:v>7609823.407337723</x:v>
      </x:c>
      <x:c r="P15" s="35" t="n">
        <x:f>IF('Assumptions'!$E$9=2,'Short-Term build'!P15,IF('Assumptions'!$E$9=3,'Installment build'!P15,'Short-Term build'!P15+'Installment build'!P15))</x:f>
        <x:v>7483376.474412079</x:v>
      </x:c>
      <x:c r="Q15" s="35" t="n">
        <x:f>IF('Assumptions'!$E$9=2,'Short-Term build'!Q15,IF('Assumptions'!$E$9=3,'Installment build'!Q15,'Short-Term build'!Q15+'Installment build'!Q15))</x:f>
        <x:v>7483376.474412079</x:v>
      </x:c>
      <x:c r="R15" s="35" t="n">
        <x:f>IF('Assumptions'!$E$9=2,'Short-Term build'!R15,IF('Assumptions'!$E$9=3,'Installment build'!R15,'Short-Term build'!R15+'Installment build'!R15))</x:f>
        <x:v>7483376.474412079</x:v>
      </x:c>
      <x:c r="S15" s="35" t="n">
        <x:f>IF('Assumptions'!$E$9=2,'Short-Term build'!S15,IF('Assumptions'!$E$9=3,'Installment build'!S15,'Short-Term build'!S15+'Installment build'!S15))</x:f>
        <x:v>7483376.474412079</x:v>
      </x:c>
      <x:c r="T15" s="35" t="n">
        <x:f>IF('Assumptions'!$E$9=2,'Short-Term build'!T15,IF('Assumptions'!$E$9=3,'Installment build'!T15,'Short-Term build'!T15+'Installment build'!T15))</x:f>
        <x:v>7483376.474412079</x:v>
      </x:c>
      <x:c r="U15" s="35" t="n">
        <x:f>IF('Assumptions'!$E$9=2,'Short-Term build'!U15,IF('Assumptions'!$E$9=3,'Installment build'!U15,'Short-Term build'!U15+'Installment build'!U15))</x:f>
        <x:v>7483376.474412079</x:v>
      </x:c>
      <x:c r="V15" s="35" t="n">
        <x:f>IF('Assumptions'!$E$9=2,'Short-Term build'!V15,IF('Assumptions'!$E$9=3,'Installment build'!V15,'Short-Term build'!V15+'Installment build'!V15))</x:f>
        <x:v>7483376.474412079</x:v>
      </x:c>
      <x:c r="W15" s="35" t="n">
        <x:f>IF('Assumptions'!$E$9=2,'Short-Term build'!W15,IF('Assumptions'!$E$9=3,'Installment build'!W15,'Short-Term build'!W15+'Installment build'!W15))</x:f>
        <x:v>7483376.474412079</x:v>
      </x:c>
      <x:c r="X15" s="35" t="n">
        <x:f>IF('Assumptions'!$E$9=2,'Short-Term build'!X15,IF('Assumptions'!$E$9=3,'Installment build'!X15,'Short-Term build'!X15+'Installment build'!X15))</x:f>
        <x:v>7483376.474412079</x:v>
      </x:c>
      <x:c r="Y15" s="35" t="n">
        <x:f>IF('Assumptions'!$E$9=2,'Short-Term build'!Y15,IF('Assumptions'!$E$9=3,'Installment build'!Y15,'Short-Term build'!Y15+'Installment build'!Y15))</x:f>
        <x:v>7483376.474412079</x:v>
      </x:c>
      <x:c r="Z15" s="35" t="n">
        <x:f>IF('Assumptions'!$E$9=2,'Short-Term build'!Z15,IF('Assumptions'!$E$9=3,'Installment build'!Z15,'Short-Term build'!Z15+'Installment build'!Z15))</x:f>
        <x:v>7483376.474412079</x:v>
      </x:c>
      <x:c r="AA15" s="35" t="n">
        <x:f>IF('Assumptions'!$E$9=2,'Short-Term build'!AA15,IF('Assumptions'!$E$9=3,'Installment build'!AA15,'Short-Term build'!AA15+'Installment build'!AA15))</x:f>
        <x:v>7483376.474412079</x:v>
      </x:c>
      <x:c r="AB15" s="35" t="n">
        <x:f>IF('Assumptions'!$E$9=2,'Short-Term build'!AB15,IF('Assumptions'!$E$9=3,'Installment build'!AB15,'Short-Term build'!AB15+'Installment build'!AB15))</x:f>
        <x:v>7483376.474412079</x:v>
      </x:c>
      <x:c r="AC15" s="35" t="n">
        <x:f>IF('Assumptions'!$E$9=2,'Short-Term build'!AC15,IF('Assumptions'!$E$9=3,'Installment build'!AC15,'Short-Term build'!AC15+'Installment build'!AC15))</x:f>
        <x:v>7483376.474412079</x:v>
      </x:c>
      <x:c r="AD15" s="35" t="n">
        <x:f>IF('Assumptions'!$E$9=2,'Short-Term build'!AD15,IF('Assumptions'!$E$9=3,'Installment build'!AD15,'Short-Term build'!AD15+'Installment build'!AD15))</x:f>
        <x:v>7483376.474412079</x:v>
      </x:c>
      <x:c r="AE15" s="35" t="n">
        <x:f>IF('Assumptions'!$E$9=2,'Short-Term build'!AE15,IF('Assumptions'!$E$9=3,'Installment build'!AE15,'Short-Term build'!AE15+'Installment build'!AE15))</x:f>
        <x:v>7483376.474412079</x:v>
      </x:c>
      <x:c r="AF15" s="35" t="n">
        <x:f>IF('Assumptions'!$E$9=2,'Short-Term build'!AF15,IF('Assumptions'!$E$9=3,'Installment build'!AF15,'Short-Term build'!AF15+'Installment build'!AF15))</x:f>
        <x:v>7483376.474412079</x:v>
      </x:c>
      <x:c r="AG15" s="35" t="n">
        <x:f>IF('Assumptions'!$E$9=2,'Short-Term build'!AG15,IF('Assumptions'!$E$9=3,'Installment build'!AG15,'Short-Term build'!AG15+'Installment build'!AG15))</x:f>
        <x:v>7483376.474412079</x:v>
      </x:c>
      <x:c r="AH15" s="35" t="n">
        <x:f>IF('Assumptions'!$E$9=2,'Short-Term build'!AH15,IF('Assumptions'!$E$9=3,'Installment build'!AH15,'Short-Term build'!AH15+'Installment build'!AH15))</x:f>
        <x:v>7483376.474412079</x:v>
      </x:c>
      <x:c r="AI15" s="35" t="n">
        <x:f>IF('Assumptions'!$E$9=2,'Short-Term build'!AI15,IF('Assumptions'!$E$9=3,'Installment build'!AI15,'Short-Term build'!AI15+'Installment build'!AI15))</x:f>
        <x:v>7483376.474412079</x:v>
      </x:c>
      <x:c r="AJ15" s="35" t="n">
        <x:f>IF('Assumptions'!$E$9=2,'Short-Term build'!AJ15,IF('Assumptions'!$E$9=3,'Installment build'!AJ15,'Short-Term build'!AJ15+'Installment build'!AJ15))</x:f>
        <x:v>7483376.474412079</x:v>
      </x:c>
      <x:c r="AK15" s="35" t="n">
        <x:f>IF('Assumptions'!$E$9=2,'Short-Term build'!AK15,IF('Assumptions'!$E$9=3,'Installment build'!AK15,'Short-Term build'!AK15+'Installment build'!AK15))</x:f>
        <x:v>7483376.474412079</x:v>
      </x:c>
      <x:c r="AL15" s="35" t="n">
        <x:f>IF('Assumptions'!$E$9=2,'Short-Term build'!AL15,IF('Assumptions'!$E$9=3,'Installment build'!AL15,'Short-Term build'!AL15+'Installment build'!AL15))</x:f>
        <x:v>7483376.474412079</x:v>
      </x:c>
      <x:c r="AM15" s="35" t="n">
        <x:f>IF('Assumptions'!$E$9=2,'Short-Term build'!AM15,IF('Assumptions'!$E$9=3,'Installment build'!AM15,'Short-Term build'!AM15+'Installment build'!AM15))</x:f>
        <x:v>7483376.474412079</x:v>
      </x:c>
      <x:c r="AN15" s="35" t="n">
        <x:f>IF('Assumptions'!$E$9=2,'Short-Term build'!AN15,IF('Assumptions'!$E$9=3,'Installment build'!AN15,'Short-Term build'!AN15+'Installment build'!AN15))</x:f>
        <x:v>7483376.474412079</x:v>
      </x:c>
      <x:c r="AO15" s="35" t="n">
        <x:f>IF('Assumptions'!$E$9=2,'Short-Term build'!AO15,IF('Assumptions'!$E$9=3,'Installment build'!AO15,'Short-Term build'!AO15+'Installment build'!AO15))</x:f>
        <x:v>7483376.474412079</x:v>
      </x:c>
      <x:c r="AP15" s="35" t="n">
        <x:f>IF('Assumptions'!$E$9=2,'Short-Term build'!AP15,IF('Assumptions'!$E$9=3,'Installment build'!AP15,'Short-Term build'!AP15+'Installment build'!AP15))</x:f>
        <x:v>7483376.474412079</x:v>
      </x:c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</x:row>
    <x:row r="16" ht="19" customHeight="1">
      <x:c r="A16" s="1"/>
      <x:c r="B16" s="1"/>
      <x:c r="C16" s="42" t="str">
        <x:v>Ending gross CLAB</x:v>
      </x:c>
      <x:c r="D16" s="42"/>
      <x:c r="E16" s="43" t="n">
        <x:f>INDEX(G16:AP16,1,'Assumptions'!$E$7)</x:f>
        <x:v>101692526.32803512</x:v>
      </x:c>
      <x:c r="F16" s="42"/>
      <x:c r="G16" s="43" t="n">
        <x:f>G13+G11-G14-G15</x:f>
        <x:v>365696059.6294621</x:v>
      </x:c>
      <x:c r="H16" s="43" t="n">
        <x:f>H13+H11-H14-H15</x:f>
        <x:v>236633652.03886664</x:v>
      </x:c>
      <x:c r="I16" s="43" t="n">
        <x:f>I13+I11-I14-I15</x:f>
        <x:v>170007293.54580846</x:v>
      </x:c>
      <x:c r="J16" s="43" t="n">
        <x:f>J13+J11-J14-J15</x:f>
        <x:v>135162029.32247338</x:v>
      </x:c>
      <x:c r="K16" s="43" t="n">
        <x:f>K13+K11-K14-K15</x:f>
        <x:v>117223565.67349264</x:v>
      </x:c>
      <x:c r="L16" s="43" t="n">
        <x:f>L13+L11-L14-L15</x:f>
        <x:v>108361800.31373739</x:v>
      </x:c>
      <x:c r="M16" s="43" t="n">
        <x:f>M13+M11-M14-M15</x:f>
        <x:v>104066032.54939733</x:v>
      </x:c>
      <x:c r="N16" s="43" t="n">
        <x:f>N13+N11-N14-N15</x:f>
        <x:v>102246508.94417654</x:v>
      </x:c>
      <x:c r="O16" s="43" t="n">
        <x:f>O13+O11-O14-O15</x:f>
        <x:v>101692526.32803512</x:v>
      </x:c>
      <x:c r="P16" s="43" t="n">
        <x:f>P13+P11-P14-P15</x:f>
        <x:v>101692526.32803512</x:v>
      </x:c>
      <x:c r="Q16" s="43" t="n">
        <x:f>Q13+Q11-Q14-Q15</x:f>
        <x:v>101692526.32803512</x:v>
      </x:c>
      <x:c r="R16" s="43" t="n">
        <x:f>R13+R11-R14-R15</x:f>
        <x:v>101692526.32803512</x:v>
      </x:c>
      <x:c r="S16" s="43" t="n">
        <x:f>S13+S11-S14-S15</x:f>
        <x:v>101692526.32803512</x:v>
      </x:c>
      <x:c r="T16" s="43" t="n">
        <x:f>T13+T11-T14-T15</x:f>
        <x:v>101692526.32803512</x:v>
      </x:c>
      <x:c r="U16" s="43" t="n">
        <x:f>U13+U11-U14-U15</x:f>
        <x:v>101692526.32803512</x:v>
      </x:c>
      <x:c r="V16" s="43" t="n">
        <x:f>V13+V11-V14-V15</x:f>
        <x:v>101692526.32803512</x:v>
      </x:c>
      <x:c r="W16" s="43" t="n">
        <x:f>W13+W11-W14-W15</x:f>
        <x:v>101692526.32803512</x:v>
      </x:c>
      <x:c r="X16" s="43" t="n">
        <x:f>X13+X11-X14-X15</x:f>
        <x:v>101692526.32803512</x:v>
      </x:c>
      <x:c r="Y16" s="43" t="n">
        <x:f>Y13+Y11-Y14-Y15</x:f>
        <x:v>101692526.32803512</x:v>
      </x:c>
      <x:c r="Z16" s="43" t="n">
        <x:f>Z13+Z11-Z14-Z15</x:f>
        <x:v>101692526.32803512</x:v>
      </x:c>
      <x:c r="AA16" s="43" t="n">
        <x:f>AA13+AA11-AA14-AA15</x:f>
        <x:v>101692526.32803512</x:v>
      </x:c>
      <x:c r="AB16" s="43" t="n">
        <x:f>AB13+AB11-AB14-AB15</x:f>
        <x:v>101692526.32803512</x:v>
      </x:c>
      <x:c r="AC16" s="43" t="n">
        <x:f>AC13+AC11-AC14-AC15</x:f>
        <x:v>101692526.32803512</x:v>
      </x:c>
      <x:c r="AD16" s="43" t="n">
        <x:f>AD13+AD11-AD14-AD15</x:f>
        <x:v>101692526.32803512</x:v>
      </x:c>
      <x:c r="AE16" s="43" t="n">
        <x:f>AE13+AE11-AE14-AE15</x:f>
        <x:v>101692526.32803512</x:v>
      </x:c>
      <x:c r="AF16" s="43" t="n">
        <x:f>AF13+AF11-AF14-AF15</x:f>
        <x:v>101692526.32803512</x:v>
      </x:c>
      <x:c r="AG16" s="43" t="n">
        <x:f>AG13+AG11-AG14-AG15</x:f>
        <x:v>101692526.32803512</x:v>
      </x:c>
      <x:c r="AH16" s="43" t="n">
        <x:f>AH13+AH11-AH14-AH15</x:f>
        <x:v>101692526.32803512</x:v>
      </x:c>
      <x:c r="AI16" s="43" t="n">
        <x:f>AI13+AI11-AI14-AI15</x:f>
        <x:v>101692526.32803512</x:v>
      </x:c>
      <x:c r="AJ16" s="43" t="n">
        <x:f>AJ13+AJ11-AJ14-AJ15</x:f>
        <x:v>101692526.32803512</x:v>
      </x:c>
      <x:c r="AK16" s="43" t="n">
        <x:f>AK13+AK11-AK14-AK15</x:f>
        <x:v>101692526.32803512</x:v>
      </x:c>
      <x:c r="AL16" s="43" t="n">
        <x:f>AL13+AL11-AL14-AL15</x:f>
        <x:v>101692526.32803512</x:v>
      </x:c>
      <x:c r="AM16" s="43" t="n">
        <x:f>AM13+AM11-AM14-AM15</x:f>
        <x:v>101692526.32803512</x:v>
      </x:c>
      <x:c r="AN16" s="43" t="n">
        <x:f>AN13+AN11-AN14-AN15</x:f>
        <x:v>101692526.32803512</x:v>
      </x:c>
      <x:c r="AO16" s="43" t="n">
        <x:f>AO13+AO11-AO14-AO15</x:f>
        <x:v>101692526.32803512</x:v>
      </x:c>
      <x:c r="AP16" s="43" t="n">
        <x:f>AP13+AP11-AP14-AP15</x:f>
        <x:v>101692526.32803512</x:v>
      </x:c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</x:row>
    <x:row r="17" ht="19" customHeight="1">
      <x:c r="A17" s="1"/>
      <x:c r="B17" s="1"/>
      <x:c r="C17" s="2"/>
      <x:c r="D17" s="2"/>
      <x:c r="E17" s="35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</x:row>
    <x:row r="18" ht="19" customHeight="1">
      <x:c r="A18" s="1"/>
      <x:c r="B18" s="1"/>
      <x:c r="C18" s="2" t="str">
        <x:v>Beginning reserve</x:v>
      </x:c>
      <x:c r="D18" s="2"/>
      <x:c r="E18" s="35" t="n">
        <x:f>G18</x:f>
        <x:v>149785615.0353614</x:v>
      </x:c>
      <x:c r="F18" s="2"/>
      <x:c r="G18" s="35" t="n">
        <x:f>IF('Assumptions'!$E$9=2,'Short-Term build'!G18,IF('Assumptions'!$E$9=3,'Installment build'!G18,'Short-Term build'!G18+'Installment build'!G18))</x:f>
        <x:v>149785615.0353614</x:v>
      </x:c>
      <x:c r="H18" s="35" t="n">
        <x:f>G20</x:f>
        <x:v>82688496.78824675</x:v>
      </x:c>
      <x:c r="I18" s="35" t="n">
        <x:f>H20</x:f>
        <x:v>52118616.16622019</x:v>
      </x:c>
      <x:c r="J18" s="35" t="n">
        <x:f>I20</x:f>
        <x:v>36782796.89493014</x:v>
      </x:c>
      <x:c r="K18" s="35" t="n">
        <x:f>J20</x:f>
        <x:v>28953336.08656022</x:v>
      </x:c>
      <x:c r="L18" s="35" t="n">
        <x:f>K20</x:f>
        <x:v>25014931.742904328</x:v>
      </x:c>
      <x:c r="M18" s="35" t="n">
        <x:f>L20</x:f>
        <x:v>23132616.86525338</x:v>
      </x:c>
      <x:c r="N18" s="35" t="n">
        <x:f>M20</x:f>
        <x:v>22195728.43944608</x:v>
      </x:c>
      <x:c r="O18" s="35" t="n">
        <x:f>N20</x:f>
        <x:v>21783184.585621174</x:v>
      </x:c>
      <x:c r="P18" s="35" t="n">
        <x:f>O20</x:f>
        <x:v>21656737.65269553</x:v>
      </x:c>
      <x:c r="Q18" s="35" t="n">
        <x:f>P20</x:f>
        <x:v>21656737.652695525</x:v>
      </x:c>
      <x:c r="R18" s="35" t="n">
        <x:f>Q20</x:f>
        <x:v>21656737.652695525</x:v>
      </x:c>
      <x:c r="S18" s="35" t="n">
        <x:f>R20</x:f>
        <x:v>21656737.652695525</x:v>
      </x:c>
      <x:c r="T18" s="35" t="n">
        <x:f>S20</x:f>
        <x:v>21656737.652695525</x:v>
      </x:c>
      <x:c r="U18" s="35" t="n">
        <x:f>T20</x:f>
        <x:v>21656737.652695525</x:v>
      </x:c>
      <x:c r="V18" s="35" t="n">
        <x:f>U20</x:f>
        <x:v>21656737.652695525</x:v>
      </x:c>
      <x:c r="W18" s="35" t="n">
        <x:f>V20</x:f>
        <x:v>21656737.652695525</x:v>
      </x:c>
      <x:c r="X18" s="35" t="n">
        <x:f>W20</x:f>
        <x:v>21656737.652695525</x:v>
      </x:c>
      <x:c r="Y18" s="35" t="n">
        <x:f>X20</x:f>
        <x:v>21656737.652695525</x:v>
      </x:c>
      <x:c r="Z18" s="35" t="n">
        <x:f>Y20</x:f>
        <x:v>21656737.652695525</x:v>
      </x:c>
      <x:c r="AA18" s="35" t="n">
        <x:f>Z20</x:f>
        <x:v>21656737.652695525</x:v>
      </x:c>
      <x:c r="AB18" s="35" t="n">
        <x:f>AA20</x:f>
        <x:v>21656737.652695525</x:v>
      </x:c>
      <x:c r="AC18" s="35" t="n">
        <x:f>AB20</x:f>
        <x:v>21656737.652695525</x:v>
      </x:c>
      <x:c r="AD18" s="35" t="n">
        <x:f>AC20</x:f>
        <x:v>21656737.652695525</x:v>
      </x:c>
      <x:c r="AE18" s="35" t="n">
        <x:f>AD20</x:f>
        <x:v>21656737.652695525</x:v>
      </x:c>
      <x:c r="AF18" s="35" t="n">
        <x:f>AE20</x:f>
        <x:v>21656737.652695525</x:v>
      </x:c>
      <x:c r="AG18" s="35" t="n">
        <x:f>AF20</x:f>
        <x:v>21656737.652695525</x:v>
      </x:c>
      <x:c r="AH18" s="35" t="n">
        <x:f>AG20</x:f>
        <x:v>21656737.652695525</x:v>
      </x:c>
      <x:c r="AI18" s="35" t="n">
        <x:f>AH20</x:f>
        <x:v>21656737.652695525</x:v>
      </x:c>
      <x:c r="AJ18" s="35" t="n">
        <x:f>AI20</x:f>
        <x:v>21656737.652695525</x:v>
      </x:c>
      <x:c r="AK18" s="35" t="n">
        <x:f>AJ20</x:f>
        <x:v>21656737.652695525</x:v>
      </x:c>
      <x:c r="AL18" s="35" t="n">
        <x:f>AK20</x:f>
        <x:v>21656737.652695525</x:v>
      </x:c>
      <x:c r="AM18" s="35" t="n">
        <x:f>AL20</x:f>
        <x:v>21656737.652695525</x:v>
      </x:c>
      <x:c r="AN18" s="35" t="n">
        <x:f>AM20</x:f>
        <x:v>21656737.652695525</x:v>
      </x:c>
      <x:c r="AO18" s="35" t="n">
        <x:f>AN20</x:f>
        <x:v>21656737.652695525</x:v>
      </x:c>
      <x:c r="AP18" s="35" t="n">
        <x:f>AO20</x:f>
        <x:v>21656737.652695525</x:v>
      </x:c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</x:row>
    <x:row r="19" ht="19" customHeight="1">
      <x:c r="A19" s="1"/>
      <x:c r="B19" s="1"/>
      <x:c r="C19" s="2" t="str">
        <x:v>New provision expense</x:v>
      </x:c>
      <x:c r="D19" s="2"/>
      <x:c r="E19" s="35" t="n">
        <x:f>SUMIFS(G19:AP19,$G$6:$AP$6,"&lt;="&amp;'Assumptions'!$E$7)</x:f>
        <x:v>179601035.38588995</x:v>
      </x:c>
      <x:c r="F19" s="2"/>
      <x:c r="G19" s="35" t="n">
        <x:f>IF('Assumptions'!$E$9=2,'Short-Term build'!G19,IF('Assumptions'!$E$9=3,'Installment build'!G19,'Short-Term build'!G19+'Installment build'!G19))</x:f>
        <x:v>7483376.474412078</x:v>
      </x:c>
      <x:c r="H19" s="35" t="n">
        <x:f>IF('Assumptions'!$E$9=2,'Short-Term build'!H19,IF('Assumptions'!$E$9=3,'Installment build'!H19,'Short-Term build'!H19+'Installment build'!H19))</x:f>
        <x:v>7483376.474412078</x:v>
      </x:c>
      <x:c r="I19" s="35" t="n">
        <x:f>IF('Assumptions'!$E$9=2,'Short-Term build'!I19,IF('Assumptions'!$E$9=3,'Installment build'!I19,'Short-Term build'!I19+'Installment build'!I19))</x:f>
        <x:v>7483376.474412078</x:v>
      </x:c>
      <x:c r="J19" s="35" t="n">
        <x:f>IF('Assumptions'!$E$9=2,'Short-Term build'!J19,IF('Assumptions'!$E$9=3,'Installment build'!J19,'Short-Term build'!J19+'Installment build'!J19))</x:f>
        <x:v>7483376.474412078</x:v>
      </x:c>
      <x:c r="K19" s="35" t="n">
        <x:f>IF('Assumptions'!$E$9=2,'Short-Term build'!K19,IF('Assumptions'!$E$9=3,'Installment build'!K19,'Short-Term build'!K19+'Installment build'!K19))</x:f>
        <x:v>7483376.474412078</x:v>
      </x:c>
      <x:c r="L19" s="35" t="n">
        <x:f>IF('Assumptions'!$E$9=2,'Short-Term build'!L19,IF('Assumptions'!$E$9=3,'Installment build'!L19,'Short-Term build'!L19+'Installment build'!L19))</x:f>
        <x:v>7483376.474412078</x:v>
      </x:c>
      <x:c r="M19" s="35" t="n">
        <x:f>IF('Assumptions'!$E$9=2,'Short-Term build'!M19,IF('Assumptions'!$E$9=3,'Installment build'!M19,'Short-Term build'!M19+'Installment build'!M19))</x:f>
        <x:v>7483376.474412078</x:v>
      </x:c>
      <x:c r="N19" s="35" t="n">
        <x:f>IF('Assumptions'!$E$9=2,'Short-Term build'!N19,IF('Assumptions'!$E$9=3,'Installment build'!N19,'Short-Term build'!N19+'Installment build'!N19))</x:f>
        <x:v>7483376.474412078</x:v>
      </x:c>
      <x:c r="O19" s="35" t="n">
        <x:f>IF('Assumptions'!$E$9=2,'Short-Term build'!O19,IF('Assumptions'!$E$9=3,'Installment build'!O19,'Short-Term build'!O19+'Installment build'!O19))</x:f>
        <x:v>7483376.474412078</x:v>
      </x:c>
      <x:c r="P19" s="35" t="n">
        <x:f>IF('Assumptions'!$E$9=2,'Short-Term build'!P19,IF('Assumptions'!$E$9=3,'Installment build'!P19,'Short-Term build'!P19+'Installment build'!P19))</x:f>
        <x:v>7483376.474412078</x:v>
      </x:c>
      <x:c r="Q19" s="35" t="n">
        <x:f>IF('Assumptions'!$E$9=2,'Short-Term build'!Q19,IF('Assumptions'!$E$9=3,'Installment build'!Q19,'Short-Term build'!Q19+'Installment build'!Q19))</x:f>
        <x:v>7483376.474412078</x:v>
      </x:c>
      <x:c r="R19" s="35" t="n">
        <x:f>IF('Assumptions'!$E$9=2,'Short-Term build'!R19,IF('Assumptions'!$E$9=3,'Installment build'!R19,'Short-Term build'!R19+'Installment build'!R19))</x:f>
        <x:v>7483376.474412078</x:v>
      </x:c>
      <x:c r="S19" s="35" t="n">
        <x:f>IF('Assumptions'!$E$9=2,'Short-Term build'!S19,IF('Assumptions'!$E$9=3,'Installment build'!S19,'Short-Term build'!S19+'Installment build'!S19))</x:f>
        <x:v>7483376.474412078</x:v>
      </x:c>
      <x:c r="T19" s="35" t="n">
        <x:f>IF('Assumptions'!$E$9=2,'Short-Term build'!T19,IF('Assumptions'!$E$9=3,'Installment build'!T19,'Short-Term build'!T19+'Installment build'!T19))</x:f>
        <x:v>7483376.474412078</x:v>
      </x:c>
      <x:c r="U19" s="35" t="n">
        <x:f>IF('Assumptions'!$E$9=2,'Short-Term build'!U19,IF('Assumptions'!$E$9=3,'Installment build'!U19,'Short-Term build'!U19+'Installment build'!U19))</x:f>
        <x:v>7483376.474412078</x:v>
      </x:c>
      <x:c r="V19" s="35" t="n">
        <x:f>IF('Assumptions'!$E$9=2,'Short-Term build'!V19,IF('Assumptions'!$E$9=3,'Installment build'!V19,'Short-Term build'!V19+'Installment build'!V19))</x:f>
        <x:v>7483376.474412078</x:v>
      </x:c>
      <x:c r="W19" s="35" t="n">
        <x:f>IF('Assumptions'!$E$9=2,'Short-Term build'!W19,IF('Assumptions'!$E$9=3,'Installment build'!W19,'Short-Term build'!W19+'Installment build'!W19))</x:f>
        <x:v>7483376.474412078</x:v>
      </x:c>
      <x:c r="X19" s="35" t="n">
        <x:f>IF('Assumptions'!$E$9=2,'Short-Term build'!X19,IF('Assumptions'!$E$9=3,'Installment build'!X19,'Short-Term build'!X19+'Installment build'!X19))</x:f>
        <x:v>7483376.474412078</x:v>
      </x:c>
      <x:c r="Y19" s="35" t="n">
        <x:f>IF('Assumptions'!$E$9=2,'Short-Term build'!Y19,IF('Assumptions'!$E$9=3,'Installment build'!Y19,'Short-Term build'!Y19+'Installment build'!Y19))</x:f>
        <x:v>7483376.474412078</x:v>
      </x:c>
      <x:c r="Z19" s="35" t="n">
        <x:f>IF('Assumptions'!$E$9=2,'Short-Term build'!Z19,IF('Assumptions'!$E$9=3,'Installment build'!Z19,'Short-Term build'!Z19+'Installment build'!Z19))</x:f>
        <x:v>7483376.474412078</x:v>
      </x:c>
      <x:c r="AA19" s="35" t="n">
        <x:f>IF('Assumptions'!$E$9=2,'Short-Term build'!AA19,IF('Assumptions'!$E$9=3,'Installment build'!AA19,'Short-Term build'!AA19+'Installment build'!AA19))</x:f>
        <x:v>7483376.474412078</x:v>
      </x:c>
      <x:c r="AB19" s="35" t="n">
        <x:f>IF('Assumptions'!$E$9=2,'Short-Term build'!AB19,IF('Assumptions'!$E$9=3,'Installment build'!AB19,'Short-Term build'!AB19+'Installment build'!AB19))</x:f>
        <x:v>7483376.474412078</x:v>
      </x:c>
      <x:c r="AC19" s="35" t="n">
        <x:f>IF('Assumptions'!$E$9=2,'Short-Term build'!AC19,IF('Assumptions'!$E$9=3,'Installment build'!AC19,'Short-Term build'!AC19+'Installment build'!AC19))</x:f>
        <x:v>7483376.474412078</x:v>
      </x:c>
      <x:c r="AD19" s="35" t="n">
        <x:f>IF('Assumptions'!$E$9=2,'Short-Term build'!AD19,IF('Assumptions'!$E$9=3,'Installment build'!AD19,'Short-Term build'!AD19+'Installment build'!AD19))</x:f>
        <x:v>7483376.474412078</x:v>
      </x:c>
      <x:c r="AE19" s="35" t="n">
        <x:f>IF('Assumptions'!$E$9=2,'Short-Term build'!AE19,IF('Assumptions'!$E$9=3,'Installment build'!AE19,'Short-Term build'!AE19+'Installment build'!AE19))</x:f>
        <x:v>7483376.474412078</x:v>
      </x:c>
      <x:c r="AF19" s="35" t="n">
        <x:f>IF('Assumptions'!$E$9=2,'Short-Term build'!AF19,IF('Assumptions'!$E$9=3,'Installment build'!AF19,'Short-Term build'!AF19+'Installment build'!AF19))</x:f>
        <x:v>7483376.474412078</x:v>
      </x:c>
      <x:c r="AG19" s="35" t="n">
        <x:f>IF('Assumptions'!$E$9=2,'Short-Term build'!AG19,IF('Assumptions'!$E$9=3,'Installment build'!AG19,'Short-Term build'!AG19+'Installment build'!AG19))</x:f>
        <x:v>7483376.474412078</x:v>
      </x:c>
      <x:c r="AH19" s="35" t="n">
        <x:f>IF('Assumptions'!$E$9=2,'Short-Term build'!AH19,IF('Assumptions'!$E$9=3,'Installment build'!AH19,'Short-Term build'!AH19+'Installment build'!AH19))</x:f>
        <x:v>7483376.474412078</x:v>
      </x:c>
      <x:c r="AI19" s="35" t="n">
        <x:f>IF('Assumptions'!$E$9=2,'Short-Term build'!AI19,IF('Assumptions'!$E$9=3,'Installment build'!AI19,'Short-Term build'!AI19+'Installment build'!AI19))</x:f>
        <x:v>7483376.474412078</x:v>
      </x:c>
      <x:c r="AJ19" s="35" t="n">
        <x:f>IF('Assumptions'!$E$9=2,'Short-Term build'!AJ19,IF('Assumptions'!$E$9=3,'Installment build'!AJ19,'Short-Term build'!AJ19+'Installment build'!AJ19))</x:f>
        <x:v>7483376.474412078</x:v>
      </x:c>
      <x:c r="AK19" s="35" t="n">
        <x:f>IF('Assumptions'!$E$9=2,'Short-Term build'!AK19,IF('Assumptions'!$E$9=3,'Installment build'!AK19,'Short-Term build'!AK19+'Installment build'!AK19))</x:f>
        <x:v>7483376.474412078</x:v>
      </x:c>
      <x:c r="AL19" s="35" t="n">
        <x:f>IF('Assumptions'!$E$9=2,'Short-Term build'!AL19,IF('Assumptions'!$E$9=3,'Installment build'!AL19,'Short-Term build'!AL19+'Installment build'!AL19))</x:f>
        <x:v>7483376.474412078</x:v>
      </x:c>
      <x:c r="AM19" s="35" t="n">
        <x:f>IF('Assumptions'!$E$9=2,'Short-Term build'!AM19,IF('Assumptions'!$E$9=3,'Installment build'!AM19,'Short-Term build'!AM19+'Installment build'!AM19))</x:f>
        <x:v>7483376.474412078</x:v>
      </x:c>
      <x:c r="AN19" s="35" t="n">
        <x:f>IF('Assumptions'!$E$9=2,'Short-Term build'!AN19,IF('Assumptions'!$E$9=3,'Installment build'!AN19,'Short-Term build'!AN19+'Installment build'!AN19))</x:f>
        <x:v>7483376.474412078</x:v>
      </x:c>
      <x:c r="AO19" s="35" t="n">
        <x:f>IF('Assumptions'!$E$9=2,'Short-Term build'!AO19,IF('Assumptions'!$E$9=3,'Installment build'!AO19,'Short-Term build'!AO19+'Installment build'!AO19))</x:f>
        <x:v>7483376.474412078</x:v>
      </x:c>
      <x:c r="AP19" s="35" t="n">
        <x:f>IF('Assumptions'!$E$9=2,'Short-Term build'!AP19,IF('Assumptions'!$E$9=3,'Installment build'!AP19,'Short-Term build'!AP19+'Installment build'!AP19))</x:f>
        <x:v>7483376.474412078</x:v>
      </x:c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</x:row>
    <x:row r="20" ht="19" customHeight="1">
      <x:c r="A20" s="1"/>
      <x:c r="B20" s="1"/>
      <x:c r="C20" s="42" t="str">
        <x:v>Ending reserve</x:v>
      </x:c>
      <x:c r="D20" s="42"/>
      <x:c r="E20" s="43" t="n">
        <x:f>INDEX(G20:AP20,1,'Assumptions'!$E$7)</x:f>
        <x:v>21656737.652695525</x:v>
      </x:c>
      <x:c r="F20" s="42"/>
      <x:c r="G20" s="43" t="n">
        <x:f>G18+G19-G15</x:f>
        <x:v>82688496.78824675</x:v>
      </x:c>
      <x:c r="H20" s="43" t="n">
        <x:f>H18+H19-H15</x:f>
        <x:v>52118616.16622019</x:v>
      </x:c>
      <x:c r="I20" s="43" t="n">
        <x:f>I18+I19-I15</x:f>
        <x:v>36782796.89493014</x:v>
      </x:c>
      <x:c r="J20" s="43" t="n">
        <x:f>J18+J19-J15</x:f>
        <x:v>28953336.08656022</x:v>
      </x:c>
      <x:c r="K20" s="43" t="n">
        <x:f>K18+K19-K15</x:f>
        <x:v>25014931.742904328</x:v>
      </x:c>
      <x:c r="L20" s="43" t="n">
        <x:f>L18+L19-L15</x:f>
        <x:v>23132616.86525338</x:v>
      </x:c>
      <x:c r="M20" s="43" t="n">
        <x:f>M18+M19-M15</x:f>
        <x:v>22195728.43944608</x:v>
      </x:c>
      <x:c r="N20" s="43" t="n">
        <x:f>N18+N19-N15</x:f>
        <x:v>21783184.585621174</x:v>
      </x:c>
      <x:c r="O20" s="43" t="n">
        <x:f>O18+O19-O15</x:f>
        <x:v>21656737.65269553</x:v>
      </x:c>
      <x:c r="P20" s="43" t="n">
        <x:f>P18+P19-P15</x:f>
        <x:v>21656737.652695525</x:v>
      </x:c>
      <x:c r="Q20" s="43" t="n">
        <x:f>Q18+Q19-Q15</x:f>
        <x:v>21656737.652695525</x:v>
      </x:c>
      <x:c r="R20" s="43" t="n">
        <x:f>R18+R19-R15</x:f>
        <x:v>21656737.652695525</x:v>
      </x:c>
      <x:c r="S20" s="43" t="n">
        <x:f>S18+S19-S15</x:f>
        <x:v>21656737.652695525</x:v>
      </x:c>
      <x:c r="T20" s="43" t="n">
        <x:f>T18+T19-T15</x:f>
        <x:v>21656737.652695525</x:v>
      </x:c>
      <x:c r="U20" s="43" t="n">
        <x:f>U18+U19-U15</x:f>
        <x:v>21656737.652695525</x:v>
      </x:c>
      <x:c r="V20" s="43" t="n">
        <x:f>V18+V19-V15</x:f>
        <x:v>21656737.652695525</x:v>
      </x:c>
      <x:c r="W20" s="43" t="n">
        <x:f>W18+W19-W15</x:f>
        <x:v>21656737.652695525</x:v>
      </x:c>
      <x:c r="X20" s="43" t="n">
        <x:f>X18+X19-X15</x:f>
        <x:v>21656737.652695525</x:v>
      </x:c>
      <x:c r="Y20" s="43" t="n">
        <x:f>Y18+Y19-Y15</x:f>
        <x:v>21656737.652695525</x:v>
      </x:c>
      <x:c r="Z20" s="43" t="n">
        <x:f>Z18+Z19-Z15</x:f>
        <x:v>21656737.652695525</x:v>
      </x:c>
      <x:c r="AA20" s="43" t="n">
        <x:f>AA18+AA19-AA15</x:f>
        <x:v>21656737.652695525</x:v>
      </x:c>
      <x:c r="AB20" s="43" t="n">
        <x:f>AB18+AB19-AB15</x:f>
        <x:v>21656737.652695525</x:v>
      </x:c>
      <x:c r="AC20" s="43" t="n">
        <x:f>AC18+AC19-AC15</x:f>
        <x:v>21656737.652695525</x:v>
      </x:c>
      <x:c r="AD20" s="43" t="n">
        <x:f>AD18+AD19-AD15</x:f>
        <x:v>21656737.652695525</x:v>
      </x:c>
      <x:c r="AE20" s="43" t="n">
        <x:f>AE18+AE19-AE15</x:f>
        <x:v>21656737.652695525</x:v>
      </x:c>
      <x:c r="AF20" s="43" t="n">
        <x:f>AF18+AF19-AF15</x:f>
        <x:v>21656737.652695525</x:v>
      </x:c>
      <x:c r="AG20" s="43" t="n">
        <x:f>AG18+AG19-AG15</x:f>
        <x:v>21656737.652695525</x:v>
      </x:c>
      <x:c r="AH20" s="43" t="n">
        <x:f>AH18+AH19-AH15</x:f>
        <x:v>21656737.652695525</x:v>
      </x:c>
      <x:c r="AI20" s="43" t="n">
        <x:f>AI18+AI19-AI15</x:f>
        <x:v>21656737.652695525</x:v>
      </x:c>
      <x:c r="AJ20" s="43" t="n">
        <x:f>AJ18+AJ19-AJ15</x:f>
        <x:v>21656737.652695525</x:v>
      </x:c>
      <x:c r="AK20" s="43" t="n">
        <x:f>AK18+AK19-AK15</x:f>
        <x:v>21656737.652695525</x:v>
      </x:c>
      <x:c r="AL20" s="43" t="n">
        <x:f>AL18+AL19-AL15</x:f>
        <x:v>21656737.652695525</x:v>
      </x:c>
      <x:c r="AM20" s="43" t="n">
        <x:f>AM18+AM19-AM15</x:f>
        <x:v>21656737.652695525</x:v>
      </x:c>
      <x:c r="AN20" s="43" t="n">
        <x:f>AN18+AN19-AN15</x:f>
        <x:v>21656737.652695525</x:v>
      </x:c>
      <x:c r="AO20" s="43" t="n">
        <x:f>AO18+AO19-AO15</x:f>
        <x:v>21656737.652695525</x:v>
      </x:c>
      <x:c r="AP20" s="43" t="n">
        <x:f>AP18+AP19-AP15</x:f>
        <x:v>21656737.652695525</x:v>
      </x:c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</x:row>
    <x:row r="21" ht="19" customHeight="1">
      <x:c r="A21" s="1"/>
      <x:c r="B21" s="1"/>
      <x:c r="C21" s="42" t="str">
        <x:v>Net CLAB</x:v>
      </x:c>
      <x:c r="D21" s="42"/>
      <x:c r="E21" s="43" t="n">
        <x:f>INDEX(G21:AP21,1,'Assumptions'!$E$7)</x:f>
        <x:v>80035788.6753396</x:v>
      </x:c>
      <x:c r="F21" s="42"/>
      <x:c r="G21" s="43" t="n">
        <x:f>G16-G20</x:f>
        <x:v>283007562.8412154</x:v>
      </x:c>
      <x:c r="H21" s="43" t="n">
        <x:f>H16-H20</x:f>
        <x:v>184515035.87264645</x:v>
      </x:c>
      <x:c r="I21" s="43" t="n">
        <x:f>I16-I20</x:f>
        <x:v>133224496.65087833</x:v>
      </x:c>
      <x:c r="J21" s="43" t="n">
        <x:f>J16-J20</x:f>
        <x:v>106208693.23591316</x:v>
      </x:c>
      <x:c r="K21" s="43" t="n">
        <x:f>K16-K20</x:f>
        <x:v>92208633.9305883</x:v>
      </x:c>
      <x:c r="L21" s="43" t="n">
        <x:f>L16-L20</x:f>
        <x:v>85229183.448484</x:v>
      </x:c>
      <x:c r="M21" s="43" t="n">
        <x:f>M16-M20</x:f>
        <x:v>81870304.10995126</x:v>
      </x:c>
      <x:c r="N21" s="43" t="n">
        <x:f>N16-N20</x:f>
        <x:v>80463324.35855536</x:v>
      </x:c>
      <x:c r="O21" s="43" t="n">
        <x:f>O16-O20</x:f>
        <x:v>80035788.67533958</x:v>
      </x:c>
      <x:c r="P21" s="43" t="n">
        <x:f>P16-P20</x:f>
        <x:v>80035788.6753396</x:v>
      </x:c>
      <x:c r="Q21" s="43" t="n">
        <x:f>Q16-Q20</x:f>
        <x:v>80035788.6753396</x:v>
      </x:c>
      <x:c r="R21" s="43" t="n">
        <x:f>R16-R20</x:f>
        <x:v>80035788.6753396</x:v>
      </x:c>
      <x:c r="S21" s="43" t="n">
        <x:f>S16-S20</x:f>
        <x:v>80035788.6753396</x:v>
      </x:c>
      <x:c r="T21" s="43" t="n">
        <x:f>T16-T20</x:f>
        <x:v>80035788.6753396</x:v>
      </x:c>
      <x:c r="U21" s="43" t="n">
        <x:f>U16-U20</x:f>
        <x:v>80035788.6753396</x:v>
      </x:c>
      <x:c r="V21" s="43" t="n">
        <x:f>V16-V20</x:f>
        <x:v>80035788.6753396</x:v>
      </x:c>
      <x:c r="W21" s="43" t="n">
        <x:f>W16-W20</x:f>
        <x:v>80035788.6753396</x:v>
      </x:c>
      <x:c r="X21" s="43" t="n">
        <x:f>X16-X20</x:f>
        <x:v>80035788.6753396</x:v>
      </x:c>
      <x:c r="Y21" s="43" t="n">
        <x:f>Y16-Y20</x:f>
        <x:v>80035788.6753396</x:v>
      </x:c>
      <x:c r="Z21" s="43" t="n">
        <x:f>Z16-Z20</x:f>
        <x:v>80035788.6753396</x:v>
      </x:c>
      <x:c r="AA21" s="43" t="n">
        <x:f>AA16-AA20</x:f>
        <x:v>80035788.6753396</x:v>
      </x:c>
      <x:c r="AB21" s="43" t="n">
        <x:f>AB16-AB20</x:f>
        <x:v>80035788.6753396</x:v>
      </x:c>
      <x:c r="AC21" s="43" t="n">
        <x:f>AC16-AC20</x:f>
        <x:v>80035788.6753396</x:v>
      </x:c>
      <x:c r="AD21" s="43" t="n">
        <x:f>AD16-AD20</x:f>
        <x:v>80035788.6753396</x:v>
      </x:c>
      <x:c r="AE21" s="43" t="n">
        <x:f>AE16-AE20</x:f>
        <x:v>80035788.6753396</x:v>
      </x:c>
      <x:c r="AF21" s="43" t="n">
        <x:f>AF16-AF20</x:f>
        <x:v>80035788.6753396</x:v>
      </x:c>
      <x:c r="AG21" s="43" t="n">
        <x:f>AG16-AG20</x:f>
        <x:v>80035788.6753396</x:v>
      </x:c>
      <x:c r="AH21" s="43" t="n">
        <x:f>AH16-AH20</x:f>
        <x:v>80035788.6753396</x:v>
      </x:c>
      <x:c r="AI21" s="43" t="n">
        <x:f>AI16-AI20</x:f>
        <x:v>80035788.6753396</x:v>
      </x:c>
      <x:c r="AJ21" s="43" t="n">
        <x:f>AJ16-AJ20</x:f>
        <x:v>80035788.6753396</x:v>
      </x:c>
      <x:c r="AK21" s="43" t="n">
        <x:f>AK16-AK20</x:f>
        <x:v>80035788.6753396</x:v>
      </x:c>
      <x:c r="AL21" s="43" t="n">
        <x:f>AL16-AL20</x:f>
        <x:v>80035788.6753396</x:v>
      </x:c>
      <x:c r="AM21" s="43" t="n">
        <x:f>AM16-AM20</x:f>
        <x:v>80035788.6753396</x:v>
      </x:c>
      <x:c r="AN21" s="43" t="n">
        <x:f>AN16-AN20</x:f>
        <x:v>80035788.6753396</x:v>
      </x:c>
      <x:c r="AO21" s="43" t="n">
        <x:f>AO16-AO20</x:f>
        <x:v>80035788.6753396</x:v>
      </x:c>
      <x:c r="AP21" s="43" t="n">
        <x:f>AP16-AP20</x:f>
        <x:v>80035788.6753396</x:v>
      </x:c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</x:row>
    <x:row r="22" ht="19" customHeight="1">
      <x:c r="A22" s="1"/>
      <x:c r="B22" s="1"/>
      <x:c r="C22" s="2"/>
      <x:c r="D22" s="2"/>
      <x:c r="E22" s="35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</x:row>
    <x:row r="23" ht="19" customHeight="1">
      <x:c r="A23" s="1"/>
      <x:c r="B23" s="1"/>
      <x:c r="C23" s="2" t="str">
        <x:v>Annual yield</x:v>
      </x:c>
      <x:c r="D23" s="2"/>
      <x:c r="E23" s="35"/>
      <x:c r="F23" s="2"/>
      <x:c r="G23" s="12" t="n">
        <x:f>IF(G13-G15=0,0,G24*12/(G13-G15))</x:f>
        <x:v>0.7299999999999999</x:v>
      </x:c>
      <x:c r="H23" s="12" t="n">
        <x:f>IF(H13-H15=0,0,H24*12/(H13-H15))</x:f>
        <x:v>0.7236147528577789</x:v>
      </x:c>
      <x:c r="I23" s="12" t="n">
        <x:f>IF(I13-I15=0,0,I24*12/(I13-I15))</x:f>
        <x:v>0.7189033702494867</x:v>
      </x:c>
      <x:c r="J23" s="12" t="n">
        <x:f>IF(J13-J15=0,0,J24*12/(J13-J15))</x:f>
        <x:v>0.7159608433178459</x:v>
      </x:c>
      <x:c r="K23" s="12" t="n">
        <x:f>IF(K13-K15=0,0,K24*12/(K13-K15))</x:f>
        <x:v>0.7147587139625979</x:v>
      </x:c>
      <x:c r="L23" s="12" t="n">
        <x:f>IF(L13-L15=0,0,L24*12/(L13-L15))</x:f>
        <x:v>0.7147796850919734</x:v>
      </x:c>
      <x:c r="M23" s="12" t="n">
        <x:f>IF(M13-M15=0,0,M24*12/(M13-M15))</x:f>
        <x:v>0.7153216405480418</x:v>
      </x:c>
      <x:c r="N23" s="12" t="n">
        <x:f>IF(N13-N15=0,0,N24*12/(N13-N15))</x:f>
        <x:v>0.7159073330705708</x:v>
      </x:c>
      <x:c r="O23" s="12" t="n">
        <x:f>IF(O13-O15=0,0,O24*12/(O13-O15))</x:f>
        <x:v>0.7163053370279846</x:v>
      </x:c>
      <x:c r="P23" s="12" t="n">
        <x:f>IF(P13-P15=0,0,P24*12/(P13-P15))</x:f>
        <x:v>0.7164709673173041</x:v>
      </x:c>
      <x:c r="Q23" s="12" t="n">
        <x:f>IF(Q13-Q15=0,0,Q24*12/(Q13-Q15))</x:f>
        <x:v>0.7164709673173041</x:v>
      </x:c>
      <x:c r="R23" s="12" t="n">
        <x:f>IF(R13-R15=0,0,R24*12/(R13-R15))</x:f>
        <x:v>0.7164709673173041</x:v>
      </x:c>
      <x:c r="S23" s="12" t="n">
        <x:f>IF(S13-S15=0,0,S24*12/(S13-S15))</x:f>
        <x:v>0.7164709673173041</x:v>
      </x:c>
      <x:c r="T23" s="12" t="n">
        <x:f>IF(T13-T15=0,0,T24*12/(T13-T15))</x:f>
        <x:v>0.7164709673173041</x:v>
      </x:c>
      <x:c r="U23" s="12" t="n">
        <x:f>IF(U13-U15=0,0,U24*12/(U13-U15))</x:f>
        <x:v>0.7164709673173041</x:v>
      </x:c>
      <x:c r="V23" s="12" t="n">
        <x:f>IF(V13-V15=0,0,V24*12/(V13-V15))</x:f>
        <x:v>0.7164709673173041</x:v>
      </x:c>
      <x:c r="W23" s="12" t="n">
        <x:f>IF(W13-W15=0,0,W24*12/(W13-W15))</x:f>
        <x:v>0.7164709673173041</x:v>
      </x:c>
      <x:c r="X23" s="12" t="n">
        <x:f>IF(X13-X15=0,0,X24*12/(X13-X15))</x:f>
        <x:v>0.7164709673173041</x:v>
      </x:c>
      <x:c r="Y23" s="12" t="n">
        <x:f>IF(Y13-Y15=0,0,Y24*12/(Y13-Y15))</x:f>
        <x:v>0.7164709673173041</x:v>
      </x:c>
      <x:c r="Z23" s="12" t="n">
        <x:f>IF(Z13-Z15=0,0,Z24*12/(Z13-Z15))</x:f>
        <x:v>0.7164709673173041</x:v>
      </x:c>
      <x:c r="AA23" s="12" t="n">
        <x:f>IF(AA13-AA15=0,0,AA24*12/(AA13-AA15))</x:f>
        <x:v>0.7164709673173041</x:v>
      </x:c>
      <x:c r="AB23" s="12" t="n">
        <x:f>IF(AB13-AB15=0,0,AB24*12/(AB13-AB15))</x:f>
        <x:v>0.7164709673173041</x:v>
      </x:c>
      <x:c r="AC23" s="12" t="n">
        <x:f>IF(AC13-AC15=0,0,AC24*12/(AC13-AC15))</x:f>
        <x:v>0.7164709673173041</x:v>
      </x:c>
      <x:c r="AD23" s="12" t="n">
        <x:f>IF(AD13-AD15=0,0,AD24*12/(AD13-AD15))</x:f>
        <x:v>0.7164709673173041</x:v>
      </x:c>
      <x:c r="AE23" s="12" t="n">
        <x:f>IF(AE13-AE15=0,0,AE24*12/(AE13-AE15))</x:f>
        <x:v>0.7164709673173041</x:v>
      </x:c>
      <x:c r="AF23" s="12" t="n">
        <x:f>IF(AF13-AF15=0,0,AF24*12/(AF13-AF15))</x:f>
        <x:v>0.7164709673173041</x:v>
      </x:c>
      <x:c r="AG23" s="12" t="n">
        <x:f>IF(AG13-AG15=0,0,AG24*12/(AG13-AG15))</x:f>
        <x:v>0.7164709673173041</x:v>
      </x:c>
      <x:c r="AH23" s="12" t="n">
        <x:f>IF(AH13-AH15=0,0,AH24*12/(AH13-AH15))</x:f>
        <x:v>0.7164709673173041</x:v>
      </x:c>
      <x:c r="AI23" s="12" t="n">
        <x:f>IF(AI13-AI15=0,0,AI24*12/(AI13-AI15))</x:f>
        <x:v>0.7164709673173041</x:v>
      </x:c>
      <x:c r="AJ23" s="12" t="n">
        <x:f>IF(AJ13-AJ15=0,0,AJ24*12/(AJ13-AJ15))</x:f>
        <x:v>0.7164709673173041</x:v>
      </x:c>
      <x:c r="AK23" s="12" t="n">
        <x:f>IF(AK13-AK15=0,0,AK24*12/(AK13-AK15))</x:f>
        <x:v>0.7164709673173041</x:v>
      </x:c>
      <x:c r="AL23" s="12" t="n">
        <x:f>IF(AL13-AL15=0,0,AL24*12/(AL13-AL15))</x:f>
        <x:v>0.7164709673173041</x:v>
      </x:c>
      <x:c r="AM23" s="12" t="n">
        <x:f>IF(AM13-AM15=0,0,AM24*12/(AM13-AM15))</x:f>
        <x:v>0.7164709673173041</x:v>
      </x:c>
      <x:c r="AN23" s="12" t="n">
        <x:f>IF(AN13-AN15=0,0,AN24*12/(AN13-AN15))</x:f>
        <x:v>0.7164709673173041</x:v>
      </x:c>
      <x:c r="AO23" s="12" t="n">
        <x:f>IF(AO13-AO15=0,0,AO24*12/(AO13-AO15))</x:f>
        <x:v>0.7164709673173041</x:v>
      </x:c>
      <x:c r="AP23" s="12" t="n">
        <x:f>IF(AP13-AP15=0,0,AP24*12/(AP13-AP15))</x:f>
        <x:v>0.7164709673173041</x:v>
      </x:c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</x:row>
    <x:row r="24" ht="19" customHeight="1">
      <x:c r="A24" s="1"/>
      <x:c r="B24" s="1"/>
      <x:c r="C24" s="42" t="str">
        <x:v>Revenue</x:v>
      </x:c>
      <x:c r="D24" s="42"/>
      <x:c r="E24" s="43" t="n">
        <x:f>SUMIFS(G24:AP24,$G$6:$AP$6,"&lt;="&amp;'Assumptions'!$E$7)</x:f>
        <x:v>191643279.56747723</x:v>
      </x:c>
      <x:c r="F24" s="42"/>
      <x:c r="G24" s="43" t="n">
        <x:f>G53</x:f>
        <x:v>34335519.904440455</x:v>
      </x:c>
      <x:c r="H24" s="43" t="n">
        <x:f>H53</x:f>
        <x:v>19757263.79838032</x:v>
      </x:c>
      <x:c r="I24" s="43" t="n">
        <x:f>I53</x:f>
        <x:v>12809327.76976813</x:v>
      </x:c>
      <x:c r="J24" s="43" t="n">
        <x:f>J53</x:f>
        <x:v>9229597.780222671</x:v>
      </x:c>
      <x:c r="K24" s="43" t="n">
        <x:f>K53</x:f>
        <x:v>7370368.407201759</x:v>
      </x:c>
      <x:c r="L24" s="43" t="n">
        <x:f>L53</x:f>
        <x:v>6424551.453513425</x:v>
      </x:c>
      <x:c r="M24" s="43" t="n">
        <x:f>M53</x:f>
        <x:v>5957528.58924066</x:v>
      </x:c>
      <x:c r="N24" s="43" t="n">
        <x:f>N53</x:f>
        <x:v>5737407.380112367</x:v>
      </x:c>
      <x:c r="O24" s="43" t="n">
        <x:f>O53</x:f>
        <x:v>5649063.577389726</x:v>
      </x:c>
      <x:c r="P24" s="43" t="n">
        <x:f>P53</x:f>
        <x:v>5624843.393813846</x:v>
      </x:c>
      <x:c r="Q24" s="43" t="n">
        <x:f>Q53</x:f>
        <x:v>5624843.393813847</x:v>
      </x:c>
      <x:c r="R24" s="43" t="n">
        <x:f>R53</x:f>
        <x:v>5624843.393813847</x:v>
      </x:c>
      <x:c r="S24" s="43" t="n">
        <x:f>S53</x:f>
        <x:v>5624843.393813847</x:v>
      </x:c>
      <x:c r="T24" s="43" t="n">
        <x:f>T53</x:f>
        <x:v>5624843.393813847</x:v>
      </x:c>
      <x:c r="U24" s="43" t="n">
        <x:f>U53</x:f>
        <x:v>5624843.393813847</x:v>
      </x:c>
      <x:c r="V24" s="43" t="n">
        <x:f>V53</x:f>
        <x:v>5624843.393813847</x:v>
      </x:c>
      <x:c r="W24" s="43" t="n">
        <x:f>W53</x:f>
        <x:v>5624843.393813847</x:v>
      </x:c>
      <x:c r="X24" s="43" t="n">
        <x:f>X53</x:f>
        <x:v>5624843.393813847</x:v>
      </x:c>
      <x:c r="Y24" s="43" t="n">
        <x:f>Y53</x:f>
        <x:v>5624843.393813847</x:v>
      </x:c>
      <x:c r="Z24" s="43" t="n">
        <x:f>Z53</x:f>
        <x:v>5624843.393813847</x:v>
      </x:c>
      <x:c r="AA24" s="43" t="n">
        <x:f>AA53</x:f>
        <x:v>5624843.393813847</x:v>
      </x:c>
      <x:c r="AB24" s="43" t="n">
        <x:f>AB53</x:f>
        <x:v>5624843.393813847</x:v>
      </x:c>
      <x:c r="AC24" s="43" t="n">
        <x:f>AC53</x:f>
        <x:v>5624843.393813847</x:v>
      </x:c>
      <x:c r="AD24" s="43" t="n">
        <x:f>AD53</x:f>
        <x:v>5624843.393813847</x:v>
      </x:c>
      <x:c r="AE24" s="43" t="n">
        <x:f>AE53</x:f>
        <x:v>5624843.393813847</x:v>
      </x:c>
      <x:c r="AF24" s="43" t="n">
        <x:f>AF53</x:f>
        <x:v>5624843.393813847</x:v>
      </x:c>
      <x:c r="AG24" s="43" t="n">
        <x:f>AG53</x:f>
        <x:v>5624843.393813847</x:v>
      </x:c>
      <x:c r="AH24" s="43" t="n">
        <x:f>AH53</x:f>
        <x:v>5624843.393813847</x:v>
      </x:c>
      <x:c r="AI24" s="43" t="n">
        <x:f>AI53</x:f>
        <x:v>5624843.393813847</x:v>
      </x:c>
      <x:c r="AJ24" s="43" t="n">
        <x:f>AJ53</x:f>
        <x:v>5624843.393813847</x:v>
      </x:c>
      <x:c r="AK24" s="43" t="n">
        <x:f>AK53</x:f>
        <x:v>5624843.393813847</x:v>
      </x:c>
      <x:c r="AL24" s="43" t="n">
        <x:f>AL53</x:f>
        <x:v>5624843.393813847</x:v>
      </x:c>
      <x:c r="AM24" s="43" t="n">
        <x:f>AM53</x:f>
        <x:v>5624843.393813847</x:v>
      </x:c>
      <x:c r="AN24" s="43" t="n">
        <x:f>AN53</x:f>
        <x:v>5624843.393813847</x:v>
      </x:c>
      <x:c r="AO24" s="43" t="n">
        <x:f>AO53</x:f>
        <x:v>5624843.393813847</x:v>
      </x:c>
      <x:c r="AP24" s="43" t="n">
        <x:f>AP53</x:f>
        <x:v>5624843.393813847</x:v>
      </x:c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</x:row>
    <x:row r="25" ht="19" customHeight="1">
      <x:c r="A25" s="1"/>
      <x:c r="B25" s="1"/>
      <x:c r="C25" s="46" t="str">
        <x:v>Net revenue</x:v>
      </x:c>
      <x:c r="D25" s="46"/>
      <x:c r="E25" s="47" t="n">
        <x:f>SUMIFS(G25:AP25,$G$6:$AP$6,"&lt;="&amp;'Assumptions'!$E$7)</x:f>
        <x:v>12042244.181587324</x:v>
      </x:c>
      <x:c r="F25" s="46"/>
      <x:c r="G25" s="47" t="n">
        <x:f>G24-G19</x:f>
        <x:v>26852143.43002838</x:v>
      </x:c>
      <x:c r="H25" s="47" t="n">
        <x:f>H24-H19</x:f>
        <x:v>12273887.323968241</x:v>
      </x:c>
      <x:c r="I25" s="47" t="n">
        <x:f>I24-I19</x:f>
        <x:v>5325951.295356052</x:v>
      </x:c>
      <x:c r="J25" s="47" t="n">
        <x:f>J24-J19</x:f>
        <x:v>1746221.305810593</x:v>
      </x:c>
      <x:c r="K25" s="47" t="n">
        <x:f>K24-K19</x:f>
        <x:v>-113008.06721031945</x:v>
      </x:c>
      <x:c r="L25" s="47" t="n">
        <x:f>L24-L19</x:f>
        <x:v>-1058825.0208986532</x:v>
      </x:c>
      <x:c r="M25" s="47" t="n">
        <x:f>M24-M19</x:f>
        <x:v>-1525847.885171418</x:v>
      </x:c>
      <x:c r="N25" s="47" t="n">
        <x:f>N24-N19</x:f>
        <x:v>-1745969.0942997113</x:v>
      </x:c>
      <x:c r="O25" s="47" t="n">
        <x:f>O24-O19</x:f>
        <x:v>-1834312.8970223516</x:v>
      </x:c>
      <x:c r="P25" s="47" t="n">
        <x:f>P24-P19</x:f>
        <x:v>-1858533.0805982323</x:v>
      </x:c>
      <x:c r="Q25" s="47" t="n">
        <x:f>Q24-Q19</x:f>
        <x:v>-1858533.0805982314</x:v>
      </x:c>
      <x:c r="R25" s="47" t="n">
        <x:f>R24-R19</x:f>
        <x:v>-1858533.0805982314</x:v>
      </x:c>
      <x:c r="S25" s="47" t="n">
        <x:f>S24-S19</x:f>
        <x:v>-1858533.0805982314</x:v>
      </x:c>
      <x:c r="T25" s="47" t="n">
        <x:f>T24-T19</x:f>
        <x:v>-1858533.0805982314</x:v>
      </x:c>
      <x:c r="U25" s="47" t="n">
        <x:f>U24-U19</x:f>
        <x:v>-1858533.0805982314</x:v>
      </x:c>
      <x:c r="V25" s="47" t="n">
        <x:f>V24-V19</x:f>
        <x:v>-1858533.0805982314</x:v>
      </x:c>
      <x:c r="W25" s="47" t="n">
        <x:f>W24-W19</x:f>
        <x:v>-1858533.0805982314</x:v>
      </x:c>
      <x:c r="X25" s="47" t="n">
        <x:f>X24-X19</x:f>
        <x:v>-1858533.0805982314</x:v>
      </x:c>
      <x:c r="Y25" s="47" t="n">
        <x:f>Y24-Y19</x:f>
        <x:v>-1858533.0805982314</x:v>
      </x:c>
      <x:c r="Z25" s="47" t="n">
        <x:f>Z24-Z19</x:f>
        <x:v>-1858533.0805982314</x:v>
      </x:c>
      <x:c r="AA25" s="47" t="n">
        <x:f>AA24-AA19</x:f>
        <x:v>-1858533.0805982314</x:v>
      </x:c>
      <x:c r="AB25" s="47" t="n">
        <x:f>AB24-AB19</x:f>
        <x:v>-1858533.0805982314</x:v>
      </x:c>
      <x:c r="AC25" s="47" t="n">
        <x:f>AC24-AC19</x:f>
        <x:v>-1858533.0805982314</x:v>
      </x:c>
      <x:c r="AD25" s="47" t="n">
        <x:f>AD24-AD19</x:f>
        <x:v>-1858533.0805982314</x:v>
      </x:c>
      <x:c r="AE25" s="47" t="n">
        <x:f>AE24-AE19</x:f>
        <x:v>-1858533.0805982314</x:v>
      </x:c>
      <x:c r="AF25" s="47" t="n">
        <x:f>AF24-AF19</x:f>
        <x:v>-1858533.0805982314</x:v>
      </x:c>
      <x:c r="AG25" s="47" t="n">
        <x:f>AG24-AG19</x:f>
        <x:v>-1858533.0805982314</x:v>
      </x:c>
      <x:c r="AH25" s="47" t="n">
        <x:f>AH24-AH19</x:f>
        <x:v>-1858533.0805982314</x:v>
      </x:c>
      <x:c r="AI25" s="47" t="n">
        <x:f>AI24-AI19</x:f>
        <x:v>-1858533.0805982314</x:v>
      </x:c>
      <x:c r="AJ25" s="47" t="n">
        <x:f>AJ24-AJ19</x:f>
        <x:v>-1858533.0805982314</x:v>
      </x:c>
      <x:c r="AK25" s="47" t="n">
        <x:f>AK24-AK19</x:f>
        <x:v>-1858533.0805982314</x:v>
      </x:c>
      <x:c r="AL25" s="47" t="n">
        <x:f>AL24-AL19</x:f>
        <x:v>-1858533.0805982314</x:v>
      </x:c>
      <x:c r="AM25" s="47" t="n">
        <x:f>AM24-AM19</x:f>
        <x:v>-1858533.0805982314</x:v>
      </x:c>
      <x:c r="AN25" s="47" t="n">
        <x:f>AN24-AN19</x:f>
        <x:v>-1858533.0805982314</x:v>
      </x:c>
      <x:c r="AO25" s="47" t="n">
        <x:f>AO24-AO19</x:f>
        <x:v>-1858533.0805982314</x:v>
      </x:c>
      <x:c r="AP25" s="47" t="n">
        <x:f>AP24-AP19</x:f>
        <x:v>-1858533.0805982314</x:v>
      </x:c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</x:row>
    <x:row r="26" ht="19" customHeight="1">
      <x:c r="A26" s="1"/>
      <x:c r="B26" s="1"/>
      <x:c r="C26" s="2"/>
      <x:c r="D26" s="2"/>
      <x:c r="E26" s="35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</x:row>
    <x:row r="27" ht="19" customHeight="1">
      <x:c r="A27" s="1"/>
      <x:c r="B27" s="1"/>
      <x:c r="C27" s="2" t="str">
        <x:v>Opening-book charge-offs</x:v>
      </x:c>
      <x:c r="D27" s="2"/>
      <x:c r="E27" s="35" t="n">
        <x:f>SUMIFS(G27:AP27,$G$6:$AP$6,"&lt;="&amp;'Assumptions'!$E$7)</x:f>
        <x:v>149785615.0353614</x:v>
      </x:c>
      <x:c r="F27" s="2"/>
      <x:c r="G27" s="35" t="n">
        <x:f>IF('Assumptions'!$E$9=2,'Short-Term build'!G27,IF('Assumptions'!$E$9=3,'Installment build'!G27,'Short-Term build'!G27+'Installment build'!G27))</x:f>
        <x:v>74580494.72152674</x:v>
      </x:c>
      <x:c r="H27" s="35" t="n">
        <x:f>IF('Assumptions'!$E$9=2,'Short-Term build'!H27,IF('Assumptions'!$E$9=3,'Installment build'!H27,'Short-Term build'!H27+'Installment build'!H27))</x:f>
        <x:v>35693750.11285289</x:v>
      </x:c>
      <x:c r="I27" s="35" t="n">
        <x:f>IF('Assumptions'!$E$9=2,'Short-Term build'!I27,IF('Assumptions'!$E$9=3,'Installment build'!I27,'Short-Term build'!I27+'Installment build'!I27))</x:f>
        <x:v>18785650.833019786</x:v>
      </x:c>
      <x:c r="J27" s="35" t="n">
        <x:f>IF('Assumptions'!$E$9=2,'Short-Term build'!J27,IF('Assumptions'!$E$9=3,'Installment build'!J27,'Short-Term build'!J27+'Installment build'!J27))</x:f>
        <x:v>10126605.536961738</x:v>
      </x:c>
      <x:c r="K27" s="35" t="n">
        <x:f>IF('Assumptions'!$E$9=2,'Short-Term build'!K27,IF('Assumptions'!$E$9=3,'Installment build'!K27,'Short-Term build'!K27+'Installment build'!K27))</x:f>
        <x:v>5406575.380120412</x:v>
      </x:c>
      <x:c r="L27" s="35" t="n">
        <x:f>IF('Assumptions'!$E$9=2,'Short-Term build'!L27,IF('Assumptions'!$E$9=3,'Installment build'!L27,'Short-Term build'!L27+'Installment build'!L27))</x:f>
        <x:v>2741521.9375711777</x:v>
      </x:c>
      <x:c r="M27" s="35" t="n">
        <x:f>IF('Assumptions'!$E$9=2,'Short-Term build'!M27,IF('Assumptions'!$E$9=3,'Installment build'!M27,'Short-Term build'!M27+'Installment build'!M27))</x:f>
        <x:v>1475851.8802465503</x:v>
      </x:c>
      <x:c r="N27" s="35" t="n">
        <x:f>IF('Assumptions'!$E$9=2,'Short-Term build'!N27,IF('Assumptions'!$E$9=3,'Installment build'!N27,'Short-Term build'!N27+'Installment build'!N27))</x:f>
        <x:v>723127.3437963002</x:v>
      </x:c>
      <x:c r="O27" s="35" t="n">
        <x:f>IF('Assumptions'!$E$9=2,'Short-Term build'!O27,IF('Assumptions'!$E$9=3,'Installment build'!O27,'Short-Term build'!O27+'Installment build'!O27))</x:f>
        <x:v>252037.2892658139</x:v>
      </x:c>
      <x:c r="P27" s="35" t="n">
        <x:f>IF('Assumptions'!$E$9=2,'Short-Term build'!P27,IF('Assumptions'!$E$9=3,'Installment build'!P27,'Short-Term build'!P27+'Installment build'!P27))</x:f>
        <x:v>0</x:v>
      </x:c>
      <x:c r="Q27" s="35" t="n">
        <x:f>IF('Assumptions'!$E$9=2,'Short-Term build'!Q27,IF('Assumptions'!$E$9=3,'Installment build'!Q27,'Short-Term build'!Q27+'Installment build'!Q27))</x:f>
        <x:v>0</x:v>
      </x:c>
      <x:c r="R27" s="35" t="n">
        <x:f>IF('Assumptions'!$E$9=2,'Short-Term build'!R27,IF('Assumptions'!$E$9=3,'Installment build'!R27,'Short-Term build'!R27+'Installment build'!R27))</x:f>
        <x:v>0</x:v>
      </x:c>
      <x:c r="S27" s="35" t="n">
        <x:f>IF('Assumptions'!$E$9=2,'Short-Term build'!S27,IF('Assumptions'!$E$9=3,'Installment build'!S27,'Short-Term build'!S27+'Installment build'!S27))</x:f>
        <x:v>0</x:v>
      </x:c>
      <x:c r="T27" s="35" t="n">
        <x:f>IF('Assumptions'!$E$9=2,'Short-Term build'!T27,IF('Assumptions'!$E$9=3,'Installment build'!T27,'Short-Term build'!T27+'Installment build'!T27))</x:f>
        <x:v>0</x:v>
      </x:c>
      <x:c r="U27" s="35" t="n">
        <x:f>IF('Assumptions'!$E$9=2,'Short-Term build'!U27,IF('Assumptions'!$E$9=3,'Installment build'!U27,'Short-Term build'!U27+'Installment build'!U27))</x:f>
        <x:v>0</x:v>
      </x:c>
      <x:c r="V27" s="35" t="n">
        <x:f>IF('Assumptions'!$E$9=2,'Short-Term build'!V27,IF('Assumptions'!$E$9=3,'Installment build'!V27,'Short-Term build'!V27+'Installment build'!V27))</x:f>
        <x:v>0</x:v>
      </x:c>
      <x:c r="W27" s="35" t="n">
        <x:f>IF('Assumptions'!$E$9=2,'Short-Term build'!W27,IF('Assumptions'!$E$9=3,'Installment build'!W27,'Short-Term build'!W27+'Installment build'!W27))</x:f>
        <x:v>0</x:v>
      </x:c>
      <x:c r="X27" s="35" t="n">
        <x:f>IF('Assumptions'!$E$9=2,'Short-Term build'!X27,IF('Assumptions'!$E$9=3,'Installment build'!X27,'Short-Term build'!X27+'Installment build'!X27))</x:f>
        <x:v>0</x:v>
      </x:c>
      <x:c r="Y27" s="35" t="n">
        <x:f>IF('Assumptions'!$E$9=2,'Short-Term build'!Y27,IF('Assumptions'!$E$9=3,'Installment build'!Y27,'Short-Term build'!Y27+'Installment build'!Y27))</x:f>
        <x:v>0</x:v>
      </x:c>
      <x:c r="Z27" s="35" t="n">
        <x:f>IF('Assumptions'!$E$9=2,'Short-Term build'!Z27,IF('Assumptions'!$E$9=3,'Installment build'!Z27,'Short-Term build'!Z27+'Installment build'!Z27))</x:f>
        <x:v>0</x:v>
      </x:c>
      <x:c r="AA27" s="35" t="n">
        <x:f>IF('Assumptions'!$E$9=2,'Short-Term build'!AA27,IF('Assumptions'!$E$9=3,'Installment build'!AA27,'Short-Term build'!AA27+'Installment build'!AA27))</x:f>
        <x:v>0</x:v>
      </x:c>
      <x:c r="AB27" s="35" t="n">
        <x:f>IF('Assumptions'!$E$9=2,'Short-Term build'!AB27,IF('Assumptions'!$E$9=3,'Installment build'!AB27,'Short-Term build'!AB27+'Installment build'!AB27))</x:f>
        <x:v>0</x:v>
      </x:c>
      <x:c r="AC27" s="35" t="n">
        <x:f>IF('Assumptions'!$E$9=2,'Short-Term build'!AC27,IF('Assumptions'!$E$9=3,'Installment build'!AC27,'Short-Term build'!AC27+'Installment build'!AC27))</x:f>
        <x:v>0</x:v>
      </x:c>
      <x:c r="AD27" s="35" t="n">
        <x:f>IF('Assumptions'!$E$9=2,'Short-Term build'!AD27,IF('Assumptions'!$E$9=3,'Installment build'!AD27,'Short-Term build'!AD27+'Installment build'!AD27))</x:f>
        <x:v>0</x:v>
      </x:c>
      <x:c r="AE27" s="35" t="n">
        <x:f>IF('Assumptions'!$E$9=2,'Short-Term build'!AE27,IF('Assumptions'!$E$9=3,'Installment build'!AE27,'Short-Term build'!AE27+'Installment build'!AE27))</x:f>
        <x:v>0</x:v>
      </x:c>
      <x:c r="AF27" s="35" t="n">
        <x:f>IF('Assumptions'!$E$9=2,'Short-Term build'!AF27,IF('Assumptions'!$E$9=3,'Installment build'!AF27,'Short-Term build'!AF27+'Installment build'!AF27))</x:f>
        <x:v>0</x:v>
      </x:c>
      <x:c r="AG27" s="35" t="n">
        <x:f>IF('Assumptions'!$E$9=2,'Short-Term build'!AG27,IF('Assumptions'!$E$9=3,'Installment build'!AG27,'Short-Term build'!AG27+'Installment build'!AG27))</x:f>
        <x:v>0</x:v>
      </x:c>
      <x:c r="AH27" s="35" t="n">
        <x:f>IF('Assumptions'!$E$9=2,'Short-Term build'!AH27,IF('Assumptions'!$E$9=3,'Installment build'!AH27,'Short-Term build'!AH27+'Installment build'!AH27))</x:f>
        <x:v>0</x:v>
      </x:c>
      <x:c r="AI27" s="35" t="n">
        <x:f>IF('Assumptions'!$E$9=2,'Short-Term build'!AI27,IF('Assumptions'!$E$9=3,'Installment build'!AI27,'Short-Term build'!AI27+'Installment build'!AI27))</x:f>
        <x:v>0</x:v>
      </x:c>
      <x:c r="AJ27" s="35" t="n">
        <x:f>IF('Assumptions'!$E$9=2,'Short-Term build'!AJ27,IF('Assumptions'!$E$9=3,'Installment build'!AJ27,'Short-Term build'!AJ27+'Installment build'!AJ27))</x:f>
        <x:v>0</x:v>
      </x:c>
      <x:c r="AK27" s="35" t="n">
        <x:f>IF('Assumptions'!$E$9=2,'Short-Term build'!AK27,IF('Assumptions'!$E$9=3,'Installment build'!AK27,'Short-Term build'!AK27+'Installment build'!AK27))</x:f>
        <x:v>0</x:v>
      </x:c>
      <x:c r="AL27" s="35" t="n">
        <x:f>IF('Assumptions'!$E$9=2,'Short-Term build'!AL27,IF('Assumptions'!$E$9=3,'Installment build'!AL27,'Short-Term build'!AL27+'Installment build'!AL27))</x:f>
        <x:v>0</x:v>
      </x:c>
      <x:c r="AM27" s="35" t="n">
        <x:f>IF('Assumptions'!$E$9=2,'Short-Term build'!AM27,IF('Assumptions'!$E$9=3,'Installment build'!AM27,'Short-Term build'!AM27+'Installment build'!AM27))</x:f>
        <x:v>0</x:v>
      </x:c>
      <x:c r="AN27" s="35" t="n">
        <x:f>IF('Assumptions'!$E$9=2,'Short-Term build'!AN27,IF('Assumptions'!$E$9=3,'Installment build'!AN27,'Short-Term build'!AN27+'Installment build'!AN27))</x:f>
        <x:v>0</x:v>
      </x:c>
      <x:c r="AO27" s="35" t="n">
        <x:f>IF('Assumptions'!$E$9=2,'Short-Term build'!AO27,IF('Assumptions'!$E$9=3,'Installment build'!AO27,'Short-Term build'!AO27+'Installment build'!AO27))</x:f>
        <x:v>0</x:v>
      </x:c>
      <x:c r="AP27" s="35" t="n">
        <x:f>IF('Assumptions'!$E$9=2,'Short-Term build'!AP27,IF('Assumptions'!$E$9=3,'Installment build'!AP27,'Short-Term build'!AP27+'Installment build'!AP27))</x:f>
        <x:v>0</x:v>
      </x:c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</x:row>
    <x:row r="28" ht="19" customHeight="1">
      <x:c r="A28" s="1"/>
      <x:c r="B28" s="1"/>
      <x:c r="C28" s="2" t="str">
        <x:v>New-book charge-offs</x:v>
      </x:c>
      <x:c r="D28" s="2"/>
      <x:c r="E28" s="35" t="n">
        <x:f>SUMIFS(G28:AP28,$G$6:$AP$6,"&lt;="&amp;'Assumptions'!$E$7)</x:f>
        <x:v>157944297.7331944</x:v>
      </x:c>
      <x:c r="F28" s="2"/>
      <x:c r="G28" s="35" t="n">
        <x:f>IF('Assumptions'!$E$9=2,'Short-Term build'!G28,IF('Assumptions'!$E$9=3,'Installment build'!G28,'Short-Term build'!G28+'Installment build'!G28))</x:f>
        <x:v>0</x:v>
      </x:c>
      <x:c r="H28" s="35" t="n">
        <x:f>IF('Assumptions'!$E$9=2,'Short-Term build'!H28,IF('Assumptions'!$E$9=3,'Installment build'!H28,'Short-Term build'!H28+'Installment build'!H28))</x:f>
        <x:v>2359506.983585763</x:v>
      </x:c>
      <x:c r="I28" s="35" t="n">
        <x:f>IF('Assumptions'!$E$9=2,'Short-Term build'!I28,IF('Assumptions'!$E$9=3,'Installment build'!I28,'Short-Term build'!I28+'Installment build'!I28))</x:f>
        <x:v>4033544.912682344</x:v>
      </x:c>
      <x:c r="J28" s="35" t="n">
        <x:f>IF('Assumptions'!$E$9=2,'Short-Term build'!J28,IF('Assumptions'!$E$9=3,'Installment build'!J28,'Short-Term build'!J28+'Installment build'!J28))</x:f>
        <x:v>5186231.74582026</x:v>
      </x:c>
      <x:c r="K28" s="35" t="n">
        <x:f>IF('Assumptions'!$E$9=2,'Short-Term build'!K28,IF('Assumptions'!$E$9=3,'Installment build'!K28,'Short-Term build'!K28+'Installment build'!K28))</x:f>
        <x:v>6015205.4379475545</x:v>
      </x:c>
      <x:c r="L28" s="35" t="n">
        <x:f>IF('Assumptions'!$E$9=2,'Short-Term build'!L28,IF('Assumptions'!$E$9=3,'Installment build'!L28,'Short-Term build'!L28+'Installment build'!L28))</x:f>
        <x:v>6624169.414491846</x:v>
      </x:c>
      <x:c r="M28" s="35" t="n">
        <x:f>IF('Assumptions'!$E$9=2,'Short-Term build'!M28,IF('Assumptions'!$E$9=3,'Installment build'!M28,'Short-Term build'!M28+'Installment build'!M28))</x:f>
        <x:v>6944413.019972825</x:v>
      </x:c>
      <x:c r="N28" s="35" t="n">
        <x:f>IF('Assumptions'!$E$9=2,'Short-Term build'!N28,IF('Assumptions'!$E$9=3,'Installment build'!N28,'Short-Term build'!N28+'Installment build'!N28))</x:f>
        <x:v>7172792.984440684</x:v>
      </x:c>
      <x:c r="O28" s="35" t="n">
        <x:f>IF('Assumptions'!$E$9=2,'Short-Term build'!O28,IF('Assumptions'!$E$9=3,'Installment build'!O28,'Short-Term build'!O28+'Installment build'!O28))</x:f>
        <x:v>7357786.11807191</x:v>
      </x:c>
      <x:c r="P28" s="35" t="n">
        <x:f>IF('Assumptions'!$E$9=2,'Short-Term build'!P28,IF('Assumptions'!$E$9=3,'Installment build'!P28,'Short-Term build'!P28+'Installment build'!P28))</x:f>
        <x:v>7483376.474412079</x:v>
      </x:c>
      <x:c r="Q28" s="35" t="n">
        <x:f>IF('Assumptions'!$E$9=2,'Short-Term build'!Q28,IF('Assumptions'!$E$9=3,'Installment build'!Q28,'Short-Term build'!Q28+'Installment build'!Q28))</x:f>
        <x:v>7483376.474412079</x:v>
      </x:c>
      <x:c r="R28" s="35" t="n">
        <x:f>IF('Assumptions'!$E$9=2,'Short-Term build'!R28,IF('Assumptions'!$E$9=3,'Installment build'!R28,'Short-Term build'!R28+'Installment build'!R28))</x:f>
        <x:v>7483376.474412079</x:v>
      </x:c>
      <x:c r="S28" s="35" t="n">
        <x:f>IF('Assumptions'!$E$9=2,'Short-Term build'!S28,IF('Assumptions'!$E$9=3,'Installment build'!S28,'Short-Term build'!S28+'Installment build'!S28))</x:f>
        <x:v>7483376.474412079</x:v>
      </x:c>
      <x:c r="T28" s="35" t="n">
        <x:f>IF('Assumptions'!$E$9=2,'Short-Term build'!T28,IF('Assumptions'!$E$9=3,'Installment build'!T28,'Short-Term build'!T28+'Installment build'!T28))</x:f>
        <x:v>7483376.474412079</x:v>
      </x:c>
      <x:c r="U28" s="35" t="n">
        <x:f>IF('Assumptions'!$E$9=2,'Short-Term build'!U28,IF('Assumptions'!$E$9=3,'Installment build'!U28,'Short-Term build'!U28+'Installment build'!U28))</x:f>
        <x:v>7483376.474412079</x:v>
      </x:c>
      <x:c r="V28" s="35" t="n">
        <x:f>IF('Assumptions'!$E$9=2,'Short-Term build'!V28,IF('Assumptions'!$E$9=3,'Installment build'!V28,'Short-Term build'!V28+'Installment build'!V28))</x:f>
        <x:v>7483376.474412079</x:v>
      </x:c>
      <x:c r="W28" s="35" t="n">
        <x:f>IF('Assumptions'!$E$9=2,'Short-Term build'!W28,IF('Assumptions'!$E$9=3,'Installment build'!W28,'Short-Term build'!W28+'Installment build'!W28))</x:f>
        <x:v>7483376.474412079</x:v>
      </x:c>
      <x:c r="X28" s="35" t="n">
        <x:f>IF('Assumptions'!$E$9=2,'Short-Term build'!X28,IF('Assumptions'!$E$9=3,'Installment build'!X28,'Short-Term build'!X28+'Installment build'!X28))</x:f>
        <x:v>7483376.474412079</x:v>
      </x:c>
      <x:c r="Y28" s="35" t="n">
        <x:f>IF('Assumptions'!$E$9=2,'Short-Term build'!Y28,IF('Assumptions'!$E$9=3,'Installment build'!Y28,'Short-Term build'!Y28+'Installment build'!Y28))</x:f>
        <x:v>7483376.474412079</x:v>
      </x:c>
      <x:c r="Z28" s="35" t="n">
        <x:f>IF('Assumptions'!$E$9=2,'Short-Term build'!Z28,IF('Assumptions'!$E$9=3,'Installment build'!Z28,'Short-Term build'!Z28+'Installment build'!Z28))</x:f>
        <x:v>7483376.474412079</x:v>
      </x:c>
      <x:c r="AA28" s="35" t="n">
        <x:f>IF('Assumptions'!$E$9=2,'Short-Term build'!AA28,IF('Assumptions'!$E$9=3,'Installment build'!AA28,'Short-Term build'!AA28+'Installment build'!AA28))</x:f>
        <x:v>7483376.474412079</x:v>
      </x:c>
      <x:c r="AB28" s="35" t="n">
        <x:f>IF('Assumptions'!$E$9=2,'Short-Term build'!AB28,IF('Assumptions'!$E$9=3,'Installment build'!AB28,'Short-Term build'!AB28+'Installment build'!AB28))</x:f>
        <x:v>7483376.474412079</x:v>
      </x:c>
      <x:c r="AC28" s="35" t="n">
        <x:f>IF('Assumptions'!$E$9=2,'Short-Term build'!AC28,IF('Assumptions'!$E$9=3,'Installment build'!AC28,'Short-Term build'!AC28+'Installment build'!AC28))</x:f>
        <x:v>7483376.474412079</x:v>
      </x:c>
      <x:c r="AD28" s="35" t="n">
        <x:f>IF('Assumptions'!$E$9=2,'Short-Term build'!AD28,IF('Assumptions'!$E$9=3,'Installment build'!AD28,'Short-Term build'!AD28+'Installment build'!AD28))</x:f>
        <x:v>7483376.474412079</x:v>
      </x:c>
      <x:c r="AE28" s="35" t="n">
        <x:f>IF('Assumptions'!$E$9=2,'Short-Term build'!AE28,IF('Assumptions'!$E$9=3,'Installment build'!AE28,'Short-Term build'!AE28+'Installment build'!AE28))</x:f>
        <x:v>7483376.474412079</x:v>
      </x:c>
      <x:c r="AF28" s="35" t="n">
        <x:f>IF('Assumptions'!$E$9=2,'Short-Term build'!AF28,IF('Assumptions'!$E$9=3,'Installment build'!AF28,'Short-Term build'!AF28+'Installment build'!AF28))</x:f>
        <x:v>7483376.474412079</x:v>
      </x:c>
      <x:c r="AG28" s="35" t="n">
        <x:f>IF('Assumptions'!$E$9=2,'Short-Term build'!AG28,IF('Assumptions'!$E$9=3,'Installment build'!AG28,'Short-Term build'!AG28+'Installment build'!AG28))</x:f>
        <x:v>7483376.474412079</x:v>
      </x:c>
      <x:c r="AH28" s="35" t="n">
        <x:f>IF('Assumptions'!$E$9=2,'Short-Term build'!AH28,IF('Assumptions'!$E$9=3,'Installment build'!AH28,'Short-Term build'!AH28+'Installment build'!AH28))</x:f>
        <x:v>7483376.474412079</x:v>
      </x:c>
      <x:c r="AI28" s="35" t="n">
        <x:f>IF('Assumptions'!$E$9=2,'Short-Term build'!AI28,IF('Assumptions'!$E$9=3,'Installment build'!AI28,'Short-Term build'!AI28+'Installment build'!AI28))</x:f>
        <x:v>7483376.474412079</x:v>
      </x:c>
      <x:c r="AJ28" s="35" t="n">
        <x:f>IF('Assumptions'!$E$9=2,'Short-Term build'!AJ28,IF('Assumptions'!$E$9=3,'Installment build'!AJ28,'Short-Term build'!AJ28+'Installment build'!AJ28))</x:f>
        <x:v>7483376.474412079</x:v>
      </x:c>
      <x:c r="AK28" s="35" t="n">
        <x:f>IF('Assumptions'!$E$9=2,'Short-Term build'!AK28,IF('Assumptions'!$E$9=3,'Installment build'!AK28,'Short-Term build'!AK28+'Installment build'!AK28))</x:f>
        <x:v>7483376.474412079</x:v>
      </x:c>
      <x:c r="AL28" s="35" t="n">
        <x:f>IF('Assumptions'!$E$9=2,'Short-Term build'!AL28,IF('Assumptions'!$E$9=3,'Installment build'!AL28,'Short-Term build'!AL28+'Installment build'!AL28))</x:f>
        <x:v>7483376.474412079</x:v>
      </x:c>
      <x:c r="AM28" s="35" t="n">
        <x:f>IF('Assumptions'!$E$9=2,'Short-Term build'!AM28,IF('Assumptions'!$E$9=3,'Installment build'!AM28,'Short-Term build'!AM28+'Installment build'!AM28))</x:f>
        <x:v>7483376.474412079</x:v>
      </x:c>
      <x:c r="AN28" s="35" t="n">
        <x:f>IF('Assumptions'!$E$9=2,'Short-Term build'!AN28,IF('Assumptions'!$E$9=3,'Installment build'!AN28,'Short-Term build'!AN28+'Installment build'!AN28))</x:f>
        <x:v>7483376.474412079</x:v>
      </x:c>
      <x:c r="AO28" s="35" t="n">
        <x:f>IF('Assumptions'!$E$9=2,'Short-Term build'!AO28,IF('Assumptions'!$E$9=3,'Installment build'!AO28,'Short-Term build'!AO28+'Installment build'!AO28))</x:f>
        <x:v>7483376.474412079</x:v>
      </x:c>
      <x:c r="AP28" s="35" t="n">
        <x:f>IF('Assumptions'!$E$9=2,'Short-Term build'!AP28,IF('Assumptions'!$E$9=3,'Installment build'!AP28,'Short-Term build'!AP28+'Installment build'!AP28))</x:f>
        <x:v>7483376.474412079</x:v>
      </x:c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</x:row>
    <x:row r="29" ht="19" customHeight="1">
      <x:c r="A29" s="1"/>
      <x:c r="B29" s="1"/>
      <x:c r="C29" s="2" t="str">
        <x:v>Opening-book repayments</x:v>
      </x:c>
      <x:c r="D29" s="2"/>
      <x:c r="E29" s="35" t="n">
        <x:f>SUMIFS(G29:AP29,$G$6:$AP$6,"&lt;="&amp;'Assumptions'!$E$7)</x:f>
        <x:v>489214384.9646387</x:v>
      </x:c>
      <x:c r="F29" s="2"/>
      <x:c r="G29" s="35" t="n">
        <x:f>IF('Assumptions'!$E$9=2,'Short-Term build'!G29,IF('Assumptions'!$E$9=3,'Installment build'!G29,'Short-Term build'!G29+'Installment build'!G29))</x:f>
        <x:v>233823445.6490111</x:v>
      </x:c>
      <x:c r="H29" s="35" t="n">
        <x:f>IF('Assumptions'!$E$9=2,'Short-Term build'!H29,IF('Assumptions'!$E$9=3,'Installment build'!H29,'Short-Term build'!H29+'Installment build'!H29))</x:f>
        <x:v>117402049.84392494</x:v>
      </x:c>
      <x:c r="I29" s="35" t="n">
        <x:f>IF('Assumptions'!$E$9=2,'Short-Term build'!I29,IF('Assumptions'!$E$9=3,'Installment build'!I29,'Short-Term build'!I29+'Installment build'!I29))</x:f>
        <x:v>64087243.033120036</x:v>
      </x:c>
      <x:c r="J29" s="35" t="n">
        <x:f>IF('Assumptions'!$E$9=2,'Short-Term build'!J29,IF('Assumptions'!$E$9=3,'Installment build'!J29,'Short-Term build'!J29+'Installment build'!J29))</x:f>
        <x:v>35479116.53575233</x:v>
      </x:c>
      <x:c r="K29" s="35" t="n">
        <x:f>IF('Assumptions'!$E$9=2,'Short-Term build'!K29,IF('Assumptions'!$E$9=3,'Installment build'!K29,'Short-Term build'!K29+'Installment build'!K29))</x:f>
        <x:v>19428239.01239329</x:v>
      </x:c>
      <x:c r="L29" s="35" t="n">
        <x:f>IF('Assumptions'!$E$9=2,'Short-Term build'!L29,IF('Assumptions'!$E$9=3,'Installment build'!L29,'Short-Term build'!L29+'Installment build'!L29))</x:f>
        <x:v>10321323.425682805</x:v>
      </x:c>
      <x:c r="M29" s="35" t="n">
        <x:f>IF('Assumptions'!$E$9=2,'Short-Term build'!M29,IF('Assumptions'!$E$9=3,'Installment build'!M29,'Short-Term build'!M29+'Installment build'!M29))</x:f>
        <x:v>5353777.125410465</x:v>
      </x:c>
      <x:c r="N29" s="35" t="n">
        <x:f>IF('Assumptions'!$E$9=2,'Short-Term build'!N29,IF('Assumptions'!$E$9=3,'Installment build'!N29,'Short-Term build'!N29+'Installment build'!N29))</x:f>
        <x:v>2467015.1843680954</x:v>
      </x:c>
      <x:c r="O29" s="35" t="n">
        <x:f>IF('Assumptions'!$E$9=2,'Short-Term build'!O29,IF('Assumptions'!$E$9=3,'Installment build'!O29,'Short-Term build'!O29+'Installment build'!O29))</x:f>
        <x:v>852175.1549757246</x:v>
      </x:c>
      <x:c r="P29" s="35" t="n">
        <x:f>IF('Assumptions'!$E$9=2,'Short-Term build'!P29,IF('Assumptions'!$E$9=3,'Installment build'!P29,'Short-Term build'!P29+'Installment build'!P29))</x:f>
        <x:v>0</x:v>
      </x:c>
      <x:c r="Q29" s="35" t="n">
        <x:f>IF('Assumptions'!$E$9=2,'Short-Term build'!Q29,IF('Assumptions'!$E$9=3,'Installment build'!Q29,'Short-Term build'!Q29+'Installment build'!Q29))</x:f>
        <x:v>0</x:v>
      </x:c>
      <x:c r="R29" s="35" t="n">
        <x:f>IF('Assumptions'!$E$9=2,'Short-Term build'!R29,IF('Assumptions'!$E$9=3,'Installment build'!R29,'Short-Term build'!R29+'Installment build'!R29))</x:f>
        <x:v>0</x:v>
      </x:c>
      <x:c r="S29" s="35" t="n">
        <x:f>IF('Assumptions'!$E$9=2,'Short-Term build'!S29,IF('Assumptions'!$E$9=3,'Installment build'!S29,'Short-Term build'!S29+'Installment build'!S29))</x:f>
        <x:v>0</x:v>
      </x:c>
      <x:c r="T29" s="35" t="n">
        <x:f>IF('Assumptions'!$E$9=2,'Short-Term build'!T29,IF('Assumptions'!$E$9=3,'Installment build'!T29,'Short-Term build'!T29+'Installment build'!T29))</x:f>
        <x:v>0</x:v>
      </x:c>
      <x:c r="U29" s="35" t="n">
        <x:f>IF('Assumptions'!$E$9=2,'Short-Term build'!U29,IF('Assumptions'!$E$9=3,'Installment build'!U29,'Short-Term build'!U29+'Installment build'!U29))</x:f>
        <x:v>0</x:v>
      </x:c>
      <x:c r="V29" s="35" t="n">
        <x:f>IF('Assumptions'!$E$9=2,'Short-Term build'!V29,IF('Assumptions'!$E$9=3,'Installment build'!V29,'Short-Term build'!V29+'Installment build'!V29))</x:f>
        <x:v>0</x:v>
      </x:c>
      <x:c r="W29" s="35" t="n">
        <x:f>IF('Assumptions'!$E$9=2,'Short-Term build'!W29,IF('Assumptions'!$E$9=3,'Installment build'!W29,'Short-Term build'!W29+'Installment build'!W29))</x:f>
        <x:v>0</x:v>
      </x:c>
      <x:c r="X29" s="35" t="n">
        <x:f>IF('Assumptions'!$E$9=2,'Short-Term build'!X29,IF('Assumptions'!$E$9=3,'Installment build'!X29,'Short-Term build'!X29+'Installment build'!X29))</x:f>
        <x:v>0</x:v>
      </x:c>
      <x:c r="Y29" s="35" t="n">
        <x:f>IF('Assumptions'!$E$9=2,'Short-Term build'!Y29,IF('Assumptions'!$E$9=3,'Installment build'!Y29,'Short-Term build'!Y29+'Installment build'!Y29))</x:f>
        <x:v>0</x:v>
      </x:c>
      <x:c r="Z29" s="35" t="n">
        <x:f>IF('Assumptions'!$E$9=2,'Short-Term build'!Z29,IF('Assumptions'!$E$9=3,'Installment build'!Z29,'Short-Term build'!Z29+'Installment build'!Z29))</x:f>
        <x:v>0</x:v>
      </x:c>
      <x:c r="AA29" s="35" t="n">
        <x:f>IF('Assumptions'!$E$9=2,'Short-Term build'!AA29,IF('Assumptions'!$E$9=3,'Installment build'!AA29,'Short-Term build'!AA29+'Installment build'!AA29))</x:f>
        <x:v>0</x:v>
      </x:c>
      <x:c r="AB29" s="35" t="n">
        <x:f>IF('Assumptions'!$E$9=2,'Short-Term build'!AB29,IF('Assumptions'!$E$9=3,'Installment build'!AB29,'Short-Term build'!AB29+'Installment build'!AB29))</x:f>
        <x:v>0</x:v>
      </x:c>
      <x:c r="AC29" s="35" t="n">
        <x:f>IF('Assumptions'!$E$9=2,'Short-Term build'!AC29,IF('Assumptions'!$E$9=3,'Installment build'!AC29,'Short-Term build'!AC29+'Installment build'!AC29))</x:f>
        <x:v>0</x:v>
      </x:c>
      <x:c r="AD29" s="35" t="n">
        <x:f>IF('Assumptions'!$E$9=2,'Short-Term build'!AD29,IF('Assumptions'!$E$9=3,'Installment build'!AD29,'Short-Term build'!AD29+'Installment build'!AD29))</x:f>
        <x:v>0</x:v>
      </x:c>
      <x:c r="AE29" s="35" t="n">
        <x:f>IF('Assumptions'!$E$9=2,'Short-Term build'!AE29,IF('Assumptions'!$E$9=3,'Installment build'!AE29,'Short-Term build'!AE29+'Installment build'!AE29))</x:f>
        <x:v>0</x:v>
      </x:c>
      <x:c r="AF29" s="35" t="n">
        <x:f>IF('Assumptions'!$E$9=2,'Short-Term build'!AF29,IF('Assumptions'!$E$9=3,'Installment build'!AF29,'Short-Term build'!AF29+'Installment build'!AF29))</x:f>
        <x:v>0</x:v>
      </x:c>
      <x:c r="AG29" s="35" t="n">
        <x:f>IF('Assumptions'!$E$9=2,'Short-Term build'!AG29,IF('Assumptions'!$E$9=3,'Installment build'!AG29,'Short-Term build'!AG29+'Installment build'!AG29))</x:f>
        <x:v>0</x:v>
      </x:c>
      <x:c r="AH29" s="35" t="n">
        <x:f>IF('Assumptions'!$E$9=2,'Short-Term build'!AH29,IF('Assumptions'!$E$9=3,'Installment build'!AH29,'Short-Term build'!AH29+'Installment build'!AH29))</x:f>
        <x:v>0</x:v>
      </x:c>
      <x:c r="AI29" s="35" t="n">
        <x:f>IF('Assumptions'!$E$9=2,'Short-Term build'!AI29,IF('Assumptions'!$E$9=3,'Installment build'!AI29,'Short-Term build'!AI29+'Installment build'!AI29))</x:f>
        <x:v>0</x:v>
      </x:c>
      <x:c r="AJ29" s="35" t="n">
        <x:f>IF('Assumptions'!$E$9=2,'Short-Term build'!AJ29,IF('Assumptions'!$E$9=3,'Installment build'!AJ29,'Short-Term build'!AJ29+'Installment build'!AJ29))</x:f>
        <x:v>0</x:v>
      </x:c>
      <x:c r="AK29" s="35" t="n">
        <x:f>IF('Assumptions'!$E$9=2,'Short-Term build'!AK29,IF('Assumptions'!$E$9=3,'Installment build'!AK29,'Short-Term build'!AK29+'Installment build'!AK29))</x:f>
        <x:v>0</x:v>
      </x:c>
      <x:c r="AL29" s="35" t="n">
        <x:f>IF('Assumptions'!$E$9=2,'Short-Term build'!AL29,IF('Assumptions'!$E$9=3,'Installment build'!AL29,'Short-Term build'!AL29+'Installment build'!AL29))</x:f>
        <x:v>0</x:v>
      </x:c>
      <x:c r="AM29" s="35" t="n">
        <x:f>IF('Assumptions'!$E$9=2,'Short-Term build'!AM29,IF('Assumptions'!$E$9=3,'Installment build'!AM29,'Short-Term build'!AM29+'Installment build'!AM29))</x:f>
        <x:v>0</x:v>
      </x:c>
      <x:c r="AN29" s="35" t="n">
        <x:f>IF('Assumptions'!$E$9=2,'Short-Term build'!AN29,IF('Assumptions'!$E$9=3,'Installment build'!AN29,'Short-Term build'!AN29+'Installment build'!AN29))</x:f>
        <x:v>0</x:v>
      </x:c>
      <x:c r="AO29" s="35" t="n">
        <x:f>IF('Assumptions'!$E$9=2,'Short-Term build'!AO29,IF('Assumptions'!$E$9=3,'Installment build'!AO29,'Short-Term build'!AO29+'Installment build'!AO29))</x:f>
        <x:v>0</x:v>
      </x:c>
      <x:c r="AP29" s="35" t="n">
        <x:f>IF('Assumptions'!$E$9=2,'Short-Term build'!AP29,IF('Assumptions'!$E$9=3,'Installment build'!AP29,'Short-Term build'!AP29+'Installment build'!AP29))</x:f>
        <x:v>0</x:v>
      </x:c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</x:row>
    <x:row r="30" ht="19" customHeight="1">
      <x:c r="A30" s="1"/>
      <x:c r="B30" s="1"/>
      <x:c r="C30" s="2" t="str">
        <x:v>New-book repayments</x:v>
      </x:c>
      <x:c r="D30" s="2"/>
      <x:c r="E30" s="35" t="n">
        <x:f>SUMIFS(G30:AP30,$G$6:$AP$6,"&lt;="&amp;'Assumptions'!$E$7)</x:f>
        <x:v>582763175.9387703</x:v>
      </x:c>
      <x:c r="F30" s="2"/>
      <x:c r="G30" s="35" t="n">
        <x:f>IF('Assumptions'!$E$9=2,'Short-Term build'!G30,IF('Assumptions'!$E$9=3,'Installment build'!G30,'Short-Term build'!G30+'Installment build'!G30))</x:f>
        <x:v>0</x:v>
      </x:c>
      <x:c r="H30" s="35" t="n">
        <x:f>IF('Assumptions'!$E$9=2,'Short-Term build'!H30,IF('Assumptions'!$E$9=3,'Installment build'!H30,'Short-Term build'!H30+'Installment build'!H30))</x:f>
        <x:v>8707100.65023188</x:v>
      </x:c>
      <x:c r="I30" s="35" t="n">
        <x:f>IF('Assumptions'!$E$9=2,'Short-Term build'!I30,IF('Assumptions'!$E$9=3,'Installment build'!I30,'Short-Term build'!I30+'Installment build'!I30))</x:f>
        <x:v>14819919.714236028</x:v>
      </x:c>
      <x:c r="J30" s="35" t="n">
        <x:f>IF('Assumptions'!$E$9=2,'Short-Term build'!J30,IF('Assumptions'!$E$9=3,'Installment build'!J30,'Short-Term build'!J30+'Installment build'!J30))</x:f>
        <x:v>19153310.404800784</x:v>
      </x:c>
      <x:c r="K30" s="35" t="n">
        <x:f>IF('Assumptions'!$E$9=2,'Short-Term build'!K30,IF('Assumptions'!$E$9=3,'Installment build'!K30,'Short-Term build'!K30+'Installment build'!K30))</x:f>
        <x:v>22188443.818519488</x:v>
      </x:c>
      <x:c r="L30" s="35" t="n">
        <x:f>IF('Assumptions'!$E$9=2,'Short-Term build'!L30,IF('Assumptions'!$E$9=3,'Installment build'!L30,'Short-Term build'!L30+'Installment build'!L30))</x:f>
        <x:v>24274750.58200942</x:v>
      </x:c>
      <x:c r="M30" s="35" t="n">
        <x:f>IF('Assumptions'!$E$9=2,'Short-Term build'!M30,IF('Assumptions'!$E$9=3,'Installment build'!M30,'Short-Term build'!M30+'Installment build'!M30))</x:f>
        <x:v>25621725.738710217</x:v>
      </x:c>
      <x:c r="N30" s="35" t="n">
        <x:f>IF('Assumptions'!$E$9=2,'Short-Term build'!N30,IF('Assumptions'!$E$9=3,'Installment build'!N30,'Short-Term build'!N30+'Installment build'!N30))</x:f>
        <x:v>26556588.09261573</x:v>
      </x:c>
      <x:c r="O30" s="35" t="n">
        <x:f>IF('Assumptions'!$E$9=2,'Short-Term build'!O30,IF('Assumptions'!$E$9=3,'Installment build'!O30,'Short-Term build'!O30+'Installment build'!O30))</x:f>
        <x:v>27191984.05382799</x:v>
      </x:c>
      <x:c r="P30" s="35" t="n">
        <x:f>IF('Assumptions'!$E$9=2,'Short-Term build'!P30,IF('Assumptions'!$E$9=3,'Installment build'!P30,'Short-Term build'!P30+'Installment build'!P30))</x:f>
        <x:v>27616623.525587924</x:v>
      </x:c>
      <x:c r="Q30" s="35" t="n">
        <x:f>IF('Assumptions'!$E$9=2,'Short-Term build'!Q30,IF('Assumptions'!$E$9=3,'Installment build'!Q30,'Short-Term build'!Q30+'Installment build'!Q30))</x:f>
        <x:v>27616623.525587924</x:v>
      </x:c>
      <x:c r="R30" s="35" t="n">
        <x:f>IF('Assumptions'!$E$9=2,'Short-Term build'!R30,IF('Assumptions'!$E$9=3,'Installment build'!R30,'Short-Term build'!R30+'Installment build'!R30))</x:f>
        <x:v>27616623.525587924</x:v>
      </x:c>
      <x:c r="S30" s="35" t="n">
        <x:f>IF('Assumptions'!$E$9=2,'Short-Term build'!S30,IF('Assumptions'!$E$9=3,'Installment build'!S30,'Short-Term build'!S30+'Installment build'!S30))</x:f>
        <x:v>27616623.525587924</x:v>
      </x:c>
      <x:c r="T30" s="35" t="n">
        <x:f>IF('Assumptions'!$E$9=2,'Short-Term build'!T30,IF('Assumptions'!$E$9=3,'Installment build'!T30,'Short-Term build'!T30+'Installment build'!T30))</x:f>
        <x:v>27616623.525587924</x:v>
      </x:c>
      <x:c r="U30" s="35" t="n">
        <x:f>IF('Assumptions'!$E$9=2,'Short-Term build'!U30,IF('Assumptions'!$E$9=3,'Installment build'!U30,'Short-Term build'!U30+'Installment build'!U30))</x:f>
        <x:v>27616623.525587924</x:v>
      </x:c>
      <x:c r="V30" s="35" t="n">
        <x:f>IF('Assumptions'!$E$9=2,'Short-Term build'!V30,IF('Assumptions'!$E$9=3,'Installment build'!V30,'Short-Term build'!V30+'Installment build'!V30))</x:f>
        <x:v>27616623.525587924</x:v>
      </x:c>
      <x:c r="W30" s="35" t="n">
        <x:f>IF('Assumptions'!$E$9=2,'Short-Term build'!W30,IF('Assumptions'!$E$9=3,'Installment build'!W30,'Short-Term build'!W30+'Installment build'!W30))</x:f>
        <x:v>27616623.525587924</x:v>
      </x:c>
      <x:c r="X30" s="35" t="n">
        <x:f>IF('Assumptions'!$E$9=2,'Short-Term build'!X30,IF('Assumptions'!$E$9=3,'Installment build'!X30,'Short-Term build'!X30+'Installment build'!X30))</x:f>
        <x:v>27616623.525587924</x:v>
      </x:c>
      <x:c r="Y30" s="35" t="n">
        <x:f>IF('Assumptions'!$E$9=2,'Short-Term build'!Y30,IF('Assumptions'!$E$9=3,'Installment build'!Y30,'Short-Term build'!Y30+'Installment build'!Y30))</x:f>
        <x:v>27616623.525587924</x:v>
      </x:c>
      <x:c r="Z30" s="35" t="n">
        <x:f>IF('Assumptions'!$E$9=2,'Short-Term build'!Z30,IF('Assumptions'!$E$9=3,'Installment build'!Z30,'Short-Term build'!Z30+'Installment build'!Z30))</x:f>
        <x:v>27616623.525587924</x:v>
      </x:c>
      <x:c r="AA30" s="35" t="n">
        <x:f>IF('Assumptions'!$E$9=2,'Short-Term build'!AA30,IF('Assumptions'!$E$9=3,'Installment build'!AA30,'Short-Term build'!AA30+'Installment build'!AA30))</x:f>
        <x:v>27616623.525587924</x:v>
      </x:c>
      <x:c r="AB30" s="35" t="n">
        <x:f>IF('Assumptions'!$E$9=2,'Short-Term build'!AB30,IF('Assumptions'!$E$9=3,'Installment build'!AB30,'Short-Term build'!AB30+'Installment build'!AB30))</x:f>
        <x:v>27616623.525587924</x:v>
      </x:c>
      <x:c r="AC30" s="35" t="n">
        <x:f>IF('Assumptions'!$E$9=2,'Short-Term build'!AC30,IF('Assumptions'!$E$9=3,'Installment build'!AC30,'Short-Term build'!AC30+'Installment build'!AC30))</x:f>
        <x:v>27616623.525587924</x:v>
      </x:c>
      <x:c r="AD30" s="35" t="n">
        <x:f>IF('Assumptions'!$E$9=2,'Short-Term build'!AD30,IF('Assumptions'!$E$9=3,'Installment build'!AD30,'Short-Term build'!AD30+'Installment build'!AD30))</x:f>
        <x:v>27616623.525587924</x:v>
      </x:c>
      <x:c r="AE30" s="35" t="n">
        <x:f>IF('Assumptions'!$E$9=2,'Short-Term build'!AE30,IF('Assumptions'!$E$9=3,'Installment build'!AE30,'Short-Term build'!AE30+'Installment build'!AE30))</x:f>
        <x:v>27616623.525587924</x:v>
      </x:c>
      <x:c r="AF30" s="35" t="n">
        <x:f>IF('Assumptions'!$E$9=2,'Short-Term build'!AF30,IF('Assumptions'!$E$9=3,'Installment build'!AF30,'Short-Term build'!AF30+'Installment build'!AF30))</x:f>
        <x:v>27616623.525587924</x:v>
      </x:c>
      <x:c r="AG30" s="35" t="n">
        <x:f>IF('Assumptions'!$E$9=2,'Short-Term build'!AG30,IF('Assumptions'!$E$9=3,'Installment build'!AG30,'Short-Term build'!AG30+'Installment build'!AG30))</x:f>
        <x:v>27616623.525587924</x:v>
      </x:c>
      <x:c r="AH30" s="35" t="n">
        <x:f>IF('Assumptions'!$E$9=2,'Short-Term build'!AH30,IF('Assumptions'!$E$9=3,'Installment build'!AH30,'Short-Term build'!AH30+'Installment build'!AH30))</x:f>
        <x:v>27616623.525587924</x:v>
      </x:c>
      <x:c r="AI30" s="35" t="n">
        <x:f>IF('Assumptions'!$E$9=2,'Short-Term build'!AI30,IF('Assumptions'!$E$9=3,'Installment build'!AI30,'Short-Term build'!AI30+'Installment build'!AI30))</x:f>
        <x:v>27616623.525587924</x:v>
      </x:c>
      <x:c r="AJ30" s="35" t="n">
        <x:f>IF('Assumptions'!$E$9=2,'Short-Term build'!AJ30,IF('Assumptions'!$E$9=3,'Installment build'!AJ30,'Short-Term build'!AJ30+'Installment build'!AJ30))</x:f>
        <x:v>27616623.525587924</x:v>
      </x:c>
      <x:c r="AK30" s="35" t="n">
        <x:f>IF('Assumptions'!$E$9=2,'Short-Term build'!AK30,IF('Assumptions'!$E$9=3,'Installment build'!AK30,'Short-Term build'!AK30+'Installment build'!AK30))</x:f>
        <x:v>27616623.525587924</x:v>
      </x:c>
      <x:c r="AL30" s="35" t="n">
        <x:f>IF('Assumptions'!$E$9=2,'Short-Term build'!AL30,IF('Assumptions'!$E$9=3,'Installment build'!AL30,'Short-Term build'!AL30+'Installment build'!AL30))</x:f>
        <x:v>27616623.525587924</x:v>
      </x:c>
      <x:c r="AM30" s="35" t="n">
        <x:f>IF('Assumptions'!$E$9=2,'Short-Term build'!AM30,IF('Assumptions'!$E$9=3,'Installment build'!AM30,'Short-Term build'!AM30+'Installment build'!AM30))</x:f>
        <x:v>27616623.525587924</x:v>
      </x:c>
      <x:c r="AN30" s="35" t="n">
        <x:f>IF('Assumptions'!$E$9=2,'Short-Term build'!AN30,IF('Assumptions'!$E$9=3,'Installment build'!AN30,'Short-Term build'!AN30+'Installment build'!AN30))</x:f>
        <x:v>27616623.525587924</x:v>
      </x:c>
      <x:c r="AO30" s="35" t="n">
        <x:f>IF('Assumptions'!$E$9=2,'Short-Term build'!AO30,IF('Assumptions'!$E$9=3,'Installment build'!AO30,'Short-Term build'!AO30+'Installment build'!AO30))</x:f>
        <x:v>27616623.525587924</x:v>
      </x:c>
      <x:c r="AP30" s="35" t="n">
        <x:f>IF('Assumptions'!$E$9=2,'Short-Term build'!AP30,IF('Assumptions'!$E$9=3,'Installment build'!AP30,'Short-Term build'!AP30+'Installment build'!AP30))</x:f>
        <x:v>27616623.525587924</x:v>
      </x:c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</x:row>
    <x:row r="31" ht="19" customHeight="1">
      <x:c r="A31" s="1"/>
      <x:c r="B31" s="1"/>
      <x:c r="C31" s="2"/>
      <x:c r="D31" s="2"/>
      <x:c r="E31" s="35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</x:row>
    <x:row r="32" ht="19" customHeight="1">
      <x:c r="A32" s="1"/>
      <x:c r="B32" s="1"/>
      <x:c r="C32" s="2" t="str">
        <x:v>Opening-book revenue</x:v>
      </x:c>
      <x:c r="D32" s="2"/>
      <x:c r="E32" s="35" t="n">
        <x:f>SUMIFS(G32:AP32,$G$6:$AP$6,"&lt;="&amp;'Assumptions'!$E$7)</x:f>
        <x:v>71252904.89431152</x:v>
      </x:c>
      <x:c r="F32" s="2"/>
      <x:c r="G32" s="35" t="n">
        <x:f>IF('Assumptions'!$E$9=2,'Short-Term build'!G32,IF('Assumptions'!$E$9=3,'Installment build'!G32,'Short-Term build'!G32+'Installment build'!G32))</x:f>
        <x:v>34335519.904440455</x:v>
      </x:c>
      <x:c r="H32" s="35" t="n">
        <x:f>IF('Assumptions'!$E$9=2,'Short-Term build'!H32,IF('Assumptions'!$E$9=3,'Installment build'!H32,'Short-Term build'!H32+'Installment build'!H32))</x:f>
        <x:v>17784439.219186127</x:v>
      </x:c>
      <x:c r="I32" s="35" t="n">
        <x:f>IF('Assumptions'!$E$9=2,'Short-Term build'!I32,IF('Assumptions'!$E$9=3,'Installment build'!I32,'Short-Term build'!I32+'Installment build'!I32))</x:f>
        <x:v>9494950.313593466</x:v>
      </x:c>
      <x:c r="J32" s="35" t="n">
        <x:f>IF('Assumptions'!$E$9=2,'Short-Term build'!J32,IF('Assumptions'!$E$9=3,'Installment build'!J32,'Short-Term build'!J32+'Installment build'!J32))</x:f>
        <x:v>5014242.234600494</x:v>
      </x:c>
      <x:c r="K32" s="35" t="n">
        <x:f>IF('Assumptions'!$E$9=2,'Short-Term build'!K32,IF('Assumptions'!$E$9=3,'Installment build'!K32,'Short-Term build'!K32+'Installment build'!K32))</x:f>
        <x:v>2565869.845753812</x:v>
      </x:c>
      <x:c r="L32" s="35" t="n">
        <x:f>IF('Assumptions'!$E$9=2,'Short-Term build'!L32,IF('Assumptions'!$E$9=3,'Installment build'!L32,'Short-Term build'!L32+'Installment build'!L32))</x:f>
        <x:v>1249909.655417854</x:v>
      </x:c>
      <x:c r="M32" s="35" t="n">
        <x:f>IF('Assumptions'!$E$9=2,'Short-Term build'!M32,IF('Assumptions'!$E$9=3,'Installment build'!M32,'Short-Term build'!M32+'Installment build'!M32))</x:f>
        <x:v>556554.924071128</x:v>
      </x:c>
      <x:c r="N32" s="35" t="n">
        <x:f>IF('Assumptions'!$E$9=2,'Short-Term build'!N32,IF('Assumptions'!$E$9=3,'Installment build'!N32,'Short-Term build'!N32+'Installment build'!N32))</x:f>
        <x:v>203545.7179091715</x:v>
      </x:c>
      <x:c r="O32" s="35" t="n">
        <x:f>IF('Assumptions'!$E$9=2,'Short-Term build'!O32,IF('Assumptions'!$E$9=3,'Installment build'!O32,'Short-Term build'!O32+'Installment build'!O32))</x:f>
        <x:v>47873.079339224976</x:v>
      </x:c>
      <x:c r="P32" s="35" t="n">
        <x:f>IF('Assumptions'!$E$9=2,'Short-Term build'!P32,IF('Assumptions'!$E$9=3,'Installment build'!P32,'Short-Term build'!P32+'Installment build'!P32))</x:f>
        <x:v>-1.1602727075417835e-8</x:v>
      </x:c>
      <x:c r="Q32" s="35" t="n">
        <x:f>IF('Assumptions'!$E$9=2,'Short-Term build'!Q32,IF('Assumptions'!$E$9=3,'Installment build'!Q32,'Short-Term build'!Q32+'Installment build'!Q32))</x:f>
        <x:v>-1.1602727075417835e-8</x:v>
      </x:c>
      <x:c r="R32" s="35" t="n">
        <x:f>IF('Assumptions'!$E$9=2,'Short-Term build'!R32,IF('Assumptions'!$E$9=3,'Installment build'!R32,'Short-Term build'!R32+'Installment build'!R32))</x:f>
        <x:v>-1.1602727075417835e-8</x:v>
      </x:c>
      <x:c r="S32" s="35" t="n">
        <x:f>IF('Assumptions'!$E$9=2,'Short-Term build'!S32,IF('Assumptions'!$E$9=3,'Installment build'!S32,'Short-Term build'!S32+'Installment build'!S32))</x:f>
        <x:v>-1.1602727075417835e-8</x:v>
      </x:c>
      <x:c r="T32" s="35" t="n">
        <x:f>IF('Assumptions'!$E$9=2,'Short-Term build'!T32,IF('Assumptions'!$E$9=3,'Installment build'!T32,'Short-Term build'!T32+'Installment build'!T32))</x:f>
        <x:v>-1.1602727075417835e-8</x:v>
      </x:c>
      <x:c r="U32" s="35" t="n">
        <x:f>IF('Assumptions'!$E$9=2,'Short-Term build'!U32,IF('Assumptions'!$E$9=3,'Installment build'!U32,'Short-Term build'!U32+'Installment build'!U32))</x:f>
        <x:v>-1.1602727075417835e-8</x:v>
      </x:c>
      <x:c r="V32" s="35" t="n">
        <x:f>IF('Assumptions'!$E$9=2,'Short-Term build'!V32,IF('Assumptions'!$E$9=3,'Installment build'!V32,'Short-Term build'!V32+'Installment build'!V32))</x:f>
        <x:v>-1.1602727075417835e-8</x:v>
      </x:c>
      <x:c r="W32" s="35" t="n">
        <x:f>IF('Assumptions'!$E$9=2,'Short-Term build'!W32,IF('Assumptions'!$E$9=3,'Installment build'!W32,'Short-Term build'!W32+'Installment build'!W32))</x:f>
        <x:v>-1.1602727075417835e-8</x:v>
      </x:c>
      <x:c r="X32" s="35" t="n">
        <x:f>IF('Assumptions'!$E$9=2,'Short-Term build'!X32,IF('Assumptions'!$E$9=3,'Installment build'!X32,'Short-Term build'!X32+'Installment build'!X32))</x:f>
        <x:v>-1.1602727075417835e-8</x:v>
      </x:c>
      <x:c r="Y32" s="35" t="n">
        <x:f>IF('Assumptions'!$E$9=2,'Short-Term build'!Y32,IF('Assumptions'!$E$9=3,'Installment build'!Y32,'Short-Term build'!Y32+'Installment build'!Y32))</x:f>
        <x:v>-1.1602727075417835e-8</x:v>
      </x:c>
      <x:c r="Z32" s="35" t="n">
        <x:f>IF('Assumptions'!$E$9=2,'Short-Term build'!Z32,IF('Assumptions'!$E$9=3,'Installment build'!Z32,'Short-Term build'!Z32+'Installment build'!Z32))</x:f>
        <x:v>-1.1602727075417835e-8</x:v>
      </x:c>
      <x:c r="AA32" s="35" t="n">
        <x:f>IF('Assumptions'!$E$9=2,'Short-Term build'!AA32,IF('Assumptions'!$E$9=3,'Installment build'!AA32,'Short-Term build'!AA32+'Installment build'!AA32))</x:f>
        <x:v>-1.1602727075417835e-8</x:v>
      </x:c>
      <x:c r="AB32" s="35" t="n">
        <x:f>IF('Assumptions'!$E$9=2,'Short-Term build'!AB32,IF('Assumptions'!$E$9=3,'Installment build'!AB32,'Short-Term build'!AB32+'Installment build'!AB32))</x:f>
        <x:v>-1.1602727075417835e-8</x:v>
      </x:c>
      <x:c r="AC32" s="35" t="n">
        <x:f>IF('Assumptions'!$E$9=2,'Short-Term build'!AC32,IF('Assumptions'!$E$9=3,'Installment build'!AC32,'Short-Term build'!AC32+'Installment build'!AC32))</x:f>
        <x:v>-1.1602727075417835e-8</x:v>
      </x:c>
      <x:c r="AD32" s="35" t="n">
        <x:f>IF('Assumptions'!$E$9=2,'Short-Term build'!AD32,IF('Assumptions'!$E$9=3,'Installment build'!AD32,'Short-Term build'!AD32+'Installment build'!AD32))</x:f>
        <x:v>-1.1602727075417835e-8</x:v>
      </x:c>
      <x:c r="AE32" s="35" t="n">
        <x:f>IF('Assumptions'!$E$9=2,'Short-Term build'!AE32,IF('Assumptions'!$E$9=3,'Installment build'!AE32,'Short-Term build'!AE32+'Installment build'!AE32))</x:f>
        <x:v>-1.1602727075417835e-8</x:v>
      </x:c>
      <x:c r="AF32" s="35" t="n">
        <x:f>IF('Assumptions'!$E$9=2,'Short-Term build'!AF32,IF('Assumptions'!$E$9=3,'Installment build'!AF32,'Short-Term build'!AF32+'Installment build'!AF32))</x:f>
        <x:v>-1.1602727075417835e-8</x:v>
      </x:c>
      <x:c r="AG32" s="35" t="n">
        <x:f>IF('Assumptions'!$E$9=2,'Short-Term build'!AG32,IF('Assumptions'!$E$9=3,'Installment build'!AG32,'Short-Term build'!AG32+'Installment build'!AG32))</x:f>
        <x:v>-1.1602727075417835e-8</x:v>
      </x:c>
      <x:c r="AH32" s="35" t="n">
        <x:f>IF('Assumptions'!$E$9=2,'Short-Term build'!AH32,IF('Assumptions'!$E$9=3,'Installment build'!AH32,'Short-Term build'!AH32+'Installment build'!AH32))</x:f>
        <x:v>-1.1602727075417835e-8</x:v>
      </x:c>
      <x:c r="AI32" s="35" t="n">
        <x:f>IF('Assumptions'!$E$9=2,'Short-Term build'!AI32,IF('Assumptions'!$E$9=3,'Installment build'!AI32,'Short-Term build'!AI32+'Installment build'!AI32))</x:f>
        <x:v>-1.1602727075417835e-8</x:v>
      </x:c>
      <x:c r="AJ32" s="35" t="n">
        <x:f>IF('Assumptions'!$E$9=2,'Short-Term build'!AJ32,IF('Assumptions'!$E$9=3,'Installment build'!AJ32,'Short-Term build'!AJ32+'Installment build'!AJ32))</x:f>
        <x:v>-1.1602727075417835e-8</x:v>
      </x:c>
      <x:c r="AK32" s="35" t="n">
        <x:f>IF('Assumptions'!$E$9=2,'Short-Term build'!AK32,IF('Assumptions'!$E$9=3,'Installment build'!AK32,'Short-Term build'!AK32+'Installment build'!AK32))</x:f>
        <x:v>-1.1602727075417835e-8</x:v>
      </x:c>
      <x:c r="AL32" s="35" t="n">
        <x:f>IF('Assumptions'!$E$9=2,'Short-Term build'!AL32,IF('Assumptions'!$E$9=3,'Installment build'!AL32,'Short-Term build'!AL32+'Installment build'!AL32))</x:f>
        <x:v>-1.1602727075417835e-8</x:v>
      </x:c>
      <x:c r="AM32" s="35" t="n">
        <x:f>IF('Assumptions'!$E$9=2,'Short-Term build'!AM32,IF('Assumptions'!$E$9=3,'Installment build'!AM32,'Short-Term build'!AM32+'Installment build'!AM32))</x:f>
        <x:v>-1.1602727075417835e-8</x:v>
      </x:c>
      <x:c r="AN32" s="35" t="n">
        <x:f>IF('Assumptions'!$E$9=2,'Short-Term build'!AN32,IF('Assumptions'!$E$9=3,'Installment build'!AN32,'Short-Term build'!AN32+'Installment build'!AN32))</x:f>
        <x:v>-1.1602727075417835e-8</x:v>
      </x:c>
      <x:c r="AO32" s="35" t="n">
        <x:f>IF('Assumptions'!$E$9=2,'Short-Term build'!AO32,IF('Assumptions'!$E$9=3,'Installment build'!AO32,'Short-Term build'!AO32+'Installment build'!AO32))</x:f>
        <x:v>-1.1602727075417835e-8</x:v>
      </x:c>
      <x:c r="AP32" s="35" t="n">
        <x:f>IF('Assumptions'!$E$9=2,'Short-Term build'!AP32,IF('Assumptions'!$E$9=3,'Installment build'!AP32,'Short-Term build'!AP32+'Installment build'!AP32))</x:f>
        <x:v>-1.1602727075417835e-8</x:v>
      </x:c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</x:row>
    <x:row r="33" ht="19" customHeight="1">
      <x:c r="A33" s="1"/>
      <x:c r="B33" s="1"/>
      <x:c r="C33" s="2" t="str">
        <x:v>New-book revenue</x:v>
      </x:c>
      <x:c r="D33" s="2"/>
      <x:c r="E33" s="35" t="n">
        <x:f>SUMIFS(G33:AP33,$G$6:$AP$6,"&lt;="&amp;'Assumptions'!$E$7)</x:f>
        <x:v>120390374.6731657</x:v>
      </x:c>
      <x:c r="F33" s="2"/>
      <x:c r="G33" s="35" t="n">
        <x:f>IF('Assumptions'!$E$9=2,'Short-Term build'!G33,IF('Assumptions'!$E$9=3,'Installment build'!G33,'Short-Term build'!G33+'Installment build'!G33))</x:f>
        <x:v>0</x:v>
      </x:c>
      <x:c r="H33" s="35" t="n">
        <x:f>IF('Assumptions'!$E$9=2,'Short-Term build'!H33,IF('Assumptions'!$E$9=3,'Installment build'!H33,'Short-Term build'!H33+'Installment build'!H33))</x:f>
        <x:v>1972824.5791941928</x:v>
      </x:c>
      <x:c r="I33" s="35" t="n">
        <x:f>IF('Assumptions'!$E$9=2,'Short-Term build'!I33,IF('Assumptions'!$E$9=3,'Installment build'!I33,'Short-Term build'!I33+'Installment build'!I33))</x:f>
        <x:v>3314377.456174664</x:v>
      </x:c>
      <x:c r="J33" s="35" t="n">
        <x:f>IF('Assumptions'!$E$9=2,'Short-Term build'!J33,IF('Assumptions'!$E$9=3,'Installment build'!J33,'Short-Term build'!J33+'Installment build'!J33))</x:f>
        <x:v>4215355.5456221765</x:v>
      </x:c>
      <x:c r="K33" s="35" t="n">
        <x:f>IF('Assumptions'!$E$9=2,'Short-Term build'!K33,IF('Assumptions'!$E$9=3,'Installment build'!K33,'Short-Term build'!K33+'Installment build'!K33))</x:f>
        <x:v>4804498.561447946</x:v>
      </x:c>
      <x:c r="L33" s="35" t="n">
        <x:f>IF('Assumptions'!$E$9=2,'Short-Term build'!L33,IF('Assumptions'!$E$9=3,'Installment build'!L33,'Short-Term build'!L33+'Installment build'!L33))</x:f>
        <x:v>5174641.798095571</x:v>
      </x:c>
      <x:c r="M33" s="35" t="n">
        <x:f>IF('Assumptions'!$E$9=2,'Short-Term build'!M33,IF('Assumptions'!$E$9=3,'Installment build'!M33,'Short-Term build'!M33+'Installment build'!M33))</x:f>
        <x:v>5400973.6651695315</x:v>
      </x:c>
      <x:c r="N33" s="35" t="n">
        <x:f>IF('Assumptions'!$E$9=2,'Short-Term build'!N33,IF('Assumptions'!$E$9=3,'Installment build'!N33,'Short-Term build'!N33+'Installment build'!N33))</x:f>
        <x:v>5533861.662203195</x:v>
      </x:c>
      <x:c r="O33" s="35" t="n">
        <x:f>IF('Assumptions'!$E$9=2,'Short-Term build'!O33,IF('Assumptions'!$E$9=3,'Installment build'!O33,'Short-Term build'!O33+'Installment build'!O33))</x:f>
        <x:v>5601190.498050502</x:v>
      </x:c>
      <x:c r="P33" s="35" t="n">
        <x:f>IF('Assumptions'!$E$9=2,'Short-Term build'!P33,IF('Assumptions'!$E$9=3,'Installment build'!P33,'Short-Term build'!P33+'Installment build'!P33))</x:f>
        <x:v>5624843.393813858</x:v>
      </x:c>
      <x:c r="Q33" s="35" t="n">
        <x:f>IF('Assumptions'!$E$9=2,'Short-Term build'!Q33,IF('Assumptions'!$E$9=3,'Installment build'!Q33,'Short-Term build'!Q33+'Installment build'!Q33))</x:f>
        <x:v>5624843.393813858</x:v>
      </x:c>
      <x:c r="R33" s="35" t="n">
        <x:f>IF('Assumptions'!$E$9=2,'Short-Term build'!R33,IF('Assumptions'!$E$9=3,'Installment build'!R33,'Short-Term build'!R33+'Installment build'!R33))</x:f>
        <x:v>5624843.393813858</x:v>
      </x:c>
      <x:c r="S33" s="35" t="n">
        <x:f>IF('Assumptions'!$E$9=2,'Short-Term build'!S33,IF('Assumptions'!$E$9=3,'Installment build'!S33,'Short-Term build'!S33+'Installment build'!S33))</x:f>
        <x:v>5624843.393813858</x:v>
      </x:c>
      <x:c r="T33" s="35" t="n">
        <x:f>IF('Assumptions'!$E$9=2,'Short-Term build'!T33,IF('Assumptions'!$E$9=3,'Installment build'!T33,'Short-Term build'!T33+'Installment build'!T33))</x:f>
        <x:v>5624843.393813858</x:v>
      </x:c>
      <x:c r="U33" s="35" t="n">
        <x:f>IF('Assumptions'!$E$9=2,'Short-Term build'!U33,IF('Assumptions'!$E$9=3,'Installment build'!U33,'Short-Term build'!U33+'Installment build'!U33))</x:f>
        <x:v>5624843.393813858</x:v>
      </x:c>
      <x:c r="V33" s="35" t="n">
        <x:f>IF('Assumptions'!$E$9=2,'Short-Term build'!V33,IF('Assumptions'!$E$9=3,'Installment build'!V33,'Short-Term build'!V33+'Installment build'!V33))</x:f>
        <x:v>5624843.393813858</x:v>
      </x:c>
      <x:c r="W33" s="35" t="n">
        <x:f>IF('Assumptions'!$E$9=2,'Short-Term build'!W33,IF('Assumptions'!$E$9=3,'Installment build'!W33,'Short-Term build'!W33+'Installment build'!W33))</x:f>
        <x:v>5624843.393813858</x:v>
      </x:c>
      <x:c r="X33" s="35" t="n">
        <x:f>IF('Assumptions'!$E$9=2,'Short-Term build'!X33,IF('Assumptions'!$E$9=3,'Installment build'!X33,'Short-Term build'!X33+'Installment build'!X33))</x:f>
        <x:v>5624843.393813858</x:v>
      </x:c>
      <x:c r="Y33" s="35" t="n">
        <x:f>IF('Assumptions'!$E$9=2,'Short-Term build'!Y33,IF('Assumptions'!$E$9=3,'Installment build'!Y33,'Short-Term build'!Y33+'Installment build'!Y33))</x:f>
        <x:v>5624843.393813858</x:v>
      </x:c>
      <x:c r="Z33" s="35" t="n">
        <x:f>IF('Assumptions'!$E$9=2,'Short-Term build'!Z33,IF('Assumptions'!$E$9=3,'Installment build'!Z33,'Short-Term build'!Z33+'Installment build'!Z33))</x:f>
        <x:v>5624843.393813858</x:v>
      </x:c>
      <x:c r="AA33" s="35" t="n">
        <x:f>IF('Assumptions'!$E$9=2,'Short-Term build'!AA33,IF('Assumptions'!$E$9=3,'Installment build'!AA33,'Short-Term build'!AA33+'Installment build'!AA33))</x:f>
        <x:v>5624843.393813858</x:v>
      </x:c>
      <x:c r="AB33" s="35" t="n">
        <x:f>IF('Assumptions'!$E$9=2,'Short-Term build'!AB33,IF('Assumptions'!$E$9=3,'Installment build'!AB33,'Short-Term build'!AB33+'Installment build'!AB33))</x:f>
        <x:v>5624843.393813858</x:v>
      </x:c>
      <x:c r="AC33" s="35" t="n">
        <x:f>IF('Assumptions'!$E$9=2,'Short-Term build'!AC33,IF('Assumptions'!$E$9=3,'Installment build'!AC33,'Short-Term build'!AC33+'Installment build'!AC33))</x:f>
        <x:v>5624843.393813858</x:v>
      </x:c>
      <x:c r="AD33" s="35" t="n">
        <x:f>IF('Assumptions'!$E$9=2,'Short-Term build'!AD33,IF('Assumptions'!$E$9=3,'Installment build'!AD33,'Short-Term build'!AD33+'Installment build'!AD33))</x:f>
        <x:v>5624843.393813858</x:v>
      </x:c>
      <x:c r="AE33" s="35" t="n">
        <x:f>IF('Assumptions'!$E$9=2,'Short-Term build'!AE33,IF('Assumptions'!$E$9=3,'Installment build'!AE33,'Short-Term build'!AE33+'Installment build'!AE33))</x:f>
        <x:v>5624843.393813858</x:v>
      </x:c>
      <x:c r="AF33" s="35" t="n">
        <x:f>IF('Assumptions'!$E$9=2,'Short-Term build'!AF33,IF('Assumptions'!$E$9=3,'Installment build'!AF33,'Short-Term build'!AF33+'Installment build'!AF33))</x:f>
        <x:v>5624843.393813858</x:v>
      </x:c>
      <x:c r="AG33" s="35" t="n">
        <x:f>IF('Assumptions'!$E$9=2,'Short-Term build'!AG33,IF('Assumptions'!$E$9=3,'Installment build'!AG33,'Short-Term build'!AG33+'Installment build'!AG33))</x:f>
        <x:v>5624843.393813858</x:v>
      </x:c>
      <x:c r="AH33" s="35" t="n">
        <x:f>IF('Assumptions'!$E$9=2,'Short-Term build'!AH33,IF('Assumptions'!$E$9=3,'Installment build'!AH33,'Short-Term build'!AH33+'Installment build'!AH33))</x:f>
        <x:v>5624843.393813858</x:v>
      </x:c>
      <x:c r="AI33" s="35" t="n">
        <x:f>IF('Assumptions'!$E$9=2,'Short-Term build'!AI33,IF('Assumptions'!$E$9=3,'Installment build'!AI33,'Short-Term build'!AI33+'Installment build'!AI33))</x:f>
        <x:v>5624843.393813858</x:v>
      </x:c>
      <x:c r="AJ33" s="35" t="n">
        <x:f>IF('Assumptions'!$E$9=2,'Short-Term build'!AJ33,IF('Assumptions'!$E$9=3,'Installment build'!AJ33,'Short-Term build'!AJ33+'Installment build'!AJ33))</x:f>
        <x:v>5624843.393813858</x:v>
      </x:c>
      <x:c r="AK33" s="35" t="n">
        <x:f>IF('Assumptions'!$E$9=2,'Short-Term build'!AK33,IF('Assumptions'!$E$9=3,'Installment build'!AK33,'Short-Term build'!AK33+'Installment build'!AK33))</x:f>
        <x:v>5624843.393813858</x:v>
      </x:c>
      <x:c r="AL33" s="35" t="n">
        <x:f>IF('Assumptions'!$E$9=2,'Short-Term build'!AL33,IF('Assumptions'!$E$9=3,'Installment build'!AL33,'Short-Term build'!AL33+'Installment build'!AL33))</x:f>
        <x:v>5624843.393813858</x:v>
      </x:c>
      <x:c r="AM33" s="35" t="n">
        <x:f>IF('Assumptions'!$E$9=2,'Short-Term build'!AM33,IF('Assumptions'!$E$9=3,'Installment build'!AM33,'Short-Term build'!AM33+'Installment build'!AM33))</x:f>
        <x:v>5624843.393813858</x:v>
      </x:c>
      <x:c r="AN33" s="35" t="n">
        <x:f>IF('Assumptions'!$E$9=2,'Short-Term build'!AN33,IF('Assumptions'!$E$9=3,'Installment build'!AN33,'Short-Term build'!AN33+'Installment build'!AN33))</x:f>
        <x:v>5624843.393813858</x:v>
      </x:c>
      <x:c r="AO33" s="35" t="n">
        <x:f>IF('Assumptions'!$E$9=2,'Short-Term build'!AO33,IF('Assumptions'!$E$9=3,'Installment build'!AO33,'Short-Term build'!AO33+'Installment build'!AO33))</x:f>
        <x:v>5624843.393813858</x:v>
      </x:c>
      <x:c r="AP33" s="35" t="n">
        <x:f>IF('Assumptions'!$E$9=2,'Short-Term build'!AP33,IF('Assumptions'!$E$9=3,'Installment build'!AP33,'Short-Term build'!AP33+'Installment build'!AP33))</x:f>
        <x:v>5624843.393813858</x:v>
      </x:c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</x:row>
    <x:row r="34" ht="19" customHeight="1">
      <x:c r="A34" s="1"/>
      <x:c r="B34" s="1"/>
      <x:c r="C34" s="2" t="str">
        <x:v>Opening-book ending CLAB</x:v>
      </x:c>
      <x:c r="D34" s="2"/>
      <x:c r="E34" s="35" t="n">
        <x:f>INDEX(G34:AP34,1,'Assumptions'!$E$7)</x:f>
        <x:v>-1.921434886753559e-7</x:v>
      </x:c>
      <x:c r="F34" s="2"/>
      <x:c r="G34" s="35" t="n">
        <x:f>IF('Assumptions'!$E$9=2,'Short-Term build'!G34,IF('Assumptions'!$E$9=3,'Installment build'!G34,'Short-Term build'!G34+'Installment build'!G34))</x:f>
        <x:v>330596059.6294621</x:v>
      </x:c>
      <x:c r="H34" s="35" t="n">
        <x:f>IF('Assumptions'!$E$9=2,'Short-Term build'!H34,IF('Assumptions'!$E$9=3,'Installment build'!H34,'Short-Term build'!H34+'Installment build'!H34))</x:f>
        <x:v>177500259.6726843</x:v>
      </x:c>
      <x:c r="I34" s="35" t="n">
        <x:f>IF('Assumptions'!$E$9=2,'Short-Term build'!I34,IF('Assumptions'!$E$9=3,'Installment build'!I34,'Short-Term build'!I34+'Installment build'!I34))</x:f>
        <x:v>94627365.80654451</x:v>
      </x:c>
      <x:c r="J34" s="35" t="n">
        <x:f>IF('Assumptions'!$E$9=2,'Short-Term build'!J34,IF('Assumptions'!$E$9=3,'Installment build'!J34,'Short-Term build'!J34+'Installment build'!J34))</x:f>
        <x:v>49021643.73383044</x:v>
      </x:c>
      <x:c r="K34" s="35" t="n">
        <x:f>IF('Assumptions'!$E$9=2,'Short-Term build'!K34,IF('Assumptions'!$E$9=3,'Installment build'!K34,'Short-Term build'!K34+'Installment build'!K34))</x:f>
        <x:v>24186829.341316737</x:v>
      </x:c>
      <x:c r="L34" s="35" t="n">
        <x:f>IF('Assumptions'!$E$9=2,'Short-Term build'!L34,IF('Assumptions'!$E$9=3,'Installment build'!L34,'Short-Term build'!L34+'Installment build'!L34))</x:f>
        <x:v>11123983.978062756</x:v>
      </x:c>
      <x:c r="M34" s="35" t="n">
        <x:f>IF('Assumptions'!$E$9=2,'Short-Term build'!M34,IF('Assumptions'!$E$9=3,'Installment build'!M34,'Short-Term build'!M34+'Installment build'!M34))</x:f>
        <x:v>4294354.972405741</x:v>
      </x:c>
      <x:c r="N34" s="35" t="n">
        <x:f>IF('Assumptions'!$E$9=2,'Short-Term build'!N34,IF('Assumptions'!$E$9=3,'Installment build'!N34,'Short-Term build'!N34+'Installment build'!N34))</x:f>
        <x:v>1104212.4442413463</x:v>
      </x:c>
      <x:c r="O34" s="35" t="n">
        <x:f>IF('Assumptions'!$E$9=2,'Short-Term build'!O34,IF('Assumptions'!$E$9=3,'Installment build'!O34,'Short-Term build'!O34+'Installment build'!O34))</x:f>
        <x:v>-1.921434886753559e-7</x:v>
      </x:c>
      <x:c r="P34" s="35" t="n">
        <x:f>IF('Assumptions'!$E$9=2,'Short-Term build'!P34,IF('Assumptions'!$E$9=3,'Installment build'!P34,'Short-Term build'!P34+'Installment build'!P34))</x:f>
        <x:v>-1.921434886753559e-7</x:v>
      </x:c>
      <x:c r="Q34" s="35" t="n">
        <x:f>IF('Assumptions'!$E$9=2,'Short-Term build'!Q34,IF('Assumptions'!$E$9=3,'Installment build'!Q34,'Short-Term build'!Q34+'Installment build'!Q34))</x:f>
        <x:v>-1.921434886753559e-7</x:v>
      </x:c>
      <x:c r="R34" s="35" t="n">
        <x:f>IF('Assumptions'!$E$9=2,'Short-Term build'!R34,IF('Assumptions'!$E$9=3,'Installment build'!R34,'Short-Term build'!R34+'Installment build'!R34))</x:f>
        <x:v>-1.921434886753559e-7</x:v>
      </x:c>
      <x:c r="S34" s="35" t="n">
        <x:f>IF('Assumptions'!$E$9=2,'Short-Term build'!S34,IF('Assumptions'!$E$9=3,'Installment build'!S34,'Short-Term build'!S34+'Installment build'!S34))</x:f>
        <x:v>-1.921434886753559e-7</x:v>
      </x:c>
      <x:c r="T34" s="35" t="n">
        <x:f>IF('Assumptions'!$E$9=2,'Short-Term build'!T34,IF('Assumptions'!$E$9=3,'Installment build'!T34,'Short-Term build'!T34+'Installment build'!T34))</x:f>
        <x:v>-1.921434886753559e-7</x:v>
      </x:c>
      <x:c r="U34" s="35" t="n">
        <x:f>IF('Assumptions'!$E$9=2,'Short-Term build'!U34,IF('Assumptions'!$E$9=3,'Installment build'!U34,'Short-Term build'!U34+'Installment build'!U34))</x:f>
        <x:v>-1.921434886753559e-7</x:v>
      </x:c>
      <x:c r="V34" s="35" t="n">
        <x:f>IF('Assumptions'!$E$9=2,'Short-Term build'!V34,IF('Assumptions'!$E$9=3,'Installment build'!V34,'Short-Term build'!V34+'Installment build'!V34))</x:f>
        <x:v>-1.921434886753559e-7</x:v>
      </x:c>
      <x:c r="W34" s="35" t="n">
        <x:f>IF('Assumptions'!$E$9=2,'Short-Term build'!W34,IF('Assumptions'!$E$9=3,'Installment build'!W34,'Short-Term build'!W34+'Installment build'!W34))</x:f>
        <x:v>-1.921434886753559e-7</x:v>
      </x:c>
      <x:c r="X34" s="35" t="n">
        <x:f>IF('Assumptions'!$E$9=2,'Short-Term build'!X34,IF('Assumptions'!$E$9=3,'Installment build'!X34,'Short-Term build'!X34+'Installment build'!X34))</x:f>
        <x:v>-1.921434886753559e-7</x:v>
      </x:c>
      <x:c r="Y34" s="35" t="n">
        <x:f>IF('Assumptions'!$E$9=2,'Short-Term build'!Y34,IF('Assumptions'!$E$9=3,'Installment build'!Y34,'Short-Term build'!Y34+'Installment build'!Y34))</x:f>
        <x:v>-1.921434886753559e-7</x:v>
      </x:c>
      <x:c r="Z34" s="35" t="n">
        <x:f>IF('Assumptions'!$E$9=2,'Short-Term build'!Z34,IF('Assumptions'!$E$9=3,'Installment build'!Z34,'Short-Term build'!Z34+'Installment build'!Z34))</x:f>
        <x:v>-1.921434886753559e-7</x:v>
      </x:c>
      <x:c r="AA34" s="35" t="n">
        <x:f>IF('Assumptions'!$E$9=2,'Short-Term build'!AA34,IF('Assumptions'!$E$9=3,'Installment build'!AA34,'Short-Term build'!AA34+'Installment build'!AA34))</x:f>
        <x:v>-1.921434886753559e-7</x:v>
      </x:c>
      <x:c r="AB34" s="35" t="n">
        <x:f>IF('Assumptions'!$E$9=2,'Short-Term build'!AB34,IF('Assumptions'!$E$9=3,'Installment build'!AB34,'Short-Term build'!AB34+'Installment build'!AB34))</x:f>
        <x:v>-1.921434886753559e-7</x:v>
      </x:c>
      <x:c r="AC34" s="35" t="n">
        <x:f>IF('Assumptions'!$E$9=2,'Short-Term build'!AC34,IF('Assumptions'!$E$9=3,'Installment build'!AC34,'Short-Term build'!AC34+'Installment build'!AC34))</x:f>
        <x:v>-1.921434886753559e-7</x:v>
      </x:c>
      <x:c r="AD34" s="35" t="n">
        <x:f>IF('Assumptions'!$E$9=2,'Short-Term build'!AD34,IF('Assumptions'!$E$9=3,'Installment build'!AD34,'Short-Term build'!AD34+'Installment build'!AD34))</x:f>
        <x:v>-1.921434886753559e-7</x:v>
      </x:c>
      <x:c r="AE34" s="35" t="n">
        <x:f>IF('Assumptions'!$E$9=2,'Short-Term build'!AE34,IF('Assumptions'!$E$9=3,'Installment build'!AE34,'Short-Term build'!AE34+'Installment build'!AE34))</x:f>
        <x:v>-1.921434886753559e-7</x:v>
      </x:c>
      <x:c r="AF34" s="35" t="n">
        <x:f>IF('Assumptions'!$E$9=2,'Short-Term build'!AF34,IF('Assumptions'!$E$9=3,'Installment build'!AF34,'Short-Term build'!AF34+'Installment build'!AF34))</x:f>
        <x:v>-1.921434886753559e-7</x:v>
      </x:c>
      <x:c r="AG34" s="35" t="n">
        <x:f>IF('Assumptions'!$E$9=2,'Short-Term build'!AG34,IF('Assumptions'!$E$9=3,'Installment build'!AG34,'Short-Term build'!AG34+'Installment build'!AG34))</x:f>
        <x:v>-1.921434886753559e-7</x:v>
      </x:c>
      <x:c r="AH34" s="35" t="n">
        <x:f>IF('Assumptions'!$E$9=2,'Short-Term build'!AH34,IF('Assumptions'!$E$9=3,'Installment build'!AH34,'Short-Term build'!AH34+'Installment build'!AH34))</x:f>
        <x:v>-1.921434886753559e-7</x:v>
      </x:c>
      <x:c r="AI34" s="35" t="n">
        <x:f>IF('Assumptions'!$E$9=2,'Short-Term build'!AI34,IF('Assumptions'!$E$9=3,'Installment build'!AI34,'Short-Term build'!AI34+'Installment build'!AI34))</x:f>
        <x:v>-1.921434886753559e-7</x:v>
      </x:c>
      <x:c r="AJ34" s="35" t="n">
        <x:f>IF('Assumptions'!$E$9=2,'Short-Term build'!AJ34,IF('Assumptions'!$E$9=3,'Installment build'!AJ34,'Short-Term build'!AJ34+'Installment build'!AJ34))</x:f>
        <x:v>-1.921434886753559e-7</x:v>
      </x:c>
      <x:c r="AK34" s="35" t="n">
        <x:f>IF('Assumptions'!$E$9=2,'Short-Term build'!AK34,IF('Assumptions'!$E$9=3,'Installment build'!AK34,'Short-Term build'!AK34+'Installment build'!AK34))</x:f>
        <x:v>-1.921434886753559e-7</x:v>
      </x:c>
      <x:c r="AL34" s="35" t="n">
        <x:f>IF('Assumptions'!$E$9=2,'Short-Term build'!AL34,IF('Assumptions'!$E$9=3,'Installment build'!AL34,'Short-Term build'!AL34+'Installment build'!AL34))</x:f>
        <x:v>-1.921434886753559e-7</x:v>
      </x:c>
      <x:c r="AM34" s="35" t="n">
        <x:f>IF('Assumptions'!$E$9=2,'Short-Term build'!AM34,IF('Assumptions'!$E$9=3,'Installment build'!AM34,'Short-Term build'!AM34+'Installment build'!AM34))</x:f>
        <x:v>-1.921434886753559e-7</x:v>
      </x:c>
      <x:c r="AN34" s="35" t="n">
        <x:f>IF('Assumptions'!$E$9=2,'Short-Term build'!AN34,IF('Assumptions'!$E$9=3,'Installment build'!AN34,'Short-Term build'!AN34+'Installment build'!AN34))</x:f>
        <x:v>-1.921434886753559e-7</x:v>
      </x:c>
      <x:c r="AO34" s="35" t="n">
        <x:f>IF('Assumptions'!$E$9=2,'Short-Term build'!AO34,IF('Assumptions'!$E$9=3,'Installment build'!AO34,'Short-Term build'!AO34+'Installment build'!AO34))</x:f>
        <x:v>-1.921434886753559e-7</x:v>
      </x:c>
      <x:c r="AP34" s="35" t="n">
        <x:f>IF('Assumptions'!$E$9=2,'Short-Term build'!AP34,IF('Assumptions'!$E$9=3,'Installment build'!AP34,'Short-Term build'!AP34+'Installment build'!AP34))</x:f>
        <x:v>-1.921434886753559e-7</x:v>
      </x:c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</x:row>
    <x:row r="35" ht="19" customHeight="1">
      <x:c r="A35" s="1"/>
      <x:c r="B35" s="1"/>
      <x:c r="C35" s="2" t="str">
        <x:v>Gross CLAB check ($)</x:v>
      </x:c>
      <x:c r="D35" s="2"/>
      <x:c r="E35" s="35"/>
      <x:c r="F35" s="2"/>
      <x:c r="G35" s="36" t="n">
        <x:f>IF('Assumptions'!$E$9=2,'Short-Term build'!G35,IF('Assumptions'!$E$9=3,'Installment build'!G35,'Short-Term build'!G35+'Installment build'!G35))</x:f>
        <x:v>0</x:v>
      </x:c>
      <x:c r="H35" s="36" t="n">
        <x:f>IF('Assumptions'!$E$9=2,'Short-Term build'!H35,IF('Assumptions'!$E$9=3,'Installment build'!H35,'Short-Term build'!H35+'Installment build'!H35))</x:f>
        <x:v>0</x:v>
      </x:c>
      <x:c r="I35" s="36" t="n">
        <x:f>IF('Assumptions'!$E$9=2,'Short-Term build'!I35,IF('Assumptions'!$E$9=3,'Installment build'!I35,'Short-Term build'!I35+'Installment build'!I35))</x:f>
        <x:v>0</x:v>
      </x:c>
      <x:c r="J35" s="36" t="n">
        <x:f>IF('Assumptions'!$E$9=2,'Short-Term build'!J35,IF('Assumptions'!$E$9=3,'Installment build'!J35,'Short-Term build'!J35+'Installment build'!J35))</x:f>
        <x:v>0</x:v>
      </x:c>
      <x:c r="K35" s="36" t="n">
        <x:f>IF('Assumptions'!$E$9=2,'Short-Term build'!K35,IF('Assumptions'!$E$9=3,'Installment build'!K35,'Short-Term build'!K35+'Installment build'!K35))</x:f>
        <x:v>0</x:v>
      </x:c>
      <x:c r="L35" s="36" t="n">
        <x:f>IF('Assumptions'!$E$9=2,'Short-Term build'!L35,IF('Assumptions'!$E$9=3,'Installment build'!L35,'Short-Term build'!L35+'Installment build'!L35))</x:f>
        <x:v>0</x:v>
      </x:c>
      <x:c r="M35" s="36" t="n">
        <x:f>IF('Assumptions'!$E$9=2,'Short-Term build'!M35,IF('Assumptions'!$E$9=3,'Installment build'!M35,'Short-Term build'!M35+'Installment build'!M35))</x:f>
        <x:v>0</x:v>
      </x:c>
      <x:c r="N35" s="36" t="n">
        <x:f>IF('Assumptions'!$E$9=2,'Short-Term build'!N35,IF('Assumptions'!$E$9=3,'Installment build'!N35,'Short-Term build'!N35+'Installment build'!N35))</x:f>
        <x:v>0</x:v>
      </x:c>
      <x:c r="O35" s="36" t="n">
        <x:f>IF('Assumptions'!$E$9=2,'Short-Term build'!O35,IF('Assumptions'!$E$9=3,'Installment build'!O35,'Short-Term build'!O35+'Installment build'!O35))</x:f>
        <x:v>0</x:v>
      </x:c>
      <x:c r="P35" s="36" t="n">
        <x:f>IF('Assumptions'!$E$9=2,'Short-Term build'!P35,IF('Assumptions'!$E$9=3,'Installment build'!P35,'Short-Term build'!P35+'Installment build'!P35))</x:f>
        <x:v>0</x:v>
      </x:c>
      <x:c r="Q35" s="36" t="n">
        <x:f>IF('Assumptions'!$E$9=2,'Short-Term build'!Q35,IF('Assumptions'!$E$9=3,'Installment build'!Q35,'Short-Term build'!Q35+'Installment build'!Q35))</x:f>
        <x:v>0</x:v>
      </x:c>
      <x:c r="R35" s="36" t="n">
        <x:f>IF('Assumptions'!$E$9=2,'Short-Term build'!R35,IF('Assumptions'!$E$9=3,'Installment build'!R35,'Short-Term build'!R35+'Installment build'!R35))</x:f>
        <x:v>0</x:v>
      </x:c>
      <x:c r="S35" s="36" t="n">
        <x:f>IF('Assumptions'!$E$9=2,'Short-Term build'!S35,IF('Assumptions'!$E$9=3,'Installment build'!S35,'Short-Term build'!S35+'Installment build'!S35))</x:f>
        <x:v>0</x:v>
      </x:c>
      <x:c r="T35" s="36" t="n">
        <x:f>IF('Assumptions'!$E$9=2,'Short-Term build'!T35,IF('Assumptions'!$E$9=3,'Installment build'!T35,'Short-Term build'!T35+'Installment build'!T35))</x:f>
        <x:v>0</x:v>
      </x:c>
      <x:c r="U35" s="36" t="n">
        <x:f>IF('Assumptions'!$E$9=2,'Short-Term build'!U35,IF('Assumptions'!$E$9=3,'Installment build'!U35,'Short-Term build'!U35+'Installment build'!U35))</x:f>
        <x:v>0</x:v>
      </x:c>
      <x:c r="V35" s="36" t="n">
        <x:f>IF('Assumptions'!$E$9=2,'Short-Term build'!V35,IF('Assumptions'!$E$9=3,'Installment build'!V35,'Short-Term build'!V35+'Installment build'!V35))</x:f>
        <x:v>0</x:v>
      </x:c>
      <x:c r="W35" s="36" t="n">
        <x:f>IF('Assumptions'!$E$9=2,'Short-Term build'!W35,IF('Assumptions'!$E$9=3,'Installment build'!W35,'Short-Term build'!W35+'Installment build'!W35))</x:f>
        <x:v>0</x:v>
      </x:c>
      <x:c r="X35" s="36" t="n">
        <x:f>IF('Assumptions'!$E$9=2,'Short-Term build'!X35,IF('Assumptions'!$E$9=3,'Installment build'!X35,'Short-Term build'!X35+'Installment build'!X35))</x:f>
        <x:v>0</x:v>
      </x:c>
      <x:c r="Y35" s="36" t="n">
        <x:f>IF('Assumptions'!$E$9=2,'Short-Term build'!Y35,IF('Assumptions'!$E$9=3,'Installment build'!Y35,'Short-Term build'!Y35+'Installment build'!Y35))</x:f>
        <x:v>0</x:v>
      </x:c>
      <x:c r="Z35" s="36" t="n">
        <x:f>IF('Assumptions'!$E$9=2,'Short-Term build'!Z35,IF('Assumptions'!$E$9=3,'Installment build'!Z35,'Short-Term build'!Z35+'Installment build'!Z35))</x:f>
        <x:v>0</x:v>
      </x:c>
      <x:c r="AA35" s="36" t="n">
        <x:f>IF('Assumptions'!$E$9=2,'Short-Term build'!AA35,IF('Assumptions'!$E$9=3,'Installment build'!AA35,'Short-Term build'!AA35+'Installment build'!AA35))</x:f>
        <x:v>0</x:v>
      </x:c>
      <x:c r="AB35" s="36" t="n">
        <x:f>IF('Assumptions'!$E$9=2,'Short-Term build'!AB35,IF('Assumptions'!$E$9=3,'Installment build'!AB35,'Short-Term build'!AB35+'Installment build'!AB35))</x:f>
        <x:v>0</x:v>
      </x:c>
      <x:c r="AC35" s="36" t="n">
        <x:f>IF('Assumptions'!$E$9=2,'Short-Term build'!AC35,IF('Assumptions'!$E$9=3,'Installment build'!AC35,'Short-Term build'!AC35+'Installment build'!AC35))</x:f>
        <x:v>0</x:v>
      </x:c>
      <x:c r="AD35" s="36" t="n">
        <x:f>IF('Assumptions'!$E$9=2,'Short-Term build'!AD35,IF('Assumptions'!$E$9=3,'Installment build'!AD35,'Short-Term build'!AD35+'Installment build'!AD35))</x:f>
        <x:v>0</x:v>
      </x:c>
      <x:c r="AE35" s="36" t="n">
        <x:f>IF('Assumptions'!$E$9=2,'Short-Term build'!AE35,IF('Assumptions'!$E$9=3,'Installment build'!AE35,'Short-Term build'!AE35+'Installment build'!AE35))</x:f>
        <x:v>0</x:v>
      </x:c>
      <x:c r="AF35" s="36" t="n">
        <x:f>IF('Assumptions'!$E$9=2,'Short-Term build'!AF35,IF('Assumptions'!$E$9=3,'Installment build'!AF35,'Short-Term build'!AF35+'Installment build'!AF35))</x:f>
        <x:v>0</x:v>
      </x:c>
      <x:c r="AG35" s="36" t="n">
        <x:f>IF('Assumptions'!$E$9=2,'Short-Term build'!AG35,IF('Assumptions'!$E$9=3,'Installment build'!AG35,'Short-Term build'!AG35+'Installment build'!AG35))</x:f>
        <x:v>0</x:v>
      </x:c>
      <x:c r="AH35" s="36" t="n">
        <x:f>IF('Assumptions'!$E$9=2,'Short-Term build'!AH35,IF('Assumptions'!$E$9=3,'Installment build'!AH35,'Short-Term build'!AH35+'Installment build'!AH35))</x:f>
        <x:v>0</x:v>
      </x:c>
      <x:c r="AI35" s="36" t="n">
        <x:f>IF('Assumptions'!$E$9=2,'Short-Term build'!AI35,IF('Assumptions'!$E$9=3,'Installment build'!AI35,'Short-Term build'!AI35+'Installment build'!AI35))</x:f>
        <x:v>0</x:v>
      </x:c>
      <x:c r="AJ35" s="36" t="n">
        <x:f>IF('Assumptions'!$E$9=2,'Short-Term build'!AJ35,IF('Assumptions'!$E$9=3,'Installment build'!AJ35,'Short-Term build'!AJ35+'Installment build'!AJ35))</x:f>
        <x:v>0</x:v>
      </x:c>
      <x:c r="AK35" s="36" t="n">
        <x:f>IF('Assumptions'!$E$9=2,'Short-Term build'!AK35,IF('Assumptions'!$E$9=3,'Installment build'!AK35,'Short-Term build'!AK35+'Installment build'!AK35))</x:f>
        <x:v>0</x:v>
      </x:c>
      <x:c r="AL35" s="36" t="n">
        <x:f>IF('Assumptions'!$E$9=2,'Short-Term build'!AL35,IF('Assumptions'!$E$9=3,'Installment build'!AL35,'Short-Term build'!AL35+'Installment build'!AL35))</x:f>
        <x:v>0</x:v>
      </x:c>
      <x:c r="AM35" s="36" t="n">
        <x:f>IF('Assumptions'!$E$9=2,'Short-Term build'!AM35,IF('Assumptions'!$E$9=3,'Installment build'!AM35,'Short-Term build'!AM35+'Installment build'!AM35))</x:f>
        <x:v>0</x:v>
      </x:c>
      <x:c r="AN35" s="36" t="n">
        <x:f>IF('Assumptions'!$E$9=2,'Short-Term build'!AN35,IF('Assumptions'!$E$9=3,'Installment build'!AN35,'Short-Term build'!AN35+'Installment build'!AN35))</x:f>
        <x:v>0</x:v>
      </x:c>
      <x:c r="AO35" s="36" t="n">
        <x:f>IF('Assumptions'!$E$9=2,'Short-Term build'!AO35,IF('Assumptions'!$E$9=3,'Installment build'!AO35,'Short-Term build'!AO35+'Installment build'!AO35))</x:f>
        <x:v>0</x:v>
      </x:c>
      <x:c r="AP35" s="36" t="n">
        <x:f>IF('Assumptions'!$E$9=2,'Short-Term build'!AP35,IF('Assumptions'!$E$9=3,'Installment build'!AP35,'Short-Term build'!AP35+'Installment build'!AP35))</x:f>
        <x:v>0</x:v>
      </x:c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</x:row>
    <x:row r="36" ht="19" customHeight="1">
      <x:c r="A36" s="1"/>
      <x:c r="B36" s="1"/>
      <x:c r="C36" s="2" t="str">
        <x:v>Reserve check ($)</x:v>
      </x:c>
      <x:c r="D36" s="2"/>
      <x:c r="E36" s="35"/>
      <x:c r="F36" s="2"/>
      <x:c r="G36" s="36" t="n">
        <x:f>IF('Assumptions'!$E$9=2,'Short-Term build'!G36,IF('Assumptions'!$E$9=3,'Installment build'!G36,'Short-Term build'!G36+'Installment build'!G36))</x:f>
        <x:v>0</x:v>
      </x:c>
      <x:c r="H36" s="36" t="n">
        <x:f>IF('Assumptions'!$E$9=2,'Short-Term build'!H36,IF('Assumptions'!$E$9=3,'Installment build'!H36,'Short-Term build'!H36+'Installment build'!H36))</x:f>
        <x:v>0</x:v>
      </x:c>
      <x:c r="I36" s="36" t="n">
        <x:f>IF('Assumptions'!$E$9=2,'Short-Term build'!I36,IF('Assumptions'!$E$9=3,'Installment build'!I36,'Short-Term build'!I36+'Installment build'!I36))</x:f>
        <x:v>0</x:v>
      </x:c>
      <x:c r="J36" s="36" t="n">
        <x:f>IF('Assumptions'!$E$9=2,'Short-Term build'!J36,IF('Assumptions'!$E$9=3,'Installment build'!J36,'Short-Term build'!J36+'Installment build'!J36))</x:f>
        <x:v>0</x:v>
      </x:c>
      <x:c r="K36" s="36" t="n">
        <x:f>IF('Assumptions'!$E$9=2,'Short-Term build'!K36,IF('Assumptions'!$E$9=3,'Installment build'!K36,'Short-Term build'!K36+'Installment build'!K36))</x:f>
        <x:v>0</x:v>
      </x:c>
      <x:c r="L36" s="36" t="n">
        <x:f>IF('Assumptions'!$E$9=2,'Short-Term build'!L36,IF('Assumptions'!$E$9=3,'Installment build'!L36,'Short-Term build'!L36+'Installment build'!L36))</x:f>
        <x:v>0</x:v>
      </x:c>
      <x:c r="M36" s="36" t="n">
        <x:f>IF('Assumptions'!$E$9=2,'Short-Term build'!M36,IF('Assumptions'!$E$9=3,'Installment build'!M36,'Short-Term build'!M36+'Installment build'!M36))</x:f>
        <x:v>0</x:v>
      </x:c>
      <x:c r="N36" s="36" t="n">
        <x:f>IF('Assumptions'!$E$9=2,'Short-Term build'!N36,IF('Assumptions'!$E$9=3,'Installment build'!N36,'Short-Term build'!N36+'Installment build'!N36))</x:f>
        <x:v>0</x:v>
      </x:c>
      <x:c r="O36" s="36" t="n">
        <x:f>IF('Assumptions'!$E$9=2,'Short-Term build'!O36,IF('Assumptions'!$E$9=3,'Installment build'!O36,'Short-Term build'!O36+'Installment build'!O36))</x:f>
        <x:v>0</x:v>
      </x:c>
      <x:c r="P36" s="36" t="n">
        <x:f>IF('Assumptions'!$E$9=2,'Short-Term build'!P36,IF('Assumptions'!$E$9=3,'Installment build'!P36,'Short-Term build'!P36+'Installment build'!P36))</x:f>
        <x:v>0</x:v>
      </x:c>
      <x:c r="Q36" s="36" t="n">
        <x:f>IF('Assumptions'!$E$9=2,'Short-Term build'!Q36,IF('Assumptions'!$E$9=3,'Installment build'!Q36,'Short-Term build'!Q36+'Installment build'!Q36))</x:f>
        <x:v>0</x:v>
      </x:c>
      <x:c r="R36" s="36" t="n">
        <x:f>IF('Assumptions'!$E$9=2,'Short-Term build'!R36,IF('Assumptions'!$E$9=3,'Installment build'!R36,'Short-Term build'!R36+'Installment build'!R36))</x:f>
        <x:v>0</x:v>
      </x:c>
      <x:c r="S36" s="36" t="n">
        <x:f>IF('Assumptions'!$E$9=2,'Short-Term build'!S36,IF('Assumptions'!$E$9=3,'Installment build'!S36,'Short-Term build'!S36+'Installment build'!S36))</x:f>
        <x:v>0</x:v>
      </x:c>
      <x:c r="T36" s="36" t="n">
        <x:f>IF('Assumptions'!$E$9=2,'Short-Term build'!T36,IF('Assumptions'!$E$9=3,'Installment build'!T36,'Short-Term build'!T36+'Installment build'!T36))</x:f>
        <x:v>0</x:v>
      </x:c>
      <x:c r="U36" s="36" t="n">
        <x:f>IF('Assumptions'!$E$9=2,'Short-Term build'!U36,IF('Assumptions'!$E$9=3,'Installment build'!U36,'Short-Term build'!U36+'Installment build'!U36))</x:f>
        <x:v>0</x:v>
      </x:c>
      <x:c r="V36" s="36" t="n">
        <x:f>IF('Assumptions'!$E$9=2,'Short-Term build'!V36,IF('Assumptions'!$E$9=3,'Installment build'!V36,'Short-Term build'!V36+'Installment build'!V36))</x:f>
        <x:v>0</x:v>
      </x:c>
      <x:c r="W36" s="36" t="n">
        <x:f>IF('Assumptions'!$E$9=2,'Short-Term build'!W36,IF('Assumptions'!$E$9=3,'Installment build'!W36,'Short-Term build'!W36+'Installment build'!W36))</x:f>
        <x:v>0</x:v>
      </x:c>
      <x:c r="X36" s="36" t="n">
        <x:f>IF('Assumptions'!$E$9=2,'Short-Term build'!X36,IF('Assumptions'!$E$9=3,'Installment build'!X36,'Short-Term build'!X36+'Installment build'!X36))</x:f>
        <x:v>0</x:v>
      </x:c>
      <x:c r="Y36" s="36" t="n">
        <x:f>IF('Assumptions'!$E$9=2,'Short-Term build'!Y36,IF('Assumptions'!$E$9=3,'Installment build'!Y36,'Short-Term build'!Y36+'Installment build'!Y36))</x:f>
        <x:v>0</x:v>
      </x:c>
      <x:c r="Z36" s="36" t="n">
        <x:f>IF('Assumptions'!$E$9=2,'Short-Term build'!Z36,IF('Assumptions'!$E$9=3,'Installment build'!Z36,'Short-Term build'!Z36+'Installment build'!Z36))</x:f>
        <x:v>0</x:v>
      </x:c>
      <x:c r="AA36" s="36" t="n">
        <x:f>IF('Assumptions'!$E$9=2,'Short-Term build'!AA36,IF('Assumptions'!$E$9=3,'Installment build'!AA36,'Short-Term build'!AA36+'Installment build'!AA36))</x:f>
        <x:v>0</x:v>
      </x:c>
      <x:c r="AB36" s="36" t="n">
        <x:f>IF('Assumptions'!$E$9=2,'Short-Term build'!AB36,IF('Assumptions'!$E$9=3,'Installment build'!AB36,'Short-Term build'!AB36+'Installment build'!AB36))</x:f>
        <x:v>0</x:v>
      </x:c>
      <x:c r="AC36" s="36" t="n">
        <x:f>IF('Assumptions'!$E$9=2,'Short-Term build'!AC36,IF('Assumptions'!$E$9=3,'Installment build'!AC36,'Short-Term build'!AC36+'Installment build'!AC36))</x:f>
        <x:v>0</x:v>
      </x:c>
      <x:c r="AD36" s="36" t="n">
        <x:f>IF('Assumptions'!$E$9=2,'Short-Term build'!AD36,IF('Assumptions'!$E$9=3,'Installment build'!AD36,'Short-Term build'!AD36+'Installment build'!AD36))</x:f>
        <x:v>0</x:v>
      </x:c>
      <x:c r="AE36" s="36" t="n">
        <x:f>IF('Assumptions'!$E$9=2,'Short-Term build'!AE36,IF('Assumptions'!$E$9=3,'Installment build'!AE36,'Short-Term build'!AE36+'Installment build'!AE36))</x:f>
        <x:v>0</x:v>
      </x:c>
      <x:c r="AF36" s="36" t="n">
        <x:f>IF('Assumptions'!$E$9=2,'Short-Term build'!AF36,IF('Assumptions'!$E$9=3,'Installment build'!AF36,'Short-Term build'!AF36+'Installment build'!AF36))</x:f>
        <x:v>0</x:v>
      </x:c>
      <x:c r="AG36" s="36" t="n">
        <x:f>IF('Assumptions'!$E$9=2,'Short-Term build'!AG36,IF('Assumptions'!$E$9=3,'Installment build'!AG36,'Short-Term build'!AG36+'Installment build'!AG36))</x:f>
        <x:v>0</x:v>
      </x:c>
      <x:c r="AH36" s="36" t="n">
        <x:f>IF('Assumptions'!$E$9=2,'Short-Term build'!AH36,IF('Assumptions'!$E$9=3,'Installment build'!AH36,'Short-Term build'!AH36+'Installment build'!AH36))</x:f>
        <x:v>0</x:v>
      </x:c>
      <x:c r="AI36" s="36" t="n">
        <x:f>IF('Assumptions'!$E$9=2,'Short-Term build'!AI36,IF('Assumptions'!$E$9=3,'Installment build'!AI36,'Short-Term build'!AI36+'Installment build'!AI36))</x:f>
        <x:v>0</x:v>
      </x:c>
      <x:c r="AJ36" s="36" t="n">
        <x:f>IF('Assumptions'!$E$9=2,'Short-Term build'!AJ36,IF('Assumptions'!$E$9=3,'Installment build'!AJ36,'Short-Term build'!AJ36+'Installment build'!AJ36))</x:f>
        <x:v>0</x:v>
      </x:c>
      <x:c r="AK36" s="36" t="n">
        <x:f>IF('Assumptions'!$E$9=2,'Short-Term build'!AK36,IF('Assumptions'!$E$9=3,'Installment build'!AK36,'Short-Term build'!AK36+'Installment build'!AK36))</x:f>
        <x:v>0</x:v>
      </x:c>
      <x:c r="AL36" s="36" t="n">
        <x:f>IF('Assumptions'!$E$9=2,'Short-Term build'!AL36,IF('Assumptions'!$E$9=3,'Installment build'!AL36,'Short-Term build'!AL36+'Installment build'!AL36))</x:f>
        <x:v>0</x:v>
      </x:c>
      <x:c r="AM36" s="36" t="n">
        <x:f>IF('Assumptions'!$E$9=2,'Short-Term build'!AM36,IF('Assumptions'!$E$9=3,'Installment build'!AM36,'Short-Term build'!AM36+'Installment build'!AM36))</x:f>
        <x:v>0</x:v>
      </x:c>
      <x:c r="AN36" s="36" t="n">
        <x:f>IF('Assumptions'!$E$9=2,'Short-Term build'!AN36,IF('Assumptions'!$E$9=3,'Installment build'!AN36,'Short-Term build'!AN36+'Installment build'!AN36))</x:f>
        <x:v>0</x:v>
      </x:c>
      <x:c r="AO36" s="36" t="n">
        <x:f>IF('Assumptions'!$E$9=2,'Short-Term build'!AO36,IF('Assumptions'!$E$9=3,'Installment build'!AO36,'Short-Term build'!AO36+'Installment build'!AO36))</x:f>
        <x:v>0</x:v>
      </x:c>
      <x:c r="AP36" s="36" t="n">
        <x:f>IF('Assumptions'!$E$9=2,'Short-Term build'!AP36,IF('Assumptions'!$E$9=3,'Installment build'!AP36,'Short-Term build'!AP36+'Installment build'!AP36))</x:f>
        <x:v>0</x:v>
      </x:c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</x:row>
    <x:row r="37" ht="19" customHeight="1">
      <x:c r="A37" s="1"/>
      <x:c r="B37" s="1"/>
      <x:c r="C37" s="2" t="str">
        <x:v>Net revenue check ($)</x:v>
      </x:c>
      <x:c r="D37" s="2"/>
      <x:c r="E37" s="35"/>
      <x:c r="F37" s="2"/>
      <x:c r="G37" s="36" t="n">
        <x:f>IF('Assumptions'!$E$9=2,'Short-Term build'!G37,IF('Assumptions'!$E$9=3,'Installment build'!G37,'Short-Term build'!G37+'Installment build'!G37))</x:f>
        <x:v>0</x:v>
      </x:c>
      <x:c r="H37" s="36" t="n">
        <x:f>IF('Assumptions'!$E$9=2,'Short-Term build'!H37,IF('Assumptions'!$E$9=3,'Installment build'!H37,'Short-Term build'!H37+'Installment build'!H37))</x:f>
        <x:v>0</x:v>
      </x:c>
      <x:c r="I37" s="36" t="n">
        <x:f>IF('Assumptions'!$E$9=2,'Short-Term build'!I37,IF('Assumptions'!$E$9=3,'Installment build'!I37,'Short-Term build'!I37+'Installment build'!I37))</x:f>
        <x:v>0</x:v>
      </x:c>
      <x:c r="J37" s="36" t="n">
        <x:f>IF('Assumptions'!$E$9=2,'Short-Term build'!J37,IF('Assumptions'!$E$9=3,'Installment build'!J37,'Short-Term build'!J37+'Installment build'!J37))</x:f>
        <x:v>0</x:v>
      </x:c>
      <x:c r="K37" s="36" t="n">
        <x:f>IF('Assumptions'!$E$9=2,'Short-Term build'!K37,IF('Assumptions'!$E$9=3,'Installment build'!K37,'Short-Term build'!K37+'Installment build'!K37))</x:f>
        <x:v>0</x:v>
      </x:c>
      <x:c r="L37" s="36" t="n">
        <x:f>IF('Assumptions'!$E$9=2,'Short-Term build'!L37,IF('Assumptions'!$E$9=3,'Installment build'!L37,'Short-Term build'!L37+'Installment build'!L37))</x:f>
        <x:v>0</x:v>
      </x:c>
      <x:c r="M37" s="36" t="n">
        <x:f>IF('Assumptions'!$E$9=2,'Short-Term build'!M37,IF('Assumptions'!$E$9=3,'Installment build'!M37,'Short-Term build'!M37+'Installment build'!M37))</x:f>
        <x:v>0</x:v>
      </x:c>
      <x:c r="N37" s="36" t="n">
        <x:f>IF('Assumptions'!$E$9=2,'Short-Term build'!N37,IF('Assumptions'!$E$9=3,'Installment build'!N37,'Short-Term build'!N37+'Installment build'!N37))</x:f>
        <x:v>0</x:v>
      </x:c>
      <x:c r="O37" s="36" t="n">
        <x:f>IF('Assumptions'!$E$9=2,'Short-Term build'!O37,IF('Assumptions'!$E$9=3,'Installment build'!O37,'Short-Term build'!O37+'Installment build'!O37))</x:f>
        <x:v>0</x:v>
      </x:c>
      <x:c r="P37" s="36" t="n">
        <x:f>IF('Assumptions'!$E$9=2,'Short-Term build'!P37,IF('Assumptions'!$E$9=3,'Installment build'!P37,'Short-Term build'!P37+'Installment build'!P37))</x:f>
        <x:v>0</x:v>
      </x:c>
      <x:c r="Q37" s="36" t="n">
        <x:f>IF('Assumptions'!$E$9=2,'Short-Term build'!Q37,IF('Assumptions'!$E$9=3,'Installment build'!Q37,'Short-Term build'!Q37+'Installment build'!Q37))</x:f>
        <x:v>0</x:v>
      </x:c>
      <x:c r="R37" s="36" t="n">
        <x:f>IF('Assumptions'!$E$9=2,'Short-Term build'!R37,IF('Assumptions'!$E$9=3,'Installment build'!R37,'Short-Term build'!R37+'Installment build'!R37))</x:f>
        <x:v>0</x:v>
      </x:c>
      <x:c r="S37" s="36" t="n">
        <x:f>IF('Assumptions'!$E$9=2,'Short-Term build'!S37,IF('Assumptions'!$E$9=3,'Installment build'!S37,'Short-Term build'!S37+'Installment build'!S37))</x:f>
        <x:v>0</x:v>
      </x:c>
      <x:c r="T37" s="36" t="n">
        <x:f>IF('Assumptions'!$E$9=2,'Short-Term build'!T37,IF('Assumptions'!$E$9=3,'Installment build'!T37,'Short-Term build'!T37+'Installment build'!T37))</x:f>
        <x:v>0</x:v>
      </x:c>
      <x:c r="U37" s="36" t="n">
        <x:f>IF('Assumptions'!$E$9=2,'Short-Term build'!U37,IF('Assumptions'!$E$9=3,'Installment build'!U37,'Short-Term build'!U37+'Installment build'!U37))</x:f>
        <x:v>0</x:v>
      </x:c>
      <x:c r="V37" s="36" t="n">
        <x:f>IF('Assumptions'!$E$9=2,'Short-Term build'!V37,IF('Assumptions'!$E$9=3,'Installment build'!V37,'Short-Term build'!V37+'Installment build'!V37))</x:f>
        <x:v>0</x:v>
      </x:c>
      <x:c r="W37" s="36" t="n">
        <x:f>IF('Assumptions'!$E$9=2,'Short-Term build'!W37,IF('Assumptions'!$E$9=3,'Installment build'!W37,'Short-Term build'!W37+'Installment build'!W37))</x:f>
        <x:v>0</x:v>
      </x:c>
      <x:c r="X37" s="36" t="n">
        <x:f>IF('Assumptions'!$E$9=2,'Short-Term build'!X37,IF('Assumptions'!$E$9=3,'Installment build'!X37,'Short-Term build'!X37+'Installment build'!X37))</x:f>
        <x:v>0</x:v>
      </x:c>
      <x:c r="Y37" s="36" t="n">
        <x:f>IF('Assumptions'!$E$9=2,'Short-Term build'!Y37,IF('Assumptions'!$E$9=3,'Installment build'!Y37,'Short-Term build'!Y37+'Installment build'!Y37))</x:f>
        <x:v>0</x:v>
      </x:c>
      <x:c r="Z37" s="36" t="n">
        <x:f>IF('Assumptions'!$E$9=2,'Short-Term build'!Z37,IF('Assumptions'!$E$9=3,'Installment build'!Z37,'Short-Term build'!Z37+'Installment build'!Z37))</x:f>
        <x:v>0</x:v>
      </x:c>
      <x:c r="AA37" s="36" t="n">
        <x:f>IF('Assumptions'!$E$9=2,'Short-Term build'!AA37,IF('Assumptions'!$E$9=3,'Installment build'!AA37,'Short-Term build'!AA37+'Installment build'!AA37))</x:f>
        <x:v>0</x:v>
      </x:c>
      <x:c r="AB37" s="36" t="n">
        <x:f>IF('Assumptions'!$E$9=2,'Short-Term build'!AB37,IF('Assumptions'!$E$9=3,'Installment build'!AB37,'Short-Term build'!AB37+'Installment build'!AB37))</x:f>
        <x:v>0</x:v>
      </x:c>
      <x:c r="AC37" s="36" t="n">
        <x:f>IF('Assumptions'!$E$9=2,'Short-Term build'!AC37,IF('Assumptions'!$E$9=3,'Installment build'!AC37,'Short-Term build'!AC37+'Installment build'!AC37))</x:f>
        <x:v>0</x:v>
      </x:c>
      <x:c r="AD37" s="36" t="n">
        <x:f>IF('Assumptions'!$E$9=2,'Short-Term build'!AD37,IF('Assumptions'!$E$9=3,'Installment build'!AD37,'Short-Term build'!AD37+'Installment build'!AD37))</x:f>
        <x:v>0</x:v>
      </x:c>
      <x:c r="AE37" s="36" t="n">
        <x:f>IF('Assumptions'!$E$9=2,'Short-Term build'!AE37,IF('Assumptions'!$E$9=3,'Installment build'!AE37,'Short-Term build'!AE37+'Installment build'!AE37))</x:f>
        <x:v>0</x:v>
      </x:c>
      <x:c r="AF37" s="36" t="n">
        <x:f>IF('Assumptions'!$E$9=2,'Short-Term build'!AF37,IF('Assumptions'!$E$9=3,'Installment build'!AF37,'Short-Term build'!AF37+'Installment build'!AF37))</x:f>
        <x:v>0</x:v>
      </x:c>
      <x:c r="AG37" s="36" t="n">
        <x:f>IF('Assumptions'!$E$9=2,'Short-Term build'!AG37,IF('Assumptions'!$E$9=3,'Installment build'!AG37,'Short-Term build'!AG37+'Installment build'!AG37))</x:f>
        <x:v>0</x:v>
      </x:c>
      <x:c r="AH37" s="36" t="n">
        <x:f>IF('Assumptions'!$E$9=2,'Short-Term build'!AH37,IF('Assumptions'!$E$9=3,'Installment build'!AH37,'Short-Term build'!AH37+'Installment build'!AH37))</x:f>
        <x:v>0</x:v>
      </x:c>
      <x:c r="AI37" s="36" t="n">
        <x:f>IF('Assumptions'!$E$9=2,'Short-Term build'!AI37,IF('Assumptions'!$E$9=3,'Installment build'!AI37,'Short-Term build'!AI37+'Installment build'!AI37))</x:f>
        <x:v>0</x:v>
      </x:c>
      <x:c r="AJ37" s="36" t="n">
        <x:f>IF('Assumptions'!$E$9=2,'Short-Term build'!AJ37,IF('Assumptions'!$E$9=3,'Installment build'!AJ37,'Short-Term build'!AJ37+'Installment build'!AJ37))</x:f>
        <x:v>0</x:v>
      </x:c>
      <x:c r="AK37" s="36" t="n">
        <x:f>IF('Assumptions'!$E$9=2,'Short-Term build'!AK37,IF('Assumptions'!$E$9=3,'Installment build'!AK37,'Short-Term build'!AK37+'Installment build'!AK37))</x:f>
        <x:v>0</x:v>
      </x:c>
      <x:c r="AL37" s="36" t="n">
        <x:f>IF('Assumptions'!$E$9=2,'Short-Term build'!AL37,IF('Assumptions'!$E$9=3,'Installment build'!AL37,'Short-Term build'!AL37+'Installment build'!AL37))</x:f>
        <x:v>0</x:v>
      </x:c>
      <x:c r="AM37" s="36" t="n">
        <x:f>IF('Assumptions'!$E$9=2,'Short-Term build'!AM37,IF('Assumptions'!$E$9=3,'Installment build'!AM37,'Short-Term build'!AM37+'Installment build'!AM37))</x:f>
        <x:v>0</x:v>
      </x:c>
      <x:c r="AN37" s="36" t="n">
        <x:f>IF('Assumptions'!$E$9=2,'Short-Term build'!AN37,IF('Assumptions'!$E$9=3,'Installment build'!AN37,'Short-Term build'!AN37+'Installment build'!AN37))</x:f>
        <x:v>0</x:v>
      </x:c>
      <x:c r="AO37" s="36" t="n">
        <x:f>IF('Assumptions'!$E$9=2,'Short-Term build'!AO37,IF('Assumptions'!$E$9=3,'Installment build'!AO37,'Short-Term build'!AO37+'Installment build'!AO37))</x:f>
        <x:v>0</x:v>
      </x:c>
      <x:c r="AP37" s="36" t="n">
        <x:f>IF('Assumptions'!$E$9=2,'Short-Term build'!AP37,IF('Assumptions'!$E$9=3,'Installment build'!AP37,'Short-Term build'!AP37+'Installment build'!AP37))</x:f>
        <x:v>0</x:v>
      </x:c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</x:row>
    <x:row r="38" ht="19" customHeight="1">
      <x:c r="A38" s="1"/>
      <x:c r="B38" s="1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</x:row>
    <x:row r="39" ht="19" customHeight="1">
      <x:c r="A39" s="1"/>
      <x:c r="B39" s="1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</x:row>
    <x:row r="40" ht="19" customHeight="1">
      <x:c r="A40" s="1"/>
      <x:c r="B40" s="1"/>
      <x:c r="C40" s="2" t="str">
        <x:v>Opening reserve is carried forward, not expensed again. New originations receive a lifetime loss provision.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</x:row>
    <x:row r="41" ht="19" customHeight="1">
      <x:c r="A41" s="1"/>
      <x:c r="B41" s="1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</x:row>
    <x:row r="42" ht="19" customHeight="1">
      <x:c r="A42" s="1"/>
      <x:c r="B42" s="1"/>
      <x:c r="C42" s="2" t="str">
        <x:v>Existing loans earn in month 1; new originations earn from the next month. No recoveries or prepayments.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</x:row>
    <x:row r="43" ht="19" customHeight="1">
      <x:c r="A43" s="1"/>
      <x:c r="B43" s="1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</x:row>
    <x:row r="44" ht="19" customHeight="1">
      <x:c r="A44" s="1"/>
      <x:c r="B44" s="1"/>
      <x:c r="C44" s="2" t="str">
        <x:v>The build includes 36 months. Horizon totals use the selected export horizon; monthly columns remain editable.</x:v>
      </x:c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</x:row>
    <x:row r="45" ht="19" customHeight="1">
      <x:c r="A45" s="1"/>
      <x:c r="B45" s="1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</x:row>
    <x:row r="46" ht="19" customHeight="1">
      <x:c r="A46" s="1"/>
      <x:c r="B46" s="1"/>
      <x:c r="C46" s="6" t="str">
        <x:v>Revenue by product (selected loan types)</x:v>
      </x:c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  <x:c r="AA46" s="6"/>
      <x:c r="AB46" s="6"/>
      <x:c r="AC46" s="6"/>
      <x:c r="AD46" s="6"/>
      <x:c r="AE46" s="6"/>
      <x:c r="AF46" s="6"/>
      <x:c r="AG46" s="6"/>
      <x:c r="AH46" s="6"/>
      <x:c r="AI46" s="6"/>
      <x:c r="AJ46" s="6"/>
      <x:c r="AK46" s="6"/>
      <x:c r="AL46" s="6"/>
      <x:c r="AM46" s="6"/>
      <x:c r="AN46" s="6"/>
      <x:c r="AO46" s="6"/>
      <x:c r="AP46" s="6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</x:row>
    <x:row r="47" ht="19" customHeight="1">
      <x:c r="A47" s="1"/>
      <x:c r="B47" s="1"/>
      <x:c r="C47" s="2" t="str">
        <x:v>CreditFresh - Short-Term</x:v>
      </x:c>
      <x:c r="D47" s="2"/>
      <x:c r="E47" s="35" t="n">
        <x:f>SUMIFS(G47:AP47,$G$6:$AP$6,"&lt;="&amp;'Assumptions'!$E$7)</x:f>
        <x:v>86772274.90133587</x:v>
      </x:c>
      <x:c r="F47" s="35"/>
      <x:c r="G47" s="51" t="n">
        <x:f>IF('Assumptions'!$E$9=3,0,'CF Short-Term'!G24)</x:f>
        <x:v>15495576.69184173</x:v>
      </x:c>
      <x:c r="H47" s="51" t="n">
        <x:f>IF('Assumptions'!$E$9=3,0,'CF Short-Term'!H24)</x:f>
        <x:v>9093440.437627548</x:v>
      </x:c>
      <x:c r="I47" s="51" t="n">
        <x:f>IF('Assumptions'!$E$9=3,0,'CF Short-Term'!I24)</x:f>
        <x:v>5945406.365337741</x:v>
      </x:c>
      <x:c r="J47" s="51" t="n">
        <x:f>IF('Assumptions'!$E$9=3,0,'CF Short-Term'!J24)</x:f>
        <x:v>4271815.372282657</x:v>
      </x:c>
      <x:c r="K47" s="51" t="n">
        <x:f>IF('Assumptions'!$E$9=3,0,'CF Short-Term'!K24)</x:f>
        <x:v>3378279.9008434494</x:v>
      </x:c>
      <x:c r="L47" s="51" t="n">
        <x:f>IF('Assumptions'!$E$9=3,0,'CF Short-Term'!L24)</x:f>
        <x:v>2912488.3565929816</x:v>
      </x:c>
      <x:c r="M47" s="51" t="n">
        <x:f>IF('Assumptions'!$E$9=3,0,'CF Short-Term'!M24)</x:f>
        <x:v>2680953.5469778334</x:v>
      </x:c>
      <x:c r="N47" s="51" t="n">
        <x:f>IF('Assumptions'!$E$9=3,0,'CF Short-Term'!N24)</x:f>
        <x:v>2575921.7407291685</x:v>
      </x:c>
      <x:c r="O47" s="51" t="n">
        <x:f>IF('Assumptions'!$E$9=3,0,'CF Short-Term'!O24)</x:f>
        <x:v>2535784.5266004964</x:v>
      </x:c>
      <x:c r="P47" s="51" t="n">
        <x:f>IF('Assumptions'!$E$9=3,0,'CF Short-Term'!P24)</x:f>
        <x:v>2525507.1975001483</x:v>
      </x:c>
      <x:c r="Q47" s="51" t="n">
        <x:f>IF('Assumptions'!$E$9=3,0,'CF Short-Term'!Q24)</x:f>
        <x:v>2525507.197500149</x:v>
      </x:c>
      <x:c r="R47" s="51" t="n">
        <x:f>IF('Assumptions'!$E$9=3,0,'CF Short-Term'!R24)</x:f>
        <x:v>2525507.197500149</x:v>
      </x:c>
      <x:c r="S47" s="51" t="n">
        <x:f>IF('Assumptions'!$E$9=3,0,'CF Short-Term'!S24)</x:f>
        <x:v>2525507.197500149</x:v>
      </x:c>
      <x:c r="T47" s="51" t="n">
        <x:f>IF('Assumptions'!$E$9=3,0,'CF Short-Term'!T24)</x:f>
        <x:v>2525507.197500149</x:v>
      </x:c>
      <x:c r="U47" s="51" t="n">
        <x:f>IF('Assumptions'!$E$9=3,0,'CF Short-Term'!U24)</x:f>
        <x:v>2525507.197500149</x:v>
      </x:c>
      <x:c r="V47" s="51" t="n">
        <x:f>IF('Assumptions'!$E$9=3,0,'CF Short-Term'!V24)</x:f>
        <x:v>2525507.197500149</x:v>
      </x:c>
      <x:c r="W47" s="51" t="n">
        <x:f>IF('Assumptions'!$E$9=3,0,'CF Short-Term'!W24)</x:f>
        <x:v>2525507.197500149</x:v>
      </x:c>
      <x:c r="X47" s="51" t="n">
        <x:f>IF('Assumptions'!$E$9=3,0,'CF Short-Term'!X24)</x:f>
        <x:v>2525507.197500149</x:v>
      </x:c>
      <x:c r="Y47" s="51" t="n">
        <x:f>IF('Assumptions'!$E$9=3,0,'CF Short-Term'!Y24)</x:f>
        <x:v>2525507.197500149</x:v>
      </x:c>
      <x:c r="Z47" s="51" t="n">
        <x:f>IF('Assumptions'!$E$9=3,0,'CF Short-Term'!Z24)</x:f>
        <x:v>2525507.197500149</x:v>
      </x:c>
      <x:c r="AA47" s="51" t="n">
        <x:f>IF('Assumptions'!$E$9=3,0,'CF Short-Term'!AA24)</x:f>
        <x:v>2525507.197500149</x:v>
      </x:c>
      <x:c r="AB47" s="51" t="n">
        <x:f>IF('Assumptions'!$E$9=3,0,'CF Short-Term'!AB24)</x:f>
        <x:v>2525507.197500149</x:v>
      </x:c>
      <x:c r="AC47" s="51" t="n">
        <x:f>IF('Assumptions'!$E$9=3,0,'CF Short-Term'!AC24)</x:f>
        <x:v>2525507.197500149</x:v>
      </x:c>
      <x:c r="AD47" s="51" t="n">
        <x:f>IF('Assumptions'!$E$9=3,0,'CF Short-Term'!AD24)</x:f>
        <x:v>2525507.197500149</x:v>
      </x:c>
      <x:c r="AE47" s="51" t="n">
        <x:f>IF('Assumptions'!$E$9=3,0,'CF Short-Term'!AE24)</x:f>
        <x:v>2525507.197500149</x:v>
      </x:c>
      <x:c r="AF47" s="51" t="n">
        <x:f>IF('Assumptions'!$E$9=3,0,'CF Short-Term'!AF24)</x:f>
        <x:v>2525507.197500149</x:v>
      </x:c>
      <x:c r="AG47" s="51" t="n">
        <x:f>IF('Assumptions'!$E$9=3,0,'CF Short-Term'!AG24)</x:f>
        <x:v>2525507.197500149</x:v>
      </x:c>
      <x:c r="AH47" s="51" t="n">
        <x:f>IF('Assumptions'!$E$9=3,0,'CF Short-Term'!AH24)</x:f>
        <x:v>2525507.197500149</x:v>
      </x:c>
      <x:c r="AI47" s="51" t="n">
        <x:f>IF('Assumptions'!$E$9=3,0,'CF Short-Term'!AI24)</x:f>
        <x:v>2525507.197500149</x:v>
      </x:c>
      <x:c r="AJ47" s="51" t="n">
        <x:f>IF('Assumptions'!$E$9=3,0,'CF Short-Term'!AJ24)</x:f>
        <x:v>2525507.197500149</x:v>
      </x:c>
      <x:c r="AK47" s="51" t="n">
        <x:f>IF('Assumptions'!$E$9=3,0,'CF Short-Term'!AK24)</x:f>
        <x:v>2525507.197500149</x:v>
      </x:c>
      <x:c r="AL47" s="51" t="n">
        <x:f>IF('Assumptions'!$E$9=3,0,'CF Short-Term'!AL24)</x:f>
        <x:v>2525507.197500149</x:v>
      </x:c>
      <x:c r="AM47" s="51" t="n">
        <x:f>IF('Assumptions'!$E$9=3,0,'CF Short-Term'!AM24)</x:f>
        <x:v>2525507.197500149</x:v>
      </x:c>
      <x:c r="AN47" s="51" t="n">
        <x:f>IF('Assumptions'!$E$9=3,0,'CF Short-Term'!AN24)</x:f>
        <x:v>2525507.197500149</x:v>
      </x:c>
      <x:c r="AO47" s="51" t="n">
        <x:f>IF('Assumptions'!$E$9=3,0,'CF Short-Term'!AO24)</x:f>
        <x:v>2525507.197500149</x:v>
      </x:c>
      <x:c r="AP47" s="51" t="n">
        <x:f>IF('Assumptions'!$E$9=3,0,'CF Short-Term'!AP24)</x:f>
        <x:v>2525507.197500149</x:v>
      </x:c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</x:row>
    <x:row r="48" ht="19" customHeight="1">
      <x:c r="A48" s="1"/>
      <x:c r="B48" s="1"/>
      <x:c r="C48" s="2" t="str">
        <x:v>CreditFresh - Installment</x:v>
      </x:c>
      <x:c r="D48" s="2"/>
      <x:c r="E48" s="35" t="n">
        <x:f>SUMIFS(G48:AP48,$G$6:$AP$6,"&lt;="&amp;'Assumptions'!$E$7)</x:f>
        <x:v>79355473.93871075</x:v>
      </x:c>
      <x:c r="F48" s="35"/>
      <x:c r="G48" s="51" t="n">
        <x:f>IF('Assumptions'!$E$9=2,0,'CF Installment'!G24)</x:f>
        <x:v>12783850.77076943</x:v>
      </x:c>
      <x:c r="H48" s="51" t="n">
        <x:f>IF('Assumptions'!$E$9=2,0,'CF Installment'!H24)</x:f>
        <x:v>7984665.074947844</x:v>
      </x:c>
      <x:c r="I48" s="51" t="n">
        <x:f>IF('Assumptions'!$E$9=2,0,'CF Installment'!I24)</x:f>
        <x:v>5461389.852654118</x:v>
      </x:c>
      <x:c r="J48" s="51" t="n">
        <x:f>IF('Assumptions'!$E$9=2,0,'CF Installment'!J24)</x:f>
        <x:v>4038889.281071002</x:v>
      </x:c>
      <x:c r="K48" s="51" t="n">
        <x:f>IF('Assumptions'!$E$9=2,0,'CF Installment'!K24)</x:f>
        <x:v>3235205.445349691</x:v>
      </x:c>
      <x:c r="L48" s="51" t="n">
        <x:f>IF('Assumptions'!$E$9=2,0,'CF Installment'!L24)</x:f>
        <x:v>2790906.662176101</x:v>
      </x:c>
      <x:c r="M48" s="51" t="n">
        <x:f>IF('Assumptions'!$E$9=2,0,'CF Installment'!M24)</x:f>
        <x:v>2555418.607518484</x:v>
      </x:c>
      <x:c r="N48" s="51" t="n">
        <x:f>IF('Assumptions'!$E$9=2,0,'CF Installment'!N24)</x:f>
        <x:v>2440329.204638856</x:v>
      </x:c>
      <x:c r="O48" s="51" t="n">
        <x:f>IF('Assumptions'!$E$9=2,0,'CF Installment'!O24)</x:f>
        <x:v>2392122.616044888</x:v>
      </x:c>
      <x:c r="P48" s="51" t="n">
        <x:f>IF('Assumptions'!$E$9=2,0,'CF Installment'!P24)</x:f>
        <x:v>2378179.761569355</x:v>
      </x:c>
      <x:c r="Q48" s="51" t="n">
        <x:f>IF('Assumptions'!$E$9=2,0,'CF Installment'!Q24)</x:f>
        <x:v>2378179.7615693556</x:v>
      </x:c>
      <x:c r="R48" s="51" t="n">
        <x:f>IF('Assumptions'!$E$9=2,0,'CF Installment'!R24)</x:f>
        <x:v>2378179.7615693556</x:v>
      </x:c>
      <x:c r="S48" s="51" t="n">
        <x:f>IF('Assumptions'!$E$9=2,0,'CF Installment'!S24)</x:f>
        <x:v>2378179.7615693556</x:v>
      </x:c>
      <x:c r="T48" s="51" t="n">
        <x:f>IF('Assumptions'!$E$9=2,0,'CF Installment'!T24)</x:f>
        <x:v>2378179.7615693556</x:v>
      </x:c>
      <x:c r="U48" s="51" t="n">
        <x:f>IF('Assumptions'!$E$9=2,0,'CF Installment'!U24)</x:f>
        <x:v>2378179.7615693556</x:v>
      </x:c>
      <x:c r="V48" s="51" t="n">
        <x:f>IF('Assumptions'!$E$9=2,0,'CF Installment'!V24)</x:f>
        <x:v>2378179.7615693556</x:v>
      </x:c>
      <x:c r="W48" s="51" t="n">
        <x:f>IF('Assumptions'!$E$9=2,0,'CF Installment'!W24)</x:f>
        <x:v>2378179.7615693556</x:v>
      </x:c>
      <x:c r="X48" s="51" t="n">
        <x:f>IF('Assumptions'!$E$9=2,0,'CF Installment'!X24)</x:f>
        <x:v>2378179.7615693556</x:v>
      </x:c>
      <x:c r="Y48" s="51" t="n">
        <x:f>IF('Assumptions'!$E$9=2,0,'CF Installment'!Y24)</x:f>
        <x:v>2378179.7615693556</x:v>
      </x:c>
      <x:c r="Z48" s="51" t="n">
        <x:f>IF('Assumptions'!$E$9=2,0,'CF Installment'!Z24)</x:f>
        <x:v>2378179.7615693556</x:v>
      </x:c>
      <x:c r="AA48" s="51" t="n">
        <x:f>IF('Assumptions'!$E$9=2,0,'CF Installment'!AA24)</x:f>
        <x:v>2378179.7615693556</x:v>
      </x:c>
      <x:c r="AB48" s="51" t="n">
        <x:f>IF('Assumptions'!$E$9=2,0,'CF Installment'!AB24)</x:f>
        <x:v>2378179.7615693556</x:v>
      </x:c>
      <x:c r="AC48" s="51" t="n">
        <x:f>IF('Assumptions'!$E$9=2,0,'CF Installment'!AC24)</x:f>
        <x:v>2378179.7615693556</x:v>
      </x:c>
      <x:c r="AD48" s="51" t="n">
        <x:f>IF('Assumptions'!$E$9=2,0,'CF Installment'!AD24)</x:f>
        <x:v>2378179.7615693556</x:v>
      </x:c>
      <x:c r="AE48" s="51" t="n">
        <x:f>IF('Assumptions'!$E$9=2,0,'CF Installment'!AE24)</x:f>
        <x:v>2378179.7615693556</x:v>
      </x:c>
      <x:c r="AF48" s="51" t="n">
        <x:f>IF('Assumptions'!$E$9=2,0,'CF Installment'!AF24)</x:f>
        <x:v>2378179.7615693556</x:v>
      </x:c>
      <x:c r="AG48" s="51" t="n">
        <x:f>IF('Assumptions'!$E$9=2,0,'CF Installment'!AG24)</x:f>
        <x:v>2378179.7615693556</x:v>
      </x:c>
      <x:c r="AH48" s="51" t="n">
        <x:f>IF('Assumptions'!$E$9=2,0,'CF Installment'!AH24)</x:f>
        <x:v>2378179.7615693556</x:v>
      </x:c>
      <x:c r="AI48" s="51" t="n">
        <x:f>IF('Assumptions'!$E$9=2,0,'CF Installment'!AI24)</x:f>
        <x:v>2378179.7615693556</x:v>
      </x:c>
      <x:c r="AJ48" s="51" t="n">
        <x:f>IF('Assumptions'!$E$9=2,0,'CF Installment'!AJ24)</x:f>
        <x:v>2378179.7615693556</x:v>
      </x:c>
      <x:c r="AK48" s="51" t="n">
        <x:f>IF('Assumptions'!$E$9=2,0,'CF Installment'!AK24)</x:f>
        <x:v>2378179.7615693556</x:v>
      </x:c>
      <x:c r="AL48" s="51" t="n">
        <x:f>IF('Assumptions'!$E$9=2,0,'CF Installment'!AL24)</x:f>
        <x:v>2378179.7615693556</x:v>
      </x:c>
      <x:c r="AM48" s="51" t="n">
        <x:f>IF('Assumptions'!$E$9=2,0,'CF Installment'!AM24)</x:f>
        <x:v>2378179.7615693556</x:v>
      </x:c>
      <x:c r="AN48" s="51" t="n">
        <x:f>IF('Assumptions'!$E$9=2,0,'CF Installment'!AN24)</x:f>
        <x:v>2378179.7615693556</x:v>
      </x:c>
      <x:c r="AO48" s="51" t="n">
        <x:f>IF('Assumptions'!$E$9=2,0,'CF Installment'!AO24)</x:f>
        <x:v>2378179.7615693556</x:v>
      </x:c>
      <x:c r="AP48" s="51" t="n">
        <x:f>IF('Assumptions'!$E$9=2,0,'CF Installment'!AP24)</x:f>
        <x:v>2378179.7615693556</x:v>
      </x:c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</x:row>
    <x:row r="49" ht="19" customHeight="1">
      <x:c r="A49" s="1"/>
      <x:c r="B49" s="1"/>
      <x:c r="C49" s="28" t="str">
        <x:v>CreditFresh revenue</x:v>
      </x:c>
      <x:c r="D49" s="28"/>
      <x:c r="E49" s="45" t="n">
        <x:f>SUMIFS(G49:AP49,$G$6:$AP$6,"&lt;="&amp;'Assumptions'!$E$7)</x:f>
        <x:v>166127748.8400465</x:v>
      </x:c>
      <x:c r="F49" s="45"/>
      <x:c r="G49" s="45" t="n">
        <x:f>SUM(G47:G48)</x:f>
        <x:v>28279427.46261116</x:v>
      </x:c>
      <x:c r="H49" s="45" t="n">
        <x:f>SUM(H47:H48)</x:f>
        <x:v>17078105.51257539</x:v>
      </x:c>
      <x:c r="I49" s="45" t="n">
        <x:f>SUM(I47:I48)</x:f>
        <x:v>11406796.217991859</x:v>
      </x:c>
      <x:c r="J49" s="45" t="n">
        <x:f>SUM(J47:J48)</x:f>
        <x:v>8310704.653353659</x:v>
      </x:c>
      <x:c r="K49" s="45" t="n">
        <x:f>SUM(K47:K48)</x:f>
        <x:v>6613485.34619314</x:v>
      </x:c>
      <x:c r="L49" s="45" t="n">
        <x:f>SUM(L47:L48)</x:f>
        <x:v>5703395.018769083</x:v>
      </x:c>
      <x:c r="M49" s="45" t="n">
        <x:f>SUM(M47:M48)</x:f>
        <x:v>5236372.154496318</x:v>
      </x:c>
      <x:c r="N49" s="45" t="n">
        <x:f>SUM(N47:N48)</x:f>
        <x:v>5016250.9453680245</x:v>
      </x:c>
      <x:c r="O49" s="45" t="n">
        <x:f>SUM(O47:O48)</x:f>
        <x:v>4927907.142645384</x:v>
      </x:c>
      <x:c r="P49" s="45" t="n">
        <x:f>SUM(P47:P48)</x:f>
        <x:v>4903686.9590695035</x:v>
      </x:c>
      <x:c r="Q49" s="45" t="n">
        <x:f>SUM(Q47:Q48)</x:f>
        <x:v>4903686.959069504</x:v>
      </x:c>
      <x:c r="R49" s="45" t="n">
        <x:f>SUM(R47:R48)</x:f>
        <x:v>4903686.959069504</x:v>
      </x:c>
      <x:c r="S49" s="45" t="n">
        <x:f>SUM(S47:S48)</x:f>
        <x:v>4903686.959069504</x:v>
      </x:c>
      <x:c r="T49" s="45" t="n">
        <x:f>SUM(T47:T48)</x:f>
        <x:v>4903686.959069504</x:v>
      </x:c>
      <x:c r="U49" s="45" t="n">
        <x:f>SUM(U47:U48)</x:f>
        <x:v>4903686.959069504</x:v>
      </x:c>
      <x:c r="V49" s="45" t="n">
        <x:f>SUM(V47:V48)</x:f>
        <x:v>4903686.959069504</x:v>
      </x:c>
      <x:c r="W49" s="45" t="n">
        <x:f>SUM(W47:W48)</x:f>
        <x:v>4903686.959069504</x:v>
      </x:c>
      <x:c r="X49" s="45" t="n">
        <x:f>SUM(X47:X48)</x:f>
        <x:v>4903686.959069504</x:v>
      </x:c>
      <x:c r="Y49" s="45" t="n">
        <x:f>SUM(Y47:Y48)</x:f>
        <x:v>4903686.959069504</x:v>
      </x:c>
      <x:c r="Z49" s="45" t="n">
        <x:f>SUM(Z47:Z48)</x:f>
        <x:v>4903686.959069504</x:v>
      </x:c>
      <x:c r="AA49" s="45" t="n">
        <x:f>SUM(AA47:AA48)</x:f>
        <x:v>4903686.959069504</x:v>
      </x:c>
      <x:c r="AB49" s="45" t="n">
        <x:f>SUM(AB47:AB48)</x:f>
        <x:v>4903686.959069504</x:v>
      </x:c>
      <x:c r="AC49" s="45" t="n">
        <x:f>SUM(AC47:AC48)</x:f>
        <x:v>4903686.959069504</x:v>
      </x:c>
      <x:c r="AD49" s="45" t="n">
        <x:f>SUM(AD47:AD48)</x:f>
        <x:v>4903686.959069504</x:v>
      </x:c>
      <x:c r="AE49" s="45" t="n">
        <x:f>SUM(AE47:AE48)</x:f>
        <x:v>4903686.959069504</x:v>
      </x:c>
      <x:c r="AF49" s="45" t="n">
        <x:f>SUM(AF47:AF48)</x:f>
        <x:v>4903686.959069504</x:v>
      </x:c>
      <x:c r="AG49" s="45" t="n">
        <x:f>SUM(AG47:AG48)</x:f>
        <x:v>4903686.959069504</x:v>
      </x:c>
      <x:c r="AH49" s="45" t="n">
        <x:f>SUM(AH47:AH48)</x:f>
        <x:v>4903686.959069504</x:v>
      </x:c>
      <x:c r="AI49" s="45" t="n">
        <x:f>SUM(AI47:AI48)</x:f>
        <x:v>4903686.959069504</x:v>
      </x:c>
      <x:c r="AJ49" s="45" t="n">
        <x:f>SUM(AJ47:AJ48)</x:f>
        <x:v>4903686.959069504</x:v>
      </x:c>
      <x:c r="AK49" s="45" t="n">
        <x:f>SUM(AK47:AK48)</x:f>
        <x:v>4903686.959069504</x:v>
      </x:c>
      <x:c r="AL49" s="45" t="n">
        <x:f>SUM(AL47:AL48)</x:f>
        <x:v>4903686.959069504</x:v>
      </x:c>
      <x:c r="AM49" s="45" t="n">
        <x:f>SUM(AM47:AM48)</x:f>
        <x:v>4903686.959069504</x:v>
      </x:c>
      <x:c r="AN49" s="45" t="n">
        <x:f>SUM(AN47:AN48)</x:f>
        <x:v>4903686.959069504</x:v>
      </x:c>
      <x:c r="AO49" s="45" t="n">
        <x:f>SUM(AO47:AO48)</x:f>
        <x:v>4903686.959069504</x:v>
      </x:c>
      <x:c r="AP49" s="45" t="n">
        <x:f>SUM(AP47:AP48)</x:f>
        <x:v>4903686.959069504</x:v>
      </x:c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</x:row>
    <x:row r="50" ht="19" customHeight="1">
      <x:c r="A50" s="1"/>
      <x:c r="B50" s="1"/>
      <x:c r="C50" s="2" t="str">
        <x:v>MoneyKey - Short-Term</x:v>
      </x:c>
      <x:c r="D50" s="2"/>
      <x:c r="E50" s="35" t="n">
        <x:f>SUMIFS(G50:AP50,$G$6:$AP$6,"&lt;="&amp;'Assumptions'!$E$7)</x:f>
        <x:v>13577567.04617614</x:v>
      </x:c>
      <x:c r="F50" s="35"/>
      <x:c r="G50" s="51" t="n">
        <x:f>IF('Assumptions'!$E$9=3,0,'MK Short-Term'!G24)</x:f>
        <x:v>3318406.8174407096</x:v>
      </x:c>
      <x:c r="H50" s="51" t="n">
        <x:f>IF('Assumptions'!$E$9=3,0,'MK Short-Term'!H24)</x:f>
        <x:v>1440564.0415207623</x:v>
      </x:c>
      <x:c r="I50" s="51" t="n">
        <x:f>IF('Assumptions'!$E$9=3,0,'MK Short-Term'!I24)</x:f>
        <x:v>742368.1302135632</x:v>
      </x:c>
      <x:c r="J50" s="51" t="n">
        <x:f>IF('Assumptions'!$E$9=3,0,'MK Short-Term'!J24)</x:f>
        <x:v>482485.0754965016</x:v>
      </x:c>
      <x:c r="K50" s="51" t="n">
        <x:f>IF('Assumptions'!$E$9=3,0,'MK Short-Term'!K24)</x:f>
        <x:v>397143.10082286765</x:v>
      </x:c>
      <x:c r="L50" s="51" t="n">
        <x:f>IF('Assumptions'!$E$9=3,0,'MK Short-Term'!L24)</x:f>
        <x:v>378768.4147727224</x:v>
      </x:c>
      <x:c r="M50" s="51" t="n">
        <x:f>IF('Assumptions'!$E$9=3,0,'MK Short-Term'!M24)</x:f>
        <x:v>378768.4147727224</x:v>
      </x:c>
      <x:c r="N50" s="51" t="n">
        <x:f>IF('Assumptions'!$E$9=3,0,'MK Short-Term'!N24)</x:f>
        <x:v>378768.4147727224</x:v>
      </x:c>
      <x:c r="O50" s="51" t="n">
        <x:f>IF('Assumptions'!$E$9=3,0,'MK Short-Term'!O24)</x:f>
        <x:v>378768.4147727224</x:v>
      </x:c>
      <x:c r="P50" s="51" t="n">
        <x:f>IF('Assumptions'!$E$9=3,0,'MK Short-Term'!P24)</x:f>
        <x:v>378768.4147727224</x:v>
      </x:c>
      <x:c r="Q50" s="51" t="n">
        <x:f>IF('Assumptions'!$E$9=3,0,'MK Short-Term'!Q24)</x:f>
        <x:v>378768.4147727224</x:v>
      </x:c>
      <x:c r="R50" s="51" t="n">
        <x:f>IF('Assumptions'!$E$9=3,0,'MK Short-Term'!R24)</x:f>
        <x:v>378768.4147727224</x:v>
      </x:c>
      <x:c r="S50" s="51" t="n">
        <x:f>IF('Assumptions'!$E$9=3,0,'MK Short-Term'!S24)</x:f>
        <x:v>378768.4147727224</x:v>
      </x:c>
      <x:c r="T50" s="51" t="n">
        <x:f>IF('Assumptions'!$E$9=3,0,'MK Short-Term'!T24)</x:f>
        <x:v>378768.4147727224</x:v>
      </x:c>
      <x:c r="U50" s="51" t="n">
        <x:f>IF('Assumptions'!$E$9=3,0,'MK Short-Term'!U24)</x:f>
        <x:v>378768.4147727224</x:v>
      </x:c>
      <x:c r="V50" s="51" t="n">
        <x:f>IF('Assumptions'!$E$9=3,0,'MK Short-Term'!V24)</x:f>
        <x:v>378768.4147727224</x:v>
      </x:c>
      <x:c r="W50" s="51" t="n">
        <x:f>IF('Assumptions'!$E$9=3,0,'MK Short-Term'!W24)</x:f>
        <x:v>378768.4147727224</x:v>
      </x:c>
      <x:c r="X50" s="51" t="n">
        <x:f>IF('Assumptions'!$E$9=3,0,'MK Short-Term'!X24)</x:f>
        <x:v>378768.4147727224</x:v>
      </x:c>
      <x:c r="Y50" s="51" t="n">
        <x:f>IF('Assumptions'!$E$9=3,0,'MK Short-Term'!Y24)</x:f>
        <x:v>378768.4147727224</x:v>
      </x:c>
      <x:c r="Z50" s="51" t="n">
        <x:f>IF('Assumptions'!$E$9=3,0,'MK Short-Term'!Z24)</x:f>
        <x:v>378768.4147727224</x:v>
      </x:c>
      <x:c r="AA50" s="51" t="n">
        <x:f>IF('Assumptions'!$E$9=3,0,'MK Short-Term'!AA24)</x:f>
        <x:v>378768.4147727224</x:v>
      </x:c>
      <x:c r="AB50" s="51" t="n">
        <x:f>IF('Assumptions'!$E$9=3,0,'MK Short-Term'!AB24)</x:f>
        <x:v>378768.4147727224</x:v>
      </x:c>
      <x:c r="AC50" s="51" t="n">
        <x:f>IF('Assumptions'!$E$9=3,0,'MK Short-Term'!AC24)</x:f>
        <x:v>378768.4147727224</x:v>
      </x:c>
      <x:c r="AD50" s="51" t="n">
        <x:f>IF('Assumptions'!$E$9=3,0,'MK Short-Term'!AD24)</x:f>
        <x:v>378768.4147727224</x:v>
      </x:c>
      <x:c r="AE50" s="51" t="n">
        <x:f>IF('Assumptions'!$E$9=3,0,'MK Short-Term'!AE24)</x:f>
        <x:v>378768.4147727224</x:v>
      </x:c>
      <x:c r="AF50" s="51" t="n">
        <x:f>IF('Assumptions'!$E$9=3,0,'MK Short-Term'!AF24)</x:f>
        <x:v>378768.4147727224</x:v>
      </x:c>
      <x:c r="AG50" s="51" t="n">
        <x:f>IF('Assumptions'!$E$9=3,0,'MK Short-Term'!AG24)</x:f>
        <x:v>378768.4147727224</x:v>
      </x:c>
      <x:c r="AH50" s="51" t="n">
        <x:f>IF('Assumptions'!$E$9=3,0,'MK Short-Term'!AH24)</x:f>
        <x:v>378768.4147727224</x:v>
      </x:c>
      <x:c r="AI50" s="51" t="n">
        <x:f>IF('Assumptions'!$E$9=3,0,'MK Short-Term'!AI24)</x:f>
        <x:v>378768.4147727224</x:v>
      </x:c>
      <x:c r="AJ50" s="51" t="n">
        <x:f>IF('Assumptions'!$E$9=3,0,'MK Short-Term'!AJ24)</x:f>
        <x:v>378768.4147727224</x:v>
      </x:c>
      <x:c r="AK50" s="51" t="n">
        <x:f>IF('Assumptions'!$E$9=3,0,'MK Short-Term'!AK24)</x:f>
        <x:v>378768.4147727224</x:v>
      </x:c>
      <x:c r="AL50" s="51" t="n">
        <x:f>IF('Assumptions'!$E$9=3,0,'MK Short-Term'!AL24)</x:f>
        <x:v>378768.4147727224</x:v>
      </x:c>
      <x:c r="AM50" s="51" t="n">
        <x:f>IF('Assumptions'!$E$9=3,0,'MK Short-Term'!AM24)</x:f>
        <x:v>378768.4147727224</x:v>
      </x:c>
      <x:c r="AN50" s="51" t="n">
        <x:f>IF('Assumptions'!$E$9=3,0,'MK Short-Term'!AN24)</x:f>
        <x:v>378768.4147727224</x:v>
      </x:c>
      <x:c r="AO50" s="51" t="n">
        <x:f>IF('Assumptions'!$E$9=3,0,'MK Short-Term'!AO24)</x:f>
        <x:v>378768.4147727224</x:v>
      </x:c>
      <x:c r="AP50" s="51" t="n">
        <x:f>IF('Assumptions'!$E$9=3,0,'MK Short-Term'!AP24)</x:f>
        <x:v>378768.4147727224</x:v>
      </x:c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</x:row>
    <x:row r="51" ht="19" customHeight="1">
      <x:c r="A51" s="1"/>
      <x:c r="B51" s="1"/>
      <x:c r="C51" s="2" t="str">
        <x:v>MoneyKey - Installment</x:v>
      </x:c>
      <x:c r="D51" s="2"/>
      <x:c r="E51" s="35" t="n">
        <x:f>SUMIFS(G51:AP51,$G$6:$AP$6,"&lt;="&amp;'Assumptions'!$E$7)</x:f>
        <x:v>11937963.681254502</x:v>
      </x:c>
      <x:c r="F51" s="35"/>
      <x:c r="G51" s="51" t="n">
        <x:f>IF('Assumptions'!$E$9=2,0,'MK Installment'!G24)</x:f>
        <x:v>2737685.6243885863</x:v>
      </x:c>
      <x:c r="H51" s="51" t="n">
        <x:f>IF('Assumptions'!$E$9=2,0,'MK Installment'!H24)</x:f>
        <x:v>1238594.2442841637</x:v>
      </x:c>
      <x:c r="I51" s="51" t="n">
        <x:f>IF('Assumptions'!$E$9=2,0,'MK Installment'!I24)</x:f>
        <x:v>660163.4215627079</x:v>
      </x:c>
      <x:c r="J51" s="51" t="n">
        <x:f>IF('Assumptions'!$E$9=2,0,'MK Installment'!J24)</x:f>
        <x:v>436408.0513725096</x:v>
      </x:c>
      <x:c r="K51" s="51" t="n">
        <x:f>IF('Assumptions'!$E$9=2,0,'MK Installment'!K24)</x:f>
        <x:v>359739.9601857508</x:v>
      </x:c>
      <x:c r="L51" s="51" t="n">
        <x:f>IF('Assumptions'!$E$9=2,0,'MK Installment'!L24)</x:f>
        <x:v>342388.01997161977</x:v>
      </x:c>
      <x:c r="M51" s="51" t="n">
        <x:f>IF('Assumptions'!$E$9=2,0,'MK Installment'!M24)</x:f>
        <x:v>342388.0199716198</x:v>
      </x:c>
      <x:c r="N51" s="51" t="n">
        <x:f>IF('Assumptions'!$E$9=2,0,'MK Installment'!N24)</x:f>
        <x:v>342388.0199716198</x:v>
      </x:c>
      <x:c r="O51" s="51" t="n">
        <x:f>IF('Assumptions'!$E$9=2,0,'MK Installment'!O24)</x:f>
        <x:v>342388.0199716198</x:v>
      </x:c>
      <x:c r="P51" s="51" t="n">
        <x:f>IF('Assumptions'!$E$9=2,0,'MK Installment'!P24)</x:f>
        <x:v>342388.0199716198</x:v>
      </x:c>
      <x:c r="Q51" s="51" t="n">
        <x:f>IF('Assumptions'!$E$9=2,0,'MK Installment'!Q24)</x:f>
        <x:v>342388.0199716198</x:v>
      </x:c>
      <x:c r="R51" s="51" t="n">
        <x:f>IF('Assumptions'!$E$9=2,0,'MK Installment'!R24)</x:f>
        <x:v>342388.0199716198</x:v>
      </x:c>
      <x:c r="S51" s="51" t="n">
        <x:f>IF('Assumptions'!$E$9=2,0,'MK Installment'!S24)</x:f>
        <x:v>342388.0199716198</x:v>
      </x:c>
      <x:c r="T51" s="51" t="n">
        <x:f>IF('Assumptions'!$E$9=2,0,'MK Installment'!T24)</x:f>
        <x:v>342388.0199716198</x:v>
      </x:c>
      <x:c r="U51" s="51" t="n">
        <x:f>IF('Assumptions'!$E$9=2,0,'MK Installment'!U24)</x:f>
        <x:v>342388.0199716198</x:v>
      </x:c>
      <x:c r="V51" s="51" t="n">
        <x:f>IF('Assumptions'!$E$9=2,0,'MK Installment'!V24)</x:f>
        <x:v>342388.0199716198</x:v>
      </x:c>
      <x:c r="W51" s="51" t="n">
        <x:f>IF('Assumptions'!$E$9=2,0,'MK Installment'!W24)</x:f>
        <x:v>342388.0199716198</x:v>
      </x:c>
      <x:c r="X51" s="51" t="n">
        <x:f>IF('Assumptions'!$E$9=2,0,'MK Installment'!X24)</x:f>
        <x:v>342388.0199716198</x:v>
      </x:c>
      <x:c r="Y51" s="51" t="n">
        <x:f>IF('Assumptions'!$E$9=2,0,'MK Installment'!Y24)</x:f>
        <x:v>342388.0199716198</x:v>
      </x:c>
      <x:c r="Z51" s="51" t="n">
        <x:f>IF('Assumptions'!$E$9=2,0,'MK Installment'!Z24)</x:f>
        <x:v>342388.0199716198</x:v>
      </x:c>
      <x:c r="AA51" s="51" t="n">
        <x:f>IF('Assumptions'!$E$9=2,0,'MK Installment'!AA24)</x:f>
        <x:v>342388.0199716198</x:v>
      </x:c>
      <x:c r="AB51" s="51" t="n">
        <x:f>IF('Assumptions'!$E$9=2,0,'MK Installment'!AB24)</x:f>
        <x:v>342388.0199716198</x:v>
      </x:c>
      <x:c r="AC51" s="51" t="n">
        <x:f>IF('Assumptions'!$E$9=2,0,'MK Installment'!AC24)</x:f>
        <x:v>342388.0199716198</x:v>
      </x:c>
      <x:c r="AD51" s="51" t="n">
        <x:f>IF('Assumptions'!$E$9=2,0,'MK Installment'!AD24)</x:f>
        <x:v>342388.0199716198</x:v>
      </x:c>
      <x:c r="AE51" s="51" t="n">
        <x:f>IF('Assumptions'!$E$9=2,0,'MK Installment'!AE24)</x:f>
        <x:v>342388.0199716198</x:v>
      </x:c>
      <x:c r="AF51" s="51" t="n">
        <x:f>IF('Assumptions'!$E$9=2,0,'MK Installment'!AF24)</x:f>
        <x:v>342388.0199716198</x:v>
      </x:c>
      <x:c r="AG51" s="51" t="n">
        <x:f>IF('Assumptions'!$E$9=2,0,'MK Installment'!AG24)</x:f>
        <x:v>342388.0199716198</x:v>
      </x:c>
      <x:c r="AH51" s="51" t="n">
        <x:f>IF('Assumptions'!$E$9=2,0,'MK Installment'!AH24)</x:f>
        <x:v>342388.0199716198</x:v>
      </x:c>
      <x:c r="AI51" s="51" t="n">
        <x:f>IF('Assumptions'!$E$9=2,0,'MK Installment'!AI24)</x:f>
        <x:v>342388.0199716198</x:v>
      </x:c>
      <x:c r="AJ51" s="51" t="n">
        <x:f>IF('Assumptions'!$E$9=2,0,'MK Installment'!AJ24)</x:f>
        <x:v>342388.0199716198</x:v>
      </x:c>
      <x:c r="AK51" s="51" t="n">
        <x:f>IF('Assumptions'!$E$9=2,0,'MK Installment'!AK24)</x:f>
        <x:v>342388.0199716198</x:v>
      </x:c>
      <x:c r="AL51" s="51" t="n">
        <x:f>IF('Assumptions'!$E$9=2,0,'MK Installment'!AL24)</x:f>
        <x:v>342388.0199716198</x:v>
      </x:c>
      <x:c r="AM51" s="51" t="n">
        <x:f>IF('Assumptions'!$E$9=2,0,'MK Installment'!AM24)</x:f>
        <x:v>342388.0199716198</x:v>
      </x:c>
      <x:c r="AN51" s="51" t="n">
        <x:f>IF('Assumptions'!$E$9=2,0,'MK Installment'!AN24)</x:f>
        <x:v>342388.0199716198</x:v>
      </x:c>
      <x:c r="AO51" s="51" t="n">
        <x:f>IF('Assumptions'!$E$9=2,0,'MK Installment'!AO24)</x:f>
        <x:v>342388.0199716198</x:v>
      </x:c>
      <x:c r="AP51" s="51" t="n">
        <x:f>IF('Assumptions'!$E$9=2,0,'MK Installment'!AP24)</x:f>
        <x:v>342388.0199716198</x:v>
      </x:c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</x:row>
    <x:row r="52" ht="19" customHeight="1">
      <x:c r="A52" s="1"/>
      <x:c r="B52" s="1"/>
      <x:c r="C52" s="28" t="str">
        <x:v>MoneyKey revenue</x:v>
      </x:c>
      <x:c r="D52" s="28"/>
      <x:c r="E52" s="45" t="n">
        <x:f>SUMIFS(G52:AP52,$G$6:$AP$6,"&lt;="&amp;'Assumptions'!$E$7)</x:f>
        <x:v>25515530.72743064</x:v>
      </x:c>
      <x:c r="F52" s="45"/>
      <x:c r="G52" s="45" t="n">
        <x:f>SUM(G50:G51)</x:f>
        <x:v>6056092.441829296</x:v>
      </x:c>
      <x:c r="H52" s="45" t="n">
        <x:f>SUM(H50:H51)</x:f>
        <x:v>2679158.285804926</x:v>
      </x:c>
      <x:c r="I52" s="45" t="n">
        <x:f>SUM(I50:I51)</x:f>
        <x:v>1402531.551776271</x:v>
      </x:c>
      <x:c r="J52" s="45" t="n">
        <x:f>SUM(J50:J51)</x:f>
        <x:v>918893.1268690112</x:v>
      </x:c>
      <x:c r="K52" s="45" t="n">
        <x:f>SUM(K50:K51)</x:f>
        <x:v>756883.0610086184</x:v>
      </x:c>
      <x:c r="L52" s="45" t="n">
        <x:f>SUM(L50:L51)</x:f>
        <x:v>721156.4347443422</x:v>
      </x:c>
      <x:c r="M52" s="45" t="n">
        <x:f>SUM(M50:M51)</x:f>
        <x:v>721156.4347443422</x:v>
      </x:c>
      <x:c r="N52" s="45" t="n">
        <x:f>SUM(N50:N51)</x:f>
        <x:v>721156.4347443422</x:v>
      </x:c>
      <x:c r="O52" s="45" t="n">
        <x:f>SUM(O50:O51)</x:f>
        <x:v>721156.4347443422</x:v>
      </x:c>
      <x:c r="P52" s="45" t="n">
        <x:f>SUM(P50:P51)</x:f>
        <x:v>721156.4347443422</x:v>
      </x:c>
      <x:c r="Q52" s="45" t="n">
        <x:f>SUM(Q50:Q51)</x:f>
        <x:v>721156.4347443422</x:v>
      </x:c>
      <x:c r="R52" s="45" t="n">
        <x:f>SUM(R50:R51)</x:f>
        <x:v>721156.4347443422</x:v>
      </x:c>
      <x:c r="S52" s="45" t="n">
        <x:f>SUM(S50:S51)</x:f>
        <x:v>721156.4347443422</x:v>
      </x:c>
      <x:c r="T52" s="45" t="n">
        <x:f>SUM(T50:T51)</x:f>
        <x:v>721156.4347443422</x:v>
      </x:c>
      <x:c r="U52" s="45" t="n">
        <x:f>SUM(U50:U51)</x:f>
        <x:v>721156.4347443422</x:v>
      </x:c>
      <x:c r="V52" s="45" t="n">
        <x:f>SUM(V50:V51)</x:f>
        <x:v>721156.4347443422</x:v>
      </x:c>
      <x:c r="W52" s="45" t="n">
        <x:f>SUM(W50:W51)</x:f>
        <x:v>721156.4347443422</x:v>
      </x:c>
      <x:c r="X52" s="45" t="n">
        <x:f>SUM(X50:X51)</x:f>
        <x:v>721156.4347443422</x:v>
      </x:c>
      <x:c r="Y52" s="45" t="n">
        <x:f>SUM(Y50:Y51)</x:f>
        <x:v>721156.4347443422</x:v>
      </x:c>
      <x:c r="Z52" s="45" t="n">
        <x:f>SUM(Z50:Z51)</x:f>
        <x:v>721156.4347443422</x:v>
      </x:c>
      <x:c r="AA52" s="45" t="n">
        <x:f>SUM(AA50:AA51)</x:f>
        <x:v>721156.4347443422</x:v>
      </x:c>
      <x:c r="AB52" s="45" t="n">
        <x:f>SUM(AB50:AB51)</x:f>
        <x:v>721156.4347443422</x:v>
      </x:c>
      <x:c r="AC52" s="45" t="n">
        <x:f>SUM(AC50:AC51)</x:f>
        <x:v>721156.4347443422</x:v>
      </x:c>
      <x:c r="AD52" s="45" t="n">
        <x:f>SUM(AD50:AD51)</x:f>
        <x:v>721156.4347443422</x:v>
      </x:c>
      <x:c r="AE52" s="45" t="n">
        <x:f>SUM(AE50:AE51)</x:f>
        <x:v>721156.4347443422</x:v>
      </x:c>
      <x:c r="AF52" s="45" t="n">
        <x:f>SUM(AF50:AF51)</x:f>
        <x:v>721156.4347443422</x:v>
      </x:c>
      <x:c r="AG52" s="45" t="n">
        <x:f>SUM(AG50:AG51)</x:f>
        <x:v>721156.4347443422</x:v>
      </x:c>
      <x:c r="AH52" s="45" t="n">
        <x:f>SUM(AH50:AH51)</x:f>
        <x:v>721156.4347443422</x:v>
      </x:c>
      <x:c r="AI52" s="45" t="n">
        <x:f>SUM(AI50:AI51)</x:f>
        <x:v>721156.4347443422</x:v>
      </x:c>
      <x:c r="AJ52" s="45" t="n">
        <x:f>SUM(AJ50:AJ51)</x:f>
        <x:v>721156.4347443422</x:v>
      </x:c>
      <x:c r="AK52" s="45" t="n">
        <x:f>SUM(AK50:AK51)</x:f>
        <x:v>721156.4347443422</x:v>
      </x:c>
      <x:c r="AL52" s="45" t="n">
        <x:f>SUM(AL50:AL51)</x:f>
        <x:v>721156.4347443422</x:v>
      </x:c>
      <x:c r="AM52" s="45" t="n">
        <x:f>SUM(AM50:AM51)</x:f>
        <x:v>721156.4347443422</x:v>
      </x:c>
      <x:c r="AN52" s="45" t="n">
        <x:f>SUM(AN50:AN51)</x:f>
        <x:v>721156.4347443422</x:v>
      </x:c>
      <x:c r="AO52" s="45" t="n">
        <x:f>SUM(AO50:AO51)</x:f>
        <x:v>721156.4347443422</x:v>
      </x:c>
      <x:c r="AP52" s="45" t="n">
        <x:f>SUM(AP50:AP51)</x:f>
        <x:v>721156.4347443422</x:v>
      </x:c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</x:row>
    <x:row r="53" ht="19" customHeight="1">
      <x:c r="A53" s="1"/>
      <x:c r="B53" s="1"/>
      <x:c r="C53" s="28" t="str">
        <x:v>Total revenue</x:v>
      </x:c>
      <x:c r="D53" s="28"/>
      <x:c r="E53" s="45" t="n">
        <x:f>SUMIFS(G53:AP53,$G$6:$AP$6,"&lt;="&amp;'Assumptions'!$E$7)</x:f>
        <x:v>191643279.56747723</x:v>
      </x:c>
      <x:c r="F53" s="45"/>
      <x:c r="G53" s="45" t="n">
        <x:f>G49+G52</x:f>
        <x:v>34335519.904440455</x:v>
      </x:c>
      <x:c r="H53" s="45" t="n">
        <x:f>H49+H52</x:f>
        <x:v>19757263.79838032</x:v>
      </x:c>
      <x:c r="I53" s="45" t="n">
        <x:f>I49+I52</x:f>
        <x:v>12809327.76976813</x:v>
      </x:c>
      <x:c r="J53" s="45" t="n">
        <x:f>J49+J52</x:f>
        <x:v>9229597.780222671</x:v>
      </x:c>
      <x:c r="K53" s="45" t="n">
        <x:f>K49+K52</x:f>
        <x:v>7370368.407201759</x:v>
      </x:c>
      <x:c r="L53" s="45" t="n">
        <x:f>L49+L52</x:f>
        <x:v>6424551.453513425</x:v>
      </x:c>
      <x:c r="M53" s="45" t="n">
        <x:f>M49+M52</x:f>
        <x:v>5957528.58924066</x:v>
      </x:c>
      <x:c r="N53" s="45" t="n">
        <x:f>N49+N52</x:f>
        <x:v>5737407.380112367</x:v>
      </x:c>
      <x:c r="O53" s="45" t="n">
        <x:f>O49+O52</x:f>
        <x:v>5649063.577389726</x:v>
      </x:c>
      <x:c r="P53" s="45" t="n">
        <x:f>P49+P52</x:f>
        <x:v>5624843.393813846</x:v>
      </x:c>
      <x:c r="Q53" s="45" t="n">
        <x:f>Q49+Q52</x:f>
        <x:v>5624843.393813847</x:v>
      </x:c>
      <x:c r="R53" s="45" t="n">
        <x:f>R49+R52</x:f>
        <x:v>5624843.393813847</x:v>
      </x:c>
      <x:c r="S53" s="45" t="n">
        <x:f>S49+S52</x:f>
        <x:v>5624843.393813847</x:v>
      </x:c>
      <x:c r="T53" s="45" t="n">
        <x:f>T49+T52</x:f>
        <x:v>5624843.393813847</x:v>
      </x:c>
      <x:c r="U53" s="45" t="n">
        <x:f>U49+U52</x:f>
        <x:v>5624843.393813847</x:v>
      </x:c>
      <x:c r="V53" s="45" t="n">
        <x:f>V49+V52</x:f>
        <x:v>5624843.393813847</x:v>
      </x:c>
      <x:c r="W53" s="45" t="n">
        <x:f>W49+W52</x:f>
        <x:v>5624843.393813847</x:v>
      </x:c>
      <x:c r="X53" s="45" t="n">
        <x:f>X49+X52</x:f>
        <x:v>5624843.393813847</x:v>
      </x:c>
      <x:c r="Y53" s="45" t="n">
        <x:f>Y49+Y52</x:f>
        <x:v>5624843.393813847</x:v>
      </x:c>
      <x:c r="Z53" s="45" t="n">
        <x:f>Z49+Z52</x:f>
        <x:v>5624843.393813847</x:v>
      </x:c>
      <x:c r="AA53" s="45" t="n">
        <x:f>AA49+AA52</x:f>
        <x:v>5624843.393813847</x:v>
      </x:c>
      <x:c r="AB53" s="45" t="n">
        <x:f>AB49+AB52</x:f>
        <x:v>5624843.393813847</x:v>
      </x:c>
      <x:c r="AC53" s="45" t="n">
        <x:f>AC49+AC52</x:f>
        <x:v>5624843.393813847</x:v>
      </x:c>
      <x:c r="AD53" s="45" t="n">
        <x:f>AD49+AD52</x:f>
        <x:v>5624843.393813847</x:v>
      </x:c>
      <x:c r="AE53" s="45" t="n">
        <x:f>AE49+AE52</x:f>
        <x:v>5624843.393813847</x:v>
      </x:c>
      <x:c r="AF53" s="45" t="n">
        <x:f>AF49+AF52</x:f>
        <x:v>5624843.393813847</x:v>
      </x:c>
      <x:c r="AG53" s="45" t="n">
        <x:f>AG49+AG52</x:f>
        <x:v>5624843.393813847</x:v>
      </x:c>
      <x:c r="AH53" s="45" t="n">
        <x:f>AH49+AH52</x:f>
        <x:v>5624843.393813847</x:v>
      </x:c>
      <x:c r="AI53" s="45" t="n">
        <x:f>AI49+AI52</x:f>
        <x:v>5624843.393813847</x:v>
      </x:c>
      <x:c r="AJ53" s="45" t="n">
        <x:f>AJ49+AJ52</x:f>
        <x:v>5624843.393813847</x:v>
      </x:c>
      <x:c r="AK53" s="45" t="n">
        <x:f>AK49+AK52</x:f>
        <x:v>5624843.393813847</x:v>
      </x:c>
      <x:c r="AL53" s="45" t="n">
        <x:f>AL49+AL52</x:f>
        <x:v>5624843.393813847</x:v>
      </x:c>
      <x:c r="AM53" s="45" t="n">
        <x:f>AM49+AM52</x:f>
        <x:v>5624843.393813847</x:v>
      </x:c>
      <x:c r="AN53" s="45" t="n">
        <x:f>AN49+AN52</x:f>
        <x:v>5624843.393813847</x:v>
      </x:c>
      <x:c r="AO53" s="45" t="n">
        <x:f>AO49+AO52</x:f>
        <x:v>5624843.393813847</x:v>
      </x:c>
      <x:c r="AP53" s="45" t="n">
        <x:f>AP49+AP52</x:f>
        <x:v>5624843.393813847</x:v>
      </x:c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</x:row>
    <x:row r="54" ht="19" customHeight="1">
      <x:c r="A54" s="1"/>
      <x:c r="B54" s="1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</x:row>
    <x:row r="55" ht="19" customHeight="1">
      <x:c r="A55" s="1"/>
      <x:c r="B55" s="1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</x:row>
    <x:row r="56" ht="19" customHeight="1">
      <x:c r="A56" s="1"/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</x:row>
    <x:row r="57" ht="19" customHeight="1">
      <x:c r="A57" s="1"/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</x:row>
    <x:row r="58" ht="19" customHeight="1">
      <x:c r="A58" s="1"/>
      <x:c r="B58" s="1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</x:row>
    <x:row r="59" ht="19" customHeight="1">
      <x:c r="A59" s="1"/>
      <x:c r="B59" s="1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</x:row>
    <x:row r="60" ht="19" customHeight="1">
      <x:c r="A60" s="1"/>
      <x:c r="B60" s="1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</x:row>
    <x:row r="61" ht="19" customHeight="1">
      <x:c r="A61" s="1"/>
      <x:c r="B61" s="1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</x:row>
    <x:row r="62" ht="19" customHeight="1">
      <x:c r="A62" s="1"/>
      <x:c r="B62" s="1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</x:row>
    <x:row r="63" ht="19" customHeight="1">
      <x:c r="A63" s="1"/>
      <x:c r="B63" s="1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</x:row>
    <x:row r="64" ht="19" customHeight="1">
      <x:c r="A64" s="1"/>
      <x:c r="B64" s="1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</x:row>
    <x:row r="65" ht="19" customHeight="1">
      <x:c r="A65" s="1"/>
      <x:c r="B65" s="1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</x:row>
    <x:row r="66" ht="19" customHeight="1">
      <x:c r="A66" s="1"/>
      <x:c r="B66" s="1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</x:row>
    <x:row r="67" ht="19" customHeight="1">
      <x:c r="A67" s="1"/>
      <x:c r="B67" s="1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</x:row>
    <x:row r="68" ht="19" customHeight="1">
      <x:c r="A68" s="1"/>
      <x:c r="B68" s="1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</x:row>
    <x:row r="69" ht="19" customHeight="1">
      <x:c r="A69" s="1"/>
      <x:c r="B69" s="1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</x:row>
    <x:row r="70" ht="19" customHeight="1">
      <x:c r="A70" s="1"/>
      <x:c r="B70" s="1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</x:row>
    <x:row r="71" ht="19" customHeight="1">
      <x:c r="A71" s="1"/>
      <x:c r="B71" s="1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</x:row>
    <x:row r="72" ht="19" customHeight="1">
      <x:c r="A72" s="1"/>
      <x:c r="B72" s="1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</x:row>
    <x:row r="73" ht="19" customHeight="1">
      <x:c r="A73" s="1"/>
      <x:c r="B73" s="1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</x:row>
    <x:row r="74" ht="19" customHeight="1">
      <x:c r="A74" s="1"/>
      <x:c r="B74" s="1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</x:row>
    <x:row r="75" ht="19" customHeight="1">
      <x:c r="A75" s="1"/>
      <x:c r="B75" s="1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</x:row>
    <x:row r="76" ht="19" customHeight="1">
      <x:c r="A76" s="1"/>
      <x:c r="B76" s="1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</x:row>
    <x:row r="77" ht="19" customHeight="1">
      <x:c r="A77" s="1"/>
      <x:c r="B77" s="1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</x:row>
    <x:row r="78" ht="19" customHeight="1">
      <x:c r="A78" s="1"/>
      <x:c r="B78" s="1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</x:row>
    <x:row r="79" ht="19" customHeight="1">
      <x:c r="A79" s="1"/>
      <x:c r="B79" s="1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</x:row>
    <x:row r="80" ht="19" customHeight="1">
      <x:c r="A80" s="1"/>
      <x:c r="B80" s="1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</x:row>
    <x:row r="81" ht="19" customHeight="1">
      <x:c r="A81" s="1"/>
      <x:c r="B81" s="1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</x:row>
    <x:row r="82" ht="19" customHeight="1">
      <x:c r="A82" s="1"/>
      <x:c r="B82" s="1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</x:row>
    <x:row r="83" ht="19" customHeight="1">
      <x:c r="A83" s="1"/>
      <x:c r="B83" s="1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</x:row>
    <x:row r="84" ht="19" customHeight="1">
      <x:c r="A84" s="1"/>
      <x:c r="B84" s="1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</x:row>
    <x:row r="85" ht="19" customHeight="1">
      <x:c r="A85" s="1"/>
      <x:c r="B85" s="1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</x:row>
    <x:row r="86" ht="19" customHeight="1">
      <x:c r="A86" s="1"/>
      <x:c r="B86" s="1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</x:row>
    <x:row r="87" ht="19" customHeight="1">
      <x:c r="A87" s="1"/>
      <x:c r="B87" s="1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</x:row>
    <x:row r="88" ht="19" customHeight="1">
      <x:c r="A88" s="1"/>
      <x:c r="B88" s="1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</x:row>
    <x:row r="89" ht="19" customHeight="1">
      <x:c r="A89" s="1"/>
      <x:c r="B89" s="1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</x:row>
    <x:row r="90" ht="19" customHeight="1">
      <x:c r="A90" s="1"/>
      <x:c r="B90" s="1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</x:row>
    <x:row r="91" ht="19" customHeight="1">
      <x:c r="A91" s="1"/>
      <x:c r="B91" s="1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</x:row>
    <x:row r="92" ht="19" customHeight="1">
      <x:c r="A92" s="1"/>
      <x:c r="B92" s="1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</x:row>
    <x:row r="93" ht="19" customHeight="1">
      <x:c r="A93" s="1"/>
      <x:c r="B93" s="1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</x:row>
    <x:row r="94" ht="19" customHeight="1">
      <x:c r="A94" s="1"/>
      <x:c r="B94" s="1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</x:row>
    <x:row r="95" ht="19" customHeight="1">
      <x:c r="A95" s="1"/>
      <x:c r="B95" s="1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</x:row>
    <x:row r="96" ht="19" customHeight="1">
      <x:c r="A96" s="1"/>
      <x:c r="B96" s="1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</x:row>
    <x:row r="97" ht="19" customHeight="1">
      <x:c r="A97" s="1"/>
      <x:c r="B97" s="1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</x:row>
    <x:row r="98" ht="19" customHeight="1">
      <x:c r="A98" s="1"/>
      <x:c r="B98" s="1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</x:row>
    <x:row r="99" ht="19" customHeight="1">
      <x:c r="A99" s="1"/>
      <x:c r="B99" s="1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</x:row>
    <x:row r="100" ht="19" customHeight="1">
      <x:c r="A100" s="1"/>
      <x:c r="B100" s="1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</x:row>
    <x:row r="101" ht="19" customHeight="1">
      <x:c r="A101" s="1"/>
      <x:c r="B101" s="1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</x:row>
    <x:row r="102" ht="19" customHeight="1">
      <x:c r="A102" s="1"/>
      <x:c r="B102" s="1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</x:row>
    <x:row r="103" ht="19" customHeight="1">
      <x:c r="A103" s="1"/>
      <x:c r="B103" s="1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</x:row>
    <x:row r="104" ht="19" customHeight="1">
      <x:c r="A104" s="1"/>
      <x:c r="B104" s="1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</x:row>
    <x:row r="105" ht="19" customHeight="1">
      <x:c r="A105" s="1"/>
      <x:c r="B105" s="1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</x:row>
    <x:row r="106" ht="19" customHeight="1">
      <x:c r="A106" s="1"/>
      <x:c r="B106" s="1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</x:row>
    <x:row r="107" ht="19" customHeight="1">
      <x:c r="A107" s="1"/>
      <x:c r="B107" s="1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</x:row>
    <x:row r="108" ht="19" customHeight="1">
      <x:c r="A108" s="1"/>
      <x:c r="B108" s="1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</x:row>
    <x:row r="109" ht="19" customHeight="1">
      <x:c r="A109" s="1"/>
      <x:c r="B109" s="1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</x:row>
    <x:row r="110" ht="19" customHeight="1">
      <x:c r="A110" s="1"/>
      <x:c r="B110" s="1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</x:row>
    <x:row r="111" ht="19" customHeight="1">
      <x:c r="A111" s="1"/>
      <x:c r="B111" s="1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</x:row>
    <x:row r="112" ht="19" customHeight="1">
      <x:c r="A112" s="1"/>
      <x:c r="B112" s="1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</x:row>
    <x:row r="113" ht="19" customHeight="1">
      <x:c r="A113" s="1"/>
      <x:c r="B113" s="1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</x:row>
    <x:row r="114" ht="19" customHeight="1">
      <x:c r="A114" s="1"/>
      <x:c r="B114" s="1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</x:row>
    <x:row r="115" ht="19" customHeight="1">
      <x:c r="A115" s="1"/>
      <x:c r="B115" s="1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</x:row>
    <x:row r="116" ht="19" customHeight="1">
      <x:c r="A116" s="1"/>
      <x:c r="B116" s="1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</x:row>
    <x:row r="117" ht="19" customHeight="1">
      <x:c r="A117" s="1"/>
      <x:c r="B117" s="1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</x:row>
    <x:row r="118" ht="19" customHeight="1">
      <x:c r="A118" s="1"/>
      <x:c r="B118" s="1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</x:row>
    <x:row r="119" ht="19" customHeight="1">
      <x:c r="A119" s="1"/>
      <x:c r="B119" s="1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</x:row>
    <x:row r="120" ht="19" customHeight="1">
      <x:c r="A120" s="1"/>
      <x:c r="B120" s="1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</x:row>
    <x:row r="121" ht="19" customHeight="1">
      <x:c r="A121" s="1"/>
      <x:c r="B121" s="1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</x:row>
    <x:row r="122" ht="19" customHeight="1">
      <x:c r="A122" s="1"/>
      <x:c r="B122" s="1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</x:row>
    <x:row r="123" ht="19" customHeight="1">
      <x:c r="A123" s="1"/>
      <x:c r="B123" s="1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</x:row>
    <x:row r="124" ht="19" customHeight="1">
      <x:c r="A124" s="1"/>
      <x:c r="B124" s="1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</x:row>
    <x:row r="125" ht="19" customHeight="1">
      <x:c r="A125" s="1"/>
      <x:c r="B125" s="1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</x:row>
    <x:row r="126" ht="19" customHeight="1">
      <x:c r="A126" s="1"/>
      <x:c r="B126" s="1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</x:row>
    <x:row r="127" ht="19" customHeight="1">
      <x:c r="A127" s="1"/>
      <x:c r="B127" s="1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</x:row>
    <x:row r="128" ht="19" customHeight="1">
      <x:c r="A128" s="1"/>
      <x:c r="B128" s="1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</x:row>
    <x:row r="129" ht="19" customHeight="1">
      <x:c r="A129" s="1"/>
      <x:c r="B129" s="1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</x:row>
    <x:row r="130" ht="19" customHeight="1">
      <x:c r="A130" s="1"/>
      <x:c r="B130" s="1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</x:row>
    <x:row r="131" ht="19" customHeight="1">
      <x:c r="A131" s="1"/>
      <x:c r="B131" s="1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</x:row>
    <x:row r="132" ht="19" customHeight="1">
      <x:c r="A132" s="1"/>
      <x:c r="B132" s="1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</x:row>
    <x:row r="133" ht="19" customHeight="1">
      <x:c r="A133" s="1"/>
      <x:c r="B133" s="1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</x:row>
    <x:row r="134" ht="19" customHeight="1">
      <x:c r="A134" s="1"/>
      <x:c r="B134" s="1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</x:row>
    <x:row r="135" ht="19" customHeight="1">
      <x:c r="A135" s="1"/>
      <x:c r="B135" s="1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</x:row>
    <x:row r="136" ht="19" customHeight="1">
      <x:c r="A136" s="1"/>
      <x:c r="B136" s="1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</x:row>
    <x:row r="137" ht="19" customHeight="1">
      <x:c r="A137" s="1"/>
      <x:c r="B137" s="1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</x:row>
    <x:row r="138" ht="19" customHeight="1">
      <x:c r="A138" s="1"/>
      <x:c r="B138" s="1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</x:row>
    <x:row r="139" ht="19" customHeight="1">
      <x:c r="A139" s="1"/>
      <x:c r="B139" s="1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</x:row>
    <x:row r="140" ht="19" customHeight="1">
      <x:c r="A140" s="1"/>
      <x:c r="B140" s="1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</x:row>
    <x:row r="141" ht="19" customHeight="1">
      <x:c r="A141" s="1"/>
      <x:c r="B141" s="1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</x:row>
    <x:row r="142" ht="19" customHeight="1">
      <x:c r="A142" s="1"/>
      <x:c r="B142" s="1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</x:row>
    <x:row r="143" ht="19" customHeight="1">
      <x:c r="A143" s="1"/>
      <x:c r="B143" s="1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</x:row>
    <x:row r="144" ht="19" customHeight="1">
      <x:c r="A144" s="1"/>
      <x:c r="B144" s="1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</x:row>
    <x:row r="145" ht="19" customHeight="1">
      <x:c r="A145" s="1"/>
      <x:c r="B145" s="1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</x:row>
    <x:row r="146" ht="19" customHeight="1">
      <x:c r="A146" s="1"/>
      <x:c r="B146" s="1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</x:row>
    <x:row r="147" ht="19" customHeight="1">
      <x:c r="A147" s="1"/>
      <x:c r="B147" s="1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</x:row>
    <x:row r="148" ht="19" customHeight="1">
      <x:c r="A148" s="1"/>
      <x:c r="B148" s="1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</x:row>
    <x:row r="149" ht="19" customHeight="1">
      <x:c r="A149" s="1"/>
      <x:c r="B149" s="1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</x:row>
    <x:row r="150" ht="19" customHeight="1">
      <x:c r="A150" s="1"/>
      <x:c r="B150" s="1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</x:row>
    <x:row r="151" ht="19" customHeight="1">
      <x:c r="A151" s="1"/>
      <x:c r="B151" s="1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</x:row>
    <x:row r="152" ht="19" customHeight="1">
      <x:c r="A152" s="1"/>
      <x:c r="B152" s="1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</x:row>
    <x:row r="153" ht="19" customHeight="1">
      <x:c r="A153" s="1"/>
      <x:c r="B153" s="1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</x:row>
    <x:row r="154" ht="19" customHeight="1">
      <x:c r="A154" s="1"/>
      <x:c r="B154" s="1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</x:row>
    <x:row r="155" ht="19" customHeight="1">
      <x:c r="A155" s="1"/>
      <x:c r="B155" s="1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</x:row>
    <x:row r="156" ht="19" customHeight="1">
      <x:c r="A156" s="1"/>
      <x:c r="B156" s="1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</x:row>
    <x:row r="157" ht="19" customHeight="1">
      <x:c r="A157" s="1"/>
      <x:c r="B157" s="1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</x:row>
    <x:row r="158" ht="19" customHeight="1">
      <x:c r="A158" s="1"/>
      <x:c r="B158" s="1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</x:row>
    <x:row r="159" ht="19" customHeight="1">
      <x:c r="A159" s="1"/>
      <x:c r="B159" s="1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</x:row>
    <x:row r="160" ht="19" customHeight="1">
      <x:c r="A160" s="1"/>
      <x:c r="B160" s="1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</x:row>
    <x:row r="161" ht="19" customHeight="1">
      <x:c r="A161" s="1"/>
      <x:c r="B161" s="1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</x:row>
    <x:row r="162" ht="19" customHeight="1">
      <x:c r="A162" s="1"/>
      <x:c r="B162" s="1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</x:row>
    <x:row r="163" ht="19" customHeight="1">
      <x:c r="A163" s="1"/>
      <x:c r="B163" s="1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</x:row>
    <x:row r="164" ht="19" customHeight="1">
      <x:c r="A164" s="1"/>
      <x:c r="B164" s="1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</x:row>
    <x:row r="165" ht="19" customHeight="1">
      <x:c r="A165" s="1"/>
      <x:c r="B165" s="1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</x:row>
    <x:row r="166" ht="19" customHeight="1">
      <x:c r="A166" s="1"/>
      <x:c r="B166" s="1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</x:row>
    <x:row r="167" ht="19" customHeight="1">
      <x:c r="A167" s="1"/>
      <x:c r="B167" s="1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</x:row>
    <x:row r="168" ht="19" customHeight="1">
      <x:c r="A168" s="1"/>
      <x:c r="B168" s="1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</x:row>
    <x:row r="169" ht="19" customHeight="1">
      <x:c r="A169" s="1"/>
      <x:c r="B169" s="1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</x:row>
    <x:row r="170" ht="19" customHeight="1">
      <x:c r="A170" s="1"/>
      <x:c r="B170" s="1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</x:row>
    <x:row r="171" ht="19" customHeight="1">
      <x:c r="A171" s="1"/>
      <x:c r="B171" s="1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</x:row>
    <x:row r="172" ht="19" customHeight="1">
      <x:c r="A172" s="1"/>
      <x:c r="B172" s="1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</x:row>
    <x:row r="173" ht="19" customHeight="1">
      <x:c r="A173" s="1"/>
      <x:c r="B173" s="1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</x:row>
    <x:row r="174" ht="19" customHeight="1">
      <x:c r="A174" s="1"/>
      <x:c r="B174" s="1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</x:row>
    <x:row r="175" ht="19" customHeight="1">
      <x:c r="A175" s="1"/>
      <x:c r="B175" s="1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</x:row>
    <x:row r="176" ht="19" customHeight="1">
      <x:c r="A176" s="1"/>
      <x:c r="B176" s="1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</x:row>
    <x:row r="177" ht="19" customHeight="1">
      <x:c r="A177" s="1"/>
      <x:c r="B177" s="1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</x:row>
    <x:row r="178" ht="19" customHeight="1">
      <x:c r="A178" s="1"/>
      <x:c r="B178" s="1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</x:row>
    <x:row r="179" ht="19" customHeight="1">
      <x:c r="A179" s="1"/>
      <x:c r="B179" s="1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</x:row>
    <x:row r="180" ht="19" customHeight="1">
      <x:c r="A180" s="1"/>
      <x:c r="B180" s="1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</x:row>
    <x:row r="181" ht="19" customHeight="1">
      <x:c r="A181" s="1"/>
      <x:c r="B181" s="1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</x:row>
    <x:row r="182" ht="19" customHeight="1">
      <x:c r="A182" s="1"/>
      <x:c r="B182" s="1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</x:row>
    <x:row r="183" ht="19" customHeight="1">
      <x:c r="A183" s="1"/>
      <x:c r="B183" s="1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</x:row>
    <x:row r="184" ht="19" customHeight="1">
      <x:c r="A184" s="1"/>
      <x:c r="B184" s="1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</x:row>
    <x:row r="185" ht="19" customHeight="1">
      <x:c r="A185" s="1"/>
      <x:c r="B185" s="1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</x:row>
    <x:row r="186" ht="19" customHeight="1">
      <x:c r="A186" s="1"/>
      <x:c r="B186" s="1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</x:row>
    <x:row r="187" ht="19" customHeight="1">
      <x:c r="A187" s="1"/>
      <x:c r="B187" s="1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</x:row>
    <x:row r="188" ht="19" customHeight="1">
      <x:c r="A188" s="1"/>
      <x:c r="B188" s="1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</x:row>
    <x:row r="189" ht="19" customHeight="1">
      <x:c r="A189" s="1"/>
      <x:c r="B189" s="1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</x:row>
    <x:row r="190" ht="19" customHeight="1">
      <x:c r="A190" s="1"/>
      <x:c r="B190" s="1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</x:row>
    <x:row r="191" ht="19" customHeight="1">
      <x:c r="A191" s="1"/>
      <x:c r="B191" s="1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</x:row>
    <x:row r="192" ht="19" customHeight="1">
      <x:c r="A192" s="1"/>
      <x:c r="B192" s="1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</x:row>
    <x:row r="193" ht="19" customHeight="1">
      <x:c r="A193" s="1"/>
      <x:c r="B193" s="1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</x:row>
    <x:row r="194" ht="19" customHeight="1">
      <x:c r="A194" s="1"/>
      <x:c r="B194" s="1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</x:row>
    <x:row r="195" ht="19" customHeight="1">
      <x:c r="A195" s="1"/>
      <x:c r="B195" s="1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</x:row>
    <x:row r="196" ht="19" customHeight="1">
      <x:c r="A196" s="1"/>
      <x:c r="B196" s="1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</x:row>
    <x:row r="197" ht="19" customHeight="1">
      <x:c r="A197" s="1"/>
      <x:c r="B197" s="1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</x:row>
    <x:row r="198" ht="19" customHeight="1">
      <x:c r="A198" s="1"/>
      <x:c r="B198" s="1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</x:row>
    <x:row r="199" ht="19" customHeight="1">
      <x:c r="A199" s="1"/>
      <x:c r="B199" s="1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</x:row>
    <x:row r="200" ht="19" customHeight="1">
      <x:c r="A200" s="1"/>
      <x:c r="B200" s="1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</x:row>
    <x:row r="201" ht="19" customHeight="1">
      <x:c r="A201" s="1"/>
      <x:c r="B201" s="1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</x:row>
    <x:row r="202" ht="19" customHeight="1">
      <x:c r="A202" s="1"/>
      <x:c r="B202" s="1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</x:row>
    <x:row r="203" ht="19" customHeight="1">
      <x:c r="A203" s="1"/>
      <x:c r="B203" s="1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</x:row>
    <x:row r="204" ht="19" customHeight="1">
      <x:c r="A204" s="1"/>
      <x:c r="B204" s="1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</x:row>
    <x:row r="205" ht="19" customHeight="1">
      <x:c r="A205" s="1"/>
      <x:c r="B205" s="1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</x:row>
    <x:row r="206" ht="19" customHeight="1">
      <x:c r="A206" s="1"/>
      <x:c r="B206" s="1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</x:row>
    <x:row r="207" ht="19" customHeight="1">
      <x:c r="A207" s="1"/>
      <x:c r="B207" s="1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</x:row>
    <x:row r="208" ht="19" customHeight="1">
      <x:c r="A208" s="1"/>
      <x:c r="B208" s="1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</x:row>
    <x:row r="209" ht="19" customHeight="1">
      <x:c r="A209" s="1"/>
      <x:c r="B209" s="1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</x:row>
    <x:row r="210" ht="19" customHeight="1">
      <x:c r="A210" s="1"/>
      <x:c r="B210" s="1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</x:row>
    <x:row r="211" ht="19" customHeight="1">
      <x:c r="A211" s="1"/>
      <x:c r="B211" s="1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</x:row>
    <x:row r="212" ht="19" customHeight="1">
      <x:c r="A212" s="1"/>
      <x:c r="B212" s="1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</x:row>
    <x:row r="213" ht="19" customHeight="1">
      <x:c r="A213" s="1"/>
      <x:c r="B213" s="1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</x:row>
    <x:row r="214" ht="19" customHeight="1">
      <x:c r="A214" s="1"/>
      <x:c r="B214" s="1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</x:row>
    <x:row r="215" ht="19" customHeight="1">
      <x:c r="A215" s="1"/>
      <x:c r="B215" s="1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</x:row>
    <x:row r="216" ht="19" customHeight="1">
      <x:c r="A216" s="1"/>
      <x:c r="B216" s="1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</x:row>
    <x:row r="217" ht="19" customHeight="1">
      <x:c r="A217" s="1"/>
      <x:c r="B217" s="1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</x:row>
    <x:row r="218" ht="19" customHeight="1">
      <x:c r="A218" s="1"/>
      <x:c r="B218" s="1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</x:row>
    <x:row r="219" ht="19" customHeight="1">
      <x:c r="A219" s="1"/>
      <x:c r="B219" s="1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</x:row>
  </x:sheetData>
  <x:conditionalFormatting sqref="G35:AP37">
    <x:cfRule type="expression" dxfId="4" priority="1">
      <x:formula>ABS(G35)&gt;0.01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38DD5"/>
  </x:sheetPr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3" hidden="0" customWidth="1"/>
    <x:col min="5" max="5" width="22" hidden="0" customWidth="1"/>
    <x:col min="6" max="6" width="22" hidden="0" customWidth="1"/>
    <x:col min="7" max="7" width="14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4" hidden="0" customWidth="1"/>
    <x:col min="13" max="13" width="22" hidden="0" customWidth="1"/>
    <x:col min="14" max="14" width="2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</x:cols>
  <x:sheetData>
    <x:row r="1" ht="19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</x:row>
    <x:row r="2" ht="19" customHeight="1">
      <x:c r="A2" s="1"/>
      <x:c r="B2" s="1"/>
      <x:c r="C2" s="3" t="str">
        <x:v>Assumptions</x:v>
      </x:c>
      <x:c r="D2" s="3"/>
      <x:c r="E2" s="3"/>
      <x:c r="F2" s="3"/>
      <x:c r="G2" s="3"/>
      <x:c r="H2" s="3"/>
      <x:c r="I2" s="3"/>
      <x:c r="J2" s="3"/>
      <x:c r="K2" s="3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</x:row>
    <x:row r="3" ht="19" customHeight="1">
      <x:c r="A3" s="1"/>
      <x:c r="B3" s="1"/>
      <x:c r="C3" s="2" t="str">
        <x:v>Exported scenario</x:v>
      </x:c>
      <x:c r="D3" s="2"/>
      <x:c r="E3" s="4" t="str">
        <x:f>'Assumptions'!$E$8</x:f>
        <x:v>Base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</x:row>
    <x:row r="4" ht="19" customHeight="1">
      <x:c r="A4" s="1"/>
      <x:c r="B4" s="1"/>
      <x:c r="C4" s="2" t="str">
        <x:v>Blue inputs; black formulas; green worksheet links. No external workbook links.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</x:row>
    <x:row r="5" ht="19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</x:row>
    <x:row r="6" ht="32" customHeight="1">
      <x:c r="A6" s="1"/>
      <x:c r="B6" s="1"/>
      <x:c r="C6" s="49" t="str">
        <x:v>Curve source (1 manual, 2 synthetic)</x:v>
      </x:c>
      <x:c r="D6" s="2"/>
      <x:c r="E6" s="8" t="n">
        <x:v>1</x:v>
      </x:c>
      <x:c r="F6" s="2"/>
      <x:c r="G6" s="2"/>
      <x:c r="H6" s="2" t="str">
        <x:v>Source selector changes both product builds and all model results.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</x:row>
    <x:row r="7" ht="19" customHeight="1">
      <x:c r="A7" s="1"/>
      <x:c r="B7" s="1"/>
      <x:c r="C7" s="2" t="str">
        <x:v>Forecast horizon (months)</x:v>
      </x:c>
      <x:c r="D7" s="2"/>
      <x:c r="E7" s="8" t="n">
        <x:v>24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</x:row>
    <x:row r="8" ht="19" customHeight="1">
      <x:c r="A8" s="1"/>
      <x:c r="B8" s="1"/>
      <x:c r="C8" s="2" t="str">
        <x:v>Exported scenario</x:v>
      </x:c>
      <x:c r="D8" s="2"/>
      <x:c r="E8" s="8" t="str">
        <x:v>Base</x:v>
      </x:c>
      <x:c r="F8" s="2"/>
      <x:c r="G8" s="2"/>
      <x:c r="H8" s="2" t="str">
        <x:v>Scenario label describes exported inputs; edit individual blue cells to change the case.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</x:row>
    <x:row r="9" ht="19" customHeight="1">
      <x:c r="A9" s="1"/>
      <x:c r="B9" s="1"/>
      <x:c r="C9" s="2" t="str">
        <x:v>View (1 combined, 2 short, 3 installment)</x:v>
      </x:c>
      <x:c r="D9" s="2"/>
      <x:c r="E9" s="8" t="n">
        <x:v>1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</x:row>
    <x:row r="10" ht="19" customHeight="1">
      <x:c r="A10" s="1"/>
      <x:c r="B10" s="1"/>
      <x:c r="C10" s="6"/>
      <x:c r="D10" s="6"/>
      <x:c r="E10" s="6" t="str">
        <x:v>Short-Term</x:v>
      </x:c>
      <x:c r="F10" s="6" t="str">
        <x:v>Installment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</x:row>
    <x:row r="11" ht="19" customHeight="1">
      <x:c r="A11" s="1"/>
      <x:c r="B11" s="1"/>
      <x:c r="C11" s="2" t="str">
        <x:v>Monthly applications</x:v>
      </x:c>
      <x:c r="D11" s="2"/>
      <x:c r="E11" s="9" t="n">
        <x:v>30000</x:v>
      </x:c>
      <x:c r="F11" s="9" t="n">
        <x:v>12000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</x:row>
    <x:row r="12" ht="19" customHeight="1">
      <x:c r="A12" s="1"/>
      <x:c r="B12" s="1"/>
      <x:c r="C12" s="2" t="str">
        <x:v>Monthly growth</x:v>
      </x:c>
      <x:c r="D12" s="2"/>
      <x:c r="E12" s="11" t="n">
        <x:v>0</x:v>
      </x:c>
      <x:c r="F12" s="11" t="n">
        <x:v>0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</x:row>
    <x:row r="13" ht="19" customHeight="1">
      <x:c r="A13" s="1"/>
      <x:c r="B13" s="1"/>
      <x:c r="C13" s="2" t="str">
        <x:v>Approval rate</x:v>
      </x:c>
      <x:c r="D13" s="2"/>
      <x:c r="E13" s="11" t="n">
        <x:v>0.3</x:v>
      </x:c>
      <x:c r="F13" s="11" t="n">
        <x:v>0.45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</x:row>
    <x:row r="14" ht="19" customHeight="1">
      <x:c r="A14" s="1"/>
      <x:c r="B14" s="1"/>
      <x:c r="C14" s="2" t="str">
        <x:v>Average loan size ($)</x:v>
      </x:c>
      <x:c r="D14" s="2"/>
      <x:c r="E14" s="9" t="n">
        <x:v>1500</x:v>
      </x:c>
      <x:c r="F14" s="9" t="n">
        <x:v>4000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</x:row>
    <x:row r="15" ht="19" customHeight="1">
      <x:c r="A15" s="1"/>
      <x:c r="B15" s="1"/>
      <x:c r="C15" s="2" t="str">
        <x:v>Annual yield</x:v>
      </x:c>
      <x:c r="D15" s="2"/>
      <x:c r="E15" s="11" t="n">
        <x:v>1</x:v>
      </x:c>
      <x:c r="F15" s="11" t="n">
        <x:v>0.55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</x:row>
    <x:row r="16" ht="19" customHeight="1">
      <x:c r="A16" s="1"/>
      <x:c r="B16" s="1"/>
      <x:c r="C16" s="2" t="str">
        <x:v>Loan term (months)</x:v>
      </x:c>
      <x:c r="D16" s="2"/>
      <x:c r="E16" s="17" t="n">
        <x:v>12</x:v>
      </x:c>
      <x:c r="F16" s="17" t="n">
        <x:v>24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</x:row>
    <x:row r="17" ht="19" customHeight="1">
      <x:c r="A17" s="1"/>
      <x:c r="B17" s="1"/>
      <x:c r="C17" s="2" t="str">
        <x:v>Opening gross CLAB ($)</x:v>
      </x:c>
      <x:c r="D17" s="2"/>
      <x:c r="E17" s="13" t="n">
        <x:v>255600000</x:v>
      </x:c>
      <x:c r="F17" s="13" t="n">
        <x:v>383400000</x:v>
      </x:c>
      <x:c r="G17" s="2"/>
      <x:c r="H17" s="2" t="str">
        <x:v>Source: user-provided $639M end-Q2 CLAB. Treated as gross performing principal.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</x:row>
    <x:row r="18" ht="19" customHeight="1">
      <x:c r="A18" s="1"/>
      <x:c r="B18" s="1"/>
      <x:c r="C18" s="2" t="str">
        <x:v>Age mix (0 even, 1 single)</x:v>
      </x:c>
      <x:c r="D18" s="2"/>
      <x:c r="E18" s="17" t="n">
        <x:v>0</x:v>
      </x:c>
      <x:c r="F18" s="17" t="n">
        <x:v>0</x:v>
      </x:c>
      <x:c r="G18" s="2"/>
      <x:c r="H18" s="2" t="str">
        <x:v>Initial 40% / 60% product split and even balance by active MOB are assumptions.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</x:row>
    <x:row r="19" ht="19" customHeight="1">
      <x:c r="A19" s="1"/>
      <x:c r="B19" s="1"/>
      <x:c r="C19" s="2" t="str">
        <x:v>Single-cohort opening age</x:v>
      </x:c>
      <x:c r="D19" s="2"/>
      <x:c r="E19" s="17" t="n">
        <x:v>3</x:v>
      </x:c>
      <x:c r="F19" s="17" t="n">
        <x:v>6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</x:row>
    <x:row r="20" ht="19" customHeight="1">
      <x:c r="A20" s="1"/>
      <x:c r="B20" s="1"/>
      <x:c r="C20" s="2" t="str">
        <x:v>Product credit assumptions below</x:v>
      </x:c>
      <x:c r="D20" s="2"/>
      <x:c r="E20" s="11"/>
      <x:c r="F20" s="11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</x:row>
    <x:row r="21" ht="19" customHeight="1">
      <x:c r="A21" s="1"/>
      <x:c r="B21" s="1"/>
      <x:c r="C21" s="2"/>
      <x:c r="D21" s="2"/>
      <x:c r="E21" s="10"/>
      <x:c r="F21" s="10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</x:row>
    <x:row r="22" ht="19" customHeight="1">
      <x:c r="A22" s="1"/>
      <x:c r="B22" s="1"/>
      <x:c r="C22" s="2"/>
      <x:c r="D22" s="2"/>
      <x:c r="E22" s="11"/>
      <x:c r="F22" s="11"/>
      <x:c r="G22" s="2"/>
      <x:c r="H22" s="2" t="str">
        <x:v>Product-specific curves below drive the four segment builds. Legacy loan-type risk inputs have been removed.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</x:row>
    <x:row r="23" ht="19" customHeight="1">
      <x:c r="A23" s="1"/>
      <x:c r="B23" s="1"/>
      <x:c r="C23" s="2"/>
      <x:c r="D23" s="2"/>
      <x:c r="E23" s="10"/>
      <x:c r="F23" s="10"/>
      <x:c r="G23" s="2"/>
      <x:c r="H23" s="2" t="str">
        <x:v>Curve-fitting calibration runs in Python; the fitted curve is rebuilt with Excel formulas below.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</x:row>
    <x:row r="24" ht="19" customHeight="1">
      <x:c r="A24" s="1"/>
      <x:c r="B24" s="1"/>
      <x:c r="C24" s="2"/>
      <x:c r="D24" s="2"/>
      <x:c r="E24" s="11"/>
      <x:c r="F24" s="11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</x:row>
    <x:row r="25" ht="19" customHeight="1">
      <x:c r="A25" s="1"/>
      <x:c r="B25" s="1"/>
      <x:c r="C25" s="2"/>
      <x:c r="D25" s="2"/>
      <x:c r="E25" s="14"/>
      <x:c r="F25" s="14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</x:row>
    <x:row r="26" ht="19" customHeight="1">
      <x:c r="A26" s="1"/>
      <x:c r="B26" s="1"/>
      <x:c r="C26" s="2"/>
      <x:c r="D26" s="2"/>
      <x:c r="E26" s="16"/>
      <x:c r="F26" s="16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</x:row>
    <x:row r="27" ht="19" customHeight="1">
      <x:c r="A27" s="1"/>
      <x:c r="B27" s="1"/>
      <x:c r="C27" s="2" t="str">
        <x:v>Curve steepness</x:v>
      </x:c>
      <x:c r="D27" s="2"/>
      <x:c r="E27" s="10" t="n">
        <x:v>0.55</x:v>
      </x:c>
      <x:c r="F27" s="10" t="n">
        <x:v>0.55</x:v>
      </x:c>
      <x:c r="G27" s="2"/>
      <x:c r="H27" s="2" t="str">
        <x:v>Existing engine fixed shape. Yield is also the contractual amortization rate.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</x:row>
    <x:row r="28" ht="19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</x:row>
    <x:row r="29" ht="19" customHeight="1">
      <x:c r="A29" s="1"/>
      <x:c r="B29" s="1"/>
      <x:c r="C29" s="2" t="str">
        <x:v>CreditFresh share of each loan type</x:v>
      </x:c>
      <x:c r="D29" s="2"/>
      <x:c r="E29" s="11" t="n">
        <x:v>0.8</x:v>
      </x:c>
      <x:c r="F29" s="2"/>
      <x:c r="G29" s="2"/>
      <x:c r="H29" s="2" t="str">
        <x:v>User assumption: 80% CreditFresh / 20% MoneyKey, editable. Applies to opening loans and new lending.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</x:row>
    <x:row r="30" ht="19" customHeight="1">
      <x:c r="A30" s="1"/>
      <x:c r="B30" s="1"/>
      <x:c r="C30" s="2" t="str">
        <x:v>MoneyKey share of each loan type</x:v>
      </x:c>
      <x:c r="D30" s="2"/>
      <x:c r="E30" s="12" t="n">
        <x:f>1-E29</x:f>
        <x:v>0.19999999999999996</x:v>
      </x:c>
      <x:c r="F30" s="2"/>
      <x:c r="G30" s="2"/>
      <x:c r="H30" s="2" t="str">
        <x:v>Both products contain both loan types. Product risk differs; pricing and repayment terms are shared by loan type.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</x:row>
    <x:row r="31" ht="19" customHeight="1">
      <x:c r="A31" s="1"/>
      <x:c r="B31" s="1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</x:row>
    <x:row r="32" ht="23" customHeight="1">
      <x:c r="A32" s="1"/>
      <x:c r="B32" s="1"/>
      <x:c r="C32" s="6" t="str">
        <x:v>Seasonality</x:v>
      </x:c>
      <x:c r="D32" s="6"/>
      <x:c r="E32" s="6"/>
      <x:c r="F32" s="6"/>
      <x:c r="G32" s="2"/>
      <x:c r="H32" s="2" t="str">
        <x:v>Pattern repeats every 12 months. Growth compounds on the base application volume.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</x:row>
    <x:row r="33" ht="19" customHeight="1">
      <x:c r="A33" s="1"/>
      <x:c r="B33" s="1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</x:row>
    <x:row r="34" ht="19" customHeight="1">
      <x:c r="A34" s="1"/>
      <x:c r="B34" s="1"/>
      <x:c r="C34" s="2" t="str">
        <x:v>Month 1</x:v>
      </x:c>
      <x:c r="D34" s="2"/>
      <x:c r="E34" s="18" t="n">
        <x:v>1</x:v>
      </x:c>
      <x:c r="F34" s="18" t="n">
        <x:v>1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</x:row>
    <x:row r="35" ht="19" customHeight="1">
      <x:c r="A35" s="1"/>
      <x:c r="B35" s="1"/>
      <x:c r="C35" s="2" t="str">
        <x:v>Month 2</x:v>
      </x:c>
      <x:c r="D35" s="2"/>
      <x:c r="E35" s="18" t="n">
        <x:v>1</x:v>
      </x:c>
      <x:c r="F35" s="18" t="n">
        <x:v>1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</x:row>
    <x:row r="36" ht="19" customHeight="1">
      <x:c r="A36" s="1"/>
      <x:c r="B36" s="1"/>
      <x:c r="C36" s="2" t="str">
        <x:v>Month 3</x:v>
      </x:c>
      <x:c r="D36" s="2"/>
      <x:c r="E36" s="18" t="n">
        <x:v>1</x:v>
      </x:c>
      <x:c r="F36" s="18" t="n">
        <x:v>1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</x:row>
    <x:row r="37" ht="19" customHeight="1">
      <x:c r="A37" s="1"/>
      <x:c r="B37" s="1"/>
      <x:c r="C37" s="2" t="str">
        <x:v>Month 4</x:v>
      </x:c>
      <x:c r="D37" s="2"/>
      <x:c r="E37" s="18" t="n">
        <x:v>1</x:v>
      </x:c>
      <x:c r="F37" s="18" t="n">
        <x:v>1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</x:row>
    <x:row r="38" ht="19" customHeight="1">
      <x:c r="A38" s="1"/>
      <x:c r="B38" s="1"/>
      <x:c r="C38" s="2" t="str">
        <x:v>Month 5</x:v>
      </x:c>
      <x:c r="D38" s="2"/>
      <x:c r="E38" s="18" t="n">
        <x:v>1</x:v>
      </x:c>
      <x:c r="F38" s="18" t="n">
        <x:v>1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</x:row>
    <x:row r="39" ht="19" customHeight="1">
      <x:c r="A39" s="1"/>
      <x:c r="B39" s="1"/>
      <x:c r="C39" s="2" t="str">
        <x:v>Month 6</x:v>
      </x:c>
      <x:c r="D39" s="2"/>
      <x:c r="E39" s="18" t="n">
        <x:v>1</x:v>
      </x:c>
      <x:c r="F39" s="18" t="n">
        <x:v>1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</x:row>
    <x:row r="40" ht="19" customHeight="1">
      <x:c r="A40" s="1"/>
      <x:c r="B40" s="1"/>
      <x:c r="C40" s="2" t="str">
        <x:v>Month 7</x:v>
      </x:c>
      <x:c r="D40" s="2"/>
      <x:c r="E40" s="18" t="n">
        <x:v>1</x:v>
      </x:c>
      <x:c r="F40" s="18" t="n">
        <x:v>1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</x:row>
    <x:row r="41" ht="19" customHeight="1">
      <x:c r="A41" s="1"/>
      <x:c r="B41" s="1"/>
      <x:c r="C41" s="2" t="str">
        <x:v>Month 8</x:v>
      </x:c>
      <x:c r="D41" s="2"/>
      <x:c r="E41" s="18" t="n">
        <x:v>1</x:v>
      </x:c>
      <x:c r="F41" s="18" t="n">
        <x:v>1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</x:row>
    <x:row r="42" ht="19" customHeight="1">
      <x:c r="A42" s="1"/>
      <x:c r="B42" s="1"/>
      <x:c r="C42" s="2" t="str">
        <x:v>Month 9</x:v>
      </x:c>
      <x:c r="D42" s="2"/>
      <x:c r="E42" s="18" t="n">
        <x:v>1</x:v>
      </x:c>
      <x:c r="F42" s="18" t="n">
        <x:v>1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</x:row>
    <x:row r="43" ht="19" customHeight="1">
      <x:c r="A43" s="1"/>
      <x:c r="B43" s="1"/>
      <x:c r="C43" s="2" t="str">
        <x:v>Month 10</x:v>
      </x:c>
      <x:c r="D43" s="2"/>
      <x:c r="E43" s="18" t="n">
        <x:v>1</x:v>
      </x:c>
      <x:c r="F43" s="18" t="n">
        <x:v>1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</x:row>
    <x:row r="44" ht="19" customHeight="1">
      <x:c r="A44" s="1"/>
      <x:c r="B44" s="1"/>
      <x:c r="C44" s="2" t="str">
        <x:v>Month 11</x:v>
      </x:c>
      <x:c r="D44" s="2"/>
      <x:c r="E44" s="18" t="n">
        <x:v>1</x:v>
      </x:c>
      <x:c r="F44" s="18" t="n">
        <x:v>1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</x:row>
    <x:row r="45" ht="19" customHeight="1">
      <x:c r="A45" s="1"/>
      <x:c r="B45" s="1"/>
      <x:c r="C45" s="2" t="str">
        <x:v>Month 12</x:v>
      </x:c>
      <x:c r="D45" s="2"/>
      <x:c r="E45" s="18" t="n">
        <x:v>1</x:v>
      </x:c>
      <x:c r="F45" s="18" t="n">
        <x:v>1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</x:row>
    <x:row r="46" ht="19" customHeight="1">
      <x:c r="A46" s="1"/>
      <x:c r="B46" s="1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</x:row>
    <x:row r="47" ht="19" customHeight="1">
      <x:c r="A47" s="1"/>
      <x:c r="B47" s="1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</x:row>
    <x:row r="48" ht="19" customHeight="1">
      <x:c r="A48" s="1"/>
      <x:c r="B48" s="1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</x:row>
    <x:row r="49" ht="19" customHeight="1">
      <x:c r="A49" s="1"/>
      <x:c r="B49" s="1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</x:row>
    <x:row r="50" ht="19" customHeight="1">
      <x:c r="A50" s="1"/>
      <x:c r="B50" s="1"/>
      <x:c r="C50" s="6" t="str">
        <x:v>Product credit assumptions</x:v>
      </x:c>
      <x:c r="D50" s="6"/>
      <x:c r="E50" s="6"/>
      <x:c r="F50" s="6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</x:row>
    <x:row r="51" ht="44" customHeight="1">
      <x:c r="A51" s="1"/>
      <x:c r="B51" s="1"/>
      <x:c r="C51" s="2"/>
      <x:c r="D51" s="2"/>
      <x:c r="E51" s="49" t="str">
        <x:v>CreditFresh</x:v>
      </x:c>
      <x:c r="F51" s="49" t="str">
        <x:v>MoneyKey</x:v>
      </x:c>
      <x:c r="G51" s="49"/>
      <x:c r="H51" s="49"/>
      <x:c r="I51" s="49"/>
      <x:c r="J51" s="49"/>
      <x:c r="K51" s="49"/>
      <x:c r="L51" s="49"/>
      <x:c r="M51" s="49"/>
      <x:c r="N51" s="49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</x:row>
    <x:row r="52" ht="24" customHeight="1">
      <x:c r="A52" s="1"/>
      <x:c r="B52" s="1"/>
      <x:c r="C52" s="2" t="str">
        <x:v>Manual lifetime PD</x:v>
      </x:c>
      <x:c r="D52" s="2"/>
      <x:c r="E52" s="11" t="n">
        <x:v>0.2</x:v>
      </x:c>
      <x:c r="F52" s="11" t="n">
        <x:v>0.36</x:v>
      </x:c>
      <x:c r="G52" s="2"/>
      <x:c r="H52" s="49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</x:row>
    <x:row r="53" ht="24" customHeight="1">
      <x:c r="A53" s="1"/>
      <x:c r="B53" s="1"/>
      <x:c r="C53" s="2" t="str">
        <x:v>Manual midpoint</x:v>
      </x:c>
      <x:c r="D53" s="2"/>
      <x:c r="E53" s="10" t="n">
        <x:v>3</x:v>
      </x:c>
      <x:c r="F53" s="10" t="n">
        <x:v>5</x:v>
      </x:c>
      <x:c r="G53" s="2"/>
      <x:c r="H53" s="49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</x:row>
    <x:row r="54" ht="24" customHeight="1">
      <x:c r="A54" s="1"/>
      <x:c r="B54" s="1"/>
      <x:c r="C54" s="2" t="str">
        <x:v>Historical lifetime PD</x:v>
      </x:c>
      <x:c r="D54" s="2"/>
      <x:c r="E54" s="11" t="n">
        <x:v>0.2</x:v>
      </x:c>
      <x:c r="F54" s="11" t="n">
        <x:v>0.36</x:v>
      </x:c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</x:row>
    <x:row r="55" ht="24" customHeight="1">
      <x:c r="A55" s="1"/>
      <x:c r="B55" s="1"/>
      <x:c r="C55" s="2" t="str">
        <x:v>Historical midpoint</x:v>
      </x:c>
      <x:c r="D55" s="2"/>
      <x:c r="E55" s="10" t="n">
        <x:v>3</x:v>
      </x:c>
      <x:c r="F55" s="10" t="n">
        <x:v>5</x:v>
      </x:c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</x:row>
    <x:row r="56" ht="24" customHeight="1">
      <x:c r="A56" s="1"/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</x:row>
    <x:row r="57" ht="24" customHeight="1">
      <x:c r="A57" s="1"/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</x:row>
    <x:row r="58" ht="24" customHeight="1">
      <x:c r="A58" s="1"/>
      <x:c r="B58" s="1"/>
      <x:c r="C58" s="2" t="str">
        <x:v>Applied product PD</x:v>
      </x:c>
      <x:c r="D58" s="2"/>
      <x:c r="E58" s="12" t="n">
        <x:f>MIN(0.99,MAX(0,IF($E$6=2,E54,E52)))</x:f>
        <x:v>0.2</x:v>
      </x:c>
      <x:c r="F58" s="12" t="n">
        <x:f>MIN(0.99,MAX(0,IF($E$6=2,F54,F52)))</x:f>
        <x:v>0.36</x:v>
      </x:c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</x:row>
    <x:row r="59" ht="24" customHeight="1">
      <x:c r="A59" s="1"/>
      <x:c r="B59" s="1"/>
      <x:c r="C59" s="2" t="str">
        <x:v>Applied product midpoint</x:v>
      </x:c>
      <x:c r="D59" s="2"/>
      <x:c r="E59" s="36" t="n">
        <x:f>IF($E$6=2,E55,E53)</x:f>
        <x:v>3</x:v>
      </x:c>
      <x:c r="F59" s="36" t="n">
        <x:f>IF($E$6=2,F55,F53)</x:f>
        <x:v>5</x:v>
      </x:c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</x:row>
    <x:row r="60" ht="19" customHeight="1">
      <x:c r="A60" s="1"/>
      <x:c r="B60" s="1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</x:row>
    <x:row r="61" ht="19" customHeight="1">
      <x:c r="A61" s="1"/>
      <x:c r="B61" s="1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</x:row>
    <x:row r="62" ht="19" customHeight="1">
      <x:c r="A62" s="1"/>
      <x:c r="B62" s="1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</x:row>
    <x:row r="63" ht="19" customHeight="1">
      <x:c r="A63" s="1"/>
      <x:c r="B63" s="1"/>
      <x:c r="C63" s="2" t="str">
        <x:v>Empirical default and payoff timing (36 vintages)</x:v>
      </x:c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</x:row>
    <x:row r="64" ht="44" customHeight="1">
      <x:c r="A64" s="1"/>
      <x:c r="B64" s="1"/>
      <x:c r="C64" s="2"/>
      <x:c r="D64" s="2"/>
      <x:c r="E64" s="49" t="str">
        <x:v>CF default</x:v>
      </x:c>
      <x:c r="F64" s="49" t="str">
        <x:v>MK default</x:v>
      </x:c>
      <x:c r="G64" s="49"/>
      <x:c r="H64" s="49" t="str">
        <x:v>CF payoff</x:v>
      </x:c>
      <x:c r="I64" s="49" t="str">
        <x:v>MK payoff</x:v>
      </x:c>
      <x:c r="J64" s="49"/>
      <x:c r="K64" s="49"/>
      <x:c r="L64" s="49"/>
      <x:c r="M64" s="49"/>
      <x:c r="N64" s="49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</x:row>
    <x:row r="65" ht="19" customHeight="1">
      <x:c r="A65" s="1"/>
      <x:c r="B65" s="1"/>
      <x:c r="C65" s="2" t="str">
        <x:v>MOB 0</x:v>
      </x:c>
      <x:c r="D65" s="2"/>
      <x:c r="E65" s="30" t="n">
        <x:v>0</x:v>
      </x:c>
      <x:c r="F65" s="30" t="n">
        <x:v>0</x:v>
      </x:c>
      <x:c r="G65" s="30"/>
      <x:c r="H65" s="30" t="n">
        <x:v>0</x:v>
      </x:c>
      <x:c r="I65" s="30" t="n">
        <x:v>0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</x:row>
    <x:row r="66" ht="19" customHeight="1">
      <x:c r="A66" s="1"/>
      <x:c r="B66" s="1"/>
      <x:c r="C66" s="2" t="str">
        <x:v>MOB 1</x:v>
      </x:c>
      <x:c r="D66" s="2"/>
      <x:c r="E66" s="30" t="n">
        <x:v>0.23896953816559172</x:v>
      </x:c>
      <x:c r="F66" s="30" t="n">
        <x:v>0.40260132053173464</x:v>
      </x:c>
      <x:c r="G66" s="30"/>
      <x:c r="H66" s="30" t="n">
        <x:v>0.2638640041173904</x:v>
      </x:c>
      <x:c r="I66" s="30" t="n">
        <x:v>0.4277047013701871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</x:row>
    <x:row r="67" ht="19" customHeight="1">
      <x:c r="A67" s="1"/>
      <x:c r="B67" s="1"/>
      <x:c r="C67" s="2" t="str">
        <x:v>MOB 2</x:v>
      </x:c>
      <x:c r="D67" s="2"/>
      <x:c r="E67" s="30" t="n">
        <x:v>0.429744239549027</x:v>
      </x:c>
      <x:c r="F67" s="30" t="n">
        <x:v>0.6647157732981706</x:v>
      </x:c>
      <x:c r="G67" s="30"/>
      <x:c r="H67" s="30" t="n">
        <x:v>0.4645285041572191</x:v>
      </x:c>
      <x:c r="I67" s="30" t="n">
        <x:v>0.6851493445081813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</x:row>
    <x:row r="68" ht="19" customHeight="1">
      <x:c r="A68" s="1"/>
      <x:c r="B68" s="1"/>
      <x:c r="C68" s="2" t="str">
        <x:v>MOB 3</x:v>
      </x:c>
      <x:c r="D68" s="2"/>
      <x:c r="E68" s="30" t="n">
        <x:v>0.5751106635575859</x:v>
      </x:c>
      <x:c r="F68" s="30" t="n">
        <x:v>0.8327931352756105</x:v>
      </x:c>
      <x:c r="G68" s="30"/>
      <x:c r="H68" s="30" t="n">
        <x:v>0.6179672976615197</x:v>
      </x:c>
      <x:c r="I68" s="30" t="n">
        <x:v>0.8425694949780278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</x:row>
    <x:row r="69" ht="19" customHeight="1">
      <x:c r="A69" s="1"/>
      <x:c r="B69" s="1"/>
      <x:c r="C69" s="2" t="str">
        <x:v>MOB 4</x:v>
      </x:c>
      <x:c r="D69" s="2"/>
      <x:c r="E69" s="30" t="n">
        <x:v>0.69573001513793</x:v>
      </x:c>
      <x:c r="F69" s="30" t="n">
        <x:v>0.9335451496085042</x:v>
      </x:c>
      <x:c r="G69" s="30"/>
      <x:c r="H69" s="30" t="n">
        <x:v>0.7332498307189482</x:v>
      </x:c>
      <x:c r="I69" s="30" t="n">
        <x:v>0.9402259079538721</x:v>
      </x:c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</x:row>
    <x:row r="70" ht="19" customHeight="1">
      <x:c r="A70" s="1"/>
      <x:c r="B70" s="1"/>
      <x:c r="C70" s="2" t="str">
        <x:v>MOB 5</x:v>
      </x:c>
      <x:c r="D70" s="2"/>
      <x:c r="E70" s="30" t="n">
        <x:v>0.7937749622827617</x:v>
      </x:c>
      <x:c r="F70" s="30" t="n">
        <x:v>1</x:v>
      </x:c>
      <x:c r="G70" s="30"/>
      <x:c r="H70" s="30" t="n">
        <x:v>0.8185562709507157</x:v>
      </x:c>
      <x:c r="I70" s="30" t="n">
        <x:v>1</x:v>
      </x:c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</x:row>
    <x:row r="71" ht="19" customHeight="1">
      <x:c r="A71" s="1"/>
      <x:c r="B71" s="1"/>
      <x:c r="C71" s="2" t="str">
        <x:v>MOB 6</x:v>
      </x:c>
      <x:c r="D71" s="2"/>
      <x:c r="E71" s="30" t="n">
        <x:v>0.8648202709417439</x:v>
      </x:c>
      <x:c r="F71" s="30" t="n">
        <x:v>1</x:v>
      </x:c>
      <x:c r="G71" s="30"/>
      <x:c r="H71" s="30" t="n">
        <x:v>0.8843393222061546</x:v>
      </x:c>
      <x:c r="I71" s="30" t="n">
        <x:v>1</x:v>
      </x:c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</x:row>
    <x:row r="72" ht="19" customHeight="1">
      <x:c r="A72" s="1"/>
      <x:c r="B72" s="1"/>
      <x:c r="C72" s="2" t="str">
        <x:v>MOB 7</x:v>
      </x:c>
      <x:c r="D72" s="2"/>
      <x:c r="E72" s="30" t="n">
        <x:v>0.9187027272627089</x:v>
      </x:c>
      <x:c r="F72" s="30" t="n">
        <x:v>1</x:v>
      </x:c>
      <x:c r="G72" s="30"/>
      <x:c r="H72" s="30" t="n">
        <x:v>0.9335937214240282</x:v>
      </x:c>
      <x:c r="I72" s="30" t="n">
        <x:v>1</x:v>
      </x:c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</x:row>
    <x:row r="73" ht="19" customHeight="1">
      <x:c r="A73" s="1"/>
      <x:c r="B73" s="1"/>
      <x:c r="C73" s="2" t="str">
        <x:v>MOB 8</x:v>
      </x:c>
      <x:c r="D73" s="2"/>
      <x:c r="E73" s="30" t="n">
        <x:v>0.9655270184141406</x:v>
      </x:c>
      <x:c r="F73" s="30" t="n">
        <x:v>1</x:v>
      </x:c>
      <x:c r="G73" s="30"/>
      <x:c r="H73" s="30" t="n">
        <x:v>0.9708604443900143</x:v>
      </x:c>
      <x:c r="I73" s="30" t="n">
        <x:v>1</x:v>
      </x:c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</x:row>
    <x:row r="74" ht="19" customHeight="1">
      <x:c r="A74" s="1"/>
      <x:c r="B74" s="1"/>
      <x:c r="C74" s="2" t="str">
        <x:v>MOB 9</x:v>
      </x:c>
      <x:c r="D74" s="2"/>
      <x:c r="E74" s="30" t="n">
        <x:v>1</x:v>
      </x:c>
      <x:c r="F74" s="30" t="n">
        <x:v>1</x:v>
      </x:c>
      <x:c r="G74" s="30"/>
      <x:c r="H74" s="30" t="n">
        <x:v>1</x:v>
      </x:c>
      <x:c r="I74" s="30" t="n">
        <x:v>1</x:v>
      </x:c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</x:row>
    <x:row r="75" ht="19" customHeight="1">
      <x:c r="A75" s="1"/>
      <x:c r="B75" s="1"/>
      <x:c r="C75" s="2" t="str">
        <x:v>MOB 10</x:v>
      </x:c>
      <x:c r="D75" s="2"/>
      <x:c r="E75" s="30" t="n">
        <x:v>1</x:v>
      </x:c>
      <x:c r="F75" s="30" t="n">
        <x:v>1</x:v>
      </x:c>
      <x:c r="G75" s="30"/>
      <x:c r="H75" s="30" t="n">
        <x:v>1</x:v>
      </x:c>
      <x:c r="I75" s="30" t="n">
        <x:v>1</x:v>
      </x:c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</x:row>
    <x:row r="76" ht="19" customHeight="1">
      <x:c r="A76" s="1"/>
      <x:c r="B76" s="1"/>
      <x:c r="C76" s="2" t="str">
        <x:v>MOB 11</x:v>
      </x:c>
      <x:c r="D76" s="2"/>
      <x:c r="E76" s="30" t="n">
        <x:v>1</x:v>
      </x:c>
      <x:c r="F76" s="30" t="n">
        <x:v>1</x:v>
      </x:c>
      <x:c r="G76" s="30"/>
      <x:c r="H76" s="30" t="n">
        <x:v>1</x:v>
      </x:c>
      <x:c r="I76" s="30" t="n">
        <x:v>1</x:v>
      </x:c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</x:row>
    <x:row r="77" ht="19" customHeight="1">
      <x:c r="A77" s="1"/>
      <x:c r="B77" s="1"/>
      <x:c r="C77" s="2" t="str">
        <x:v>MOB 12</x:v>
      </x:c>
      <x:c r="D77" s="2"/>
      <x:c r="E77" s="30" t="n">
        <x:v>1</x:v>
      </x:c>
      <x:c r="F77" s="30" t="n">
        <x:v>1</x:v>
      </x:c>
      <x:c r="G77" s="30"/>
      <x:c r="H77" s="30" t="n">
        <x:v>1</x:v>
      </x:c>
      <x:c r="I77" s="30" t="n">
        <x:v>1</x:v>
      </x:c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</x:row>
    <x:row r="78" ht="19" customHeight="1">
      <x:c r="A78" s="1"/>
      <x:c r="B78" s="1"/>
      <x:c r="C78" s="2" t="str">
        <x:v>MOB 13</x:v>
      </x:c>
      <x:c r="D78" s="2"/>
      <x:c r="E78" s="30" t="n">
        <x:v>1</x:v>
      </x:c>
      <x:c r="F78" s="30" t="n">
        <x:v>1</x:v>
      </x:c>
      <x:c r="G78" s="30"/>
      <x:c r="H78" s="30" t="n">
        <x:v>1</x:v>
      </x:c>
      <x:c r="I78" s="30" t="n">
        <x:v>1</x:v>
      </x:c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</x:row>
    <x:row r="79" ht="19" customHeight="1">
      <x:c r="A79" s="1"/>
      <x:c r="B79" s="1"/>
      <x:c r="C79" s="2" t="str">
        <x:v>MOB 14</x:v>
      </x:c>
      <x:c r="D79" s="2"/>
      <x:c r="E79" s="30" t="n">
        <x:v>1</x:v>
      </x:c>
      <x:c r="F79" s="30" t="n">
        <x:v>1</x:v>
      </x:c>
      <x:c r="G79" s="30"/>
      <x:c r="H79" s="30" t="n">
        <x:v>1</x:v>
      </x:c>
      <x:c r="I79" s="30" t="n">
        <x:v>1</x:v>
      </x:c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</x:row>
    <x:row r="80" ht="19" customHeight="1">
      <x:c r="A80" s="1"/>
      <x:c r="B80" s="1"/>
      <x:c r="C80" s="2" t="str">
        <x:v>MOB 15</x:v>
      </x:c>
      <x:c r="D80" s="2"/>
      <x:c r="E80" s="30" t="n">
        <x:v>1</x:v>
      </x:c>
      <x:c r="F80" s="30" t="n">
        <x:v>1</x:v>
      </x:c>
      <x:c r="G80" s="30"/>
      <x:c r="H80" s="30" t="n">
        <x:v>1</x:v>
      </x:c>
      <x:c r="I80" s="30" t="n">
        <x:v>1</x:v>
      </x:c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</x:row>
    <x:row r="81" ht="19" customHeight="1">
      <x:c r="A81" s="1"/>
      <x:c r="B81" s="1"/>
      <x:c r="C81" s="2" t="str">
        <x:v>MOB 16</x:v>
      </x:c>
      <x:c r="D81" s="2"/>
      <x:c r="E81" s="30" t="n">
        <x:v>1</x:v>
      </x:c>
      <x:c r="F81" s="30" t="n">
        <x:v>1</x:v>
      </x:c>
      <x:c r="G81" s="30"/>
      <x:c r="H81" s="30" t="n">
        <x:v>1</x:v>
      </x:c>
      <x:c r="I81" s="30" t="n">
        <x:v>1</x:v>
      </x:c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</x:row>
    <x:row r="82" ht="19" customHeight="1">
      <x:c r="A82" s="1"/>
      <x:c r="B82" s="1"/>
      <x:c r="C82" s="2" t="str">
        <x:v>MOB 17</x:v>
      </x:c>
      <x:c r="D82" s="2"/>
      <x:c r="E82" s="30" t="n">
        <x:v>1</x:v>
      </x:c>
      <x:c r="F82" s="30" t="n">
        <x:v>1</x:v>
      </x:c>
      <x:c r="G82" s="30"/>
      <x:c r="H82" s="30" t="n">
        <x:v>1</x:v>
      </x:c>
      <x:c r="I82" s="30" t="n">
        <x:v>1</x:v>
      </x:c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</x:row>
    <x:row r="83" ht="19" customHeight="1">
      <x:c r="A83" s="1"/>
      <x:c r="B83" s="1"/>
      <x:c r="C83" s="2" t="str">
        <x:v>MOB 18</x:v>
      </x:c>
      <x:c r="D83" s="2"/>
      <x:c r="E83" s="30" t="n">
        <x:v>1</x:v>
      </x:c>
      <x:c r="F83" s="30" t="n">
        <x:v>1</x:v>
      </x:c>
      <x:c r="G83" s="30"/>
      <x:c r="H83" s="30" t="n">
        <x:v>1</x:v>
      </x:c>
      <x:c r="I83" s="30" t="n">
        <x:v>1</x:v>
      </x:c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</x:row>
    <x:row r="84" ht="19" customHeight="1">
      <x:c r="A84" s="1"/>
      <x:c r="B84" s="1"/>
      <x:c r="C84" s="2" t="str">
        <x:v>MOB 19</x:v>
      </x:c>
      <x:c r="D84" s="2"/>
      <x:c r="E84" s="30" t="n">
        <x:v>1</x:v>
      </x:c>
      <x:c r="F84" s="30" t="n">
        <x:v>1</x:v>
      </x:c>
      <x:c r="G84" s="30"/>
      <x:c r="H84" s="30" t="n">
        <x:v>1</x:v>
      </x:c>
      <x:c r="I84" s="30" t="n">
        <x:v>1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</x:row>
    <x:row r="85" ht="19" customHeight="1">
      <x:c r="A85" s="1"/>
      <x:c r="B85" s="1"/>
      <x:c r="C85" s="2" t="str">
        <x:v>MOB 20</x:v>
      </x:c>
      <x:c r="D85" s="2"/>
      <x:c r="E85" s="30" t="n">
        <x:v>1</x:v>
      </x:c>
      <x:c r="F85" s="30" t="n">
        <x:v>1</x:v>
      </x:c>
      <x:c r="G85" s="30"/>
      <x:c r="H85" s="30" t="n">
        <x:v>1</x:v>
      </x:c>
      <x:c r="I85" s="30" t="n">
        <x:v>1</x:v>
      </x:c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</x:row>
    <x:row r="86" ht="19" customHeight="1">
      <x:c r="A86" s="1"/>
      <x:c r="B86" s="1"/>
      <x:c r="C86" s="2" t="str">
        <x:v>MOB 21</x:v>
      </x:c>
      <x:c r="D86" s="2"/>
      <x:c r="E86" s="30" t="n">
        <x:v>1</x:v>
      </x:c>
      <x:c r="F86" s="30" t="n">
        <x:v>1</x:v>
      </x:c>
      <x:c r="G86" s="30"/>
      <x:c r="H86" s="30" t="n">
        <x:v>1</x:v>
      </x:c>
      <x:c r="I86" s="30" t="n">
        <x:v>1</x:v>
      </x:c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</x:row>
    <x:row r="87" ht="19" customHeight="1">
      <x:c r="A87" s="1"/>
      <x:c r="B87" s="1"/>
      <x:c r="C87" s="2" t="str">
        <x:v>MOB 22</x:v>
      </x:c>
      <x:c r="D87" s="2"/>
      <x:c r="E87" s="30" t="n">
        <x:v>1</x:v>
      </x:c>
      <x:c r="F87" s="30" t="n">
        <x:v>1</x:v>
      </x:c>
      <x:c r="G87" s="30"/>
      <x:c r="H87" s="30" t="n">
        <x:v>1</x:v>
      </x:c>
      <x:c r="I87" s="30" t="n">
        <x:v>1</x:v>
      </x:c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</x:row>
    <x:row r="88" ht="19" customHeight="1">
      <x:c r="A88" s="1"/>
      <x:c r="B88" s="1"/>
      <x:c r="C88" s="2" t="str">
        <x:v>MOB 23</x:v>
      </x:c>
      <x:c r="D88" s="2"/>
      <x:c r="E88" s="30" t="n">
        <x:v>1</x:v>
      </x:c>
      <x:c r="F88" s="30" t="n">
        <x:v>1</x:v>
      </x:c>
      <x:c r="G88" s="30"/>
      <x:c r="H88" s="30" t="n">
        <x:v>1</x:v>
      </x:c>
      <x:c r="I88" s="30" t="n">
        <x:v>1</x:v>
      </x:c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</x:row>
    <x:row r="89" ht="19" customHeight="1">
      <x:c r="A89" s="1"/>
      <x:c r="B89" s="1"/>
      <x:c r="C89" s="2" t="str">
        <x:v>MOB 24</x:v>
      </x:c>
      <x:c r="D89" s="2"/>
      <x:c r="E89" s="30" t="n">
        <x:v>1</x:v>
      </x:c>
      <x:c r="F89" s="30" t="n">
        <x:v>1</x:v>
      </x:c>
      <x:c r="G89" s="30"/>
      <x:c r="H89" s="30" t="n">
        <x:v>1</x:v>
      </x:c>
      <x:c r="I89" s="30" t="n">
        <x:v>1</x:v>
      </x:c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</x:row>
    <x:row r="90" ht="19" customHeight="1">
      <x:c r="A90" s="1"/>
      <x:c r="B90" s="1"/>
      <x:c r="C90" s="2" t="str">
        <x:v>MOB 25</x:v>
      </x:c>
      <x:c r="D90" s="2"/>
      <x:c r="E90" s="30" t="n">
        <x:v>1</x:v>
      </x:c>
      <x:c r="F90" s="30" t="n">
        <x:v>1</x:v>
      </x:c>
      <x:c r="G90" s="30"/>
      <x:c r="H90" s="30" t="n">
        <x:v>1</x:v>
      </x:c>
      <x:c r="I90" s="30" t="n">
        <x:v>1</x:v>
      </x:c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</x:row>
    <x:row r="91" ht="19" customHeight="1">
      <x:c r="A91" s="1"/>
      <x:c r="B91" s="1"/>
      <x:c r="C91" s="2" t="str">
        <x:v>MOB 26</x:v>
      </x:c>
      <x:c r="D91" s="2"/>
      <x:c r="E91" s="30" t="n">
        <x:v>1</x:v>
      </x:c>
      <x:c r="F91" s="30" t="n">
        <x:v>1</x:v>
      </x:c>
      <x:c r="G91" s="30"/>
      <x:c r="H91" s="30" t="n">
        <x:v>1</x:v>
      </x:c>
      <x:c r="I91" s="30" t="n">
        <x:v>1</x:v>
      </x:c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</x:row>
    <x:row r="92" ht="19" customHeight="1">
      <x:c r="A92" s="1"/>
      <x:c r="B92" s="1"/>
      <x:c r="C92" s="2" t="str">
        <x:v>MOB 27</x:v>
      </x:c>
      <x:c r="D92" s="2"/>
      <x:c r="E92" s="30" t="n">
        <x:v>1</x:v>
      </x:c>
      <x:c r="F92" s="30" t="n">
        <x:v>1</x:v>
      </x:c>
      <x:c r="G92" s="30"/>
      <x:c r="H92" s="30" t="n">
        <x:v>1</x:v>
      </x:c>
      <x:c r="I92" s="30" t="n">
        <x:v>1</x:v>
      </x:c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</x:row>
    <x:row r="93" ht="19" customHeight="1">
      <x:c r="A93" s="1"/>
      <x:c r="B93" s="1"/>
      <x:c r="C93" s="2" t="str">
        <x:v>MOB 28</x:v>
      </x:c>
      <x:c r="D93" s="2"/>
      <x:c r="E93" s="30" t="n">
        <x:v>1</x:v>
      </x:c>
      <x:c r="F93" s="30" t="n">
        <x:v>1</x:v>
      </x:c>
      <x:c r="G93" s="30"/>
      <x:c r="H93" s="30" t="n">
        <x:v>1</x:v>
      </x:c>
      <x:c r="I93" s="30" t="n">
        <x:v>1</x:v>
      </x:c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</x:row>
    <x:row r="94" ht="19" customHeight="1">
      <x:c r="A94" s="1"/>
      <x:c r="B94" s="1"/>
      <x:c r="C94" s="2" t="str">
        <x:v>MOB 29</x:v>
      </x:c>
      <x:c r="D94" s="2"/>
      <x:c r="E94" s="30" t="n">
        <x:v>1</x:v>
      </x:c>
      <x:c r="F94" s="30" t="n">
        <x:v>1</x:v>
      </x:c>
      <x:c r="G94" s="30"/>
      <x:c r="H94" s="30" t="n">
        <x:v>1</x:v>
      </x:c>
      <x:c r="I94" s="30" t="n">
        <x:v>1</x:v>
      </x:c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</x:row>
    <x:row r="95" ht="19" customHeight="1">
      <x:c r="A95" s="1"/>
      <x:c r="B95" s="1"/>
      <x:c r="C95" s="2" t="str">
        <x:v>MOB 30</x:v>
      </x:c>
      <x:c r="D95" s="2"/>
      <x:c r="E95" s="30" t="n">
        <x:v>1</x:v>
      </x:c>
      <x:c r="F95" s="30" t="n">
        <x:v>1</x:v>
      </x:c>
      <x:c r="G95" s="30"/>
      <x:c r="H95" s="30" t="n">
        <x:v>1</x:v>
      </x:c>
      <x:c r="I95" s="30" t="n">
        <x:v>1</x:v>
      </x:c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</x:row>
    <x:row r="96" ht="19" customHeight="1">
      <x:c r="A96" s="1"/>
      <x:c r="B96" s="1"/>
      <x:c r="C96" s="2" t="str">
        <x:v>MOB 31</x:v>
      </x:c>
      <x:c r="D96" s="2"/>
      <x:c r="E96" s="30" t="n">
        <x:v>1</x:v>
      </x:c>
      <x:c r="F96" s="30" t="n">
        <x:v>1</x:v>
      </x:c>
      <x:c r="G96" s="30"/>
      <x:c r="H96" s="30" t="n">
        <x:v>1</x:v>
      </x:c>
      <x:c r="I96" s="30" t="n">
        <x:v>1</x:v>
      </x:c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</x:row>
    <x:row r="97" ht="19" customHeight="1">
      <x:c r="A97" s="1"/>
      <x:c r="B97" s="1"/>
      <x:c r="C97" s="2" t="str">
        <x:v>MOB 32</x:v>
      </x:c>
      <x:c r="D97" s="2"/>
      <x:c r="E97" s="30" t="n">
        <x:v>1</x:v>
      </x:c>
      <x:c r="F97" s="30" t="n">
        <x:v>1</x:v>
      </x:c>
      <x:c r="G97" s="30"/>
      <x:c r="H97" s="30" t="n">
        <x:v>1</x:v>
      </x:c>
      <x:c r="I97" s="30" t="n">
        <x:v>1</x:v>
      </x:c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</x:row>
    <x:row r="98" ht="19" customHeight="1">
      <x:c r="A98" s="1"/>
      <x:c r="B98" s="1"/>
      <x:c r="C98" s="2" t="str">
        <x:v>MOB 33</x:v>
      </x:c>
      <x:c r="D98" s="2"/>
      <x:c r="E98" s="30" t="n">
        <x:v>1</x:v>
      </x:c>
      <x:c r="F98" s="30" t="n">
        <x:v>1</x:v>
      </x:c>
      <x:c r="G98" s="30"/>
      <x:c r="H98" s="30" t="n">
        <x:v>1</x:v>
      </x:c>
      <x:c r="I98" s="30" t="n">
        <x:v>1</x:v>
      </x:c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</x:row>
    <x:row r="99" ht="19" customHeight="1">
      <x:c r="A99" s="1"/>
      <x:c r="B99" s="1"/>
      <x:c r="C99" s="2" t="str">
        <x:v>MOB 34</x:v>
      </x:c>
      <x:c r="D99" s="2"/>
      <x:c r="E99" s="30" t="n">
        <x:v>1</x:v>
      </x:c>
      <x:c r="F99" s="30" t="n">
        <x:v>1</x:v>
      </x:c>
      <x:c r="G99" s="30"/>
      <x:c r="H99" s="30" t="n">
        <x:v>1</x:v>
      </x:c>
      <x:c r="I99" s="30" t="n">
        <x:v>1</x:v>
      </x:c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</x:row>
    <x:row r="100" ht="19" customHeight="1">
      <x:c r="A100" s="1"/>
      <x:c r="B100" s="1"/>
      <x:c r="C100" s="2" t="str">
        <x:v>MOB 35</x:v>
      </x:c>
      <x:c r="D100" s="2"/>
      <x:c r="E100" s="30" t="n">
        <x:v>1</x:v>
      </x:c>
      <x:c r="F100" s="30" t="n">
        <x:v>1</x:v>
      </x:c>
      <x:c r="G100" s="30"/>
      <x:c r="H100" s="30" t="n">
        <x:v>1</x:v>
      </x:c>
      <x:c r="I100" s="30" t="n">
        <x:v>1</x:v>
      </x:c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</x:row>
    <x:row r="101" ht="19" customHeight="1">
      <x:c r="A101" s="1"/>
      <x:c r="B101" s="1"/>
      <x:c r="C101" s="2" t="str">
        <x:v>MOB 36</x:v>
      </x:c>
      <x:c r="D101" s="2"/>
      <x:c r="E101" s="30" t="n">
        <x:v>1</x:v>
      </x:c>
      <x:c r="F101" s="30" t="n">
        <x:v>1</x:v>
      </x:c>
      <x:c r="G101" s="30"/>
      <x:c r="H101" s="30" t="n">
        <x:v>1</x:v>
      </x:c>
      <x:c r="I101" s="30" t="n">
        <x:v>1</x:v>
      </x:c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</x:row>
    <x:row r="102" ht="19" customHeight="1">
      <x:c r="A102" s="1"/>
      <x:c r="B102" s="1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</x:row>
    <x:row r="103" ht="19" customHeight="1">
      <x:c r="A103" s="1"/>
      <x:c r="B103" s="1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</x:row>
    <x:row r="104" ht="19" customHeight="1">
      <x:c r="A104" s="1"/>
      <x:c r="B104" s="1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</x:row>
    <x:row r="105" ht="44" customHeight="1">
      <x:c r="A105" s="1"/>
      <x:c r="B105" s="1"/>
      <x:c r="C105" s="54"/>
      <x:c r="D105" s="54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</x:row>
    <x:row r="106" ht="19" customHeight="1">
      <x:c r="A106" s="1"/>
      <x:c r="B106" s="1"/>
      <x:c r="C106" s="52"/>
      <x:c r="D106" s="52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</x:row>
    <x:row r="107" ht="19" customHeight="1">
      <x:c r="A107" s="1"/>
      <x:c r="B107" s="1"/>
      <x:c r="C107" s="52"/>
      <x:c r="D107" s="52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</x:row>
    <x:row r="108" ht="19" customHeight="1">
      <x:c r="A108" s="1"/>
      <x:c r="B108" s="1"/>
      <x:c r="C108" s="52"/>
      <x:c r="D108" s="52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</x:row>
    <x:row r="109" ht="19" customHeight="1">
      <x:c r="A109" s="1"/>
      <x:c r="B109" s="1"/>
      <x:c r="C109" s="52"/>
      <x:c r="D109" s="52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</x:row>
    <x:row r="110" ht="19" customHeight="1">
      <x:c r="A110" s="1"/>
      <x:c r="B110" s="1"/>
      <x:c r="C110" s="52"/>
      <x:c r="D110" s="52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</x:row>
    <x:row r="111" ht="19" customHeight="1">
      <x:c r="A111" s="1"/>
      <x:c r="B111" s="1"/>
      <x:c r="C111" s="52"/>
      <x:c r="D111" s="52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</x:row>
    <x:row r="112" ht="19" customHeight="1">
      <x:c r="A112" s="1"/>
      <x:c r="B112" s="1"/>
      <x:c r="C112" s="52"/>
      <x:c r="D112" s="52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</x:row>
    <x:row r="113" ht="19" customHeight="1">
      <x:c r="A113" s="1"/>
      <x:c r="B113" s="1"/>
      <x:c r="C113" s="52"/>
      <x:c r="D113" s="52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</x:row>
    <x:row r="114" ht="19" customHeight="1">
      <x:c r="A114" s="1"/>
      <x:c r="B114" s="1"/>
      <x:c r="C114" s="52"/>
      <x:c r="D114" s="52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</x:row>
    <x:row r="115" ht="19" customHeight="1">
      <x:c r="A115" s="1"/>
      <x:c r="B115" s="1"/>
      <x:c r="C115" s="52"/>
      <x:c r="D115" s="52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</x:row>
    <x:row r="116" ht="19" customHeight="1">
      <x:c r="A116" s="1"/>
      <x:c r="B116" s="1"/>
      <x:c r="C116" s="52"/>
      <x:c r="D116" s="52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</x:row>
    <x:row r="117" ht="19" customHeight="1">
      <x:c r="A117" s="1"/>
      <x:c r="B117" s="1"/>
      <x:c r="C117" s="52"/>
      <x:c r="D117" s="52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</x:row>
    <x:row r="118" ht="19" customHeight="1">
      <x:c r="A118" s="1"/>
      <x:c r="B118" s="1"/>
      <x:c r="C118" s="52"/>
      <x:c r="D118" s="52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</x:row>
    <x:row r="119" ht="19" customHeight="1">
      <x:c r="A119" s="1"/>
      <x:c r="B119" s="1"/>
      <x:c r="C119" s="52"/>
      <x:c r="D119" s="52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</x:row>
    <x:row r="120" ht="19" customHeight="1">
      <x:c r="A120" s="1"/>
      <x:c r="B120" s="1"/>
      <x:c r="C120" s="52"/>
      <x:c r="D120" s="52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</x:row>
    <x:row r="121" ht="19" customHeight="1">
      <x:c r="A121" s="1"/>
      <x:c r="B121" s="1"/>
      <x:c r="C121" s="52"/>
      <x:c r="D121" s="52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</x:row>
    <x:row r="122" ht="19" customHeight="1">
      <x:c r="A122" s="1"/>
      <x:c r="B122" s="1"/>
      <x:c r="C122" s="52"/>
      <x:c r="D122" s="52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</x:row>
    <x:row r="123" ht="19" customHeight="1">
      <x:c r="A123" s="1"/>
      <x:c r="B123" s="1"/>
      <x:c r="C123" s="52"/>
      <x:c r="D123" s="52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</x:row>
    <x:row r="124" ht="19" customHeight="1">
      <x:c r="A124" s="1"/>
      <x:c r="B124" s="1"/>
      <x:c r="C124" s="52"/>
      <x:c r="D124" s="52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</x:row>
    <x:row r="125" ht="19" customHeight="1">
      <x:c r="A125" s="1"/>
      <x:c r="B125" s="1"/>
      <x:c r="C125" s="52"/>
      <x:c r="D125" s="52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</x:row>
    <x:row r="126" ht="19" customHeight="1">
      <x:c r="A126" s="1"/>
      <x:c r="B126" s="1"/>
      <x:c r="C126" s="52"/>
      <x:c r="D126" s="52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</x:row>
    <x:row r="127" ht="19" customHeight="1">
      <x:c r="A127" s="1"/>
      <x:c r="B127" s="1"/>
      <x:c r="C127" s="52"/>
      <x:c r="D127" s="52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</x:row>
    <x:row r="128" ht="19" customHeight="1">
      <x:c r="A128" s="1"/>
      <x:c r="B128" s="1"/>
      <x:c r="C128" s="52"/>
      <x:c r="D128" s="52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</x:row>
    <x:row r="129" ht="19" customHeight="1">
      <x:c r="A129" s="1"/>
      <x:c r="B129" s="1"/>
      <x:c r="C129" s="52"/>
      <x:c r="D129" s="52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</x:row>
    <x:row r="130" ht="19" customHeight="1">
      <x:c r="A130" s="1"/>
      <x:c r="B130" s="1"/>
      <x:c r="C130" s="52"/>
      <x:c r="D130" s="52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</x:row>
    <x:row r="131" ht="19" customHeight="1">
      <x:c r="A131" s="1"/>
      <x:c r="B131" s="1"/>
      <x:c r="C131" s="52"/>
      <x:c r="D131" s="52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</x:row>
    <x:row r="132" ht="19" customHeight="1">
      <x:c r="A132" s="1"/>
      <x:c r="B132" s="1"/>
      <x:c r="C132" s="52"/>
      <x:c r="D132" s="52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</x:row>
    <x:row r="133" ht="19" customHeight="1">
      <x:c r="A133" s="1"/>
      <x:c r="B133" s="1"/>
      <x:c r="C133" s="52"/>
      <x:c r="D133" s="52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</x:row>
    <x:row r="134" ht="19" customHeight="1">
      <x:c r="A134" s="1"/>
      <x:c r="B134" s="1"/>
      <x:c r="C134" s="52"/>
      <x:c r="D134" s="52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</x:row>
    <x:row r="135" ht="19" customHeight="1">
      <x:c r="A135" s="1"/>
      <x:c r="B135" s="1"/>
      <x:c r="C135" s="52"/>
      <x:c r="D135" s="52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</x:row>
    <x:row r="136" ht="19" customHeight="1">
      <x:c r="A136" s="1"/>
      <x:c r="B136" s="1"/>
      <x:c r="C136" s="52"/>
      <x:c r="D136" s="52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</x:row>
    <x:row r="137" ht="19" customHeight="1">
      <x:c r="A137" s="1"/>
      <x:c r="B137" s="1"/>
      <x:c r="C137" s="52"/>
      <x:c r="D137" s="52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</x:row>
    <x:row r="138" ht="19" customHeight="1">
      <x:c r="A138" s="1"/>
      <x:c r="B138" s="1"/>
      <x:c r="C138" s="52"/>
      <x:c r="D138" s="52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</x:row>
    <x:row r="139" ht="19" customHeight="1">
      <x:c r="A139" s="1"/>
      <x:c r="B139" s="1"/>
      <x:c r="C139" s="52"/>
      <x:c r="D139" s="52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</x:row>
    <x:row r="140" ht="19" customHeight="1">
      <x:c r="A140" s="1"/>
      <x:c r="B140" s="1"/>
      <x:c r="C140" s="52"/>
      <x:c r="D140" s="52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</x:row>
    <x:row r="141" ht="19" customHeight="1">
      <x:c r="A141" s="1"/>
      <x:c r="B141" s="1"/>
      <x:c r="C141" s="52"/>
      <x:c r="D141" s="52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</x:row>
    <x:row r="142" ht="19" customHeight="1">
      <x:c r="A142" s="1"/>
      <x:c r="B142" s="1"/>
      <x:c r="C142" s="52"/>
      <x:c r="D142" s="52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</x:row>
    <x:row r="143" ht="19" customHeight="1">
      <x:c r="A143" s="1"/>
      <x:c r="B143" s="1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</x:row>
    <x:row r="144" ht="19" customHeight="1">
      <x:c r="A144" s="1"/>
      <x:c r="B144" s="1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</x:row>
    <x:row r="145" ht="19" customHeight="1">
      <x:c r="A145" s="1"/>
      <x:c r="B145" s="1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</x:row>
    <x:row r="146" ht="19" customHeight="1">
      <x:c r="A146" s="1"/>
      <x:c r="B146" s="1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</x:row>
    <x:row r="147" ht="19" customHeight="1">
      <x:c r="A147" s="1"/>
      <x:c r="B147" s="1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</x:row>
    <x:row r="148" ht="19" customHeight="1">
      <x:c r="A148" s="1"/>
      <x:c r="B148" s="1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</x:row>
    <x:row r="149" ht="19" customHeight="1">
      <x:c r="A149" s="1"/>
      <x:c r="B149" s="1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</x:row>
    <x:row r="150" ht="19" customHeight="1">
      <x:c r="A150" s="1"/>
      <x:c r="B150" s="1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</x:row>
    <x:row r="151" ht="19" customHeight="1">
      <x:c r="A151" s="1"/>
      <x:c r="B151" s="1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</x:row>
    <x:row r="152" ht="19" customHeight="1">
      <x:c r="A152" s="1"/>
      <x:c r="B152" s="1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</x:row>
    <x:row r="153" ht="19" customHeight="1">
      <x:c r="A153" s="1"/>
      <x:c r="B153" s="1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</x:row>
    <x:row r="154" ht="19" customHeight="1">
      <x:c r="A154" s="1"/>
      <x:c r="B154" s="1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</x:row>
    <x:row r="155" ht="19" customHeight="1">
      <x:c r="A155" s="1"/>
      <x:c r="B155" s="1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</x:row>
    <x:row r="156" ht="19" customHeight="1">
      <x:c r="A156" s="1"/>
      <x:c r="B156" s="1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</x:row>
    <x:row r="157" ht="19" customHeight="1">
      <x:c r="A157" s="1"/>
      <x:c r="B157" s="1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</x:row>
    <x:row r="158" ht="19" customHeight="1">
      <x:c r="A158" s="1"/>
      <x:c r="B158" s="1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</x:row>
    <x:row r="159" ht="19" customHeight="1">
      <x:c r="A159" s="1"/>
      <x:c r="B159" s="1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</x:row>
    <x:row r="160" ht="19" customHeight="1">
      <x:c r="A160" s="1"/>
      <x:c r="B160" s="1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</x:row>
    <x:row r="161" ht="19" customHeight="1">
      <x:c r="A161" s="1"/>
      <x:c r="B161" s="1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</x:row>
    <x:row r="162" ht="19" customHeight="1">
      <x:c r="A162" s="1"/>
      <x:c r="B162" s="1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</x:row>
    <x:row r="163" ht="19" customHeight="1">
      <x:c r="A163" s="1"/>
      <x:c r="B163" s="1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</x:row>
    <x:row r="164" ht="19" customHeight="1">
      <x:c r="A164" s="1"/>
      <x:c r="B164" s="1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</x:row>
    <x:row r="165" ht="19" customHeight="1">
      <x:c r="A165" s="1"/>
      <x:c r="B165" s="1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</x:row>
    <x:row r="166" ht="19" customHeight="1">
      <x:c r="A166" s="1"/>
      <x:c r="B166" s="1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</x:row>
    <x:row r="167" ht="19" customHeight="1">
      <x:c r="A167" s="1"/>
      <x:c r="B167" s="1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</x:row>
    <x:row r="168" ht="19" customHeight="1">
      <x:c r="A168" s="1"/>
      <x:c r="B168" s="1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</x:row>
    <x:row r="169" ht="19" customHeight="1">
      <x:c r="A169" s="1"/>
      <x:c r="B169" s="1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</x:row>
    <x:row r="170" ht="19" customHeight="1">
      <x:c r="A170" s="1"/>
      <x:c r="B170" s="1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</x:row>
    <x:row r="171" ht="19" customHeight="1">
      <x:c r="A171" s="1"/>
      <x:c r="B171" s="1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</x:row>
    <x:row r="172" ht="19" customHeight="1">
      <x:c r="A172" s="1"/>
      <x:c r="B172" s="1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</x:row>
    <x:row r="173" ht="19" customHeight="1">
      <x:c r="A173" s="1"/>
      <x:c r="B173" s="1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</x:row>
    <x:row r="174" ht="19" customHeight="1">
      <x:c r="A174" s="1"/>
      <x:c r="B174" s="1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</x:row>
    <x:row r="175" ht="19" customHeight="1">
      <x:c r="A175" s="1"/>
      <x:c r="B175" s="1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</x:row>
    <x:row r="176" ht="19" customHeight="1">
      <x:c r="A176" s="1"/>
      <x:c r="B176" s="1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</x:row>
    <x:row r="177" ht="19" customHeight="1">
      <x:c r="A177" s="1"/>
      <x:c r="B177" s="1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</x:row>
    <x:row r="178" ht="19" customHeight="1">
      <x:c r="A178" s="1"/>
      <x:c r="B178" s="1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</x:row>
    <x:row r="179" ht="19" customHeight="1">
      <x:c r="A179" s="1"/>
      <x:c r="B179" s="1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</x:row>
    <x:row r="180" ht="19" customHeight="1">
      <x:c r="A180" s="1"/>
      <x:c r="B180" s="1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</x:row>
    <x:row r="181" ht="19" customHeight="1">
      <x:c r="A181" s="1"/>
      <x:c r="B181" s="1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</x:row>
    <x:row r="182" ht="19" customHeight="1">
      <x:c r="A182" s="1"/>
      <x:c r="B182" s="1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</x:row>
    <x:row r="183" ht="19" customHeight="1">
      <x:c r="A183" s="1"/>
      <x:c r="B183" s="1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</x:row>
    <x:row r="184" ht="19" customHeight="1">
      <x:c r="A184" s="1"/>
      <x:c r="B184" s="1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</x:row>
    <x:row r="185" ht="19" customHeight="1">
      <x:c r="A185" s="1"/>
      <x:c r="B185" s="1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</x:row>
    <x:row r="186" ht="19" customHeight="1">
      <x:c r="A186" s="1"/>
      <x:c r="B186" s="1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</x:row>
    <x:row r="187" ht="19" customHeight="1">
      <x:c r="A187" s="1"/>
      <x:c r="B187" s="1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</x:row>
    <x:row r="188" ht="19" customHeight="1">
      <x:c r="A188" s="1"/>
      <x:c r="B188" s="1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</x:row>
    <x:row r="189" ht="19" customHeight="1">
      <x:c r="A189" s="1"/>
      <x:c r="B189" s="1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</x:row>
    <x:row r="190" ht="19" customHeight="1">
      <x:c r="A190" s="1"/>
      <x:c r="B190" s="1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</x:row>
    <x:row r="191" ht="19" customHeight="1">
      <x:c r="A191" s="1"/>
      <x:c r="B191" s="1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</x:row>
    <x:row r="192" ht="19" customHeight="1">
      <x:c r="A192" s="1"/>
      <x:c r="B192" s="1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</x:row>
    <x:row r="193" ht="19" customHeight="1">
      <x:c r="A193" s="1"/>
      <x:c r="B193" s="1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</x:row>
    <x:row r="194" ht="19" customHeight="1">
      <x:c r="A194" s="1"/>
      <x:c r="B194" s="1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</x:row>
    <x:row r="195" ht="19" customHeight="1">
      <x:c r="A195" s="1"/>
      <x:c r="B195" s="1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</x:row>
    <x:row r="196" ht="19" customHeight="1">
      <x:c r="A196" s="1"/>
      <x:c r="B196" s="1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</x:row>
    <x:row r="197" ht="19" customHeight="1">
      <x:c r="A197" s="1"/>
      <x:c r="B197" s="1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</x:row>
    <x:row r="198" ht="19" customHeight="1">
      <x:c r="A198" s="1"/>
      <x:c r="B198" s="1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</x:row>
    <x:row r="199" ht="19" customHeight="1">
      <x:c r="A199" s="1"/>
      <x:c r="B199" s="1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</x:row>
    <x:row r="200" ht="19" customHeight="1">
      <x:c r="A200" s="1"/>
      <x:c r="B200" s="1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</x:row>
    <x:row r="201" ht="19" customHeight="1">
      <x:c r="A201" s="1"/>
      <x:c r="B201" s="1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</x:row>
    <x:row r="202" ht="19" customHeight="1">
      <x:c r="A202" s="1"/>
      <x:c r="B202" s="1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</x:row>
    <x:row r="203" ht="19" customHeight="1">
      <x:c r="A203" s="1"/>
      <x:c r="B203" s="1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</x:row>
    <x:row r="204" ht="19" customHeight="1">
      <x:c r="A204" s="1"/>
      <x:c r="B204" s="1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</x:row>
    <x:row r="205" ht="19" customHeight="1">
      <x:c r="A205" s="1"/>
      <x:c r="B205" s="1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</x:row>
    <x:row r="206" ht="19" customHeight="1">
      <x:c r="A206" s="1"/>
      <x:c r="B206" s="1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</x:row>
    <x:row r="207" ht="19" customHeight="1">
      <x:c r="A207" s="1"/>
      <x:c r="B207" s="1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</x:row>
    <x:row r="208" ht="19" customHeight="1">
      <x:c r="A208" s="1"/>
      <x:c r="B208" s="1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</x:row>
    <x:row r="209" ht="19" customHeight="1">
      <x:c r="A209" s="1"/>
      <x:c r="B209" s="1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</x:row>
    <x:row r="210" ht="19" customHeight="1">
      <x:c r="A210" s="1"/>
      <x:c r="B210" s="1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</x:row>
    <x:row r="211" ht="19" customHeight="1">
      <x:c r="A211" s="1"/>
      <x:c r="B211" s="1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</x:row>
    <x:row r="212" ht="19" customHeight="1">
      <x:c r="A212" s="1"/>
      <x:c r="B212" s="1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</x:row>
    <x:row r="213" ht="19" customHeight="1">
      <x:c r="A213" s="1"/>
      <x:c r="B213" s="1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</x:row>
    <x:row r="214" ht="19" customHeight="1">
      <x:c r="A214" s="1"/>
      <x:c r="B214" s="1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</x:row>
    <x:row r="215" ht="19" customHeight="1">
      <x:c r="A215" s="1"/>
      <x:c r="B215" s="1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</x:row>
    <x:row r="216" ht="19" customHeight="1">
      <x:c r="A216" s="1"/>
      <x:c r="B216" s="1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</x:row>
    <x:row r="217" ht="19" customHeight="1">
      <x:c r="A217" s="1"/>
      <x:c r="B217" s="1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</x:row>
    <x:row r="218" ht="19" customHeight="1">
      <x:c r="A218" s="1"/>
      <x:c r="B218" s="1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</x:row>
    <x:row r="219" ht="19" customHeight="1">
      <x:c r="A219" s="1"/>
      <x:c r="B219" s="1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</x:row>
  </x:sheetData>
  <x:dataValidations count="7">
    <x:dataValidation type="list" sqref="E6">
      <x:formula1>"1,2"</x:formula1>
    </x:dataValidation>
    <x:dataValidation type="list" sqref="E9">
      <x:formula1>"1,2,3"</x:formula1>
    </x:dataValidation>
    <x:dataValidation type="list" sqref="E18:F18">
      <x:formula1>"0,1"</x:formula1>
    </x:dataValidation>
    <x:dataValidation type="whole" operator="between" sqref="E7">
      <x:formula1>6</x:formula1>
      <x:formula2>36</x:formula2>
    </x:dataValidation>
    <x:dataValidation type="whole" operator="between" sqref="E16:F16">
      <x:formula1>1</x:formula1>
      <x:formula2>60</x:formula2>
    </x:dataValidation>
    <x:dataValidation type="whole" operator="between" sqref="E19:F19">
      <x:formula1>0</x:formula1>
      <x:formula2>59</x:formula2>
    </x:dataValidation>
    <x:dataValidation type="decimal" operator="between" sqref="E29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3" hidden="0" customWidth="1"/>
    <x:col min="5" max="5" width="17" hidden="0" customWidth="1"/>
    <x:col min="6" max="6" width="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</x:cols>
  <x:sheetData>
    <x:row r="1" ht="19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</x:row>
    <x:row r="2" ht="19" customHeight="1">
      <x:c r="A2" s="1"/>
      <x:c r="B2" s="1"/>
      <x:c r="C2" s="3" t="str">
        <x:v>Short-Term build</x:v>
      </x:c>
      <x:c r="D2" s="3"/>
      <x:c r="E2" s="3"/>
      <x:c r="F2" s="3"/>
      <x:c r="G2" s="3"/>
      <x:c r="H2" s="3"/>
      <x:c r="I2" s="3"/>
      <x:c r="J2" s="3"/>
      <x:c r="K2" s="3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</x:row>
    <x:row r="3" ht="19" customHeight="1">
      <x:c r="A3" s="1"/>
      <x:c r="B3" s="1"/>
      <x:c r="C3" s="2" t="str">
        <x:v>Exported scenario</x:v>
      </x:c>
      <x:c r="D3" s="2"/>
      <x:c r="E3" s="4" t="str">
        <x:f>'Assumptions'!$E$8</x:f>
        <x:v>Base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</x:row>
    <x:row r="4" ht="19" customHeight="1">
      <x:c r="A4" s="1"/>
      <x:c r="B4" s="1"/>
      <x:c r="C4" s="2" t="str">
        <x:v>Loan-type totals from the two product segment builds.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</x:row>
    <x:row r="5" ht="19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</x:row>
    <x:row r="6" ht="19" customHeight="1">
      <x:c r="A6" s="1"/>
      <x:c r="B6" s="1"/>
      <x:c r="C6" s="2"/>
      <x:c r="D6" s="2"/>
      <x:c r="E6" s="2"/>
      <x:c r="F6" s="2"/>
      <x:c r="G6" s="19" t="n">
        <x:v>1</x:v>
      </x:c>
      <x:c r="H6" s="19" t="n">
        <x:v>2</x:v>
      </x:c>
      <x:c r="I6" s="19" t="n">
        <x:v>3</x:v>
      </x:c>
      <x:c r="J6" s="19" t="n">
        <x:v>4</x:v>
      </x:c>
      <x:c r="K6" s="19" t="n">
        <x:v>5</x:v>
      </x:c>
      <x:c r="L6" s="19" t="n">
        <x:v>6</x:v>
      </x:c>
      <x:c r="M6" s="19" t="n">
        <x:v>7</x:v>
      </x:c>
      <x:c r="N6" s="19" t="n">
        <x:v>8</x:v>
      </x:c>
      <x:c r="O6" s="19" t="n">
        <x:v>9</x:v>
      </x:c>
      <x:c r="P6" s="19" t="n">
        <x:v>10</x:v>
      </x:c>
      <x:c r="Q6" s="19" t="n">
        <x:v>11</x:v>
      </x:c>
      <x:c r="R6" s="19" t="n">
        <x:v>12</x:v>
      </x:c>
      <x:c r="S6" s="19" t="n">
        <x:v>13</x:v>
      </x:c>
      <x:c r="T6" s="19" t="n">
        <x:v>14</x:v>
      </x:c>
      <x:c r="U6" s="19" t="n">
        <x:v>15</x:v>
      </x:c>
      <x:c r="V6" s="19" t="n">
        <x:v>16</x:v>
      </x:c>
      <x:c r="W6" s="19" t="n">
        <x:v>17</x:v>
      </x:c>
      <x:c r="X6" s="19" t="n">
        <x:v>18</x:v>
      </x:c>
      <x:c r="Y6" s="19" t="n">
        <x:v>19</x:v>
      </x:c>
      <x:c r="Z6" s="19" t="n">
        <x:v>20</x:v>
      </x:c>
      <x:c r="AA6" s="19" t="n">
        <x:v>21</x:v>
      </x:c>
      <x:c r="AB6" s="19" t="n">
        <x:v>22</x:v>
      </x:c>
      <x:c r="AC6" s="19" t="n">
        <x:v>23</x:v>
      </x:c>
      <x:c r="AD6" s="19" t="n">
        <x:v>24</x:v>
      </x:c>
      <x:c r="AE6" s="19" t="n">
        <x:v>25</x:v>
      </x:c>
      <x:c r="AF6" s="19" t="n">
        <x:v>26</x:v>
      </x:c>
      <x:c r="AG6" s="19" t="n">
        <x:v>27</x:v>
      </x:c>
      <x:c r="AH6" s="19" t="n">
        <x:v>28</x:v>
      </x:c>
      <x:c r="AI6" s="19" t="n">
        <x:v>29</x:v>
      </x:c>
      <x:c r="AJ6" s="19" t="n">
        <x:v>30</x:v>
      </x:c>
      <x:c r="AK6" s="19" t="n">
        <x:v>31</x:v>
      </x:c>
      <x:c r="AL6" s="19" t="n">
        <x:v>32</x:v>
      </x:c>
      <x:c r="AM6" s="19" t="n">
        <x:v>33</x:v>
      </x:c>
      <x:c r="AN6" s="19" t="n">
        <x:v>34</x:v>
      </x:c>
      <x:c r="AO6" s="19" t="n">
        <x:v>35</x:v>
      </x:c>
      <x:c r="AP6" s="19" t="n">
        <x:v>36</x:v>
      </x:c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</x:row>
    <x:row r="7" ht="19" customHeight="1">
      <x:c r="A7" s="1"/>
      <x:c r="B7" s="1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</x:row>
    <x:row r="8" ht="19" customHeight="1">
      <x:c r="A8" s="1"/>
      <x:c r="B8" s="1"/>
      <x:c r="C8" s="2" t="str">
        <x:v>Applications</x:v>
      </x:c>
      <x:c r="D8" s="2"/>
      <x:c r="E8" s="37" t="n">
        <x:f>SUMIFS(G8:AP8,$G$6:$AP$6,"&lt;="&amp;'Assumptions'!$E$7)</x:f>
        <x:v>720000</x:v>
      </x:c>
      <x:c r="F8" s="2"/>
      <x:c r="G8" s="37" t="n">
        <x:f>'CF Short-Term'!G8+'MK Short-Term'!G8</x:f>
        <x:v>30000</x:v>
      </x:c>
      <x:c r="H8" s="37" t="n">
        <x:f>'CF Short-Term'!H8+'MK Short-Term'!H8</x:f>
        <x:v>30000</x:v>
      </x:c>
      <x:c r="I8" s="37" t="n">
        <x:f>'CF Short-Term'!I8+'MK Short-Term'!I8</x:f>
        <x:v>30000</x:v>
      </x:c>
      <x:c r="J8" s="37" t="n">
        <x:f>'CF Short-Term'!J8+'MK Short-Term'!J8</x:f>
        <x:v>30000</x:v>
      </x:c>
      <x:c r="K8" s="37" t="n">
        <x:f>'CF Short-Term'!K8+'MK Short-Term'!K8</x:f>
        <x:v>30000</x:v>
      </x:c>
      <x:c r="L8" s="37" t="n">
        <x:f>'CF Short-Term'!L8+'MK Short-Term'!L8</x:f>
        <x:v>30000</x:v>
      </x:c>
      <x:c r="M8" s="37" t="n">
        <x:f>'CF Short-Term'!M8+'MK Short-Term'!M8</x:f>
        <x:v>30000</x:v>
      </x:c>
      <x:c r="N8" s="37" t="n">
        <x:f>'CF Short-Term'!N8+'MK Short-Term'!N8</x:f>
        <x:v>30000</x:v>
      </x:c>
      <x:c r="O8" s="37" t="n">
        <x:f>'CF Short-Term'!O8+'MK Short-Term'!O8</x:f>
        <x:v>30000</x:v>
      </x:c>
      <x:c r="P8" s="37" t="n">
        <x:f>'CF Short-Term'!P8+'MK Short-Term'!P8</x:f>
        <x:v>30000</x:v>
      </x:c>
      <x:c r="Q8" s="37" t="n">
        <x:f>'CF Short-Term'!Q8+'MK Short-Term'!Q8</x:f>
        <x:v>30000</x:v>
      </x:c>
      <x:c r="R8" s="37" t="n">
        <x:f>'CF Short-Term'!R8+'MK Short-Term'!R8</x:f>
        <x:v>30000</x:v>
      </x:c>
      <x:c r="S8" s="37" t="n">
        <x:f>'CF Short-Term'!S8+'MK Short-Term'!S8</x:f>
        <x:v>30000</x:v>
      </x:c>
      <x:c r="T8" s="37" t="n">
        <x:f>'CF Short-Term'!T8+'MK Short-Term'!T8</x:f>
        <x:v>30000</x:v>
      </x:c>
      <x:c r="U8" s="37" t="n">
        <x:f>'CF Short-Term'!U8+'MK Short-Term'!U8</x:f>
        <x:v>30000</x:v>
      </x:c>
      <x:c r="V8" s="37" t="n">
        <x:f>'CF Short-Term'!V8+'MK Short-Term'!V8</x:f>
        <x:v>30000</x:v>
      </x:c>
      <x:c r="W8" s="37" t="n">
        <x:f>'CF Short-Term'!W8+'MK Short-Term'!W8</x:f>
        <x:v>30000</x:v>
      </x:c>
      <x:c r="X8" s="37" t="n">
        <x:f>'CF Short-Term'!X8+'MK Short-Term'!X8</x:f>
        <x:v>30000</x:v>
      </x:c>
      <x:c r="Y8" s="37" t="n">
        <x:f>'CF Short-Term'!Y8+'MK Short-Term'!Y8</x:f>
        <x:v>30000</x:v>
      </x:c>
      <x:c r="Z8" s="37" t="n">
        <x:f>'CF Short-Term'!Z8+'MK Short-Term'!Z8</x:f>
        <x:v>30000</x:v>
      </x:c>
      <x:c r="AA8" s="37" t="n">
        <x:f>'CF Short-Term'!AA8+'MK Short-Term'!AA8</x:f>
        <x:v>30000</x:v>
      </x:c>
      <x:c r="AB8" s="37" t="n">
        <x:f>'CF Short-Term'!AB8+'MK Short-Term'!AB8</x:f>
        <x:v>30000</x:v>
      </x:c>
      <x:c r="AC8" s="37" t="n">
        <x:f>'CF Short-Term'!AC8+'MK Short-Term'!AC8</x:f>
        <x:v>30000</x:v>
      </x:c>
      <x:c r="AD8" s="37" t="n">
        <x:f>'CF Short-Term'!AD8+'MK Short-Term'!AD8</x:f>
        <x:v>30000</x:v>
      </x:c>
      <x:c r="AE8" s="37" t="n">
        <x:f>'CF Short-Term'!AE8+'MK Short-Term'!AE8</x:f>
        <x:v>30000</x:v>
      </x:c>
      <x:c r="AF8" s="37" t="n">
        <x:f>'CF Short-Term'!AF8+'MK Short-Term'!AF8</x:f>
        <x:v>30000</x:v>
      </x:c>
      <x:c r="AG8" s="37" t="n">
        <x:f>'CF Short-Term'!AG8+'MK Short-Term'!AG8</x:f>
        <x:v>30000</x:v>
      </x:c>
      <x:c r="AH8" s="37" t="n">
        <x:f>'CF Short-Term'!AH8+'MK Short-Term'!AH8</x:f>
        <x:v>30000</x:v>
      </x:c>
      <x:c r="AI8" s="37" t="n">
        <x:f>'CF Short-Term'!AI8+'MK Short-Term'!AI8</x:f>
        <x:v>30000</x:v>
      </x:c>
      <x:c r="AJ8" s="37" t="n">
        <x:f>'CF Short-Term'!AJ8+'MK Short-Term'!AJ8</x:f>
        <x:v>30000</x:v>
      </x:c>
      <x:c r="AK8" s="37" t="n">
        <x:f>'CF Short-Term'!AK8+'MK Short-Term'!AK8</x:f>
        <x:v>30000</x:v>
      </x:c>
      <x:c r="AL8" s="37" t="n">
        <x:f>'CF Short-Term'!AL8+'MK Short-Term'!AL8</x:f>
        <x:v>30000</x:v>
      </x:c>
      <x:c r="AM8" s="37" t="n">
        <x:f>'CF Short-Term'!AM8+'MK Short-Term'!AM8</x:f>
        <x:v>30000</x:v>
      </x:c>
      <x:c r="AN8" s="37" t="n">
        <x:f>'CF Short-Term'!AN8+'MK Short-Term'!AN8</x:f>
        <x:v>30000</x:v>
      </x:c>
      <x:c r="AO8" s="37" t="n">
        <x:f>'CF Short-Term'!AO8+'MK Short-Term'!AO8</x:f>
        <x:v>30000</x:v>
      </x:c>
      <x:c r="AP8" s="37" t="n">
        <x:f>'CF Short-Term'!AP8+'MK Short-Term'!AP8</x:f>
        <x:v>30000</x:v>
      </x:c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</x:row>
    <x:row r="9" ht="19" customHeight="1">
      <x:c r="A9" s="1"/>
      <x:c r="B9" s="1"/>
      <x:c r="C9" s="2" t="str">
        <x:v>Approval rate</x:v>
      </x:c>
      <x:c r="D9" s="2"/>
      <x:c r="E9" s="35"/>
      <x:c r="F9" s="2"/>
      <x:c r="G9" s="12" t="n">
        <x:f>'CF Short-Term'!G9</x:f>
        <x:v>0.3</x:v>
      </x:c>
      <x:c r="H9" s="12" t="n">
        <x:f>'CF Short-Term'!H9</x:f>
        <x:v>0.3</x:v>
      </x:c>
      <x:c r="I9" s="12" t="n">
        <x:f>'CF Short-Term'!I9</x:f>
        <x:v>0.3</x:v>
      </x:c>
      <x:c r="J9" s="12" t="n">
        <x:f>'CF Short-Term'!J9</x:f>
        <x:v>0.3</x:v>
      </x:c>
      <x:c r="K9" s="12" t="n">
        <x:f>'CF Short-Term'!K9</x:f>
        <x:v>0.3</x:v>
      </x:c>
      <x:c r="L9" s="12" t="n">
        <x:f>'CF Short-Term'!L9</x:f>
        <x:v>0.3</x:v>
      </x:c>
      <x:c r="M9" s="12" t="n">
        <x:f>'CF Short-Term'!M9</x:f>
        <x:v>0.3</x:v>
      </x:c>
      <x:c r="N9" s="12" t="n">
        <x:f>'CF Short-Term'!N9</x:f>
        <x:v>0.3</x:v>
      </x:c>
      <x:c r="O9" s="12" t="n">
        <x:f>'CF Short-Term'!O9</x:f>
        <x:v>0.3</x:v>
      </x:c>
      <x:c r="P9" s="12" t="n">
        <x:f>'CF Short-Term'!P9</x:f>
        <x:v>0.3</x:v>
      </x:c>
      <x:c r="Q9" s="12" t="n">
        <x:f>'CF Short-Term'!Q9</x:f>
        <x:v>0.3</x:v>
      </x:c>
      <x:c r="R9" s="12" t="n">
        <x:f>'CF Short-Term'!R9</x:f>
        <x:v>0.3</x:v>
      </x:c>
      <x:c r="S9" s="12" t="n">
        <x:f>'CF Short-Term'!S9</x:f>
        <x:v>0.3</x:v>
      </x:c>
      <x:c r="T9" s="12" t="n">
        <x:f>'CF Short-Term'!T9</x:f>
        <x:v>0.3</x:v>
      </x:c>
      <x:c r="U9" s="12" t="n">
        <x:f>'CF Short-Term'!U9</x:f>
        <x:v>0.3</x:v>
      </x:c>
      <x:c r="V9" s="12" t="n">
        <x:f>'CF Short-Term'!V9</x:f>
        <x:v>0.3</x:v>
      </x:c>
      <x:c r="W9" s="12" t="n">
        <x:f>'CF Short-Term'!W9</x:f>
        <x:v>0.3</x:v>
      </x:c>
      <x:c r="X9" s="12" t="n">
        <x:f>'CF Short-Term'!X9</x:f>
        <x:v>0.3</x:v>
      </x:c>
      <x:c r="Y9" s="12" t="n">
        <x:f>'CF Short-Term'!Y9</x:f>
        <x:v>0.3</x:v>
      </x:c>
      <x:c r="Z9" s="12" t="n">
        <x:f>'CF Short-Term'!Z9</x:f>
        <x:v>0.3</x:v>
      </x:c>
      <x:c r="AA9" s="12" t="n">
        <x:f>'CF Short-Term'!AA9</x:f>
        <x:v>0.3</x:v>
      </x:c>
      <x:c r="AB9" s="12" t="n">
        <x:f>'CF Short-Term'!AB9</x:f>
        <x:v>0.3</x:v>
      </x:c>
      <x:c r="AC9" s="12" t="n">
        <x:f>'CF Short-Term'!AC9</x:f>
        <x:v>0.3</x:v>
      </x:c>
      <x:c r="AD9" s="12" t="n">
        <x:f>'CF Short-Term'!AD9</x:f>
        <x:v>0.3</x:v>
      </x:c>
      <x:c r="AE9" s="12" t="n">
        <x:f>'CF Short-Term'!AE9</x:f>
        <x:v>0.3</x:v>
      </x:c>
      <x:c r="AF9" s="12" t="n">
        <x:f>'CF Short-Term'!AF9</x:f>
        <x:v>0.3</x:v>
      </x:c>
      <x:c r="AG9" s="12" t="n">
        <x:f>'CF Short-Term'!AG9</x:f>
        <x:v>0.3</x:v>
      </x:c>
      <x:c r="AH9" s="12" t="n">
        <x:f>'CF Short-Term'!AH9</x:f>
        <x:v>0.3</x:v>
      </x:c>
      <x:c r="AI9" s="12" t="n">
        <x:f>'CF Short-Term'!AI9</x:f>
        <x:v>0.3</x:v>
      </x:c>
      <x:c r="AJ9" s="12" t="n">
        <x:f>'CF Short-Term'!AJ9</x:f>
        <x:v>0.3</x:v>
      </x:c>
      <x:c r="AK9" s="12" t="n">
        <x:f>'CF Short-Term'!AK9</x:f>
        <x:v>0.3</x:v>
      </x:c>
      <x:c r="AL9" s="12" t="n">
        <x:f>'CF Short-Term'!AL9</x:f>
        <x:v>0.3</x:v>
      </x:c>
      <x:c r="AM9" s="12" t="n">
        <x:f>'CF Short-Term'!AM9</x:f>
        <x:v>0.3</x:v>
      </x:c>
      <x:c r="AN9" s="12" t="n">
        <x:f>'CF Short-Term'!AN9</x:f>
        <x:v>0.3</x:v>
      </x:c>
      <x:c r="AO9" s="12" t="n">
        <x:f>'CF Short-Term'!AO9</x:f>
        <x:v>0.3</x:v>
      </x:c>
      <x:c r="AP9" s="12" t="n">
        <x:f>'CF Short-Term'!AP9</x:f>
        <x:v>0.3</x:v>
      </x:c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</x:row>
    <x:row r="10" ht="19" customHeight="1">
      <x:c r="A10" s="1"/>
      <x:c r="B10" s="1"/>
      <x:c r="C10" s="2" t="str">
        <x:v>Average loan size ($)</x:v>
      </x:c>
      <x:c r="D10" s="2"/>
      <x:c r="E10" s="35"/>
      <x:c r="F10" s="2"/>
      <x:c r="G10" s="48" t="n">
        <x:f>'CF Short-Term'!G10</x:f>
        <x:v>1500</x:v>
      </x:c>
      <x:c r="H10" s="48" t="n">
        <x:f>'CF Short-Term'!H10</x:f>
        <x:v>1500</x:v>
      </x:c>
      <x:c r="I10" s="48" t="n">
        <x:f>'CF Short-Term'!I10</x:f>
        <x:v>1500</x:v>
      </x:c>
      <x:c r="J10" s="48" t="n">
        <x:f>'CF Short-Term'!J10</x:f>
        <x:v>1500</x:v>
      </x:c>
      <x:c r="K10" s="48" t="n">
        <x:f>'CF Short-Term'!K10</x:f>
        <x:v>1500</x:v>
      </x:c>
      <x:c r="L10" s="48" t="n">
        <x:f>'CF Short-Term'!L10</x:f>
        <x:v>1500</x:v>
      </x:c>
      <x:c r="M10" s="48" t="n">
        <x:f>'CF Short-Term'!M10</x:f>
        <x:v>1500</x:v>
      </x:c>
      <x:c r="N10" s="48" t="n">
        <x:f>'CF Short-Term'!N10</x:f>
        <x:v>1500</x:v>
      </x:c>
      <x:c r="O10" s="48" t="n">
        <x:f>'CF Short-Term'!O10</x:f>
        <x:v>1500</x:v>
      </x:c>
      <x:c r="P10" s="48" t="n">
        <x:f>'CF Short-Term'!P10</x:f>
        <x:v>1500</x:v>
      </x:c>
      <x:c r="Q10" s="48" t="n">
        <x:f>'CF Short-Term'!Q10</x:f>
        <x:v>1500</x:v>
      </x:c>
      <x:c r="R10" s="48" t="n">
        <x:f>'CF Short-Term'!R10</x:f>
        <x:v>1500</x:v>
      </x:c>
      <x:c r="S10" s="48" t="n">
        <x:f>'CF Short-Term'!S10</x:f>
        <x:v>1500</x:v>
      </x:c>
      <x:c r="T10" s="48" t="n">
        <x:f>'CF Short-Term'!T10</x:f>
        <x:v>1500</x:v>
      </x:c>
      <x:c r="U10" s="48" t="n">
        <x:f>'CF Short-Term'!U10</x:f>
        <x:v>1500</x:v>
      </x:c>
      <x:c r="V10" s="48" t="n">
        <x:f>'CF Short-Term'!V10</x:f>
        <x:v>1500</x:v>
      </x:c>
      <x:c r="W10" s="48" t="n">
        <x:f>'CF Short-Term'!W10</x:f>
        <x:v>1500</x:v>
      </x:c>
      <x:c r="X10" s="48" t="n">
        <x:f>'CF Short-Term'!X10</x:f>
        <x:v>1500</x:v>
      </x:c>
      <x:c r="Y10" s="48" t="n">
        <x:f>'CF Short-Term'!Y10</x:f>
        <x:v>1500</x:v>
      </x:c>
      <x:c r="Z10" s="48" t="n">
        <x:f>'CF Short-Term'!Z10</x:f>
        <x:v>1500</x:v>
      </x:c>
      <x:c r="AA10" s="48" t="n">
        <x:f>'CF Short-Term'!AA10</x:f>
        <x:v>1500</x:v>
      </x:c>
      <x:c r="AB10" s="48" t="n">
        <x:f>'CF Short-Term'!AB10</x:f>
        <x:v>1500</x:v>
      </x:c>
      <x:c r="AC10" s="48" t="n">
        <x:f>'CF Short-Term'!AC10</x:f>
        <x:v>1500</x:v>
      </x:c>
      <x:c r="AD10" s="48" t="n">
        <x:f>'CF Short-Term'!AD10</x:f>
        <x:v>1500</x:v>
      </x:c>
      <x:c r="AE10" s="48" t="n">
        <x:f>'CF Short-Term'!AE10</x:f>
        <x:v>1500</x:v>
      </x:c>
      <x:c r="AF10" s="48" t="n">
        <x:f>'CF Short-Term'!AF10</x:f>
        <x:v>1500</x:v>
      </x:c>
      <x:c r="AG10" s="48" t="n">
        <x:f>'CF Short-Term'!AG10</x:f>
        <x:v>1500</x:v>
      </x:c>
      <x:c r="AH10" s="48" t="n">
        <x:f>'CF Short-Term'!AH10</x:f>
        <x:v>1500</x:v>
      </x:c>
      <x:c r="AI10" s="48" t="n">
        <x:f>'CF Short-Term'!AI10</x:f>
        <x:v>1500</x:v>
      </x:c>
      <x:c r="AJ10" s="48" t="n">
        <x:f>'CF Short-Term'!AJ10</x:f>
        <x:v>1500</x:v>
      </x:c>
      <x:c r="AK10" s="48" t="n">
        <x:f>'CF Short-Term'!AK10</x:f>
        <x:v>1500</x:v>
      </x:c>
      <x:c r="AL10" s="48" t="n">
        <x:f>'CF Short-Term'!AL10</x:f>
        <x:v>1500</x:v>
      </x:c>
      <x:c r="AM10" s="48" t="n">
        <x:f>'CF Short-Term'!AM10</x:f>
        <x:v>1500</x:v>
      </x:c>
      <x:c r="AN10" s="48" t="n">
        <x:f>'CF Short-Term'!AN10</x:f>
        <x:v>1500</x:v>
      </x:c>
      <x:c r="AO10" s="48" t="n">
        <x:f>'CF Short-Term'!AO10</x:f>
        <x:v>1500</x:v>
      </x:c>
      <x:c r="AP10" s="48" t="n">
        <x:f>'CF Short-Term'!AP10</x:f>
        <x:v>1500</x:v>
      </x:c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</x:row>
    <x:row r="11" ht="19" customHeight="1">
      <x:c r="A11" s="1"/>
      <x:c r="B11" s="1"/>
      <x:c r="C11" s="2" t="str">
        <x:v>Originations</x:v>
      </x:c>
      <x:c r="D11" s="2"/>
      <x:c r="E11" s="35" t="n">
        <x:f>SUMIFS(G11:AP11,$G$6:$AP$6,"&lt;="&amp;'Assumptions'!$E$7)</x:f>
        <x:v>324000000</x:v>
      </x:c>
      <x:c r="F11" s="2"/>
      <x:c r="G11" s="35" t="n">
        <x:f>'CF Short-Term'!G11+'MK Short-Term'!G11</x:f>
        <x:v>13500000</x:v>
      </x:c>
      <x:c r="H11" s="35" t="n">
        <x:f>'CF Short-Term'!H11+'MK Short-Term'!H11</x:f>
        <x:v>13500000</x:v>
      </x:c>
      <x:c r="I11" s="35" t="n">
        <x:f>'CF Short-Term'!I11+'MK Short-Term'!I11</x:f>
        <x:v>13500000</x:v>
      </x:c>
      <x:c r="J11" s="35" t="n">
        <x:f>'CF Short-Term'!J11+'MK Short-Term'!J11</x:f>
        <x:v>13500000</x:v>
      </x:c>
      <x:c r="K11" s="35" t="n">
        <x:f>'CF Short-Term'!K11+'MK Short-Term'!K11</x:f>
        <x:v>13500000</x:v>
      </x:c>
      <x:c r="L11" s="35" t="n">
        <x:f>'CF Short-Term'!L11+'MK Short-Term'!L11</x:f>
        <x:v>13500000</x:v>
      </x:c>
      <x:c r="M11" s="35" t="n">
        <x:f>'CF Short-Term'!M11+'MK Short-Term'!M11</x:f>
        <x:v>13500000</x:v>
      </x:c>
      <x:c r="N11" s="35" t="n">
        <x:f>'CF Short-Term'!N11+'MK Short-Term'!N11</x:f>
        <x:v>13500000</x:v>
      </x:c>
      <x:c r="O11" s="35" t="n">
        <x:f>'CF Short-Term'!O11+'MK Short-Term'!O11</x:f>
        <x:v>13500000</x:v>
      </x:c>
      <x:c r="P11" s="35" t="n">
        <x:f>'CF Short-Term'!P11+'MK Short-Term'!P11</x:f>
        <x:v>13500000</x:v>
      </x:c>
      <x:c r="Q11" s="35" t="n">
        <x:f>'CF Short-Term'!Q11+'MK Short-Term'!Q11</x:f>
        <x:v>13500000</x:v>
      </x:c>
      <x:c r="R11" s="35" t="n">
        <x:f>'CF Short-Term'!R11+'MK Short-Term'!R11</x:f>
        <x:v>13500000</x:v>
      </x:c>
      <x:c r="S11" s="35" t="n">
        <x:f>'CF Short-Term'!S11+'MK Short-Term'!S11</x:f>
        <x:v>13500000</x:v>
      </x:c>
      <x:c r="T11" s="35" t="n">
        <x:f>'CF Short-Term'!T11+'MK Short-Term'!T11</x:f>
        <x:v>13500000</x:v>
      </x:c>
      <x:c r="U11" s="35" t="n">
        <x:f>'CF Short-Term'!U11+'MK Short-Term'!U11</x:f>
        <x:v>13500000</x:v>
      </x:c>
      <x:c r="V11" s="35" t="n">
        <x:f>'CF Short-Term'!V11+'MK Short-Term'!V11</x:f>
        <x:v>13500000</x:v>
      </x:c>
      <x:c r="W11" s="35" t="n">
        <x:f>'CF Short-Term'!W11+'MK Short-Term'!W11</x:f>
        <x:v>13500000</x:v>
      </x:c>
      <x:c r="X11" s="35" t="n">
        <x:f>'CF Short-Term'!X11+'MK Short-Term'!X11</x:f>
        <x:v>13500000</x:v>
      </x:c>
      <x:c r="Y11" s="35" t="n">
        <x:f>'CF Short-Term'!Y11+'MK Short-Term'!Y11</x:f>
        <x:v>13500000</x:v>
      </x:c>
      <x:c r="Z11" s="35" t="n">
        <x:f>'CF Short-Term'!Z11+'MK Short-Term'!Z11</x:f>
        <x:v>13500000</x:v>
      </x:c>
      <x:c r="AA11" s="35" t="n">
        <x:f>'CF Short-Term'!AA11+'MK Short-Term'!AA11</x:f>
        <x:v>13500000</x:v>
      </x:c>
      <x:c r="AB11" s="35" t="n">
        <x:f>'CF Short-Term'!AB11+'MK Short-Term'!AB11</x:f>
        <x:v>13500000</x:v>
      </x:c>
      <x:c r="AC11" s="35" t="n">
        <x:f>'CF Short-Term'!AC11+'MK Short-Term'!AC11</x:f>
        <x:v>13500000</x:v>
      </x:c>
      <x:c r="AD11" s="35" t="n">
        <x:f>'CF Short-Term'!AD11+'MK Short-Term'!AD11</x:f>
        <x:v>13500000</x:v>
      </x:c>
      <x:c r="AE11" s="35" t="n">
        <x:f>'CF Short-Term'!AE11+'MK Short-Term'!AE11</x:f>
        <x:v>13500000</x:v>
      </x:c>
      <x:c r="AF11" s="35" t="n">
        <x:f>'CF Short-Term'!AF11+'MK Short-Term'!AF11</x:f>
        <x:v>13500000</x:v>
      </x:c>
      <x:c r="AG11" s="35" t="n">
        <x:f>'CF Short-Term'!AG11+'MK Short-Term'!AG11</x:f>
        <x:v>13500000</x:v>
      </x:c>
      <x:c r="AH11" s="35" t="n">
        <x:f>'CF Short-Term'!AH11+'MK Short-Term'!AH11</x:f>
        <x:v>13500000</x:v>
      </x:c>
      <x:c r="AI11" s="35" t="n">
        <x:f>'CF Short-Term'!AI11+'MK Short-Term'!AI11</x:f>
        <x:v>13500000</x:v>
      </x:c>
      <x:c r="AJ11" s="35" t="n">
        <x:f>'CF Short-Term'!AJ11+'MK Short-Term'!AJ11</x:f>
        <x:v>13500000</x:v>
      </x:c>
      <x:c r="AK11" s="35" t="n">
        <x:f>'CF Short-Term'!AK11+'MK Short-Term'!AK11</x:f>
        <x:v>13500000</x:v>
      </x:c>
      <x:c r="AL11" s="35" t="n">
        <x:f>'CF Short-Term'!AL11+'MK Short-Term'!AL11</x:f>
        <x:v>13500000</x:v>
      </x:c>
      <x:c r="AM11" s="35" t="n">
        <x:f>'CF Short-Term'!AM11+'MK Short-Term'!AM11</x:f>
        <x:v>13500000</x:v>
      </x:c>
      <x:c r="AN11" s="35" t="n">
        <x:f>'CF Short-Term'!AN11+'MK Short-Term'!AN11</x:f>
        <x:v>13500000</x:v>
      </x:c>
      <x:c r="AO11" s="35" t="n">
        <x:f>'CF Short-Term'!AO11+'MK Short-Term'!AO11</x:f>
        <x:v>13500000</x:v>
      </x:c>
      <x:c r="AP11" s="35" t="n">
        <x:f>'CF Short-Term'!AP11+'MK Short-Term'!AP11</x:f>
        <x:v>13500000</x:v>
      </x:c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</x:row>
    <x:row r="12" ht="19" customHeight="1">
      <x:c r="A12" s="1"/>
      <x:c r="B12" s="1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</x:row>
    <x:row r="13" ht="19" customHeight="1">
      <x:c r="A13" s="1"/>
      <x:c r="B13" s="1"/>
      <x:c r="C13" s="2" t="str">
        <x:v>Beginning gross CLAB</x:v>
      </x:c>
      <x:c r="D13" s="2"/>
      <x:c r="E13" s="35" t="n">
        <x:f>G13</x:f>
        <x:v>255600000</x:v>
      </x:c>
      <x:c r="F13" s="2"/>
      <x:c r="G13" s="35" t="n">
        <x:f>'CF Short-Term'!G13+'MK Short-Term'!G13</x:f>
        <x:v>255600000</x:v>
      </x:c>
      <x:c r="H13" s="35" t="n">
        <x:f>'CF Short-Term'!H13+'MK Short-Term'!H13</x:f>
        <x:v>141007250.98815894</x:v>
      </x:c>
      <x:c r="I13" s="35" t="n">
        <x:f>'CF Short-Term'!I13+'MK Short-Term'!I13</x:f>
        <x:v>88728879.02727212</x:v>
      </x:c>
      <x:c r="J13" s="35" t="n">
        <x:f>'CF Short-Term'!J13+'MK Short-Term'!J13</x:f>
        <x:v>62614167.26487485</x:v>
      </x:c>
      <x:c r="K13" s="35" t="n">
        <x:f>'CF Short-Term'!K13+'MK Short-Term'!K13</x:f>
        <x:v>49410299.85853885</x:v>
      </x:c>
      <x:c r="L13" s="35" t="n">
        <x:f>'CF Short-Term'!L13+'MK Short-Term'!L13</x:f>
        <x:v>42859244.33456865</x:v>
      </x:c>
      <x:c r="M13" s="35" t="n">
        <x:f>'CF Short-Term'!M13+'MK Short-Term'!M13</x:f>
        <x:v>39755696.752219185</x:v>
      </x:c>
      <x:c r="N13" s="35" t="n">
        <x:f>'CF Short-Term'!N13+'MK Short-Term'!N13</x:f>
        <x:v>38323176.665276095</x:v>
      </x:c>
      <x:c r="O13" s="35" t="n">
        <x:f>'CF Short-Term'!O13+'MK Short-Term'!O13</x:f>
        <x:v>37752490.901321635</x:v>
      </x:c>
      <x:c r="P13" s="35" t="n">
        <x:f>'CF Short-Term'!P13+'MK Short-Term'!P13</x:f>
        <x:v>37592687.77230655</x:v>
      </x:c>
      <x:c r="Q13" s="35" t="n">
        <x:f>'CF Short-Term'!Q13+'MK Short-Term'!Q13</x:f>
        <x:v>37592687.77230655</x:v>
      </x:c>
      <x:c r="R13" s="35" t="n">
        <x:f>'CF Short-Term'!R13+'MK Short-Term'!R13</x:f>
        <x:v>37592687.77230655</x:v>
      </x:c>
      <x:c r="S13" s="35" t="n">
        <x:f>'CF Short-Term'!S13+'MK Short-Term'!S13</x:f>
        <x:v>37592687.77230655</x:v>
      </x:c>
      <x:c r="T13" s="35" t="n">
        <x:f>'CF Short-Term'!T13+'MK Short-Term'!T13</x:f>
        <x:v>37592687.77230655</x:v>
      </x:c>
      <x:c r="U13" s="35" t="n">
        <x:f>'CF Short-Term'!U13+'MK Short-Term'!U13</x:f>
        <x:v>37592687.77230655</x:v>
      </x:c>
      <x:c r="V13" s="35" t="n">
        <x:f>'CF Short-Term'!V13+'MK Short-Term'!V13</x:f>
        <x:v>37592687.77230655</x:v>
      </x:c>
      <x:c r="W13" s="35" t="n">
        <x:f>'CF Short-Term'!W13+'MK Short-Term'!W13</x:f>
        <x:v>37592687.77230655</x:v>
      </x:c>
      <x:c r="X13" s="35" t="n">
        <x:f>'CF Short-Term'!X13+'MK Short-Term'!X13</x:f>
        <x:v>37592687.77230655</x:v>
      </x:c>
      <x:c r="Y13" s="35" t="n">
        <x:f>'CF Short-Term'!Y13+'MK Short-Term'!Y13</x:f>
        <x:v>37592687.77230655</x:v>
      </x:c>
      <x:c r="Z13" s="35" t="n">
        <x:f>'CF Short-Term'!Z13+'MK Short-Term'!Z13</x:f>
        <x:v>37592687.77230655</x:v>
      </x:c>
      <x:c r="AA13" s="35" t="n">
        <x:f>'CF Short-Term'!AA13+'MK Short-Term'!AA13</x:f>
        <x:v>37592687.77230655</x:v>
      </x:c>
      <x:c r="AB13" s="35" t="n">
        <x:f>'CF Short-Term'!AB13+'MK Short-Term'!AB13</x:f>
        <x:v>37592687.77230655</x:v>
      </x:c>
      <x:c r="AC13" s="35" t="n">
        <x:f>'CF Short-Term'!AC13+'MK Short-Term'!AC13</x:f>
        <x:v>37592687.77230655</x:v>
      </x:c>
      <x:c r="AD13" s="35" t="n">
        <x:f>'CF Short-Term'!AD13+'MK Short-Term'!AD13</x:f>
        <x:v>37592687.77230655</x:v>
      </x:c>
      <x:c r="AE13" s="35" t="n">
        <x:f>'CF Short-Term'!AE13+'MK Short-Term'!AE13</x:f>
        <x:v>37592687.77230655</x:v>
      </x:c>
      <x:c r="AF13" s="35" t="n">
        <x:f>'CF Short-Term'!AF13+'MK Short-Term'!AF13</x:f>
        <x:v>37592687.77230655</x:v>
      </x:c>
      <x:c r="AG13" s="35" t="n">
        <x:f>'CF Short-Term'!AG13+'MK Short-Term'!AG13</x:f>
        <x:v>37592687.77230655</x:v>
      </x:c>
      <x:c r="AH13" s="35" t="n">
        <x:f>'CF Short-Term'!AH13+'MK Short-Term'!AH13</x:f>
        <x:v>37592687.77230655</x:v>
      </x:c>
      <x:c r="AI13" s="35" t="n">
        <x:f>'CF Short-Term'!AI13+'MK Short-Term'!AI13</x:f>
        <x:v>37592687.77230655</x:v>
      </x:c>
      <x:c r="AJ13" s="35" t="n">
        <x:f>'CF Short-Term'!AJ13+'MK Short-Term'!AJ13</x:f>
        <x:v>37592687.77230655</x:v>
      </x:c>
      <x:c r="AK13" s="35" t="n">
        <x:f>'CF Short-Term'!AK13+'MK Short-Term'!AK13</x:f>
        <x:v>37592687.77230655</x:v>
      </x:c>
      <x:c r="AL13" s="35" t="n">
        <x:f>'CF Short-Term'!AL13+'MK Short-Term'!AL13</x:f>
        <x:v>37592687.77230655</x:v>
      </x:c>
      <x:c r="AM13" s="35" t="n">
        <x:f>'CF Short-Term'!AM13+'MK Short-Term'!AM13</x:f>
        <x:v>37592687.77230655</x:v>
      </x:c>
      <x:c r="AN13" s="35" t="n">
        <x:f>'CF Short-Term'!AN13+'MK Short-Term'!AN13</x:f>
        <x:v>37592687.77230655</x:v>
      </x:c>
      <x:c r="AO13" s="35" t="n">
        <x:f>'CF Short-Term'!AO13+'MK Short-Term'!AO13</x:f>
        <x:v>37592687.77230655</x:v>
      </x:c>
      <x:c r="AP13" s="35" t="n">
        <x:f>'CF Short-Term'!AP13+'MK Short-Term'!AP13</x:f>
        <x:v>37592687.77230655</x:v>
      </x:c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</x:row>
    <x:row r="14" ht="19" customHeight="1">
      <x:c r="A14" s="1"/>
      <x:c r="B14" s="1"/>
      <x:c r="C14" s="2" t="str">
        <x:v>Principal repayments</x:v>
      </x:c>
      <x:c r="D14" s="2"/>
      <x:c r="E14" s="35" t="n">
        <x:f>SUMIFS(G14:AP14,$G$6:$AP$6,"&lt;="&amp;'Assumptions'!$E$7)</x:f>
        <x:v>426263893.2210087</x:v>
      </x:c>
      <x:c r="F14" s="2"/>
      <x:c r="G14" s="35" t="n">
        <x:f>'CF Short-Term'!G14+'MK Short-Term'!G14</x:f>
        <x:v>98260551.12323037</x:v>
      </x:c>
      <x:c r="H14" s="35" t="n">
        <x:f>'CF Short-Term'!H14+'MK Short-Term'!H14</x:f>
        <x:v>51179174.722507596</x:v>
      </x:c>
      <x:c r="I14" s="35" t="n">
        <x:f>'CF Short-Term'!I14+'MK Short-Term'!I14</x:f>
        <x:v>31139126.6817408</x:v>
      </x:c>
      <x:c r="J14" s="35" t="n">
        <x:f>'CF Short-Term'!J14+'MK Short-Term'!J14</x:f>
        <x:v>21141305.51481105</x:v>
      </x:c>
      <x:c r="K14" s="35" t="n">
        <x:f>'CF Short-Term'!K14+'MK Short-Term'!K14</x:f>
        <x:v>15945831.685427155</x:v>
      </x:c>
      <x:c r="L14" s="35" t="n">
        <x:f>'CF Short-Term'!L14+'MK Short-Term'!L14</x:f>
        <x:v>13239384.504169269</x:v>
      </x:c>
      <x:c r="M14" s="35" t="n">
        <x:f>'CF Short-Term'!M14+'MK Short-Term'!M14</x:f>
        <x:v>11893486.87573057</x:v>
      </x:c>
      <x:c r="N14" s="35" t="n">
        <x:f>'CF Short-Term'!N14+'MK Short-Term'!N14</x:f>
        <x:v>11203790.964701056</x:v>
      </x:c>
      <x:c r="O14" s="35" t="n">
        <x:f>'CF Short-Term'!O14+'MK Short-Term'!O14</x:f>
        <x:v>10881947.524172088</x:v>
      </x:c>
      <x:c r="P14" s="35" t="n">
        <x:f>'CF Short-Term'!P14+'MK Short-Term'!P14</x:f>
        <x:v>10758619.574967904</x:v>
      </x:c>
      <x:c r="Q14" s="35" t="n">
        <x:f>'CF Short-Term'!Q14+'MK Short-Term'!Q14</x:f>
        <x:v>10758619.574967904</x:v>
      </x:c>
      <x:c r="R14" s="35" t="n">
        <x:f>'CF Short-Term'!R14+'MK Short-Term'!R14</x:f>
        <x:v>10758619.574967904</x:v>
      </x:c>
      <x:c r="S14" s="35" t="n">
        <x:f>'CF Short-Term'!S14+'MK Short-Term'!S14</x:f>
        <x:v>10758619.574967904</x:v>
      </x:c>
      <x:c r="T14" s="35" t="n">
        <x:f>'CF Short-Term'!T14+'MK Short-Term'!T14</x:f>
        <x:v>10758619.574967904</x:v>
      </x:c>
      <x:c r="U14" s="35" t="n">
        <x:f>'CF Short-Term'!U14+'MK Short-Term'!U14</x:f>
        <x:v>10758619.574967904</x:v>
      </x:c>
      <x:c r="V14" s="35" t="n">
        <x:f>'CF Short-Term'!V14+'MK Short-Term'!V14</x:f>
        <x:v>10758619.574967904</x:v>
      </x:c>
      <x:c r="W14" s="35" t="n">
        <x:f>'CF Short-Term'!W14+'MK Short-Term'!W14</x:f>
        <x:v>10758619.574967904</x:v>
      </x:c>
      <x:c r="X14" s="35" t="n">
        <x:f>'CF Short-Term'!X14+'MK Short-Term'!X14</x:f>
        <x:v>10758619.574967904</x:v>
      </x:c>
      <x:c r="Y14" s="35" t="n">
        <x:f>'CF Short-Term'!Y14+'MK Short-Term'!Y14</x:f>
        <x:v>10758619.574967904</x:v>
      </x:c>
      <x:c r="Z14" s="35" t="n">
        <x:f>'CF Short-Term'!Z14+'MK Short-Term'!Z14</x:f>
        <x:v>10758619.574967904</x:v>
      </x:c>
      <x:c r="AA14" s="35" t="n">
        <x:f>'CF Short-Term'!AA14+'MK Short-Term'!AA14</x:f>
        <x:v>10758619.574967904</x:v>
      </x:c>
      <x:c r="AB14" s="35" t="n">
        <x:f>'CF Short-Term'!AB14+'MK Short-Term'!AB14</x:f>
        <x:v>10758619.574967904</x:v>
      </x:c>
      <x:c r="AC14" s="35" t="n">
        <x:f>'CF Short-Term'!AC14+'MK Short-Term'!AC14</x:f>
        <x:v>10758619.574967904</x:v>
      </x:c>
      <x:c r="AD14" s="35" t="n">
        <x:f>'CF Short-Term'!AD14+'MK Short-Term'!AD14</x:f>
        <x:v>10758619.574967904</x:v>
      </x:c>
      <x:c r="AE14" s="35" t="n">
        <x:f>'CF Short-Term'!AE14+'MK Short-Term'!AE14</x:f>
        <x:v>10758619.574967904</x:v>
      </x:c>
      <x:c r="AF14" s="35" t="n">
        <x:f>'CF Short-Term'!AF14+'MK Short-Term'!AF14</x:f>
        <x:v>10758619.574967904</x:v>
      </x:c>
      <x:c r="AG14" s="35" t="n">
        <x:f>'CF Short-Term'!AG14+'MK Short-Term'!AG14</x:f>
        <x:v>10758619.574967904</x:v>
      </x:c>
      <x:c r="AH14" s="35" t="n">
        <x:f>'CF Short-Term'!AH14+'MK Short-Term'!AH14</x:f>
        <x:v>10758619.574967904</x:v>
      </x:c>
      <x:c r="AI14" s="35" t="n">
        <x:f>'CF Short-Term'!AI14+'MK Short-Term'!AI14</x:f>
        <x:v>10758619.574967904</x:v>
      </x:c>
      <x:c r="AJ14" s="35" t="n">
        <x:f>'CF Short-Term'!AJ14+'MK Short-Term'!AJ14</x:f>
        <x:v>10758619.574967904</x:v>
      </x:c>
      <x:c r="AK14" s="35" t="n">
        <x:f>'CF Short-Term'!AK14+'MK Short-Term'!AK14</x:f>
        <x:v>10758619.574967904</x:v>
      </x:c>
      <x:c r="AL14" s="35" t="n">
        <x:f>'CF Short-Term'!AL14+'MK Short-Term'!AL14</x:f>
        <x:v>10758619.574967904</x:v>
      </x:c>
      <x:c r="AM14" s="35" t="n">
        <x:f>'CF Short-Term'!AM14+'MK Short-Term'!AM14</x:f>
        <x:v>10758619.574967904</x:v>
      </x:c>
      <x:c r="AN14" s="35" t="n">
        <x:f>'CF Short-Term'!AN14+'MK Short-Term'!AN14</x:f>
        <x:v>10758619.574967904</x:v>
      </x:c>
      <x:c r="AO14" s="35" t="n">
        <x:f>'CF Short-Term'!AO14+'MK Short-Term'!AO14</x:f>
        <x:v>10758619.574967904</x:v>
      </x:c>
      <x:c r="AP14" s="35" t="n">
        <x:f>'CF Short-Term'!AP14+'MK Short-Term'!AP14</x:f>
        <x:v>10758619.574967904</x:v>
      </x:c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</x:row>
    <x:row r="15" ht="19" customHeight="1">
      <x:c r="A15" s="1"/>
      <x:c r="B15" s="1"/>
      <x:c r="C15" s="2" t="str">
        <x:v>Charge-offs</x:v>
      </x:c>
      <x:c r="D15" s="2"/>
      <x:c r="E15" s="35" t="n">
        <x:f>SUMIFS(G15:AP15,$G$6:$AP$6,"&lt;="&amp;'Assumptions'!$E$7)</x:f>
        <x:v>115743419.00668493</x:v>
      </x:c>
      <x:c r="F15" s="2"/>
      <x:c r="G15" s="35" t="n">
        <x:f>'CF Short-Term'!G15+'MK Short-Term'!G15</x:f>
        <x:v>29832197.8886107</x:v>
      </x:c>
      <x:c r="H15" s="35" t="n">
        <x:f>'CF Short-Term'!H15+'MK Short-Term'!H15</x:f>
        <x:v>14599197.238379218</x:v>
      </x:c>
      <x:c r="I15" s="35" t="n">
        <x:f>'CF Short-Term'!I15+'MK Short-Term'!I15</x:f>
        <x:v>8475585.08065647</x:v>
      </x:c>
      <x:c r="J15" s="35" t="n">
        <x:f>'CF Short-Term'!J15+'MK Short-Term'!J15</x:f>
        <x:v>5562561.891524954</x:v>
      </x:c>
      <x:c r="K15" s="35" t="n">
        <x:f>'CF Short-Term'!K15+'MK Short-Term'!K15</x:f>
        <x:v>4105223.838543048</x:v>
      </x:c>
      <x:c r="L15" s="35" t="n">
        <x:f>'CF Short-Term'!L15+'MK Short-Term'!L15</x:f>
        <x:v>3364163.0781801967</x:v>
      </x:c>
      <x:c r="M15" s="35" t="n">
        <x:f>'CF Short-Term'!M15+'MK Short-Term'!M15</x:f>
        <x:v>3039033.2112125168</x:v>
      </x:c>
      <x:c r="N15" s="35" t="n">
        <x:f>'CF Short-Term'!N15+'MK Short-Term'!N15</x:f>
        <x:v>2866894.799253404</x:v>
      </x:c>
      <x:c r="O15" s="35" t="n">
        <x:f>'CF Short-Term'!O15+'MK Short-Term'!O15</x:f>
        <x:v>2777855.6048430093</x:v>
      </x:c>
      <x:c r="P15" s="35" t="n">
        <x:f>'CF Short-Term'!P15+'MK Short-Term'!P15</x:f>
        <x:v>2741380.425032094</x:v>
      </x:c>
      <x:c r="Q15" s="35" t="n">
        <x:f>'CF Short-Term'!Q15+'MK Short-Term'!Q15</x:f>
        <x:v>2741380.425032094</x:v>
      </x:c>
      <x:c r="R15" s="35" t="n">
        <x:f>'CF Short-Term'!R15+'MK Short-Term'!R15</x:f>
        <x:v>2741380.425032094</x:v>
      </x:c>
      <x:c r="S15" s="35" t="n">
        <x:f>'CF Short-Term'!S15+'MK Short-Term'!S15</x:f>
        <x:v>2741380.425032094</x:v>
      </x:c>
      <x:c r="T15" s="35" t="n">
        <x:f>'CF Short-Term'!T15+'MK Short-Term'!T15</x:f>
        <x:v>2741380.425032094</x:v>
      </x:c>
      <x:c r="U15" s="35" t="n">
        <x:f>'CF Short-Term'!U15+'MK Short-Term'!U15</x:f>
        <x:v>2741380.425032094</x:v>
      </x:c>
      <x:c r="V15" s="35" t="n">
        <x:f>'CF Short-Term'!V15+'MK Short-Term'!V15</x:f>
        <x:v>2741380.425032094</x:v>
      </x:c>
      <x:c r="W15" s="35" t="n">
        <x:f>'CF Short-Term'!W15+'MK Short-Term'!W15</x:f>
        <x:v>2741380.425032094</x:v>
      </x:c>
      <x:c r="X15" s="35" t="n">
        <x:f>'CF Short-Term'!X15+'MK Short-Term'!X15</x:f>
        <x:v>2741380.425032094</x:v>
      </x:c>
      <x:c r="Y15" s="35" t="n">
        <x:f>'CF Short-Term'!Y15+'MK Short-Term'!Y15</x:f>
        <x:v>2741380.425032094</x:v>
      </x:c>
      <x:c r="Z15" s="35" t="n">
        <x:f>'CF Short-Term'!Z15+'MK Short-Term'!Z15</x:f>
        <x:v>2741380.425032094</x:v>
      </x:c>
      <x:c r="AA15" s="35" t="n">
        <x:f>'CF Short-Term'!AA15+'MK Short-Term'!AA15</x:f>
        <x:v>2741380.425032094</x:v>
      </x:c>
      <x:c r="AB15" s="35" t="n">
        <x:f>'CF Short-Term'!AB15+'MK Short-Term'!AB15</x:f>
        <x:v>2741380.425032094</x:v>
      </x:c>
      <x:c r="AC15" s="35" t="n">
        <x:f>'CF Short-Term'!AC15+'MK Short-Term'!AC15</x:f>
        <x:v>2741380.425032094</x:v>
      </x:c>
      <x:c r="AD15" s="35" t="n">
        <x:f>'CF Short-Term'!AD15+'MK Short-Term'!AD15</x:f>
        <x:v>2741380.425032094</x:v>
      </x:c>
      <x:c r="AE15" s="35" t="n">
        <x:f>'CF Short-Term'!AE15+'MK Short-Term'!AE15</x:f>
        <x:v>2741380.425032094</x:v>
      </x:c>
      <x:c r="AF15" s="35" t="n">
        <x:f>'CF Short-Term'!AF15+'MK Short-Term'!AF15</x:f>
        <x:v>2741380.425032094</x:v>
      </x:c>
      <x:c r="AG15" s="35" t="n">
        <x:f>'CF Short-Term'!AG15+'MK Short-Term'!AG15</x:f>
        <x:v>2741380.425032094</x:v>
      </x:c>
      <x:c r="AH15" s="35" t="n">
        <x:f>'CF Short-Term'!AH15+'MK Short-Term'!AH15</x:f>
        <x:v>2741380.425032094</x:v>
      </x:c>
      <x:c r="AI15" s="35" t="n">
        <x:f>'CF Short-Term'!AI15+'MK Short-Term'!AI15</x:f>
        <x:v>2741380.425032094</x:v>
      </x:c>
      <x:c r="AJ15" s="35" t="n">
        <x:f>'CF Short-Term'!AJ15+'MK Short-Term'!AJ15</x:f>
        <x:v>2741380.425032094</x:v>
      </x:c>
      <x:c r="AK15" s="35" t="n">
        <x:f>'CF Short-Term'!AK15+'MK Short-Term'!AK15</x:f>
        <x:v>2741380.425032094</x:v>
      </x:c>
      <x:c r="AL15" s="35" t="n">
        <x:f>'CF Short-Term'!AL15+'MK Short-Term'!AL15</x:f>
        <x:v>2741380.425032094</x:v>
      </x:c>
      <x:c r="AM15" s="35" t="n">
        <x:f>'CF Short-Term'!AM15+'MK Short-Term'!AM15</x:f>
        <x:v>2741380.425032094</x:v>
      </x:c>
      <x:c r="AN15" s="35" t="n">
        <x:f>'CF Short-Term'!AN15+'MK Short-Term'!AN15</x:f>
        <x:v>2741380.425032094</x:v>
      </x:c>
      <x:c r="AO15" s="35" t="n">
        <x:f>'CF Short-Term'!AO15+'MK Short-Term'!AO15</x:f>
        <x:v>2741380.425032094</x:v>
      </x:c>
      <x:c r="AP15" s="35" t="n">
        <x:f>'CF Short-Term'!AP15+'MK Short-Term'!AP15</x:f>
        <x:v>2741380.425032094</x:v>
      </x:c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</x:row>
    <x:row r="16" ht="19" customHeight="1">
      <x:c r="A16" s="1"/>
      <x:c r="B16" s="1"/>
      <x:c r="C16" s="2" t="str">
        <x:v>Ending gross CLAB</x:v>
      </x:c>
      <x:c r="D16" s="2"/>
      <x:c r="E16" s="35" t="n">
        <x:f>INDEX(G16:AP16,1,'Assumptions'!$E$7)</x:f>
        <x:v>37592687.77230655</x:v>
      </x:c>
      <x:c r="F16" s="2"/>
      <x:c r="G16" s="35" t="n">
        <x:f>'CF Short-Term'!G16+'MK Short-Term'!G16</x:f>
        <x:v>141007250.98815894</x:v>
      </x:c>
      <x:c r="H16" s="35" t="n">
        <x:f>'CF Short-Term'!H16+'MK Short-Term'!H16</x:f>
        <x:v>88728879.02727212</x:v>
      </x:c>
      <x:c r="I16" s="35" t="n">
        <x:f>'CF Short-Term'!I16+'MK Short-Term'!I16</x:f>
        <x:v>62614167.26487485</x:v>
      </x:c>
      <x:c r="J16" s="35" t="n">
        <x:f>'CF Short-Term'!J16+'MK Short-Term'!J16</x:f>
        <x:v>49410299.85853885</x:v>
      </x:c>
      <x:c r="K16" s="35" t="n">
        <x:f>'CF Short-Term'!K16+'MK Short-Term'!K16</x:f>
        <x:v>42859244.33456865</x:v>
      </x:c>
      <x:c r="L16" s="35" t="n">
        <x:f>'CF Short-Term'!L16+'MK Short-Term'!L16</x:f>
        <x:v>39755696.752219185</x:v>
      </x:c>
      <x:c r="M16" s="35" t="n">
        <x:f>'CF Short-Term'!M16+'MK Short-Term'!M16</x:f>
        <x:v>38323176.665276095</x:v>
      </x:c>
      <x:c r="N16" s="35" t="n">
        <x:f>'CF Short-Term'!N16+'MK Short-Term'!N16</x:f>
        <x:v>37752490.901321635</x:v>
      </x:c>
      <x:c r="O16" s="35" t="n">
        <x:f>'CF Short-Term'!O16+'MK Short-Term'!O16</x:f>
        <x:v>37592687.77230655</x:v>
      </x:c>
      <x:c r="P16" s="35" t="n">
        <x:f>'CF Short-Term'!P16+'MK Short-Term'!P16</x:f>
        <x:v>37592687.77230655</x:v>
      </x:c>
      <x:c r="Q16" s="35" t="n">
        <x:f>'CF Short-Term'!Q16+'MK Short-Term'!Q16</x:f>
        <x:v>37592687.77230655</x:v>
      </x:c>
      <x:c r="R16" s="35" t="n">
        <x:f>'CF Short-Term'!R16+'MK Short-Term'!R16</x:f>
        <x:v>37592687.77230655</x:v>
      </x:c>
      <x:c r="S16" s="35" t="n">
        <x:f>'CF Short-Term'!S16+'MK Short-Term'!S16</x:f>
        <x:v>37592687.77230655</x:v>
      </x:c>
      <x:c r="T16" s="35" t="n">
        <x:f>'CF Short-Term'!T16+'MK Short-Term'!T16</x:f>
        <x:v>37592687.77230655</x:v>
      </x:c>
      <x:c r="U16" s="35" t="n">
        <x:f>'CF Short-Term'!U16+'MK Short-Term'!U16</x:f>
        <x:v>37592687.77230655</x:v>
      </x:c>
      <x:c r="V16" s="35" t="n">
        <x:f>'CF Short-Term'!V16+'MK Short-Term'!V16</x:f>
        <x:v>37592687.77230655</x:v>
      </x:c>
      <x:c r="W16" s="35" t="n">
        <x:f>'CF Short-Term'!W16+'MK Short-Term'!W16</x:f>
        <x:v>37592687.77230655</x:v>
      </x:c>
      <x:c r="X16" s="35" t="n">
        <x:f>'CF Short-Term'!X16+'MK Short-Term'!X16</x:f>
        <x:v>37592687.77230655</x:v>
      </x:c>
      <x:c r="Y16" s="35" t="n">
        <x:f>'CF Short-Term'!Y16+'MK Short-Term'!Y16</x:f>
        <x:v>37592687.77230655</x:v>
      </x:c>
      <x:c r="Z16" s="35" t="n">
        <x:f>'CF Short-Term'!Z16+'MK Short-Term'!Z16</x:f>
        <x:v>37592687.77230655</x:v>
      </x:c>
      <x:c r="AA16" s="35" t="n">
        <x:f>'CF Short-Term'!AA16+'MK Short-Term'!AA16</x:f>
        <x:v>37592687.77230655</x:v>
      </x:c>
      <x:c r="AB16" s="35" t="n">
        <x:f>'CF Short-Term'!AB16+'MK Short-Term'!AB16</x:f>
        <x:v>37592687.77230655</x:v>
      </x:c>
      <x:c r="AC16" s="35" t="n">
        <x:f>'CF Short-Term'!AC16+'MK Short-Term'!AC16</x:f>
        <x:v>37592687.77230655</x:v>
      </x:c>
      <x:c r="AD16" s="35" t="n">
        <x:f>'CF Short-Term'!AD16+'MK Short-Term'!AD16</x:f>
        <x:v>37592687.77230655</x:v>
      </x:c>
      <x:c r="AE16" s="35" t="n">
        <x:f>'CF Short-Term'!AE16+'MK Short-Term'!AE16</x:f>
        <x:v>37592687.77230655</x:v>
      </x:c>
      <x:c r="AF16" s="35" t="n">
        <x:f>'CF Short-Term'!AF16+'MK Short-Term'!AF16</x:f>
        <x:v>37592687.77230655</x:v>
      </x:c>
      <x:c r="AG16" s="35" t="n">
        <x:f>'CF Short-Term'!AG16+'MK Short-Term'!AG16</x:f>
        <x:v>37592687.77230655</x:v>
      </x:c>
      <x:c r="AH16" s="35" t="n">
        <x:f>'CF Short-Term'!AH16+'MK Short-Term'!AH16</x:f>
        <x:v>37592687.77230655</x:v>
      </x:c>
      <x:c r="AI16" s="35" t="n">
        <x:f>'CF Short-Term'!AI16+'MK Short-Term'!AI16</x:f>
        <x:v>37592687.77230655</x:v>
      </x:c>
      <x:c r="AJ16" s="35" t="n">
        <x:f>'CF Short-Term'!AJ16+'MK Short-Term'!AJ16</x:f>
        <x:v>37592687.77230655</x:v>
      </x:c>
      <x:c r="AK16" s="35" t="n">
        <x:f>'CF Short-Term'!AK16+'MK Short-Term'!AK16</x:f>
        <x:v>37592687.77230655</x:v>
      </x:c>
      <x:c r="AL16" s="35" t="n">
        <x:f>'CF Short-Term'!AL16+'MK Short-Term'!AL16</x:f>
        <x:v>37592687.77230655</x:v>
      </x:c>
      <x:c r="AM16" s="35" t="n">
        <x:f>'CF Short-Term'!AM16+'MK Short-Term'!AM16</x:f>
        <x:v>37592687.77230655</x:v>
      </x:c>
      <x:c r="AN16" s="35" t="n">
        <x:f>'CF Short-Term'!AN16+'MK Short-Term'!AN16</x:f>
        <x:v>37592687.77230655</x:v>
      </x:c>
      <x:c r="AO16" s="35" t="n">
        <x:f>'CF Short-Term'!AO16+'MK Short-Term'!AO16</x:f>
        <x:v>37592687.77230655</x:v>
      </x:c>
      <x:c r="AP16" s="35" t="n">
        <x:f>'CF Short-Term'!AP16+'MK Short-Term'!AP16</x:f>
        <x:v>37592687.77230655</x:v>
      </x:c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</x:row>
    <x:row r="17" ht="19" customHeight="1">
      <x:c r="A17" s="1"/>
      <x:c r="B17" s="1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</x:row>
    <x:row r="18" ht="19" customHeight="1">
      <x:c r="A18" s="1"/>
      <x:c r="B18" s="1"/>
      <x:c r="C18" s="2" t="str">
        <x:v>Beginning reserve</x:v>
      </x:c>
      <x:c r="D18" s="2"/>
      <x:c r="E18" s="35" t="n">
        <x:f>G18</x:f>
        <x:v>57524621.9352545</x:v>
      </x:c>
      <x:c r="F18" s="2"/>
      <x:c r="G18" s="35" t="n">
        <x:f>'CF Short-Term'!G18+'MK Short-Term'!G18</x:f>
        <x:v>57524621.9352545</x:v>
      </x:c>
      <x:c r="H18" s="35" t="n">
        <x:f>'CF Short-Term'!H18+'MK Short-Term'!H18</x:f>
        <x:v>30433804.47167589</x:v>
      </x:c>
      <x:c r="I18" s="35" t="n">
        <x:f>'CF Short-Term'!I18+'MK Short-Term'!I18</x:f>
        <x:v>18575987.658328768</x:v>
      </x:c>
      <x:c r="J18" s="35" t="n">
        <x:f>'CF Short-Term'!J18+'MK Short-Term'!J18</x:f>
        <x:v>12841783.002704393</x:v>
      </x:c>
      <x:c r="K18" s="35" t="n">
        <x:f>'CF Short-Term'!K18+'MK Short-Term'!K18</x:f>
        <x:v>10020601.536211533</x:v>
      </x:c>
      <x:c r="L18" s="35" t="n">
        <x:f>'CF Short-Term'!L18+'MK Short-Term'!L18</x:f>
        <x:v>8656758.12270058</x:v>
      </x:c>
      <x:c r="M18" s="35" t="n">
        <x:f>'CF Short-Term'!M18+'MK Short-Term'!M18</x:f>
        <x:v>8033975.469552478</x:v>
      </x:c>
      <x:c r="N18" s="35" t="n">
        <x:f>'CF Short-Term'!N18+'MK Short-Term'!N18</x:f>
        <x:v>7736322.683372054</x:v>
      </x:c>
      <x:c r="O18" s="35" t="n">
        <x:f>'CF Short-Term'!O18+'MK Short-Term'!O18</x:f>
        <x:v>7610808.309150743</x:v>
      </x:c>
      <x:c r="P18" s="35" t="n">
        <x:f>'CF Short-Term'!P18+'MK Short-Term'!P18</x:f>
        <x:v>7574333.129339828</x:v>
      </x:c>
      <x:c r="Q18" s="35" t="n">
        <x:f>'CF Short-Term'!Q18+'MK Short-Term'!Q18</x:f>
        <x:v>7574333.129339828</x:v>
      </x:c>
      <x:c r="R18" s="35" t="n">
        <x:f>'CF Short-Term'!R18+'MK Short-Term'!R18</x:f>
        <x:v>7574333.129339828</x:v>
      </x:c>
      <x:c r="S18" s="35" t="n">
        <x:f>'CF Short-Term'!S18+'MK Short-Term'!S18</x:f>
        <x:v>7574333.129339828</x:v>
      </x:c>
      <x:c r="T18" s="35" t="n">
        <x:f>'CF Short-Term'!T18+'MK Short-Term'!T18</x:f>
        <x:v>7574333.129339828</x:v>
      </x:c>
      <x:c r="U18" s="35" t="n">
        <x:f>'CF Short-Term'!U18+'MK Short-Term'!U18</x:f>
        <x:v>7574333.129339828</x:v>
      </x:c>
      <x:c r="V18" s="35" t="n">
        <x:f>'CF Short-Term'!V18+'MK Short-Term'!V18</x:f>
        <x:v>7574333.129339828</x:v>
      </x:c>
      <x:c r="W18" s="35" t="n">
        <x:f>'CF Short-Term'!W18+'MK Short-Term'!W18</x:f>
        <x:v>7574333.129339828</x:v>
      </x:c>
      <x:c r="X18" s="35" t="n">
        <x:f>'CF Short-Term'!X18+'MK Short-Term'!X18</x:f>
        <x:v>7574333.129339828</x:v>
      </x:c>
      <x:c r="Y18" s="35" t="n">
        <x:f>'CF Short-Term'!Y18+'MK Short-Term'!Y18</x:f>
        <x:v>7574333.129339828</x:v>
      </x:c>
      <x:c r="Z18" s="35" t="n">
        <x:f>'CF Short-Term'!Z18+'MK Short-Term'!Z18</x:f>
        <x:v>7574333.129339828</x:v>
      </x:c>
      <x:c r="AA18" s="35" t="n">
        <x:f>'CF Short-Term'!AA18+'MK Short-Term'!AA18</x:f>
        <x:v>7574333.129339828</x:v>
      </x:c>
      <x:c r="AB18" s="35" t="n">
        <x:f>'CF Short-Term'!AB18+'MK Short-Term'!AB18</x:f>
        <x:v>7574333.129339828</x:v>
      </x:c>
      <x:c r="AC18" s="35" t="n">
        <x:f>'CF Short-Term'!AC18+'MK Short-Term'!AC18</x:f>
        <x:v>7574333.129339828</x:v>
      </x:c>
      <x:c r="AD18" s="35" t="n">
        <x:f>'CF Short-Term'!AD18+'MK Short-Term'!AD18</x:f>
        <x:v>7574333.129339828</x:v>
      </x:c>
      <x:c r="AE18" s="35" t="n">
        <x:f>'CF Short-Term'!AE18+'MK Short-Term'!AE18</x:f>
        <x:v>7574333.129339828</x:v>
      </x:c>
      <x:c r="AF18" s="35" t="n">
        <x:f>'CF Short-Term'!AF18+'MK Short-Term'!AF18</x:f>
        <x:v>7574333.129339828</x:v>
      </x:c>
      <x:c r="AG18" s="35" t="n">
        <x:f>'CF Short-Term'!AG18+'MK Short-Term'!AG18</x:f>
        <x:v>7574333.129339828</x:v>
      </x:c>
      <x:c r="AH18" s="35" t="n">
        <x:f>'CF Short-Term'!AH18+'MK Short-Term'!AH18</x:f>
        <x:v>7574333.129339828</x:v>
      </x:c>
      <x:c r="AI18" s="35" t="n">
        <x:f>'CF Short-Term'!AI18+'MK Short-Term'!AI18</x:f>
        <x:v>7574333.129339828</x:v>
      </x:c>
      <x:c r="AJ18" s="35" t="n">
        <x:f>'CF Short-Term'!AJ18+'MK Short-Term'!AJ18</x:f>
        <x:v>7574333.129339828</x:v>
      </x:c>
      <x:c r="AK18" s="35" t="n">
        <x:f>'CF Short-Term'!AK18+'MK Short-Term'!AK18</x:f>
        <x:v>7574333.129339828</x:v>
      </x:c>
      <x:c r="AL18" s="35" t="n">
        <x:f>'CF Short-Term'!AL18+'MK Short-Term'!AL18</x:f>
        <x:v>7574333.129339828</x:v>
      </x:c>
      <x:c r="AM18" s="35" t="n">
        <x:f>'CF Short-Term'!AM18+'MK Short-Term'!AM18</x:f>
        <x:v>7574333.129339828</x:v>
      </x:c>
      <x:c r="AN18" s="35" t="n">
        <x:f>'CF Short-Term'!AN18+'MK Short-Term'!AN18</x:f>
        <x:v>7574333.129339828</x:v>
      </x:c>
      <x:c r="AO18" s="35" t="n">
        <x:f>'CF Short-Term'!AO18+'MK Short-Term'!AO18</x:f>
        <x:v>7574333.129339828</x:v>
      </x:c>
      <x:c r="AP18" s="35" t="n">
        <x:f>'CF Short-Term'!AP18+'MK Short-Term'!AP18</x:f>
        <x:v>7574333.129339828</x:v>
      </x:c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</x:row>
    <x:row r="19" ht="19" customHeight="1">
      <x:c r="A19" s="1"/>
      <x:c r="B19" s="1"/>
      <x:c r="C19" s="2" t="str">
        <x:v>New provision expense</x:v>
      </x:c>
      <x:c r="D19" s="2"/>
      <x:c r="E19" s="35" t="n">
        <x:f>SUMIFS(G19:AP19,$G$6:$AP$6,"&lt;="&amp;'Assumptions'!$E$7)</x:f>
        <x:v>65793130.20077025</x:v>
      </x:c>
      <x:c r="F19" s="2"/>
      <x:c r="G19" s="35" t="n">
        <x:f>'CF Short-Term'!G19+'MK Short-Term'!G19</x:f>
        <x:v>2741380.4250320937</x:v>
      </x:c>
      <x:c r="H19" s="35" t="n">
        <x:f>'CF Short-Term'!H19+'MK Short-Term'!H19</x:f>
        <x:v>2741380.4250320937</x:v>
      </x:c>
      <x:c r="I19" s="35" t="n">
        <x:f>'CF Short-Term'!I19+'MK Short-Term'!I19</x:f>
        <x:v>2741380.4250320937</x:v>
      </x:c>
      <x:c r="J19" s="35" t="n">
        <x:f>'CF Short-Term'!J19+'MK Short-Term'!J19</x:f>
        <x:v>2741380.4250320937</x:v>
      </x:c>
      <x:c r="K19" s="35" t="n">
        <x:f>'CF Short-Term'!K19+'MK Short-Term'!K19</x:f>
        <x:v>2741380.4250320937</x:v>
      </x:c>
      <x:c r="L19" s="35" t="n">
        <x:f>'CF Short-Term'!L19+'MK Short-Term'!L19</x:f>
        <x:v>2741380.4250320937</x:v>
      </x:c>
      <x:c r="M19" s="35" t="n">
        <x:f>'CF Short-Term'!M19+'MK Short-Term'!M19</x:f>
        <x:v>2741380.4250320937</x:v>
      </x:c>
      <x:c r="N19" s="35" t="n">
        <x:f>'CF Short-Term'!N19+'MK Short-Term'!N19</x:f>
        <x:v>2741380.4250320937</x:v>
      </x:c>
      <x:c r="O19" s="35" t="n">
        <x:f>'CF Short-Term'!O19+'MK Short-Term'!O19</x:f>
        <x:v>2741380.4250320937</x:v>
      </x:c>
      <x:c r="P19" s="35" t="n">
        <x:f>'CF Short-Term'!P19+'MK Short-Term'!P19</x:f>
        <x:v>2741380.4250320937</x:v>
      </x:c>
      <x:c r="Q19" s="35" t="n">
        <x:f>'CF Short-Term'!Q19+'MK Short-Term'!Q19</x:f>
        <x:v>2741380.4250320937</x:v>
      </x:c>
      <x:c r="R19" s="35" t="n">
        <x:f>'CF Short-Term'!R19+'MK Short-Term'!R19</x:f>
        <x:v>2741380.4250320937</x:v>
      </x:c>
      <x:c r="S19" s="35" t="n">
        <x:f>'CF Short-Term'!S19+'MK Short-Term'!S19</x:f>
        <x:v>2741380.4250320937</x:v>
      </x:c>
      <x:c r="T19" s="35" t="n">
        <x:f>'CF Short-Term'!T19+'MK Short-Term'!T19</x:f>
        <x:v>2741380.4250320937</x:v>
      </x:c>
      <x:c r="U19" s="35" t="n">
        <x:f>'CF Short-Term'!U19+'MK Short-Term'!U19</x:f>
        <x:v>2741380.4250320937</x:v>
      </x:c>
      <x:c r="V19" s="35" t="n">
        <x:f>'CF Short-Term'!V19+'MK Short-Term'!V19</x:f>
        <x:v>2741380.4250320937</x:v>
      </x:c>
      <x:c r="W19" s="35" t="n">
        <x:f>'CF Short-Term'!W19+'MK Short-Term'!W19</x:f>
        <x:v>2741380.4250320937</x:v>
      </x:c>
      <x:c r="X19" s="35" t="n">
        <x:f>'CF Short-Term'!X19+'MK Short-Term'!X19</x:f>
        <x:v>2741380.4250320937</x:v>
      </x:c>
      <x:c r="Y19" s="35" t="n">
        <x:f>'CF Short-Term'!Y19+'MK Short-Term'!Y19</x:f>
        <x:v>2741380.4250320937</x:v>
      </x:c>
      <x:c r="Z19" s="35" t="n">
        <x:f>'CF Short-Term'!Z19+'MK Short-Term'!Z19</x:f>
        <x:v>2741380.4250320937</x:v>
      </x:c>
      <x:c r="AA19" s="35" t="n">
        <x:f>'CF Short-Term'!AA19+'MK Short-Term'!AA19</x:f>
        <x:v>2741380.4250320937</x:v>
      </x:c>
      <x:c r="AB19" s="35" t="n">
        <x:f>'CF Short-Term'!AB19+'MK Short-Term'!AB19</x:f>
        <x:v>2741380.4250320937</x:v>
      </x:c>
      <x:c r="AC19" s="35" t="n">
        <x:f>'CF Short-Term'!AC19+'MK Short-Term'!AC19</x:f>
        <x:v>2741380.4250320937</x:v>
      </x:c>
      <x:c r="AD19" s="35" t="n">
        <x:f>'CF Short-Term'!AD19+'MK Short-Term'!AD19</x:f>
        <x:v>2741380.4250320937</x:v>
      </x:c>
      <x:c r="AE19" s="35" t="n">
        <x:f>'CF Short-Term'!AE19+'MK Short-Term'!AE19</x:f>
        <x:v>2741380.4250320937</x:v>
      </x:c>
      <x:c r="AF19" s="35" t="n">
        <x:f>'CF Short-Term'!AF19+'MK Short-Term'!AF19</x:f>
        <x:v>2741380.4250320937</x:v>
      </x:c>
      <x:c r="AG19" s="35" t="n">
        <x:f>'CF Short-Term'!AG19+'MK Short-Term'!AG19</x:f>
        <x:v>2741380.4250320937</x:v>
      </x:c>
      <x:c r="AH19" s="35" t="n">
        <x:f>'CF Short-Term'!AH19+'MK Short-Term'!AH19</x:f>
        <x:v>2741380.4250320937</x:v>
      </x:c>
      <x:c r="AI19" s="35" t="n">
        <x:f>'CF Short-Term'!AI19+'MK Short-Term'!AI19</x:f>
        <x:v>2741380.4250320937</x:v>
      </x:c>
      <x:c r="AJ19" s="35" t="n">
        <x:f>'CF Short-Term'!AJ19+'MK Short-Term'!AJ19</x:f>
        <x:v>2741380.4250320937</x:v>
      </x:c>
      <x:c r="AK19" s="35" t="n">
        <x:f>'CF Short-Term'!AK19+'MK Short-Term'!AK19</x:f>
        <x:v>2741380.4250320937</x:v>
      </x:c>
      <x:c r="AL19" s="35" t="n">
        <x:f>'CF Short-Term'!AL19+'MK Short-Term'!AL19</x:f>
        <x:v>2741380.4250320937</x:v>
      </x:c>
      <x:c r="AM19" s="35" t="n">
        <x:f>'CF Short-Term'!AM19+'MK Short-Term'!AM19</x:f>
        <x:v>2741380.4250320937</x:v>
      </x:c>
      <x:c r="AN19" s="35" t="n">
        <x:f>'CF Short-Term'!AN19+'MK Short-Term'!AN19</x:f>
        <x:v>2741380.4250320937</x:v>
      </x:c>
      <x:c r="AO19" s="35" t="n">
        <x:f>'CF Short-Term'!AO19+'MK Short-Term'!AO19</x:f>
        <x:v>2741380.4250320937</x:v>
      </x:c>
      <x:c r="AP19" s="35" t="n">
        <x:f>'CF Short-Term'!AP19+'MK Short-Term'!AP19</x:f>
        <x:v>2741380.4250320937</x:v>
      </x:c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</x:row>
    <x:row r="20" ht="19" customHeight="1">
      <x:c r="A20" s="1"/>
      <x:c r="B20" s="1"/>
      <x:c r="C20" s="2" t="str">
        <x:v>Ending reserve</x:v>
      </x:c>
      <x:c r="D20" s="2"/>
      <x:c r="E20" s="35" t="n">
        <x:f>INDEX(G20:AP20,1,'Assumptions'!$E$7)</x:f>
        <x:v>7574333.129339828</x:v>
      </x:c>
      <x:c r="F20" s="2"/>
      <x:c r="G20" s="35" t="n">
        <x:f>'CF Short-Term'!G20+'MK Short-Term'!G20</x:f>
        <x:v>30433804.47167589</x:v>
      </x:c>
      <x:c r="H20" s="35" t="n">
        <x:f>'CF Short-Term'!H20+'MK Short-Term'!H20</x:f>
        <x:v>18575987.658328768</x:v>
      </x:c>
      <x:c r="I20" s="35" t="n">
        <x:f>'CF Short-Term'!I20+'MK Short-Term'!I20</x:f>
        <x:v>12841783.002704393</x:v>
      </x:c>
      <x:c r="J20" s="35" t="n">
        <x:f>'CF Short-Term'!J20+'MK Short-Term'!J20</x:f>
        <x:v>10020601.536211533</x:v>
      </x:c>
      <x:c r="K20" s="35" t="n">
        <x:f>'CF Short-Term'!K20+'MK Short-Term'!K20</x:f>
        <x:v>8656758.12270058</x:v>
      </x:c>
      <x:c r="L20" s="35" t="n">
        <x:f>'CF Short-Term'!L20+'MK Short-Term'!L20</x:f>
        <x:v>8033975.469552478</x:v>
      </x:c>
      <x:c r="M20" s="35" t="n">
        <x:f>'CF Short-Term'!M20+'MK Short-Term'!M20</x:f>
        <x:v>7736322.683372054</x:v>
      </x:c>
      <x:c r="N20" s="35" t="n">
        <x:f>'CF Short-Term'!N20+'MK Short-Term'!N20</x:f>
        <x:v>7610808.309150743</x:v>
      </x:c>
      <x:c r="O20" s="35" t="n">
        <x:f>'CF Short-Term'!O20+'MK Short-Term'!O20</x:f>
        <x:v>7574333.129339828</x:v>
      </x:c>
      <x:c r="P20" s="35" t="n">
        <x:f>'CF Short-Term'!P20+'MK Short-Term'!P20</x:f>
        <x:v>7574333.129339828</x:v>
      </x:c>
      <x:c r="Q20" s="35" t="n">
        <x:f>'CF Short-Term'!Q20+'MK Short-Term'!Q20</x:f>
        <x:v>7574333.129339828</x:v>
      </x:c>
      <x:c r="R20" s="35" t="n">
        <x:f>'CF Short-Term'!R20+'MK Short-Term'!R20</x:f>
        <x:v>7574333.129339828</x:v>
      </x:c>
      <x:c r="S20" s="35" t="n">
        <x:f>'CF Short-Term'!S20+'MK Short-Term'!S20</x:f>
        <x:v>7574333.129339828</x:v>
      </x:c>
      <x:c r="T20" s="35" t="n">
        <x:f>'CF Short-Term'!T20+'MK Short-Term'!T20</x:f>
        <x:v>7574333.129339828</x:v>
      </x:c>
      <x:c r="U20" s="35" t="n">
        <x:f>'CF Short-Term'!U20+'MK Short-Term'!U20</x:f>
        <x:v>7574333.129339828</x:v>
      </x:c>
      <x:c r="V20" s="35" t="n">
        <x:f>'CF Short-Term'!V20+'MK Short-Term'!V20</x:f>
        <x:v>7574333.129339828</x:v>
      </x:c>
      <x:c r="W20" s="35" t="n">
        <x:f>'CF Short-Term'!W20+'MK Short-Term'!W20</x:f>
        <x:v>7574333.129339828</x:v>
      </x:c>
      <x:c r="X20" s="35" t="n">
        <x:f>'CF Short-Term'!X20+'MK Short-Term'!X20</x:f>
        <x:v>7574333.129339828</x:v>
      </x:c>
      <x:c r="Y20" s="35" t="n">
        <x:f>'CF Short-Term'!Y20+'MK Short-Term'!Y20</x:f>
        <x:v>7574333.129339828</x:v>
      </x:c>
      <x:c r="Z20" s="35" t="n">
        <x:f>'CF Short-Term'!Z20+'MK Short-Term'!Z20</x:f>
        <x:v>7574333.129339828</x:v>
      </x:c>
      <x:c r="AA20" s="35" t="n">
        <x:f>'CF Short-Term'!AA20+'MK Short-Term'!AA20</x:f>
        <x:v>7574333.129339828</x:v>
      </x:c>
      <x:c r="AB20" s="35" t="n">
        <x:f>'CF Short-Term'!AB20+'MK Short-Term'!AB20</x:f>
        <x:v>7574333.129339828</x:v>
      </x:c>
      <x:c r="AC20" s="35" t="n">
        <x:f>'CF Short-Term'!AC20+'MK Short-Term'!AC20</x:f>
        <x:v>7574333.129339828</x:v>
      </x:c>
      <x:c r="AD20" s="35" t="n">
        <x:f>'CF Short-Term'!AD20+'MK Short-Term'!AD20</x:f>
        <x:v>7574333.129339828</x:v>
      </x:c>
      <x:c r="AE20" s="35" t="n">
        <x:f>'CF Short-Term'!AE20+'MK Short-Term'!AE20</x:f>
        <x:v>7574333.129339828</x:v>
      </x:c>
      <x:c r="AF20" s="35" t="n">
        <x:f>'CF Short-Term'!AF20+'MK Short-Term'!AF20</x:f>
        <x:v>7574333.129339828</x:v>
      </x:c>
      <x:c r="AG20" s="35" t="n">
        <x:f>'CF Short-Term'!AG20+'MK Short-Term'!AG20</x:f>
        <x:v>7574333.129339828</x:v>
      </x:c>
      <x:c r="AH20" s="35" t="n">
        <x:f>'CF Short-Term'!AH20+'MK Short-Term'!AH20</x:f>
        <x:v>7574333.129339828</x:v>
      </x:c>
      <x:c r="AI20" s="35" t="n">
        <x:f>'CF Short-Term'!AI20+'MK Short-Term'!AI20</x:f>
        <x:v>7574333.129339828</x:v>
      </x:c>
      <x:c r="AJ20" s="35" t="n">
        <x:f>'CF Short-Term'!AJ20+'MK Short-Term'!AJ20</x:f>
        <x:v>7574333.129339828</x:v>
      </x:c>
      <x:c r="AK20" s="35" t="n">
        <x:f>'CF Short-Term'!AK20+'MK Short-Term'!AK20</x:f>
        <x:v>7574333.129339828</x:v>
      </x:c>
      <x:c r="AL20" s="35" t="n">
        <x:f>'CF Short-Term'!AL20+'MK Short-Term'!AL20</x:f>
        <x:v>7574333.129339828</x:v>
      </x:c>
      <x:c r="AM20" s="35" t="n">
        <x:f>'CF Short-Term'!AM20+'MK Short-Term'!AM20</x:f>
        <x:v>7574333.129339828</x:v>
      </x:c>
      <x:c r="AN20" s="35" t="n">
        <x:f>'CF Short-Term'!AN20+'MK Short-Term'!AN20</x:f>
        <x:v>7574333.129339828</x:v>
      </x:c>
      <x:c r="AO20" s="35" t="n">
        <x:f>'CF Short-Term'!AO20+'MK Short-Term'!AO20</x:f>
        <x:v>7574333.129339828</x:v>
      </x:c>
      <x:c r="AP20" s="35" t="n">
        <x:f>'CF Short-Term'!AP20+'MK Short-Term'!AP20</x:f>
        <x:v>7574333.129339828</x:v>
      </x:c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</x:row>
    <x:row r="21" ht="19" customHeight="1">
      <x:c r="A21" s="1"/>
      <x:c r="B21" s="1"/>
      <x:c r="C21" s="2" t="str">
        <x:v>Net CLAB</x:v>
      </x:c>
      <x:c r="D21" s="2"/>
      <x:c r="E21" s="35" t="n">
        <x:f>INDEX(G21:AP21,1,'Assumptions'!$E$7)</x:f>
        <x:v>30018354.642966717</x:v>
      </x:c>
      <x:c r="F21" s="2"/>
      <x:c r="G21" s="35" t="n">
        <x:f>'CF Short-Term'!G21+'MK Short-Term'!G21</x:f>
        <x:v>110573446.51648304</x:v>
      </x:c>
      <x:c r="H21" s="35" t="n">
        <x:f>'CF Short-Term'!H21+'MK Short-Term'!H21</x:f>
        <x:v>70152891.36894335</x:v>
      </x:c>
      <x:c r="I21" s="35" t="n">
        <x:f>'CF Short-Term'!I21+'MK Short-Term'!I21</x:f>
        <x:v>49772384.26217046</x:v>
      </x:c>
      <x:c r="J21" s="35" t="n">
        <x:f>'CF Short-Term'!J21+'MK Short-Term'!J21</x:f>
        <x:v>39389698.322327316</x:v>
      </x:c>
      <x:c r="K21" s="35" t="n">
        <x:f>'CF Short-Term'!K21+'MK Short-Term'!K21</x:f>
        <x:v>34202486.21186807</x:v>
      </x:c>
      <x:c r="L21" s="35" t="n">
        <x:f>'CF Short-Term'!L21+'MK Short-Term'!L21</x:f>
        <x:v>31721721.282666706</x:v>
      </x:c>
      <x:c r="M21" s="35" t="n">
        <x:f>'CF Short-Term'!M21+'MK Short-Term'!M21</x:f>
        <x:v>30586853.981904045</x:v>
      </x:c>
      <x:c r="N21" s="35" t="n">
        <x:f>'CF Short-Term'!N21+'MK Short-Term'!N21</x:f>
        <x:v>30141682.592170894</x:v>
      </x:c>
      <x:c r="O21" s="35" t="n">
        <x:f>'CF Short-Term'!O21+'MK Short-Term'!O21</x:f>
        <x:v>30018354.642966717</x:v>
      </x:c>
      <x:c r="P21" s="35" t="n">
        <x:f>'CF Short-Term'!P21+'MK Short-Term'!P21</x:f>
        <x:v>30018354.642966717</x:v>
      </x:c>
      <x:c r="Q21" s="35" t="n">
        <x:f>'CF Short-Term'!Q21+'MK Short-Term'!Q21</x:f>
        <x:v>30018354.642966717</x:v>
      </x:c>
      <x:c r="R21" s="35" t="n">
        <x:f>'CF Short-Term'!R21+'MK Short-Term'!R21</x:f>
        <x:v>30018354.642966717</x:v>
      </x:c>
      <x:c r="S21" s="35" t="n">
        <x:f>'CF Short-Term'!S21+'MK Short-Term'!S21</x:f>
        <x:v>30018354.642966717</x:v>
      </x:c>
      <x:c r="T21" s="35" t="n">
        <x:f>'CF Short-Term'!T21+'MK Short-Term'!T21</x:f>
        <x:v>30018354.642966717</x:v>
      </x:c>
      <x:c r="U21" s="35" t="n">
        <x:f>'CF Short-Term'!U21+'MK Short-Term'!U21</x:f>
        <x:v>30018354.642966717</x:v>
      </x:c>
      <x:c r="V21" s="35" t="n">
        <x:f>'CF Short-Term'!V21+'MK Short-Term'!V21</x:f>
        <x:v>30018354.642966717</x:v>
      </x:c>
      <x:c r="W21" s="35" t="n">
        <x:f>'CF Short-Term'!W21+'MK Short-Term'!W21</x:f>
        <x:v>30018354.642966717</x:v>
      </x:c>
      <x:c r="X21" s="35" t="n">
        <x:f>'CF Short-Term'!X21+'MK Short-Term'!X21</x:f>
        <x:v>30018354.642966717</x:v>
      </x:c>
      <x:c r="Y21" s="35" t="n">
        <x:f>'CF Short-Term'!Y21+'MK Short-Term'!Y21</x:f>
        <x:v>30018354.642966717</x:v>
      </x:c>
      <x:c r="Z21" s="35" t="n">
        <x:f>'CF Short-Term'!Z21+'MK Short-Term'!Z21</x:f>
        <x:v>30018354.642966717</x:v>
      </x:c>
      <x:c r="AA21" s="35" t="n">
        <x:f>'CF Short-Term'!AA21+'MK Short-Term'!AA21</x:f>
        <x:v>30018354.642966717</x:v>
      </x:c>
      <x:c r="AB21" s="35" t="n">
        <x:f>'CF Short-Term'!AB21+'MK Short-Term'!AB21</x:f>
        <x:v>30018354.642966717</x:v>
      </x:c>
      <x:c r="AC21" s="35" t="n">
        <x:f>'CF Short-Term'!AC21+'MK Short-Term'!AC21</x:f>
        <x:v>30018354.642966717</x:v>
      </x:c>
      <x:c r="AD21" s="35" t="n">
        <x:f>'CF Short-Term'!AD21+'MK Short-Term'!AD21</x:f>
        <x:v>30018354.642966717</x:v>
      </x:c>
      <x:c r="AE21" s="35" t="n">
        <x:f>'CF Short-Term'!AE21+'MK Short-Term'!AE21</x:f>
        <x:v>30018354.642966717</x:v>
      </x:c>
      <x:c r="AF21" s="35" t="n">
        <x:f>'CF Short-Term'!AF21+'MK Short-Term'!AF21</x:f>
        <x:v>30018354.642966717</x:v>
      </x:c>
      <x:c r="AG21" s="35" t="n">
        <x:f>'CF Short-Term'!AG21+'MK Short-Term'!AG21</x:f>
        <x:v>30018354.642966717</x:v>
      </x:c>
      <x:c r="AH21" s="35" t="n">
        <x:f>'CF Short-Term'!AH21+'MK Short-Term'!AH21</x:f>
        <x:v>30018354.642966717</x:v>
      </x:c>
      <x:c r="AI21" s="35" t="n">
        <x:f>'CF Short-Term'!AI21+'MK Short-Term'!AI21</x:f>
        <x:v>30018354.642966717</x:v>
      </x:c>
      <x:c r="AJ21" s="35" t="n">
        <x:f>'CF Short-Term'!AJ21+'MK Short-Term'!AJ21</x:f>
        <x:v>30018354.642966717</x:v>
      </x:c>
      <x:c r="AK21" s="35" t="n">
        <x:f>'CF Short-Term'!AK21+'MK Short-Term'!AK21</x:f>
        <x:v>30018354.642966717</x:v>
      </x:c>
      <x:c r="AL21" s="35" t="n">
        <x:f>'CF Short-Term'!AL21+'MK Short-Term'!AL21</x:f>
        <x:v>30018354.642966717</x:v>
      </x:c>
      <x:c r="AM21" s="35" t="n">
        <x:f>'CF Short-Term'!AM21+'MK Short-Term'!AM21</x:f>
        <x:v>30018354.642966717</x:v>
      </x:c>
      <x:c r="AN21" s="35" t="n">
        <x:f>'CF Short-Term'!AN21+'MK Short-Term'!AN21</x:f>
        <x:v>30018354.642966717</x:v>
      </x:c>
      <x:c r="AO21" s="35" t="n">
        <x:f>'CF Short-Term'!AO21+'MK Short-Term'!AO21</x:f>
        <x:v>30018354.642966717</x:v>
      </x:c>
      <x:c r="AP21" s="35" t="n">
        <x:f>'CF Short-Term'!AP21+'MK Short-Term'!AP21</x:f>
        <x:v>30018354.642966717</x:v>
      </x:c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</x:row>
    <x:row r="22" ht="19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</x:row>
    <x:row r="23" ht="19" customHeight="1">
      <x:c r="A23" s="1"/>
      <x:c r="B23" s="1"/>
      <x:c r="C23" s="2" t="str">
        <x:v>Annual yield</x:v>
      </x:c>
      <x:c r="D23" s="2"/>
      <x:c r="E23" s="35"/>
      <x:c r="F23" s="2"/>
      <x:c r="G23" s="12" t="n">
        <x:f>'CF Short-Term'!G23</x:f>
        <x:v>1</x:v>
      </x:c>
      <x:c r="H23" s="12" t="n">
        <x:f>'CF Short-Term'!H23</x:f>
        <x:v>1</x:v>
      </x:c>
      <x:c r="I23" s="12" t="n">
        <x:f>'CF Short-Term'!I23</x:f>
        <x:v>1</x:v>
      </x:c>
      <x:c r="J23" s="12" t="n">
        <x:f>'CF Short-Term'!J23</x:f>
        <x:v>1</x:v>
      </x:c>
      <x:c r="K23" s="12" t="n">
        <x:f>'CF Short-Term'!K23</x:f>
        <x:v>1</x:v>
      </x:c>
      <x:c r="L23" s="12" t="n">
        <x:f>'CF Short-Term'!L23</x:f>
        <x:v>1</x:v>
      </x:c>
      <x:c r="M23" s="12" t="n">
        <x:f>'CF Short-Term'!M23</x:f>
        <x:v>1</x:v>
      </x:c>
      <x:c r="N23" s="12" t="n">
        <x:f>'CF Short-Term'!N23</x:f>
        <x:v>1</x:v>
      </x:c>
      <x:c r="O23" s="12" t="n">
        <x:f>'CF Short-Term'!O23</x:f>
        <x:v>1</x:v>
      </x:c>
      <x:c r="P23" s="12" t="n">
        <x:f>'CF Short-Term'!P23</x:f>
        <x:v>1</x:v>
      </x:c>
      <x:c r="Q23" s="12" t="n">
        <x:f>'CF Short-Term'!Q23</x:f>
        <x:v>1</x:v>
      </x:c>
      <x:c r="R23" s="12" t="n">
        <x:f>'CF Short-Term'!R23</x:f>
        <x:v>1</x:v>
      </x:c>
      <x:c r="S23" s="12" t="n">
        <x:f>'CF Short-Term'!S23</x:f>
        <x:v>1</x:v>
      </x:c>
      <x:c r="T23" s="12" t="n">
        <x:f>'CF Short-Term'!T23</x:f>
        <x:v>1</x:v>
      </x:c>
      <x:c r="U23" s="12" t="n">
        <x:f>'CF Short-Term'!U23</x:f>
        <x:v>1</x:v>
      </x:c>
      <x:c r="V23" s="12" t="n">
        <x:f>'CF Short-Term'!V23</x:f>
        <x:v>1</x:v>
      </x:c>
      <x:c r="W23" s="12" t="n">
        <x:f>'CF Short-Term'!W23</x:f>
        <x:v>1</x:v>
      </x:c>
      <x:c r="X23" s="12" t="n">
        <x:f>'CF Short-Term'!X23</x:f>
        <x:v>1</x:v>
      </x:c>
      <x:c r="Y23" s="12" t="n">
        <x:f>'CF Short-Term'!Y23</x:f>
        <x:v>1</x:v>
      </x:c>
      <x:c r="Z23" s="12" t="n">
        <x:f>'CF Short-Term'!Z23</x:f>
        <x:v>1</x:v>
      </x:c>
      <x:c r="AA23" s="12" t="n">
        <x:f>'CF Short-Term'!AA23</x:f>
        <x:v>1</x:v>
      </x:c>
      <x:c r="AB23" s="12" t="n">
        <x:f>'CF Short-Term'!AB23</x:f>
        <x:v>1</x:v>
      </x:c>
      <x:c r="AC23" s="12" t="n">
        <x:f>'CF Short-Term'!AC23</x:f>
        <x:v>1</x:v>
      </x:c>
      <x:c r="AD23" s="12" t="n">
        <x:f>'CF Short-Term'!AD23</x:f>
        <x:v>1</x:v>
      </x:c>
      <x:c r="AE23" s="12" t="n">
        <x:f>'CF Short-Term'!AE23</x:f>
        <x:v>1</x:v>
      </x:c>
      <x:c r="AF23" s="12" t="n">
        <x:f>'CF Short-Term'!AF23</x:f>
        <x:v>1</x:v>
      </x:c>
      <x:c r="AG23" s="12" t="n">
        <x:f>'CF Short-Term'!AG23</x:f>
        <x:v>1</x:v>
      </x:c>
      <x:c r="AH23" s="12" t="n">
        <x:f>'CF Short-Term'!AH23</x:f>
        <x:v>1</x:v>
      </x:c>
      <x:c r="AI23" s="12" t="n">
        <x:f>'CF Short-Term'!AI23</x:f>
        <x:v>1</x:v>
      </x:c>
      <x:c r="AJ23" s="12" t="n">
        <x:f>'CF Short-Term'!AJ23</x:f>
        <x:v>1</x:v>
      </x:c>
      <x:c r="AK23" s="12" t="n">
        <x:f>'CF Short-Term'!AK23</x:f>
        <x:v>1</x:v>
      </x:c>
      <x:c r="AL23" s="12" t="n">
        <x:f>'CF Short-Term'!AL23</x:f>
        <x:v>1</x:v>
      </x:c>
      <x:c r="AM23" s="12" t="n">
        <x:f>'CF Short-Term'!AM23</x:f>
        <x:v>1</x:v>
      </x:c>
      <x:c r="AN23" s="12" t="n">
        <x:f>'CF Short-Term'!AN23</x:f>
        <x:v>1</x:v>
      </x:c>
      <x:c r="AO23" s="12" t="n">
        <x:f>'CF Short-Term'!AO23</x:f>
        <x:v>1</x:v>
      </x:c>
      <x:c r="AP23" s="12" t="n">
        <x:f>'CF Short-Term'!AP23</x:f>
        <x:v>1</x:v>
      </x:c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</x:row>
    <x:row r="24" ht="19" customHeight="1">
      <x:c r="A24" s="1"/>
      <x:c r="B24" s="1"/>
      <x:c r="C24" s="2" t="str">
        <x:v>Revenue</x:v>
      </x:c>
      <x:c r="D24" s="2"/>
      <x:c r="E24" s="35" t="n">
        <x:f>SUMIFS(G24:AP24,$G$6:$AP$6,"&lt;="&amp;'Assumptions'!$E$7)</x:f>
        <x:v>100349841.94751199</x:v>
      </x:c>
      <x:c r="F24" s="2"/>
      <x:c r="G24" s="35" t="n">
        <x:f>'CF Short-Term'!G24+'MK Short-Term'!G24</x:f>
        <x:v>18813983.50928244</x:v>
      </x:c>
      <x:c r="H24" s="35" t="n">
        <x:f>'CF Short-Term'!H24+'MK Short-Term'!H24</x:f>
        <x:v>10534004.47914831</x:v>
      </x:c>
      <x:c r="I24" s="35" t="n">
        <x:f>'CF Short-Term'!I24+'MK Short-Term'!I24</x:f>
        <x:v>6687774.495551304</x:v>
      </x:c>
      <x:c r="J24" s="35" t="n">
        <x:f>'CF Short-Term'!J24+'MK Short-Term'!J24</x:f>
        <x:v>4754300.447779158</x:v>
      </x:c>
      <x:c r="K24" s="35" t="n">
        <x:f>'CF Short-Term'!K24+'MK Short-Term'!K24</x:f>
        <x:v>3775423.001666317</x:v>
      </x:c>
      <x:c r="L24" s="35" t="n">
        <x:f>'CF Short-Term'!L24+'MK Short-Term'!L24</x:f>
        <x:v>3291256.771365704</x:v>
      </x:c>
      <x:c r="M24" s="35" t="n">
        <x:f>'CF Short-Term'!M24+'MK Short-Term'!M24</x:f>
        <x:v>3059721.961750556</x:v>
      </x:c>
      <x:c r="N24" s="35" t="n">
        <x:f>'CF Short-Term'!N24+'MK Short-Term'!N24</x:f>
        <x:v>2954690.155501891</x:v>
      </x:c>
      <x:c r="O24" s="35" t="n">
        <x:f>'CF Short-Term'!O24+'MK Short-Term'!O24</x:f>
        <x:v>2914552.941373219</x:v>
      </x:c>
      <x:c r="P24" s="35" t="n">
        <x:f>'CF Short-Term'!P24+'MK Short-Term'!P24</x:f>
        <x:v>2904275.6122728707</x:v>
      </x:c>
      <x:c r="Q24" s="35" t="n">
        <x:f>'CF Short-Term'!Q24+'MK Short-Term'!Q24</x:f>
        <x:v>2904275.612272871</x:v>
      </x:c>
      <x:c r="R24" s="35" t="n">
        <x:f>'CF Short-Term'!R24+'MK Short-Term'!R24</x:f>
        <x:v>2904275.612272871</x:v>
      </x:c>
      <x:c r="S24" s="35" t="n">
        <x:f>'CF Short-Term'!S24+'MK Short-Term'!S24</x:f>
        <x:v>2904275.612272871</x:v>
      </x:c>
      <x:c r="T24" s="35" t="n">
        <x:f>'CF Short-Term'!T24+'MK Short-Term'!T24</x:f>
        <x:v>2904275.612272871</x:v>
      </x:c>
      <x:c r="U24" s="35" t="n">
        <x:f>'CF Short-Term'!U24+'MK Short-Term'!U24</x:f>
        <x:v>2904275.612272871</x:v>
      </x:c>
      <x:c r="V24" s="35" t="n">
        <x:f>'CF Short-Term'!V24+'MK Short-Term'!V24</x:f>
        <x:v>2904275.612272871</x:v>
      </x:c>
      <x:c r="W24" s="35" t="n">
        <x:f>'CF Short-Term'!W24+'MK Short-Term'!W24</x:f>
        <x:v>2904275.612272871</x:v>
      </x:c>
      <x:c r="X24" s="35" t="n">
        <x:f>'CF Short-Term'!X24+'MK Short-Term'!X24</x:f>
        <x:v>2904275.612272871</x:v>
      </x:c>
      <x:c r="Y24" s="35" t="n">
        <x:f>'CF Short-Term'!Y24+'MK Short-Term'!Y24</x:f>
        <x:v>2904275.612272871</x:v>
      </x:c>
      <x:c r="Z24" s="35" t="n">
        <x:f>'CF Short-Term'!Z24+'MK Short-Term'!Z24</x:f>
        <x:v>2904275.612272871</x:v>
      </x:c>
      <x:c r="AA24" s="35" t="n">
        <x:f>'CF Short-Term'!AA24+'MK Short-Term'!AA24</x:f>
        <x:v>2904275.612272871</x:v>
      </x:c>
      <x:c r="AB24" s="35" t="n">
        <x:f>'CF Short-Term'!AB24+'MK Short-Term'!AB24</x:f>
        <x:v>2904275.612272871</x:v>
      </x:c>
      <x:c r="AC24" s="35" t="n">
        <x:f>'CF Short-Term'!AC24+'MK Short-Term'!AC24</x:f>
        <x:v>2904275.612272871</x:v>
      </x:c>
      <x:c r="AD24" s="35" t="n">
        <x:f>'CF Short-Term'!AD24+'MK Short-Term'!AD24</x:f>
        <x:v>2904275.612272871</x:v>
      </x:c>
      <x:c r="AE24" s="35" t="n">
        <x:f>'CF Short-Term'!AE24+'MK Short-Term'!AE24</x:f>
        <x:v>2904275.612272871</x:v>
      </x:c>
      <x:c r="AF24" s="35" t="n">
        <x:f>'CF Short-Term'!AF24+'MK Short-Term'!AF24</x:f>
        <x:v>2904275.612272871</x:v>
      </x:c>
      <x:c r="AG24" s="35" t="n">
        <x:f>'CF Short-Term'!AG24+'MK Short-Term'!AG24</x:f>
        <x:v>2904275.612272871</x:v>
      </x:c>
      <x:c r="AH24" s="35" t="n">
        <x:f>'CF Short-Term'!AH24+'MK Short-Term'!AH24</x:f>
        <x:v>2904275.612272871</x:v>
      </x:c>
      <x:c r="AI24" s="35" t="n">
        <x:f>'CF Short-Term'!AI24+'MK Short-Term'!AI24</x:f>
        <x:v>2904275.612272871</x:v>
      </x:c>
      <x:c r="AJ24" s="35" t="n">
        <x:f>'CF Short-Term'!AJ24+'MK Short-Term'!AJ24</x:f>
        <x:v>2904275.612272871</x:v>
      </x:c>
      <x:c r="AK24" s="35" t="n">
        <x:f>'CF Short-Term'!AK24+'MK Short-Term'!AK24</x:f>
        <x:v>2904275.612272871</x:v>
      </x:c>
      <x:c r="AL24" s="35" t="n">
        <x:f>'CF Short-Term'!AL24+'MK Short-Term'!AL24</x:f>
        <x:v>2904275.612272871</x:v>
      </x:c>
      <x:c r="AM24" s="35" t="n">
        <x:f>'CF Short-Term'!AM24+'MK Short-Term'!AM24</x:f>
        <x:v>2904275.612272871</x:v>
      </x:c>
      <x:c r="AN24" s="35" t="n">
        <x:f>'CF Short-Term'!AN24+'MK Short-Term'!AN24</x:f>
        <x:v>2904275.612272871</x:v>
      </x:c>
      <x:c r="AO24" s="35" t="n">
        <x:f>'CF Short-Term'!AO24+'MK Short-Term'!AO24</x:f>
        <x:v>2904275.612272871</x:v>
      </x:c>
      <x:c r="AP24" s="35" t="n">
        <x:f>'CF Short-Term'!AP24+'MK Short-Term'!AP24</x:f>
        <x:v>2904275.612272871</x:v>
      </x:c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</x:row>
    <x:row r="25" ht="19" customHeight="1">
      <x:c r="A25" s="1"/>
      <x:c r="B25" s="1"/>
      <x:c r="C25" s="2" t="str">
        <x:v>Net revenue</x:v>
      </x:c>
      <x:c r="D25" s="2"/>
      <x:c r="E25" s="35" t="n">
        <x:f>SUMIFS(G25:AP25,$G$6:$AP$6,"&lt;="&amp;'Assumptions'!$E$7)</x:f>
        <x:v>34556711.74674172</x:v>
      </x:c>
      <x:c r="F25" s="2"/>
      <x:c r="G25" s="35" t="n">
        <x:f>'CF Short-Term'!G25+'MK Short-Term'!G25</x:f>
        <x:v>16072603.084250348</x:v>
      </x:c>
      <x:c r="H25" s="35" t="n">
        <x:f>'CF Short-Term'!H25+'MK Short-Term'!H25</x:f>
        <x:v>7792624.0541162165</x:v>
      </x:c>
      <x:c r="I25" s="35" t="n">
        <x:f>'CF Short-Term'!I25+'MK Short-Term'!I25</x:f>
        <x:v>3946394.07051921</x:v>
      </x:c>
      <x:c r="J25" s="35" t="n">
        <x:f>'CF Short-Term'!J25+'MK Short-Term'!J25</x:f>
        <x:v>2012920.0227470647</x:v>
      </x:c>
      <x:c r="K25" s="35" t="n">
        <x:f>'CF Short-Term'!K25+'MK Short-Term'!K25</x:f>
        <x:v>1034042.5766342233</x:v>
      </x:c>
      <x:c r="L25" s="35" t="n">
        <x:f>'CF Short-Term'!L25+'MK Short-Term'!L25</x:f>
        <x:v>549876.3463336102</x:v>
      </x:c>
      <x:c r="M25" s="35" t="n">
        <x:f>'CF Short-Term'!M25+'MK Short-Term'!M25</x:f>
        <x:v>318341.536718462</x:v>
      </x:c>
      <x:c r="N25" s="35" t="n">
        <x:f>'CF Short-Term'!N25+'MK Short-Term'!N25</x:f>
        <x:v>213309.73046979716</x:v>
      </x:c>
      <x:c r="O25" s="35" t="n">
        <x:f>'CF Short-Term'!O25+'MK Short-Term'!O25</x:f>
        <x:v>173172.516341125</x:v>
      </x:c>
      <x:c r="P25" s="35" t="n">
        <x:f>'CF Short-Term'!P25+'MK Short-Term'!P25</x:f>
        <x:v>162895.18724077696</x:v>
      </x:c>
      <x:c r="Q25" s="35" t="n">
        <x:f>'CF Short-Term'!Q25+'MK Short-Term'!Q25</x:f>
        <x:v>162895.18724077742</x:v>
      </x:c>
      <x:c r="R25" s="35" t="n">
        <x:f>'CF Short-Term'!R25+'MK Short-Term'!R25</x:f>
        <x:v>162895.18724077742</x:v>
      </x:c>
      <x:c r="S25" s="35" t="n">
        <x:f>'CF Short-Term'!S25+'MK Short-Term'!S25</x:f>
        <x:v>162895.18724077742</x:v>
      </x:c>
      <x:c r="T25" s="35" t="n">
        <x:f>'CF Short-Term'!T25+'MK Short-Term'!T25</x:f>
        <x:v>162895.18724077742</x:v>
      </x:c>
      <x:c r="U25" s="35" t="n">
        <x:f>'CF Short-Term'!U25+'MK Short-Term'!U25</x:f>
        <x:v>162895.18724077742</x:v>
      </x:c>
      <x:c r="V25" s="35" t="n">
        <x:f>'CF Short-Term'!V25+'MK Short-Term'!V25</x:f>
        <x:v>162895.18724077742</x:v>
      </x:c>
      <x:c r="W25" s="35" t="n">
        <x:f>'CF Short-Term'!W25+'MK Short-Term'!W25</x:f>
        <x:v>162895.18724077742</x:v>
      </x:c>
      <x:c r="X25" s="35" t="n">
        <x:f>'CF Short-Term'!X25+'MK Short-Term'!X25</x:f>
        <x:v>162895.18724077742</x:v>
      </x:c>
      <x:c r="Y25" s="35" t="n">
        <x:f>'CF Short-Term'!Y25+'MK Short-Term'!Y25</x:f>
        <x:v>162895.18724077742</x:v>
      </x:c>
      <x:c r="Z25" s="35" t="n">
        <x:f>'CF Short-Term'!Z25+'MK Short-Term'!Z25</x:f>
        <x:v>162895.18724077742</x:v>
      </x:c>
      <x:c r="AA25" s="35" t="n">
        <x:f>'CF Short-Term'!AA25+'MK Short-Term'!AA25</x:f>
        <x:v>162895.18724077742</x:v>
      </x:c>
      <x:c r="AB25" s="35" t="n">
        <x:f>'CF Short-Term'!AB25+'MK Short-Term'!AB25</x:f>
        <x:v>162895.18724077742</x:v>
      </x:c>
      <x:c r="AC25" s="35" t="n">
        <x:f>'CF Short-Term'!AC25+'MK Short-Term'!AC25</x:f>
        <x:v>162895.18724077742</x:v>
      </x:c>
      <x:c r="AD25" s="35" t="n">
        <x:f>'CF Short-Term'!AD25+'MK Short-Term'!AD25</x:f>
        <x:v>162895.18724077742</x:v>
      </x:c>
      <x:c r="AE25" s="35" t="n">
        <x:f>'CF Short-Term'!AE25+'MK Short-Term'!AE25</x:f>
        <x:v>162895.18724077742</x:v>
      </x:c>
      <x:c r="AF25" s="35" t="n">
        <x:f>'CF Short-Term'!AF25+'MK Short-Term'!AF25</x:f>
        <x:v>162895.18724077742</x:v>
      </x:c>
      <x:c r="AG25" s="35" t="n">
        <x:f>'CF Short-Term'!AG25+'MK Short-Term'!AG25</x:f>
        <x:v>162895.18724077742</x:v>
      </x:c>
      <x:c r="AH25" s="35" t="n">
        <x:f>'CF Short-Term'!AH25+'MK Short-Term'!AH25</x:f>
        <x:v>162895.18724077742</x:v>
      </x:c>
      <x:c r="AI25" s="35" t="n">
        <x:f>'CF Short-Term'!AI25+'MK Short-Term'!AI25</x:f>
        <x:v>162895.18724077742</x:v>
      </x:c>
      <x:c r="AJ25" s="35" t="n">
        <x:f>'CF Short-Term'!AJ25+'MK Short-Term'!AJ25</x:f>
        <x:v>162895.18724077742</x:v>
      </x:c>
      <x:c r="AK25" s="35" t="n">
        <x:f>'CF Short-Term'!AK25+'MK Short-Term'!AK25</x:f>
        <x:v>162895.18724077742</x:v>
      </x:c>
      <x:c r="AL25" s="35" t="n">
        <x:f>'CF Short-Term'!AL25+'MK Short-Term'!AL25</x:f>
        <x:v>162895.18724077742</x:v>
      </x:c>
      <x:c r="AM25" s="35" t="n">
        <x:f>'CF Short-Term'!AM25+'MK Short-Term'!AM25</x:f>
        <x:v>162895.18724077742</x:v>
      </x:c>
      <x:c r="AN25" s="35" t="n">
        <x:f>'CF Short-Term'!AN25+'MK Short-Term'!AN25</x:f>
        <x:v>162895.18724077742</x:v>
      </x:c>
      <x:c r="AO25" s="35" t="n">
        <x:f>'CF Short-Term'!AO25+'MK Short-Term'!AO25</x:f>
        <x:v>162895.18724077742</x:v>
      </x:c>
      <x:c r="AP25" s="35" t="n">
        <x:f>'CF Short-Term'!AP25+'MK Short-Term'!AP25</x:f>
        <x:v>162895.18724077742</x:v>
      </x:c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</x:row>
    <x:row r="26" ht="19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</x:row>
    <x:row r="27" ht="19" customHeight="1">
      <x:c r="A27" s="1"/>
      <x:c r="B27" s="1"/>
      <x:c r="C27" s="2" t="str">
        <x:v>Opening-book charge-offs</x:v>
      </x:c>
      <x:c r="D27" s="2"/>
      <x:c r="E27" s="35" t="n">
        <x:f>SUMIFS(G27:AP27,$G$6:$AP$6,"&lt;="&amp;'Assumptions'!$E$7)</x:f>
        <x:v>57524621.93525449</x:v>
      </x:c>
      <x:c r="F27" s="2"/>
      <x:c r="G27" s="35" t="n">
        <x:f>'CF Short-Term'!G27+'MK Short-Term'!G27</x:f>
        <x:v>29832197.8886107</x:v>
      </x:c>
      <x:c r="H27" s="35" t="n">
        <x:f>'CF Short-Term'!H27+'MK Short-Term'!H27</x:f>
        <x:v>13691694.552384693</x:v>
      </x:c>
      <x:c r="I27" s="35" t="n">
        <x:f>'CF Short-Term'!I27+'MK Short-Term'!I27</x:f>
        <x:v>6935684.815229347</x:v>
      </x:c>
      <x:c r="J27" s="35" t="n">
        <x:f>'CF Short-Term'!J27+'MK Short-Term'!J27</x:f>
        <x:v>3596677.535101082</x:v>
      </x:c>
      <x:c r="K27" s="35" t="n">
        <x:f>'CF Short-Term'!K27+'MK Short-Term'!K27</x:f>
        <x:v>1841187.2821580106</x:v>
      </x:c>
      <x:c r="L27" s="35" t="n">
        <x:f>'CF Short-Term'!L27+'MK Short-Term'!L27</x:f>
        <x:v>888411.2387213482</x:v>
      </x:c>
      <x:c r="M27" s="35" t="n">
        <x:f>'CF Short-Term'!M27+'MK Short-Term'!M27</x:f>
        <x:v>456644.0925386682</x:v>
      </x:c>
      <x:c r="N27" s="35" t="n">
        <x:f>'CF Short-Term'!N27+'MK Short-Term'!N27</x:f>
        <x:v>212601.36899185297</x:v>
      </x:c>
      <x:c r="O27" s="35" t="n">
        <x:f>'CF Short-Term'!O27+'MK Short-Term'!O27</x:f>
        <x:v>69523.16151879089</x:v>
      </x:c>
      <x:c r="P27" s="35" t="n">
        <x:f>'CF Short-Term'!P27+'MK Short-Term'!P27</x:f>
        <x:v>0</x:v>
      </x:c>
      <x:c r="Q27" s="35" t="n">
        <x:f>'CF Short-Term'!Q27+'MK Short-Term'!Q27</x:f>
        <x:v>0</x:v>
      </x:c>
      <x:c r="R27" s="35" t="n">
        <x:f>'CF Short-Term'!R27+'MK Short-Term'!R27</x:f>
        <x:v>0</x:v>
      </x:c>
      <x:c r="S27" s="35" t="n">
        <x:f>'CF Short-Term'!S27+'MK Short-Term'!S27</x:f>
        <x:v>0</x:v>
      </x:c>
      <x:c r="T27" s="35" t="n">
        <x:f>'CF Short-Term'!T27+'MK Short-Term'!T27</x:f>
        <x:v>0</x:v>
      </x:c>
      <x:c r="U27" s="35" t="n">
        <x:f>'CF Short-Term'!U27+'MK Short-Term'!U27</x:f>
        <x:v>0</x:v>
      </x:c>
      <x:c r="V27" s="35" t="n">
        <x:f>'CF Short-Term'!V27+'MK Short-Term'!V27</x:f>
        <x:v>0</x:v>
      </x:c>
      <x:c r="W27" s="35" t="n">
        <x:f>'CF Short-Term'!W27+'MK Short-Term'!W27</x:f>
        <x:v>0</x:v>
      </x:c>
      <x:c r="X27" s="35" t="n">
        <x:f>'CF Short-Term'!X27+'MK Short-Term'!X27</x:f>
        <x:v>0</x:v>
      </x:c>
      <x:c r="Y27" s="35" t="n">
        <x:f>'CF Short-Term'!Y27+'MK Short-Term'!Y27</x:f>
        <x:v>0</x:v>
      </x:c>
      <x:c r="Z27" s="35" t="n">
        <x:f>'CF Short-Term'!Z27+'MK Short-Term'!Z27</x:f>
        <x:v>0</x:v>
      </x:c>
      <x:c r="AA27" s="35" t="n">
        <x:f>'CF Short-Term'!AA27+'MK Short-Term'!AA27</x:f>
        <x:v>0</x:v>
      </x:c>
      <x:c r="AB27" s="35" t="n">
        <x:f>'CF Short-Term'!AB27+'MK Short-Term'!AB27</x:f>
        <x:v>0</x:v>
      </x:c>
      <x:c r="AC27" s="35" t="n">
        <x:f>'CF Short-Term'!AC27+'MK Short-Term'!AC27</x:f>
        <x:v>0</x:v>
      </x:c>
      <x:c r="AD27" s="35" t="n">
        <x:f>'CF Short-Term'!AD27+'MK Short-Term'!AD27</x:f>
        <x:v>0</x:v>
      </x:c>
      <x:c r="AE27" s="35" t="n">
        <x:f>'CF Short-Term'!AE27+'MK Short-Term'!AE27</x:f>
        <x:v>0</x:v>
      </x:c>
      <x:c r="AF27" s="35" t="n">
        <x:f>'CF Short-Term'!AF27+'MK Short-Term'!AF27</x:f>
        <x:v>0</x:v>
      </x:c>
      <x:c r="AG27" s="35" t="n">
        <x:f>'CF Short-Term'!AG27+'MK Short-Term'!AG27</x:f>
        <x:v>0</x:v>
      </x:c>
      <x:c r="AH27" s="35" t="n">
        <x:f>'CF Short-Term'!AH27+'MK Short-Term'!AH27</x:f>
        <x:v>0</x:v>
      </x:c>
      <x:c r="AI27" s="35" t="n">
        <x:f>'CF Short-Term'!AI27+'MK Short-Term'!AI27</x:f>
        <x:v>0</x:v>
      </x:c>
      <x:c r="AJ27" s="35" t="n">
        <x:f>'CF Short-Term'!AJ27+'MK Short-Term'!AJ27</x:f>
        <x:v>0</x:v>
      </x:c>
      <x:c r="AK27" s="35" t="n">
        <x:f>'CF Short-Term'!AK27+'MK Short-Term'!AK27</x:f>
        <x:v>0</x:v>
      </x:c>
      <x:c r="AL27" s="35" t="n">
        <x:f>'CF Short-Term'!AL27+'MK Short-Term'!AL27</x:f>
        <x:v>0</x:v>
      </x:c>
      <x:c r="AM27" s="35" t="n">
        <x:f>'CF Short-Term'!AM27+'MK Short-Term'!AM27</x:f>
        <x:v>0</x:v>
      </x:c>
      <x:c r="AN27" s="35" t="n">
        <x:f>'CF Short-Term'!AN27+'MK Short-Term'!AN27</x:f>
        <x:v>0</x:v>
      </x:c>
      <x:c r="AO27" s="35" t="n">
        <x:f>'CF Short-Term'!AO27+'MK Short-Term'!AO27</x:f>
        <x:v>0</x:v>
      </x:c>
      <x:c r="AP27" s="35" t="n">
        <x:f>'CF Short-Term'!AP27+'MK Short-Term'!AP27</x:f>
        <x:v>0</x:v>
      </x:c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</x:row>
    <x:row r="28" ht="19" customHeight="1">
      <x:c r="A28" s="1"/>
      <x:c r="B28" s="1"/>
      <x:c r="C28" s="2" t="str">
        <x:v>New-book charge-offs</x:v>
      </x:c>
      <x:c r="D28" s="2"/>
      <x:c r="E28" s="35" t="n">
        <x:f>SUMIFS(G28:AP28,$G$6:$AP$6,"&lt;="&amp;'Assumptions'!$E$7)</x:f>
        <x:v>58218797.07143043</x:v>
      </x:c>
      <x:c r="F28" s="2"/>
      <x:c r="G28" s="35" t="n">
        <x:f>'CF Short-Term'!G28+'MK Short-Term'!G28</x:f>
        <x:v>0</x:v>
      </x:c>
      <x:c r="H28" s="35" t="n">
        <x:f>'CF Short-Term'!H28+'MK Short-Term'!H28</x:f>
        <x:v>907502.685994524</x:v>
      </x:c>
      <x:c r="I28" s="35" t="n">
        <x:f>'CF Short-Term'!I28+'MK Short-Term'!I28</x:f>
        <x:v>1539900.2654271233</x:v>
      </x:c>
      <x:c r="J28" s="35" t="n">
        <x:f>'CF Short-Term'!J28+'MK Short-Term'!J28</x:f>
        <x:v>1965884.3564238716</x:v>
      </x:c>
      <x:c r="K28" s="35" t="n">
        <x:f>'CF Short-Term'!K28+'MK Short-Term'!K28</x:f>
        <x:v>2264036.5563850375</x:v>
      </x:c>
      <x:c r="L28" s="35" t="n">
        <x:f>'CF Short-Term'!L28+'MK Short-Term'!L28</x:f>
        <x:v>2475751.8394588483</x:v>
      </x:c>
      <x:c r="M28" s="35" t="n">
        <x:f>'CF Short-Term'!M28+'MK Short-Term'!M28</x:f>
        <x:v>2582389.1186738485</x:v>
      </x:c>
      <x:c r="N28" s="35" t="n">
        <x:f>'CF Short-Term'!N28+'MK Short-Term'!N28</x:f>
        <x:v>2654293.4302615514</x:v>
      </x:c>
      <x:c r="O28" s="35" t="n">
        <x:f>'CF Short-Term'!O28+'MK Short-Term'!O28</x:f>
        <x:v>2708332.443324218</x:v>
      </x:c>
      <x:c r="P28" s="35" t="n">
        <x:f>'CF Short-Term'!P28+'MK Short-Term'!P28</x:f>
        <x:v>2741380.425032094</x:v>
      </x:c>
      <x:c r="Q28" s="35" t="n">
        <x:f>'CF Short-Term'!Q28+'MK Short-Term'!Q28</x:f>
        <x:v>2741380.425032094</x:v>
      </x:c>
      <x:c r="R28" s="35" t="n">
        <x:f>'CF Short-Term'!R28+'MK Short-Term'!R28</x:f>
        <x:v>2741380.425032094</x:v>
      </x:c>
      <x:c r="S28" s="35" t="n">
        <x:f>'CF Short-Term'!S28+'MK Short-Term'!S28</x:f>
        <x:v>2741380.425032094</x:v>
      </x:c>
      <x:c r="T28" s="35" t="n">
        <x:f>'CF Short-Term'!T28+'MK Short-Term'!T28</x:f>
        <x:v>2741380.425032094</x:v>
      </x:c>
      <x:c r="U28" s="35" t="n">
        <x:f>'CF Short-Term'!U28+'MK Short-Term'!U28</x:f>
        <x:v>2741380.425032094</x:v>
      </x:c>
      <x:c r="V28" s="35" t="n">
        <x:f>'CF Short-Term'!V28+'MK Short-Term'!V28</x:f>
        <x:v>2741380.425032094</x:v>
      </x:c>
      <x:c r="W28" s="35" t="n">
        <x:f>'CF Short-Term'!W28+'MK Short-Term'!W28</x:f>
        <x:v>2741380.425032094</x:v>
      </x:c>
      <x:c r="X28" s="35" t="n">
        <x:f>'CF Short-Term'!X28+'MK Short-Term'!X28</x:f>
        <x:v>2741380.425032094</x:v>
      </x:c>
      <x:c r="Y28" s="35" t="n">
        <x:f>'CF Short-Term'!Y28+'MK Short-Term'!Y28</x:f>
        <x:v>2741380.425032094</x:v>
      </x:c>
      <x:c r="Z28" s="35" t="n">
        <x:f>'CF Short-Term'!Z28+'MK Short-Term'!Z28</x:f>
        <x:v>2741380.425032094</x:v>
      </x:c>
      <x:c r="AA28" s="35" t="n">
        <x:f>'CF Short-Term'!AA28+'MK Short-Term'!AA28</x:f>
        <x:v>2741380.425032094</x:v>
      </x:c>
      <x:c r="AB28" s="35" t="n">
        <x:f>'CF Short-Term'!AB28+'MK Short-Term'!AB28</x:f>
        <x:v>2741380.425032094</x:v>
      </x:c>
      <x:c r="AC28" s="35" t="n">
        <x:f>'CF Short-Term'!AC28+'MK Short-Term'!AC28</x:f>
        <x:v>2741380.425032094</x:v>
      </x:c>
      <x:c r="AD28" s="35" t="n">
        <x:f>'CF Short-Term'!AD28+'MK Short-Term'!AD28</x:f>
        <x:v>2741380.425032094</x:v>
      </x:c>
      <x:c r="AE28" s="35" t="n">
        <x:f>'CF Short-Term'!AE28+'MK Short-Term'!AE28</x:f>
        <x:v>2741380.425032094</x:v>
      </x:c>
      <x:c r="AF28" s="35" t="n">
        <x:f>'CF Short-Term'!AF28+'MK Short-Term'!AF28</x:f>
        <x:v>2741380.425032094</x:v>
      </x:c>
      <x:c r="AG28" s="35" t="n">
        <x:f>'CF Short-Term'!AG28+'MK Short-Term'!AG28</x:f>
        <x:v>2741380.425032094</x:v>
      </x:c>
      <x:c r="AH28" s="35" t="n">
        <x:f>'CF Short-Term'!AH28+'MK Short-Term'!AH28</x:f>
        <x:v>2741380.425032094</x:v>
      </x:c>
      <x:c r="AI28" s="35" t="n">
        <x:f>'CF Short-Term'!AI28+'MK Short-Term'!AI28</x:f>
        <x:v>2741380.425032094</x:v>
      </x:c>
      <x:c r="AJ28" s="35" t="n">
        <x:f>'CF Short-Term'!AJ28+'MK Short-Term'!AJ28</x:f>
        <x:v>2741380.425032094</x:v>
      </x:c>
      <x:c r="AK28" s="35" t="n">
        <x:f>'CF Short-Term'!AK28+'MK Short-Term'!AK28</x:f>
        <x:v>2741380.425032094</x:v>
      </x:c>
      <x:c r="AL28" s="35" t="n">
        <x:f>'CF Short-Term'!AL28+'MK Short-Term'!AL28</x:f>
        <x:v>2741380.425032094</x:v>
      </x:c>
      <x:c r="AM28" s="35" t="n">
        <x:f>'CF Short-Term'!AM28+'MK Short-Term'!AM28</x:f>
        <x:v>2741380.425032094</x:v>
      </x:c>
      <x:c r="AN28" s="35" t="n">
        <x:f>'CF Short-Term'!AN28+'MK Short-Term'!AN28</x:f>
        <x:v>2741380.425032094</x:v>
      </x:c>
      <x:c r="AO28" s="35" t="n">
        <x:f>'CF Short-Term'!AO28+'MK Short-Term'!AO28</x:f>
        <x:v>2741380.425032094</x:v>
      </x:c>
      <x:c r="AP28" s="35" t="n">
        <x:f>'CF Short-Term'!AP28+'MK Short-Term'!AP28</x:f>
        <x:v>2741380.425032094</x:v>
      </x:c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</x:row>
    <x:row r="29" ht="19" customHeight="1">
      <x:c r="A29" s="1"/>
      <x:c r="B29" s="1"/>
      <x:c r="C29" s="2" t="str">
        <x:v>Opening-book repayments</x:v>
      </x:c>
      <x:c r="D29" s="2"/>
      <x:c r="E29" s="35" t="n">
        <x:f>SUMIFS(G29:AP29,$G$6:$AP$6,"&lt;="&amp;'Assumptions'!$E$7)</x:f>
        <x:v>198075378.06474558</x:v>
      </x:c>
      <x:c r="F29" s="2"/>
      <x:c r="G29" s="35" t="n">
        <x:f>'CF Short-Term'!G29+'MK Short-Term'!G29</x:f>
        <x:v>98260551.12323037</x:v>
      </x:c>
      <x:c r="H29" s="35" t="n">
        <x:f>'CF Short-Term'!H29+'MK Short-Term'!H29</x:f>
        <x:v>47665718.50653136</x:v>
      </x:c>
      <x:c r="I29" s="35" t="n">
        <x:f>'CF Short-Term'!I29+'MK Short-Term'!I29</x:f>
        <x:v>25183056.319056</x:v>
      </x:c>
      <x:c r="J29" s="35" t="n">
        <x:f>'CF Short-Term'!J29+'MK Short-Term'!J29</x:f>
        <x:v>13477341.85657571</x:v>
      </x:c>
      <x:c r="K29" s="35" t="n">
        <x:f>'CF Short-Term'!K29+'MK Short-Term'!K29</x:f>
        <x:v>7107486.009169851</x:v>
      </x:c>
      <x:c r="L29" s="35" t="n">
        <x:f>'CF Short-Term'!L29+'MK Short-Term'!L29</x:f>
        <x:v>3614045.591682584</x:v>
      </x:c>
      <x:c r="M29" s="35" t="n">
        <x:f>'CF Short-Term'!M29+'MK Short-Term'!M29</x:f>
        <x:v>1773649.7774076082</x:v>
      </x:c>
      <x:c r="N29" s="35" t="n">
        <x:f>'CF Short-Term'!N29+'MK Short-Term'!N29</x:f>
        <x:v>758460.843682783</x:v>
      </x:c>
      <x:c r="O29" s="35" t="n">
        <x:f>'CF Short-Term'!O29+'MK Short-Term'!O29</x:f>
        <x:v>235068.03740931215</x:v>
      </x:c>
      <x:c r="P29" s="35" t="n">
        <x:f>'CF Short-Term'!P29+'MK Short-Term'!P29</x:f>
        <x:v>0</x:v>
      </x:c>
      <x:c r="Q29" s="35" t="n">
        <x:f>'CF Short-Term'!Q29+'MK Short-Term'!Q29</x:f>
        <x:v>0</x:v>
      </x:c>
      <x:c r="R29" s="35" t="n">
        <x:f>'CF Short-Term'!R29+'MK Short-Term'!R29</x:f>
        <x:v>0</x:v>
      </x:c>
      <x:c r="S29" s="35" t="n">
        <x:f>'CF Short-Term'!S29+'MK Short-Term'!S29</x:f>
        <x:v>0</x:v>
      </x:c>
      <x:c r="T29" s="35" t="n">
        <x:f>'CF Short-Term'!T29+'MK Short-Term'!T29</x:f>
        <x:v>0</x:v>
      </x:c>
      <x:c r="U29" s="35" t="n">
        <x:f>'CF Short-Term'!U29+'MK Short-Term'!U29</x:f>
        <x:v>0</x:v>
      </x:c>
      <x:c r="V29" s="35" t="n">
        <x:f>'CF Short-Term'!V29+'MK Short-Term'!V29</x:f>
        <x:v>0</x:v>
      </x:c>
      <x:c r="W29" s="35" t="n">
        <x:f>'CF Short-Term'!W29+'MK Short-Term'!W29</x:f>
        <x:v>0</x:v>
      </x:c>
      <x:c r="X29" s="35" t="n">
        <x:f>'CF Short-Term'!X29+'MK Short-Term'!X29</x:f>
        <x:v>0</x:v>
      </x:c>
      <x:c r="Y29" s="35" t="n">
        <x:f>'CF Short-Term'!Y29+'MK Short-Term'!Y29</x:f>
        <x:v>0</x:v>
      </x:c>
      <x:c r="Z29" s="35" t="n">
        <x:f>'CF Short-Term'!Z29+'MK Short-Term'!Z29</x:f>
        <x:v>0</x:v>
      </x:c>
      <x:c r="AA29" s="35" t="n">
        <x:f>'CF Short-Term'!AA29+'MK Short-Term'!AA29</x:f>
        <x:v>0</x:v>
      </x:c>
      <x:c r="AB29" s="35" t="n">
        <x:f>'CF Short-Term'!AB29+'MK Short-Term'!AB29</x:f>
        <x:v>0</x:v>
      </x:c>
      <x:c r="AC29" s="35" t="n">
        <x:f>'CF Short-Term'!AC29+'MK Short-Term'!AC29</x:f>
        <x:v>0</x:v>
      </x:c>
      <x:c r="AD29" s="35" t="n">
        <x:f>'CF Short-Term'!AD29+'MK Short-Term'!AD29</x:f>
        <x:v>0</x:v>
      </x:c>
      <x:c r="AE29" s="35" t="n">
        <x:f>'CF Short-Term'!AE29+'MK Short-Term'!AE29</x:f>
        <x:v>0</x:v>
      </x:c>
      <x:c r="AF29" s="35" t="n">
        <x:f>'CF Short-Term'!AF29+'MK Short-Term'!AF29</x:f>
        <x:v>0</x:v>
      </x:c>
      <x:c r="AG29" s="35" t="n">
        <x:f>'CF Short-Term'!AG29+'MK Short-Term'!AG29</x:f>
        <x:v>0</x:v>
      </x:c>
      <x:c r="AH29" s="35" t="n">
        <x:f>'CF Short-Term'!AH29+'MK Short-Term'!AH29</x:f>
        <x:v>0</x:v>
      </x:c>
      <x:c r="AI29" s="35" t="n">
        <x:f>'CF Short-Term'!AI29+'MK Short-Term'!AI29</x:f>
        <x:v>0</x:v>
      </x:c>
      <x:c r="AJ29" s="35" t="n">
        <x:f>'CF Short-Term'!AJ29+'MK Short-Term'!AJ29</x:f>
        <x:v>0</x:v>
      </x:c>
      <x:c r="AK29" s="35" t="n">
        <x:f>'CF Short-Term'!AK29+'MK Short-Term'!AK29</x:f>
        <x:v>0</x:v>
      </x:c>
      <x:c r="AL29" s="35" t="n">
        <x:f>'CF Short-Term'!AL29+'MK Short-Term'!AL29</x:f>
        <x:v>0</x:v>
      </x:c>
      <x:c r="AM29" s="35" t="n">
        <x:f>'CF Short-Term'!AM29+'MK Short-Term'!AM29</x:f>
        <x:v>0</x:v>
      </x:c>
      <x:c r="AN29" s="35" t="n">
        <x:f>'CF Short-Term'!AN29+'MK Short-Term'!AN29</x:f>
        <x:v>0</x:v>
      </x:c>
      <x:c r="AO29" s="35" t="n">
        <x:f>'CF Short-Term'!AO29+'MK Short-Term'!AO29</x:f>
        <x:v>0</x:v>
      </x:c>
      <x:c r="AP29" s="35" t="n">
        <x:f>'CF Short-Term'!AP29+'MK Short-Term'!AP29</x:f>
        <x:v>0</x:v>
      </x:c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</x:row>
    <x:row r="30" ht="19" customHeight="1">
      <x:c r="A30" s="1"/>
      <x:c r="B30" s="1"/>
      <x:c r="C30" s="2" t="str">
        <x:v>New-book repayments</x:v>
      </x:c>
      <x:c r="D30" s="2"/>
      <x:c r="E30" s="35" t="n">
        <x:f>SUMIFS(G30:AP30,$G$6:$AP$6,"&lt;="&amp;'Assumptions'!$E$7)</x:f>
        <x:v>228188515.15626284</x:v>
      </x:c>
      <x:c r="F30" s="2"/>
      <x:c r="G30" s="35" t="n">
        <x:f>'CF Short-Term'!G30+'MK Short-Term'!G30</x:f>
        <x:v>0</x:v>
      </x:c>
      <x:c r="H30" s="35" t="n">
        <x:f>'CF Short-Term'!H30+'MK Short-Term'!H30</x:f>
        <x:v>3513456.215976233</x:v>
      </x:c>
      <x:c r="I30" s="35" t="n">
        <x:f>'CF Short-Term'!I30+'MK Short-Term'!I30</x:f>
        <x:v>5956070.362684801</x:v>
      </x:c>
      <x:c r="J30" s="35" t="n">
        <x:f>'CF Short-Term'!J30+'MK Short-Term'!J30</x:f>
        <x:v>7663963.65823534</x:v>
      </x:c>
      <x:c r="K30" s="35" t="n">
        <x:f>'CF Short-Term'!K30+'MK Short-Term'!K30</x:f>
        <x:v>8838345.676257303</x:v>
      </x:c>
      <x:c r="L30" s="35" t="n">
        <x:f>'CF Short-Term'!L30+'MK Short-Term'!L30</x:f>
        <x:v>9625338.912486685</x:v>
      </x:c>
      <x:c r="M30" s="35" t="n">
        <x:f>'CF Short-Term'!M30+'MK Short-Term'!M30</x:f>
        <x:v>10119837.098322961</x:v>
      </x:c>
      <x:c r="N30" s="35" t="n">
        <x:f>'CF Short-Term'!N30+'MK Short-Term'!N30</x:f>
        <x:v>10445330.121018274</x:v>
      </x:c>
      <x:c r="O30" s="35" t="n">
        <x:f>'CF Short-Term'!O30+'MK Short-Term'!O30</x:f>
        <x:v>10646879.486762775</x:v>
      </x:c>
      <x:c r="P30" s="35" t="n">
        <x:f>'CF Short-Term'!P30+'MK Short-Term'!P30</x:f>
        <x:v>10758619.574967904</x:v>
      </x:c>
      <x:c r="Q30" s="35" t="n">
        <x:f>'CF Short-Term'!Q30+'MK Short-Term'!Q30</x:f>
        <x:v>10758619.574967904</x:v>
      </x:c>
      <x:c r="R30" s="35" t="n">
        <x:f>'CF Short-Term'!R30+'MK Short-Term'!R30</x:f>
        <x:v>10758619.574967904</x:v>
      </x:c>
      <x:c r="S30" s="35" t="n">
        <x:f>'CF Short-Term'!S30+'MK Short-Term'!S30</x:f>
        <x:v>10758619.574967904</x:v>
      </x:c>
      <x:c r="T30" s="35" t="n">
        <x:f>'CF Short-Term'!T30+'MK Short-Term'!T30</x:f>
        <x:v>10758619.574967904</x:v>
      </x:c>
      <x:c r="U30" s="35" t="n">
        <x:f>'CF Short-Term'!U30+'MK Short-Term'!U30</x:f>
        <x:v>10758619.574967904</x:v>
      </x:c>
      <x:c r="V30" s="35" t="n">
        <x:f>'CF Short-Term'!V30+'MK Short-Term'!V30</x:f>
        <x:v>10758619.574967904</x:v>
      </x:c>
      <x:c r="W30" s="35" t="n">
        <x:f>'CF Short-Term'!W30+'MK Short-Term'!W30</x:f>
        <x:v>10758619.574967904</x:v>
      </x:c>
      <x:c r="X30" s="35" t="n">
        <x:f>'CF Short-Term'!X30+'MK Short-Term'!X30</x:f>
        <x:v>10758619.574967904</x:v>
      </x:c>
      <x:c r="Y30" s="35" t="n">
        <x:f>'CF Short-Term'!Y30+'MK Short-Term'!Y30</x:f>
        <x:v>10758619.574967904</x:v>
      </x:c>
      <x:c r="Z30" s="35" t="n">
        <x:f>'CF Short-Term'!Z30+'MK Short-Term'!Z30</x:f>
        <x:v>10758619.574967904</x:v>
      </x:c>
      <x:c r="AA30" s="35" t="n">
        <x:f>'CF Short-Term'!AA30+'MK Short-Term'!AA30</x:f>
        <x:v>10758619.574967904</x:v>
      </x:c>
      <x:c r="AB30" s="35" t="n">
        <x:f>'CF Short-Term'!AB30+'MK Short-Term'!AB30</x:f>
        <x:v>10758619.574967904</x:v>
      </x:c>
      <x:c r="AC30" s="35" t="n">
        <x:f>'CF Short-Term'!AC30+'MK Short-Term'!AC30</x:f>
        <x:v>10758619.574967904</x:v>
      </x:c>
      <x:c r="AD30" s="35" t="n">
        <x:f>'CF Short-Term'!AD30+'MK Short-Term'!AD30</x:f>
        <x:v>10758619.574967904</x:v>
      </x:c>
      <x:c r="AE30" s="35" t="n">
        <x:f>'CF Short-Term'!AE30+'MK Short-Term'!AE30</x:f>
        <x:v>10758619.574967904</x:v>
      </x:c>
      <x:c r="AF30" s="35" t="n">
        <x:f>'CF Short-Term'!AF30+'MK Short-Term'!AF30</x:f>
        <x:v>10758619.574967904</x:v>
      </x:c>
      <x:c r="AG30" s="35" t="n">
        <x:f>'CF Short-Term'!AG30+'MK Short-Term'!AG30</x:f>
        <x:v>10758619.574967904</x:v>
      </x:c>
      <x:c r="AH30" s="35" t="n">
        <x:f>'CF Short-Term'!AH30+'MK Short-Term'!AH30</x:f>
        <x:v>10758619.574967904</x:v>
      </x:c>
      <x:c r="AI30" s="35" t="n">
        <x:f>'CF Short-Term'!AI30+'MK Short-Term'!AI30</x:f>
        <x:v>10758619.574967904</x:v>
      </x:c>
      <x:c r="AJ30" s="35" t="n">
        <x:f>'CF Short-Term'!AJ30+'MK Short-Term'!AJ30</x:f>
        <x:v>10758619.574967904</x:v>
      </x:c>
      <x:c r="AK30" s="35" t="n">
        <x:f>'CF Short-Term'!AK30+'MK Short-Term'!AK30</x:f>
        <x:v>10758619.574967904</x:v>
      </x:c>
      <x:c r="AL30" s="35" t="n">
        <x:f>'CF Short-Term'!AL30+'MK Short-Term'!AL30</x:f>
        <x:v>10758619.574967904</x:v>
      </x:c>
      <x:c r="AM30" s="35" t="n">
        <x:f>'CF Short-Term'!AM30+'MK Short-Term'!AM30</x:f>
        <x:v>10758619.574967904</x:v>
      </x:c>
      <x:c r="AN30" s="35" t="n">
        <x:f>'CF Short-Term'!AN30+'MK Short-Term'!AN30</x:f>
        <x:v>10758619.574967904</x:v>
      </x:c>
      <x:c r="AO30" s="35" t="n">
        <x:f>'CF Short-Term'!AO30+'MK Short-Term'!AO30</x:f>
        <x:v>10758619.574967904</x:v>
      </x:c>
      <x:c r="AP30" s="35" t="n">
        <x:f>'CF Short-Term'!AP30+'MK Short-Term'!AP30</x:f>
        <x:v>10758619.574967904</x:v>
      </x:c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</x:row>
    <x:row r="31" ht="19" customHeight="1">
      <x:c r="A31" s="1"/>
      <x:c r="B31" s="1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</x:row>
    <x:row r="32" ht="19" customHeight="1">
      <x:c r="A32" s="1"/>
      <x:c r="B32" s="1"/>
      <x:c r="C32" s="2" t="str">
        <x:v>Opening-book revenue</x:v>
      </x:c>
      <x:c r="D32" s="2"/>
      <x:c r="E32" s="35" t="n">
        <x:f>SUMIFS(G32:AP32,$G$6:$AP$6,"&lt;="&amp;'Assumptions'!$E$7)</x:f>
        <x:v>37984603.098701395</x:v>
      </x:c>
      <x:c r="F32" s="2"/>
      <x:c r="G32" s="35" t="n">
        <x:f>'CF Short-Term'!G32+'MK Short-Term'!G32</x:f>
        <x:v>18813983.50928244</x:v>
      </x:c>
      <x:c r="H32" s="35" t="n">
        <x:f>'CF Short-Term'!H32+'MK Short-Term'!H32</x:f>
        <x:v>9484629.702981185</x:v>
      </x:c>
      <x:c r="I32" s="35" t="n">
        <x:f>'CF Short-Term'!I32+'MK Short-Term'!I32</x:f>
        <x:v>4934512.7595011275</x:v>
      </x:c>
      <x:c r="J32" s="35" t="n">
        <x:f>'CF Short-Term'!J32+'MK Short-Term'!J32</x:f>
        <x:v>2536201.604988037</x:v>
      </x:c>
      <x:c r="K32" s="35" t="n">
        <x:f>'CF Short-Term'!K32+'MK Short-Term'!K32</x:f>
        <x:v>1259657.5100935604</x:v>
      </x:c>
      <x:c r="L32" s="35" t="n">
        <x:f>'CF Short-Term'!L32+'MK Short-Term'!L32</x:f>
        <x:v>593332.7394359604</x:v>
      </x:c>
      <x:c r="M32" s="35" t="n">
        <x:f>'CF Short-Term'!M32+'MK Short-Term'!M32</x:f>
        <x:v>254108.5990841894</x:v>
      </x:c>
      <x:c r="N32" s="35" t="n">
        <x:f>'CF Short-Term'!N32+'MK Short-Term'!N32</x:f>
        <x:v>88587.67021756762</x:v>
      </x:c>
      <x:c r="O32" s="35" t="n">
        <x:f>'CF Short-Term'!O32+'MK Short-Term'!O32</x:f>
        <x:v>19589.003117436463</x:v>
      </x:c>
      <x:c r="P32" s="35" t="n">
        <x:f>'CF Short-Term'!P32+'MK Short-Term'!P32</x:f>
        <x:v>-6.213667802512646e-9</x:v>
      </x:c>
      <x:c r="Q32" s="35" t="n">
        <x:f>'CF Short-Term'!Q32+'MK Short-Term'!Q32</x:f>
        <x:v>-6.213667802512646e-9</x:v>
      </x:c>
      <x:c r="R32" s="35" t="n">
        <x:f>'CF Short-Term'!R32+'MK Short-Term'!R32</x:f>
        <x:v>-6.213667802512646e-9</x:v>
      </x:c>
      <x:c r="S32" s="35" t="n">
        <x:f>'CF Short-Term'!S32+'MK Short-Term'!S32</x:f>
        <x:v>-6.213667802512646e-9</x:v>
      </x:c>
      <x:c r="T32" s="35" t="n">
        <x:f>'CF Short-Term'!T32+'MK Short-Term'!T32</x:f>
        <x:v>-6.213667802512646e-9</x:v>
      </x:c>
      <x:c r="U32" s="35" t="n">
        <x:f>'CF Short-Term'!U32+'MK Short-Term'!U32</x:f>
        <x:v>-6.213667802512646e-9</x:v>
      </x:c>
      <x:c r="V32" s="35" t="n">
        <x:f>'CF Short-Term'!V32+'MK Short-Term'!V32</x:f>
        <x:v>-6.213667802512646e-9</x:v>
      </x:c>
      <x:c r="W32" s="35" t="n">
        <x:f>'CF Short-Term'!W32+'MK Short-Term'!W32</x:f>
        <x:v>-6.213667802512646e-9</x:v>
      </x:c>
      <x:c r="X32" s="35" t="n">
        <x:f>'CF Short-Term'!X32+'MK Short-Term'!X32</x:f>
        <x:v>-6.213667802512646e-9</x:v>
      </x:c>
      <x:c r="Y32" s="35" t="n">
        <x:f>'CF Short-Term'!Y32+'MK Short-Term'!Y32</x:f>
        <x:v>-6.213667802512646e-9</x:v>
      </x:c>
      <x:c r="Z32" s="35" t="n">
        <x:f>'CF Short-Term'!Z32+'MK Short-Term'!Z32</x:f>
        <x:v>-6.213667802512646e-9</x:v>
      </x:c>
      <x:c r="AA32" s="35" t="n">
        <x:f>'CF Short-Term'!AA32+'MK Short-Term'!AA32</x:f>
        <x:v>-6.213667802512646e-9</x:v>
      </x:c>
      <x:c r="AB32" s="35" t="n">
        <x:f>'CF Short-Term'!AB32+'MK Short-Term'!AB32</x:f>
        <x:v>-6.213667802512646e-9</x:v>
      </x:c>
      <x:c r="AC32" s="35" t="n">
        <x:f>'CF Short-Term'!AC32+'MK Short-Term'!AC32</x:f>
        <x:v>-6.213667802512646e-9</x:v>
      </x:c>
      <x:c r="AD32" s="35" t="n">
        <x:f>'CF Short-Term'!AD32+'MK Short-Term'!AD32</x:f>
        <x:v>-6.213667802512646e-9</x:v>
      </x:c>
      <x:c r="AE32" s="35" t="n">
        <x:f>'CF Short-Term'!AE32+'MK Short-Term'!AE32</x:f>
        <x:v>-6.213667802512646e-9</x:v>
      </x:c>
      <x:c r="AF32" s="35" t="n">
        <x:f>'CF Short-Term'!AF32+'MK Short-Term'!AF32</x:f>
        <x:v>-6.213667802512646e-9</x:v>
      </x:c>
      <x:c r="AG32" s="35" t="n">
        <x:f>'CF Short-Term'!AG32+'MK Short-Term'!AG32</x:f>
        <x:v>-6.213667802512646e-9</x:v>
      </x:c>
      <x:c r="AH32" s="35" t="n">
        <x:f>'CF Short-Term'!AH32+'MK Short-Term'!AH32</x:f>
        <x:v>-6.213667802512646e-9</x:v>
      </x:c>
      <x:c r="AI32" s="35" t="n">
        <x:f>'CF Short-Term'!AI32+'MK Short-Term'!AI32</x:f>
        <x:v>-6.213667802512646e-9</x:v>
      </x:c>
      <x:c r="AJ32" s="35" t="n">
        <x:f>'CF Short-Term'!AJ32+'MK Short-Term'!AJ32</x:f>
        <x:v>-6.213667802512646e-9</x:v>
      </x:c>
      <x:c r="AK32" s="35" t="n">
        <x:f>'CF Short-Term'!AK32+'MK Short-Term'!AK32</x:f>
        <x:v>-6.213667802512646e-9</x:v>
      </x:c>
      <x:c r="AL32" s="35" t="n">
        <x:f>'CF Short-Term'!AL32+'MK Short-Term'!AL32</x:f>
        <x:v>-6.213667802512646e-9</x:v>
      </x:c>
      <x:c r="AM32" s="35" t="n">
        <x:f>'CF Short-Term'!AM32+'MK Short-Term'!AM32</x:f>
        <x:v>-6.213667802512646e-9</x:v>
      </x:c>
      <x:c r="AN32" s="35" t="n">
        <x:f>'CF Short-Term'!AN32+'MK Short-Term'!AN32</x:f>
        <x:v>-6.213667802512646e-9</x:v>
      </x:c>
      <x:c r="AO32" s="35" t="n">
        <x:f>'CF Short-Term'!AO32+'MK Short-Term'!AO32</x:f>
        <x:v>-6.213667802512646e-9</x:v>
      </x:c>
      <x:c r="AP32" s="35" t="n">
        <x:f>'CF Short-Term'!AP32+'MK Short-Term'!AP32</x:f>
        <x:v>-6.213667802512646e-9</x:v>
      </x:c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</x:row>
    <x:row r="33" ht="19" customHeight="1">
      <x:c r="A33" s="1"/>
      <x:c r="B33" s="1"/>
      <x:c r="C33" s="2" t="str">
        <x:v>New-book revenue</x:v>
      </x:c>
      <x:c r="D33" s="2"/>
      <x:c r="E33" s="35" t="n">
        <x:f>SUMIFS(G33:AP33,$G$6:$AP$6,"&lt;="&amp;'Assumptions'!$E$7)</x:f>
        <x:v>62365238.848810524</x:v>
      </x:c>
      <x:c r="F33" s="2"/>
      <x:c r="G33" s="35" t="n">
        <x:f>'CF Short-Term'!G33+'MK Short-Term'!G33</x:f>
        <x:v>0</x:v>
      </x:c>
      <x:c r="H33" s="35" t="n">
        <x:f>'CF Short-Term'!H33+'MK Short-Term'!H33</x:f>
        <x:v>1049374.7761671245</x:v>
      </x:c>
      <x:c r="I33" s="35" t="n">
        <x:f>'CF Short-Term'!I33+'MK Short-Term'!I33</x:f>
        <x:v>1753261.7360501762</x:v>
      </x:c>
      <x:c r="J33" s="35" t="n">
        <x:f>'CF Short-Term'!J33+'MK Short-Term'!J33</x:f>
        <x:v>2218098.8427911215</x:v>
      </x:c>
      <x:c r="K33" s="35" t="n">
        <x:f>'CF Short-Term'!K33+'MK Short-Term'!K33</x:f>
        <x:v>2515765.4915727563</x:v>
      </x:c>
      <x:c r="L33" s="35" t="n">
        <x:f>'CF Short-Term'!L33+'MK Short-Term'!L33</x:f>
        <x:v>2697924.0319297435</x:v>
      </x:c>
      <x:c r="M33" s="35" t="n">
        <x:f>'CF Short-Term'!M33+'MK Short-Term'!M33</x:f>
        <x:v>2805613.362666366</x:v>
      </x:c>
      <x:c r="N33" s="35" t="n">
        <x:f>'CF Short-Term'!N33+'MK Short-Term'!N33</x:f>
        <x:v>2866102.4852843233</x:v>
      </x:c>
      <x:c r="O33" s="35" t="n">
        <x:f>'CF Short-Term'!O33+'MK Short-Term'!O33</x:f>
        <x:v>2894963.9382557822</x:v>
      </x:c>
      <x:c r="P33" s="35" t="n">
        <x:f>'CF Short-Term'!P33+'MK Short-Term'!P33</x:f>
        <x:v>2904275.612272877</x:v>
      </x:c>
      <x:c r="Q33" s="35" t="n">
        <x:f>'CF Short-Term'!Q33+'MK Short-Term'!Q33</x:f>
        <x:v>2904275.6122728772</x:v>
      </x:c>
      <x:c r="R33" s="35" t="n">
        <x:f>'CF Short-Term'!R33+'MK Short-Term'!R33</x:f>
        <x:v>2904275.6122728772</x:v>
      </x:c>
      <x:c r="S33" s="35" t="n">
        <x:f>'CF Short-Term'!S33+'MK Short-Term'!S33</x:f>
        <x:v>2904275.6122728772</x:v>
      </x:c>
      <x:c r="T33" s="35" t="n">
        <x:f>'CF Short-Term'!T33+'MK Short-Term'!T33</x:f>
        <x:v>2904275.6122728772</x:v>
      </x:c>
      <x:c r="U33" s="35" t="n">
        <x:f>'CF Short-Term'!U33+'MK Short-Term'!U33</x:f>
        <x:v>2904275.6122728772</x:v>
      </x:c>
      <x:c r="V33" s="35" t="n">
        <x:f>'CF Short-Term'!V33+'MK Short-Term'!V33</x:f>
        <x:v>2904275.6122728772</x:v>
      </x:c>
      <x:c r="W33" s="35" t="n">
        <x:f>'CF Short-Term'!W33+'MK Short-Term'!W33</x:f>
        <x:v>2904275.6122728772</x:v>
      </x:c>
      <x:c r="X33" s="35" t="n">
        <x:f>'CF Short-Term'!X33+'MK Short-Term'!X33</x:f>
        <x:v>2904275.6122728772</x:v>
      </x:c>
      <x:c r="Y33" s="35" t="n">
        <x:f>'CF Short-Term'!Y33+'MK Short-Term'!Y33</x:f>
        <x:v>2904275.6122728772</x:v>
      </x:c>
      <x:c r="Z33" s="35" t="n">
        <x:f>'CF Short-Term'!Z33+'MK Short-Term'!Z33</x:f>
        <x:v>2904275.6122728772</x:v>
      </x:c>
      <x:c r="AA33" s="35" t="n">
        <x:f>'CF Short-Term'!AA33+'MK Short-Term'!AA33</x:f>
        <x:v>2904275.6122728772</x:v>
      </x:c>
      <x:c r="AB33" s="35" t="n">
        <x:f>'CF Short-Term'!AB33+'MK Short-Term'!AB33</x:f>
        <x:v>2904275.6122728772</x:v>
      </x:c>
      <x:c r="AC33" s="35" t="n">
        <x:f>'CF Short-Term'!AC33+'MK Short-Term'!AC33</x:f>
        <x:v>2904275.6122728772</x:v>
      </x:c>
      <x:c r="AD33" s="35" t="n">
        <x:f>'CF Short-Term'!AD33+'MK Short-Term'!AD33</x:f>
        <x:v>2904275.6122728772</x:v>
      </x:c>
      <x:c r="AE33" s="35" t="n">
        <x:f>'CF Short-Term'!AE33+'MK Short-Term'!AE33</x:f>
        <x:v>2904275.6122728772</x:v>
      </x:c>
      <x:c r="AF33" s="35" t="n">
        <x:f>'CF Short-Term'!AF33+'MK Short-Term'!AF33</x:f>
        <x:v>2904275.6122728772</x:v>
      </x:c>
      <x:c r="AG33" s="35" t="n">
        <x:f>'CF Short-Term'!AG33+'MK Short-Term'!AG33</x:f>
        <x:v>2904275.6122728772</x:v>
      </x:c>
      <x:c r="AH33" s="35" t="n">
        <x:f>'CF Short-Term'!AH33+'MK Short-Term'!AH33</x:f>
        <x:v>2904275.6122728772</x:v>
      </x:c>
      <x:c r="AI33" s="35" t="n">
        <x:f>'CF Short-Term'!AI33+'MK Short-Term'!AI33</x:f>
        <x:v>2904275.6122728772</x:v>
      </x:c>
      <x:c r="AJ33" s="35" t="n">
        <x:f>'CF Short-Term'!AJ33+'MK Short-Term'!AJ33</x:f>
        <x:v>2904275.6122728772</x:v>
      </x:c>
      <x:c r="AK33" s="35" t="n">
        <x:f>'CF Short-Term'!AK33+'MK Short-Term'!AK33</x:f>
        <x:v>2904275.6122728772</x:v>
      </x:c>
      <x:c r="AL33" s="35" t="n">
        <x:f>'CF Short-Term'!AL33+'MK Short-Term'!AL33</x:f>
        <x:v>2904275.6122728772</x:v>
      </x:c>
      <x:c r="AM33" s="35" t="n">
        <x:f>'CF Short-Term'!AM33+'MK Short-Term'!AM33</x:f>
        <x:v>2904275.6122728772</x:v>
      </x:c>
      <x:c r="AN33" s="35" t="n">
        <x:f>'CF Short-Term'!AN33+'MK Short-Term'!AN33</x:f>
        <x:v>2904275.6122728772</x:v>
      </x:c>
      <x:c r="AO33" s="35" t="n">
        <x:f>'CF Short-Term'!AO33+'MK Short-Term'!AO33</x:f>
        <x:v>2904275.6122728772</x:v>
      </x:c>
      <x:c r="AP33" s="35" t="n">
        <x:f>'CF Short-Term'!AP33+'MK Short-Term'!AP33</x:f>
        <x:v>2904275.6122728772</x:v>
      </x:c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</x:row>
    <x:row r="34" ht="19" customHeight="1">
      <x:c r="A34" s="1"/>
      <x:c r="B34" s="1"/>
      <x:c r="C34" s="2" t="str">
        <x:v>Opening-book ending CLAB</x:v>
      </x:c>
      <x:c r="D34" s="2"/>
      <x:c r="E34" s="35" t="n">
        <x:f>INDEX(G34:AP34,1,'Assumptions'!$E$7)</x:f>
        <x:v>-7.456401363015175e-8</x:v>
      </x:c>
      <x:c r="F34" s="2"/>
      <x:c r="G34" s="35" t="n">
        <x:f>'CF Short-Term'!G34+'MK Short-Term'!G34</x:f>
        <x:v>127507250.98815893</x:v>
      </x:c>
      <x:c r="H34" s="35" t="n">
        <x:f>'CF Short-Term'!H34+'MK Short-Term'!H34</x:f>
        <x:v>66149837.92924288</x:v>
      </x:c>
      <x:c r="I34" s="35" t="n">
        <x:f>'CF Short-Term'!I34+'MK Short-Term'!I34</x:f>
        <x:v>34031096.79495753</x:v>
      </x:c>
      <x:c r="J34" s="35" t="n">
        <x:f>'CF Short-Term'!J34+'MK Short-Term'!J34</x:f>
        <x:v>16957077.403280735</x:v>
      </x:c>
      <x:c r="K34" s="35" t="n">
        <x:f>'CF Short-Term'!K34+'MK Short-Term'!K34</x:f>
        <x:v>8008404.111952873</x:v>
      </x:c>
      <x:c r="L34" s="35" t="n">
        <x:f>'CF Short-Term'!L34+'MK Short-Term'!L34</x:f>
        <x:v>3505947.281548941</x:v>
      </x:c>
      <x:c r="M34" s="35" t="n">
        <x:f>'CF Short-Term'!M34+'MK Short-Term'!M34</x:f>
        <x:v>1275653.4116026643</x:v>
      </x:c>
      <x:c r="N34" s="35" t="n">
        <x:f>'CF Short-Term'!N34+'MK Short-Term'!N34</x:f>
        <x:v>304591.19892802846</x:v>
      </x:c>
      <x:c r="O34" s="35" t="n">
        <x:f>'CF Short-Term'!O34+'MK Short-Term'!O34</x:f>
        <x:v>-7.456401363015175e-8</x:v>
      </x:c>
      <x:c r="P34" s="35" t="n">
        <x:f>'CF Short-Term'!P34+'MK Short-Term'!P34</x:f>
        <x:v>-7.456401363015175e-8</x:v>
      </x:c>
      <x:c r="Q34" s="35" t="n">
        <x:f>'CF Short-Term'!Q34+'MK Short-Term'!Q34</x:f>
        <x:v>-7.456401363015175e-8</x:v>
      </x:c>
      <x:c r="R34" s="35" t="n">
        <x:f>'CF Short-Term'!R34+'MK Short-Term'!R34</x:f>
        <x:v>-7.456401363015175e-8</x:v>
      </x:c>
      <x:c r="S34" s="35" t="n">
        <x:f>'CF Short-Term'!S34+'MK Short-Term'!S34</x:f>
        <x:v>-7.456401363015175e-8</x:v>
      </x:c>
      <x:c r="T34" s="35" t="n">
        <x:f>'CF Short-Term'!T34+'MK Short-Term'!T34</x:f>
        <x:v>-7.456401363015175e-8</x:v>
      </x:c>
      <x:c r="U34" s="35" t="n">
        <x:f>'CF Short-Term'!U34+'MK Short-Term'!U34</x:f>
        <x:v>-7.456401363015175e-8</x:v>
      </x:c>
      <x:c r="V34" s="35" t="n">
        <x:f>'CF Short-Term'!V34+'MK Short-Term'!V34</x:f>
        <x:v>-7.456401363015175e-8</x:v>
      </x:c>
      <x:c r="W34" s="35" t="n">
        <x:f>'CF Short-Term'!W34+'MK Short-Term'!W34</x:f>
        <x:v>-7.456401363015175e-8</x:v>
      </x:c>
      <x:c r="X34" s="35" t="n">
        <x:f>'CF Short-Term'!X34+'MK Short-Term'!X34</x:f>
        <x:v>-7.456401363015175e-8</x:v>
      </x:c>
      <x:c r="Y34" s="35" t="n">
        <x:f>'CF Short-Term'!Y34+'MK Short-Term'!Y34</x:f>
        <x:v>-7.456401363015175e-8</x:v>
      </x:c>
      <x:c r="Z34" s="35" t="n">
        <x:f>'CF Short-Term'!Z34+'MK Short-Term'!Z34</x:f>
        <x:v>-7.456401363015175e-8</x:v>
      </x:c>
      <x:c r="AA34" s="35" t="n">
        <x:f>'CF Short-Term'!AA34+'MK Short-Term'!AA34</x:f>
        <x:v>-7.456401363015175e-8</x:v>
      </x:c>
      <x:c r="AB34" s="35" t="n">
        <x:f>'CF Short-Term'!AB34+'MK Short-Term'!AB34</x:f>
        <x:v>-7.456401363015175e-8</x:v>
      </x:c>
      <x:c r="AC34" s="35" t="n">
        <x:f>'CF Short-Term'!AC34+'MK Short-Term'!AC34</x:f>
        <x:v>-7.456401363015175e-8</x:v>
      </x:c>
      <x:c r="AD34" s="35" t="n">
        <x:f>'CF Short-Term'!AD34+'MK Short-Term'!AD34</x:f>
        <x:v>-7.456401363015175e-8</x:v>
      </x:c>
      <x:c r="AE34" s="35" t="n">
        <x:f>'CF Short-Term'!AE34+'MK Short-Term'!AE34</x:f>
        <x:v>-7.456401363015175e-8</x:v>
      </x:c>
      <x:c r="AF34" s="35" t="n">
        <x:f>'CF Short-Term'!AF34+'MK Short-Term'!AF34</x:f>
        <x:v>-7.456401363015175e-8</x:v>
      </x:c>
      <x:c r="AG34" s="35" t="n">
        <x:f>'CF Short-Term'!AG34+'MK Short-Term'!AG34</x:f>
        <x:v>-7.456401363015175e-8</x:v>
      </x:c>
      <x:c r="AH34" s="35" t="n">
        <x:f>'CF Short-Term'!AH34+'MK Short-Term'!AH34</x:f>
        <x:v>-7.456401363015175e-8</x:v>
      </x:c>
      <x:c r="AI34" s="35" t="n">
        <x:f>'CF Short-Term'!AI34+'MK Short-Term'!AI34</x:f>
        <x:v>-7.456401363015175e-8</x:v>
      </x:c>
      <x:c r="AJ34" s="35" t="n">
        <x:f>'CF Short-Term'!AJ34+'MK Short-Term'!AJ34</x:f>
        <x:v>-7.456401363015175e-8</x:v>
      </x:c>
      <x:c r="AK34" s="35" t="n">
        <x:f>'CF Short-Term'!AK34+'MK Short-Term'!AK34</x:f>
        <x:v>-7.456401363015175e-8</x:v>
      </x:c>
      <x:c r="AL34" s="35" t="n">
        <x:f>'CF Short-Term'!AL34+'MK Short-Term'!AL34</x:f>
        <x:v>-7.456401363015175e-8</x:v>
      </x:c>
      <x:c r="AM34" s="35" t="n">
        <x:f>'CF Short-Term'!AM34+'MK Short-Term'!AM34</x:f>
        <x:v>-7.456401363015175e-8</x:v>
      </x:c>
      <x:c r="AN34" s="35" t="n">
        <x:f>'CF Short-Term'!AN34+'MK Short-Term'!AN34</x:f>
        <x:v>-7.456401363015175e-8</x:v>
      </x:c>
      <x:c r="AO34" s="35" t="n">
        <x:f>'CF Short-Term'!AO34+'MK Short-Term'!AO34</x:f>
        <x:v>-7.456401363015175e-8</x:v>
      </x:c>
      <x:c r="AP34" s="35" t="n">
        <x:f>'CF Short-Term'!AP34+'MK Short-Term'!AP34</x:f>
        <x:v>-7.456401363015175e-8</x:v>
      </x:c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</x:row>
    <x:row r="35" ht="19" customHeight="1">
      <x:c r="A35" s="1"/>
      <x:c r="B35" s="1"/>
      <x:c r="C35" s="2" t="str">
        <x:v>Gross CLAB check ($)</x:v>
      </x:c>
      <x:c r="D35" s="2"/>
      <x:c r="E35" s="35"/>
      <x:c r="F35" s="2"/>
      <x:c r="G35" s="36" t="n">
        <x:f>'CF Short-Term'!G35+'MK Short-Term'!G35</x:f>
        <x:v>0</x:v>
      </x:c>
      <x:c r="H35" s="36" t="n">
        <x:f>'CF Short-Term'!H35+'MK Short-Term'!H35</x:f>
        <x:v>0</x:v>
      </x:c>
      <x:c r="I35" s="36" t="n">
        <x:f>'CF Short-Term'!I35+'MK Short-Term'!I35</x:f>
        <x:v>0</x:v>
      </x:c>
      <x:c r="J35" s="36" t="n">
        <x:f>'CF Short-Term'!J35+'MK Short-Term'!J35</x:f>
        <x:v>0</x:v>
      </x:c>
      <x:c r="K35" s="36" t="n">
        <x:f>'CF Short-Term'!K35+'MK Short-Term'!K35</x:f>
        <x:v>0</x:v>
      </x:c>
      <x:c r="L35" s="36" t="n">
        <x:f>'CF Short-Term'!L35+'MK Short-Term'!L35</x:f>
        <x:v>0</x:v>
      </x:c>
      <x:c r="M35" s="36" t="n">
        <x:f>'CF Short-Term'!M35+'MK Short-Term'!M35</x:f>
        <x:v>0</x:v>
      </x:c>
      <x:c r="N35" s="36" t="n">
        <x:f>'CF Short-Term'!N35+'MK Short-Term'!N35</x:f>
        <x:v>0</x:v>
      </x:c>
      <x:c r="O35" s="36" t="n">
        <x:f>'CF Short-Term'!O35+'MK Short-Term'!O35</x:f>
        <x:v>0</x:v>
      </x:c>
      <x:c r="P35" s="36" t="n">
        <x:f>'CF Short-Term'!P35+'MK Short-Term'!P35</x:f>
        <x:v>0</x:v>
      </x:c>
      <x:c r="Q35" s="36" t="n">
        <x:f>'CF Short-Term'!Q35+'MK Short-Term'!Q35</x:f>
        <x:v>0</x:v>
      </x:c>
      <x:c r="R35" s="36" t="n">
        <x:f>'CF Short-Term'!R35+'MK Short-Term'!R35</x:f>
        <x:v>0</x:v>
      </x:c>
      <x:c r="S35" s="36" t="n">
        <x:f>'CF Short-Term'!S35+'MK Short-Term'!S35</x:f>
        <x:v>0</x:v>
      </x:c>
      <x:c r="T35" s="36" t="n">
        <x:f>'CF Short-Term'!T35+'MK Short-Term'!T35</x:f>
        <x:v>0</x:v>
      </x:c>
      <x:c r="U35" s="36" t="n">
        <x:f>'CF Short-Term'!U35+'MK Short-Term'!U35</x:f>
        <x:v>0</x:v>
      </x:c>
      <x:c r="V35" s="36" t="n">
        <x:f>'CF Short-Term'!V35+'MK Short-Term'!V35</x:f>
        <x:v>0</x:v>
      </x:c>
      <x:c r="W35" s="36" t="n">
        <x:f>'CF Short-Term'!W35+'MK Short-Term'!W35</x:f>
        <x:v>0</x:v>
      </x:c>
      <x:c r="X35" s="36" t="n">
        <x:f>'CF Short-Term'!X35+'MK Short-Term'!X35</x:f>
        <x:v>0</x:v>
      </x:c>
      <x:c r="Y35" s="36" t="n">
        <x:f>'CF Short-Term'!Y35+'MK Short-Term'!Y35</x:f>
        <x:v>0</x:v>
      </x:c>
      <x:c r="Z35" s="36" t="n">
        <x:f>'CF Short-Term'!Z35+'MK Short-Term'!Z35</x:f>
        <x:v>0</x:v>
      </x:c>
      <x:c r="AA35" s="36" t="n">
        <x:f>'CF Short-Term'!AA35+'MK Short-Term'!AA35</x:f>
        <x:v>0</x:v>
      </x:c>
      <x:c r="AB35" s="36" t="n">
        <x:f>'CF Short-Term'!AB35+'MK Short-Term'!AB35</x:f>
        <x:v>0</x:v>
      </x:c>
      <x:c r="AC35" s="36" t="n">
        <x:f>'CF Short-Term'!AC35+'MK Short-Term'!AC35</x:f>
        <x:v>0</x:v>
      </x:c>
      <x:c r="AD35" s="36" t="n">
        <x:f>'CF Short-Term'!AD35+'MK Short-Term'!AD35</x:f>
        <x:v>0</x:v>
      </x:c>
      <x:c r="AE35" s="36" t="n">
        <x:f>'CF Short-Term'!AE35+'MK Short-Term'!AE35</x:f>
        <x:v>0</x:v>
      </x:c>
      <x:c r="AF35" s="36" t="n">
        <x:f>'CF Short-Term'!AF35+'MK Short-Term'!AF35</x:f>
        <x:v>0</x:v>
      </x:c>
      <x:c r="AG35" s="36" t="n">
        <x:f>'CF Short-Term'!AG35+'MK Short-Term'!AG35</x:f>
        <x:v>0</x:v>
      </x:c>
      <x:c r="AH35" s="36" t="n">
        <x:f>'CF Short-Term'!AH35+'MK Short-Term'!AH35</x:f>
        <x:v>0</x:v>
      </x:c>
      <x:c r="AI35" s="36" t="n">
        <x:f>'CF Short-Term'!AI35+'MK Short-Term'!AI35</x:f>
        <x:v>0</x:v>
      </x:c>
      <x:c r="AJ35" s="36" t="n">
        <x:f>'CF Short-Term'!AJ35+'MK Short-Term'!AJ35</x:f>
        <x:v>0</x:v>
      </x:c>
      <x:c r="AK35" s="36" t="n">
        <x:f>'CF Short-Term'!AK35+'MK Short-Term'!AK35</x:f>
        <x:v>0</x:v>
      </x:c>
      <x:c r="AL35" s="36" t="n">
        <x:f>'CF Short-Term'!AL35+'MK Short-Term'!AL35</x:f>
        <x:v>0</x:v>
      </x:c>
      <x:c r="AM35" s="36" t="n">
        <x:f>'CF Short-Term'!AM35+'MK Short-Term'!AM35</x:f>
        <x:v>0</x:v>
      </x:c>
      <x:c r="AN35" s="36" t="n">
        <x:f>'CF Short-Term'!AN35+'MK Short-Term'!AN35</x:f>
        <x:v>0</x:v>
      </x:c>
      <x:c r="AO35" s="36" t="n">
        <x:f>'CF Short-Term'!AO35+'MK Short-Term'!AO35</x:f>
        <x:v>0</x:v>
      </x:c>
      <x:c r="AP35" s="36" t="n">
        <x:f>'CF Short-Term'!AP35+'MK Short-Term'!AP35</x:f>
        <x:v>0</x:v>
      </x:c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</x:row>
    <x:row r="36" ht="19" customHeight="1">
      <x:c r="A36" s="1"/>
      <x:c r="B36" s="1"/>
      <x:c r="C36" s="2" t="str">
        <x:v>Reserve check ($)</x:v>
      </x:c>
      <x:c r="D36" s="2"/>
      <x:c r="E36" s="35"/>
      <x:c r="F36" s="2"/>
      <x:c r="G36" s="36" t="n">
        <x:f>'CF Short-Term'!G36+'MK Short-Term'!G36</x:f>
        <x:v>0</x:v>
      </x:c>
      <x:c r="H36" s="36" t="n">
        <x:f>'CF Short-Term'!H36+'MK Short-Term'!H36</x:f>
        <x:v>0</x:v>
      </x:c>
      <x:c r="I36" s="36" t="n">
        <x:f>'CF Short-Term'!I36+'MK Short-Term'!I36</x:f>
        <x:v>0</x:v>
      </x:c>
      <x:c r="J36" s="36" t="n">
        <x:f>'CF Short-Term'!J36+'MK Short-Term'!J36</x:f>
        <x:v>0</x:v>
      </x:c>
      <x:c r="K36" s="36" t="n">
        <x:f>'CF Short-Term'!K36+'MK Short-Term'!K36</x:f>
        <x:v>0</x:v>
      </x:c>
      <x:c r="L36" s="36" t="n">
        <x:f>'CF Short-Term'!L36+'MK Short-Term'!L36</x:f>
        <x:v>0</x:v>
      </x:c>
      <x:c r="M36" s="36" t="n">
        <x:f>'CF Short-Term'!M36+'MK Short-Term'!M36</x:f>
        <x:v>0</x:v>
      </x:c>
      <x:c r="N36" s="36" t="n">
        <x:f>'CF Short-Term'!N36+'MK Short-Term'!N36</x:f>
        <x:v>0</x:v>
      </x:c>
      <x:c r="O36" s="36" t="n">
        <x:f>'CF Short-Term'!O36+'MK Short-Term'!O36</x:f>
        <x:v>0</x:v>
      </x:c>
      <x:c r="P36" s="36" t="n">
        <x:f>'CF Short-Term'!P36+'MK Short-Term'!P36</x:f>
        <x:v>0</x:v>
      </x:c>
      <x:c r="Q36" s="36" t="n">
        <x:f>'CF Short-Term'!Q36+'MK Short-Term'!Q36</x:f>
        <x:v>0</x:v>
      </x:c>
      <x:c r="R36" s="36" t="n">
        <x:f>'CF Short-Term'!R36+'MK Short-Term'!R36</x:f>
        <x:v>0</x:v>
      </x:c>
      <x:c r="S36" s="36" t="n">
        <x:f>'CF Short-Term'!S36+'MK Short-Term'!S36</x:f>
        <x:v>0</x:v>
      </x:c>
      <x:c r="T36" s="36" t="n">
        <x:f>'CF Short-Term'!T36+'MK Short-Term'!T36</x:f>
        <x:v>0</x:v>
      </x:c>
      <x:c r="U36" s="36" t="n">
        <x:f>'CF Short-Term'!U36+'MK Short-Term'!U36</x:f>
        <x:v>0</x:v>
      </x:c>
      <x:c r="V36" s="36" t="n">
        <x:f>'CF Short-Term'!V36+'MK Short-Term'!V36</x:f>
        <x:v>0</x:v>
      </x:c>
      <x:c r="W36" s="36" t="n">
        <x:f>'CF Short-Term'!W36+'MK Short-Term'!W36</x:f>
        <x:v>0</x:v>
      </x:c>
      <x:c r="X36" s="36" t="n">
        <x:f>'CF Short-Term'!X36+'MK Short-Term'!X36</x:f>
        <x:v>0</x:v>
      </x:c>
      <x:c r="Y36" s="36" t="n">
        <x:f>'CF Short-Term'!Y36+'MK Short-Term'!Y36</x:f>
        <x:v>0</x:v>
      </x:c>
      <x:c r="Z36" s="36" t="n">
        <x:f>'CF Short-Term'!Z36+'MK Short-Term'!Z36</x:f>
        <x:v>0</x:v>
      </x:c>
      <x:c r="AA36" s="36" t="n">
        <x:f>'CF Short-Term'!AA36+'MK Short-Term'!AA36</x:f>
        <x:v>0</x:v>
      </x:c>
      <x:c r="AB36" s="36" t="n">
        <x:f>'CF Short-Term'!AB36+'MK Short-Term'!AB36</x:f>
        <x:v>0</x:v>
      </x:c>
      <x:c r="AC36" s="36" t="n">
        <x:f>'CF Short-Term'!AC36+'MK Short-Term'!AC36</x:f>
        <x:v>0</x:v>
      </x:c>
      <x:c r="AD36" s="36" t="n">
        <x:f>'CF Short-Term'!AD36+'MK Short-Term'!AD36</x:f>
        <x:v>0</x:v>
      </x:c>
      <x:c r="AE36" s="36" t="n">
        <x:f>'CF Short-Term'!AE36+'MK Short-Term'!AE36</x:f>
        <x:v>0</x:v>
      </x:c>
      <x:c r="AF36" s="36" t="n">
        <x:f>'CF Short-Term'!AF36+'MK Short-Term'!AF36</x:f>
        <x:v>0</x:v>
      </x:c>
      <x:c r="AG36" s="36" t="n">
        <x:f>'CF Short-Term'!AG36+'MK Short-Term'!AG36</x:f>
        <x:v>0</x:v>
      </x:c>
      <x:c r="AH36" s="36" t="n">
        <x:f>'CF Short-Term'!AH36+'MK Short-Term'!AH36</x:f>
        <x:v>0</x:v>
      </x:c>
      <x:c r="AI36" s="36" t="n">
        <x:f>'CF Short-Term'!AI36+'MK Short-Term'!AI36</x:f>
        <x:v>0</x:v>
      </x:c>
      <x:c r="AJ36" s="36" t="n">
        <x:f>'CF Short-Term'!AJ36+'MK Short-Term'!AJ36</x:f>
        <x:v>0</x:v>
      </x:c>
      <x:c r="AK36" s="36" t="n">
        <x:f>'CF Short-Term'!AK36+'MK Short-Term'!AK36</x:f>
        <x:v>0</x:v>
      </x:c>
      <x:c r="AL36" s="36" t="n">
        <x:f>'CF Short-Term'!AL36+'MK Short-Term'!AL36</x:f>
        <x:v>0</x:v>
      </x:c>
      <x:c r="AM36" s="36" t="n">
        <x:f>'CF Short-Term'!AM36+'MK Short-Term'!AM36</x:f>
        <x:v>0</x:v>
      </x:c>
      <x:c r="AN36" s="36" t="n">
        <x:f>'CF Short-Term'!AN36+'MK Short-Term'!AN36</x:f>
        <x:v>0</x:v>
      </x:c>
      <x:c r="AO36" s="36" t="n">
        <x:f>'CF Short-Term'!AO36+'MK Short-Term'!AO36</x:f>
        <x:v>0</x:v>
      </x:c>
      <x:c r="AP36" s="36" t="n">
        <x:f>'CF Short-Term'!AP36+'MK Short-Term'!AP36</x:f>
        <x:v>0</x:v>
      </x:c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</x:row>
    <x:row r="37" ht="19" customHeight="1">
      <x:c r="A37" s="1"/>
      <x:c r="B37" s="1"/>
      <x:c r="C37" s="2" t="str">
        <x:v>Net revenue check ($)</x:v>
      </x:c>
      <x:c r="D37" s="2"/>
      <x:c r="E37" s="35"/>
      <x:c r="F37" s="2"/>
      <x:c r="G37" s="36" t="n">
        <x:f>'CF Short-Term'!G37+'MK Short-Term'!G37</x:f>
        <x:v>0</x:v>
      </x:c>
      <x:c r="H37" s="36" t="n">
        <x:f>'CF Short-Term'!H37+'MK Short-Term'!H37</x:f>
        <x:v>0</x:v>
      </x:c>
      <x:c r="I37" s="36" t="n">
        <x:f>'CF Short-Term'!I37+'MK Short-Term'!I37</x:f>
        <x:v>0</x:v>
      </x:c>
      <x:c r="J37" s="36" t="n">
        <x:f>'CF Short-Term'!J37+'MK Short-Term'!J37</x:f>
        <x:v>0</x:v>
      </x:c>
      <x:c r="K37" s="36" t="n">
        <x:f>'CF Short-Term'!K37+'MK Short-Term'!K37</x:f>
        <x:v>0</x:v>
      </x:c>
      <x:c r="L37" s="36" t="n">
        <x:f>'CF Short-Term'!L37+'MK Short-Term'!L37</x:f>
        <x:v>0</x:v>
      </x:c>
      <x:c r="M37" s="36" t="n">
        <x:f>'CF Short-Term'!M37+'MK Short-Term'!M37</x:f>
        <x:v>0</x:v>
      </x:c>
      <x:c r="N37" s="36" t="n">
        <x:f>'CF Short-Term'!N37+'MK Short-Term'!N37</x:f>
        <x:v>0</x:v>
      </x:c>
      <x:c r="O37" s="36" t="n">
        <x:f>'CF Short-Term'!O37+'MK Short-Term'!O37</x:f>
        <x:v>0</x:v>
      </x:c>
      <x:c r="P37" s="36" t="n">
        <x:f>'CF Short-Term'!P37+'MK Short-Term'!P37</x:f>
        <x:v>0</x:v>
      </x:c>
      <x:c r="Q37" s="36" t="n">
        <x:f>'CF Short-Term'!Q37+'MK Short-Term'!Q37</x:f>
        <x:v>0</x:v>
      </x:c>
      <x:c r="R37" s="36" t="n">
        <x:f>'CF Short-Term'!R37+'MK Short-Term'!R37</x:f>
        <x:v>0</x:v>
      </x:c>
      <x:c r="S37" s="36" t="n">
        <x:f>'CF Short-Term'!S37+'MK Short-Term'!S37</x:f>
        <x:v>0</x:v>
      </x:c>
      <x:c r="T37" s="36" t="n">
        <x:f>'CF Short-Term'!T37+'MK Short-Term'!T37</x:f>
        <x:v>0</x:v>
      </x:c>
      <x:c r="U37" s="36" t="n">
        <x:f>'CF Short-Term'!U37+'MK Short-Term'!U37</x:f>
        <x:v>0</x:v>
      </x:c>
      <x:c r="V37" s="36" t="n">
        <x:f>'CF Short-Term'!V37+'MK Short-Term'!V37</x:f>
        <x:v>0</x:v>
      </x:c>
      <x:c r="W37" s="36" t="n">
        <x:f>'CF Short-Term'!W37+'MK Short-Term'!W37</x:f>
        <x:v>0</x:v>
      </x:c>
      <x:c r="X37" s="36" t="n">
        <x:f>'CF Short-Term'!X37+'MK Short-Term'!X37</x:f>
        <x:v>0</x:v>
      </x:c>
      <x:c r="Y37" s="36" t="n">
        <x:f>'CF Short-Term'!Y37+'MK Short-Term'!Y37</x:f>
        <x:v>0</x:v>
      </x:c>
      <x:c r="Z37" s="36" t="n">
        <x:f>'CF Short-Term'!Z37+'MK Short-Term'!Z37</x:f>
        <x:v>0</x:v>
      </x:c>
      <x:c r="AA37" s="36" t="n">
        <x:f>'CF Short-Term'!AA37+'MK Short-Term'!AA37</x:f>
        <x:v>0</x:v>
      </x:c>
      <x:c r="AB37" s="36" t="n">
        <x:f>'CF Short-Term'!AB37+'MK Short-Term'!AB37</x:f>
        <x:v>0</x:v>
      </x:c>
      <x:c r="AC37" s="36" t="n">
        <x:f>'CF Short-Term'!AC37+'MK Short-Term'!AC37</x:f>
        <x:v>0</x:v>
      </x:c>
      <x:c r="AD37" s="36" t="n">
        <x:f>'CF Short-Term'!AD37+'MK Short-Term'!AD37</x:f>
        <x:v>0</x:v>
      </x:c>
      <x:c r="AE37" s="36" t="n">
        <x:f>'CF Short-Term'!AE37+'MK Short-Term'!AE37</x:f>
        <x:v>0</x:v>
      </x:c>
      <x:c r="AF37" s="36" t="n">
        <x:f>'CF Short-Term'!AF37+'MK Short-Term'!AF37</x:f>
        <x:v>0</x:v>
      </x:c>
      <x:c r="AG37" s="36" t="n">
        <x:f>'CF Short-Term'!AG37+'MK Short-Term'!AG37</x:f>
        <x:v>0</x:v>
      </x:c>
      <x:c r="AH37" s="36" t="n">
        <x:f>'CF Short-Term'!AH37+'MK Short-Term'!AH37</x:f>
        <x:v>0</x:v>
      </x:c>
      <x:c r="AI37" s="36" t="n">
        <x:f>'CF Short-Term'!AI37+'MK Short-Term'!AI37</x:f>
        <x:v>0</x:v>
      </x:c>
      <x:c r="AJ37" s="36" t="n">
        <x:f>'CF Short-Term'!AJ37+'MK Short-Term'!AJ37</x:f>
        <x:v>0</x:v>
      </x:c>
      <x:c r="AK37" s="36" t="n">
        <x:f>'CF Short-Term'!AK37+'MK Short-Term'!AK37</x:f>
        <x:v>0</x:v>
      </x:c>
      <x:c r="AL37" s="36" t="n">
        <x:f>'CF Short-Term'!AL37+'MK Short-Term'!AL37</x:f>
        <x:v>0</x:v>
      </x:c>
      <x:c r="AM37" s="36" t="n">
        <x:f>'CF Short-Term'!AM37+'MK Short-Term'!AM37</x:f>
        <x:v>0</x:v>
      </x:c>
      <x:c r="AN37" s="36" t="n">
        <x:f>'CF Short-Term'!AN37+'MK Short-Term'!AN37</x:f>
        <x:v>0</x:v>
      </x:c>
      <x:c r="AO37" s="36" t="n">
        <x:f>'CF Short-Term'!AO37+'MK Short-Term'!AO37</x:f>
        <x:v>0</x:v>
      </x:c>
      <x:c r="AP37" s="36" t="n">
        <x:f>'CF Short-Term'!AP37+'MK Short-Term'!AP37</x:f>
        <x:v>0</x:v>
      </x:c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</x:row>
    <x:row r="38" ht="19" customHeight="1">
      <x:c r="A38" s="1"/>
      <x:c r="B38" s="1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</x:row>
    <x:row r="39" ht="19" customHeight="1">
      <x:c r="A39" s="1"/>
      <x:c r="B39" s="1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</x:row>
    <x:row r="40" ht="19" customHeight="1">
      <x:c r="A40" s="1"/>
      <x:c r="B40" s="1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</x:row>
    <x:row r="41" ht="19" customHeight="1">
      <x:c r="A41" s="1"/>
      <x:c r="B41" s="1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</x:row>
    <x:row r="42" ht="19" customHeight="1">
      <x:c r="A42" s="1"/>
      <x:c r="B42" s="1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</x:row>
    <x:row r="43" ht="19" customHeight="1">
      <x:c r="A43" s="1"/>
      <x:c r="B43" s="1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</x:row>
    <x:row r="44" ht="19" customHeight="1">
      <x:c r="A44" s="1"/>
      <x:c r="B44" s="1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</x:row>
    <x:row r="45" ht="19" customHeight="1">
      <x:c r="A45" s="1"/>
      <x:c r="B45" s="1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</x:row>
    <x:row r="46" ht="19" customHeight="1">
      <x:c r="A46" s="1"/>
      <x:c r="B46" s="1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</x:row>
    <x:row r="47" ht="19" customHeight="1">
      <x:c r="A47" s="1"/>
      <x:c r="B47" s="1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</x:row>
    <x:row r="48" ht="19" customHeight="1">
      <x:c r="A48" s="1"/>
      <x:c r="B48" s="1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</x:row>
    <x:row r="49" ht="19" customHeight="1">
      <x:c r="A49" s="1"/>
      <x:c r="B49" s="1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</x:row>
    <x:row r="50" ht="19" customHeight="1">
      <x:c r="A50" s="1"/>
      <x:c r="B50" s="1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</x:row>
    <x:row r="51" ht="19" customHeight="1">
      <x:c r="A51" s="1"/>
      <x:c r="B51" s="1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</x:row>
    <x:row r="52" ht="19" customHeight="1">
      <x:c r="A52" s="1"/>
      <x:c r="B52" s="1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</x:row>
    <x:row r="53" ht="19" customHeight="1">
      <x:c r="A53" s="1"/>
      <x:c r="B53" s="1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</x:row>
    <x:row r="54" ht="19" customHeight="1">
      <x:c r="A54" s="1"/>
      <x:c r="B54" s="1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</x:row>
    <x:row r="55" ht="19" customHeight="1">
      <x:c r="A55" s="1"/>
      <x:c r="B55" s="1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</x:row>
    <x:row r="56" ht="19" customHeight="1">
      <x:c r="A56" s="1"/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</x:row>
    <x:row r="57" ht="19" customHeight="1">
      <x:c r="A57" s="1"/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</x:row>
    <x:row r="58" ht="19" customHeight="1">
      <x:c r="A58" s="1"/>
      <x:c r="B58" s="1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</x:row>
    <x:row r="59" ht="19" customHeight="1">
      <x:c r="A59" s="1"/>
      <x:c r="B59" s="1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</x:row>
    <x:row r="60" ht="19" customHeight="1">
      <x:c r="A60" s="1"/>
      <x:c r="B60" s="1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</x:row>
    <x:row r="61" ht="19" customHeight="1">
      <x:c r="A61" s="1"/>
      <x:c r="B61" s="1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</x:row>
    <x:row r="62" ht="19" customHeight="1">
      <x:c r="A62" s="1"/>
      <x:c r="B62" s="1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</x:row>
    <x:row r="63" ht="19" customHeight="1">
      <x:c r="A63" s="1"/>
      <x:c r="B63" s="1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</x:row>
    <x:row r="64" ht="19" customHeight="1">
      <x:c r="A64" s="1"/>
      <x:c r="B64" s="1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</x:row>
    <x:row r="65" ht="19" customHeight="1">
      <x:c r="A65" s="1"/>
      <x:c r="B65" s="1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</x:row>
    <x:row r="66" ht="19" customHeight="1">
      <x:c r="A66" s="1"/>
      <x:c r="B66" s="1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</x:row>
    <x:row r="67" ht="19" customHeight="1">
      <x:c r="A67" s="1"/>
      <x:c r="B67" s="1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</x:row>
    <x:row r="68" ht="19" customHeight="1">
      <x:c r="A68" s="1"/>
      <x:c r="B68" s="1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</x:row>
    <x:row r="69" ht="19" customHeight="1">
      <x:c r="A69" s="1"/>
      <x:c r="B69" s="1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</x:row>
    <x:row r="70" ht="19" customHeight="1">
      <x:c r="A70" s="1"/>
      <x:c r="B70" s="1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</x:row>
    <x:row r="71" ht="19" customHeight="1">
      <x:c r="A71" s="1"/>
      <x:c r="B71" s="1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</x:row>
    <x:row r="72" ht="19" customHeight="1">
      <x:c r="A72" s="1"/>
      <x:c r="B72" s="1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</x:row>
    <x:row r="73" ht="19" customHeight="1">
      <x:c r="A73" s="1"/>
      <x:c r="B73" s="1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</x:row>
    <x:row r="74" ht="19" customHeight="1">
      <x:c r="A74" s="1"/>
      <x:c r="B74" s="1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</x:row>
    <x:row r="75" ht="19" customHeight="1">
      <x:c r="A75" s="1"/>
      <x:c r="B75" s="1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</x:row>
    <x:row r="76" ht="19" customHeight="1">
      <x:c r="A76" s="1"/>
      <x:c r="B76" s="1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</x:row>
    <x:row r="77" ht="19" customHeight="1">
      <x:c r="A77" s="1"/>
      <x:c r="B77" s="1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</x:row>
    <x:row r="78" ht="19" customHeight="1">
      <x:c r="A78" s="1"/>
      <x:c r="B78" s="1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</x:row>
    <x:row r="79" ht="19" customHeight="1">
      <x:c r="A79" s="1"/>
      <x:c r="B79" s="1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</x:row>
    <x:row r="80" ht="19" customHeight="1">
      <x:c r="A80" s="1"/>
      <x:c r="B80" s="1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</x:row>
    <x:row r="81" ht="19" customHeight="1">
      <x:c r="A81" s="1"/>
      <x:c r="B81" s="1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</x:row>
    <x:row r="82" ht="19" customHeight="1">
      <x:c r="A82" s="1"/>
      <x:c r="B82" s="1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</x:row>
    <x:row r="83" ht="19" customHeight="1">
      <x:c r="A83" s="1"/>
      <x:c r="B83" s="1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</x:row>
    <x:row r="84" ht="19" customHeight="1">
      <x:c r="A84" s="1"/>
      <x:c r="B84" s="1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</x:row>
    <x:row r="85" ht="19" customHeight="1">
      <x:c r="A85" s="1"/>
      <x:c r="B85" s="1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</x:row>
    <x:row r="86" ht="19" customHeight="1">
      <x:c r="A86" s="1"/>
      <x:c r="B86" s="1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</x:row>
    <x:row r="87" ht="19" customHeight="1">
      <x:c r="A87" s="1"/>
      <x:c r="B87" s="1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</x:row>
    <x:row r="88" ht="19" customHeight="1">
      <x:c r="A88" s="1"/>
      <x:c r="B88" s="1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</x:row>
    <x:row r="89" ht="19" customHeight="1">
      <x:c r="A89" s="1"/>
      <x:c r="B89" s="1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</x:row>
    <x:row r="90" ht="19" customHeight="1">
      <x:c r="A90" s="1"/>
      <x:c r="B90" s="1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</x:row>
    <x:row r="91" ht="19" customHeight="1">
      <x:c r="A91" s="1"/>
      <x:c r="B91" s="1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</x:row>
    <x:row r="92" ht="19" customHeight="1">
      <x:c r="A92" s="1"/>
      <x:c r="B92" s="1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</x:row>
    <x:row r="93" ht="19" customHeight="1">
      <x:c r="A93" s="1"/>
      <x:c r="B93" s="1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</x:row>
    <x:row r="94" ht="19" customHeight="1">
      <x:c r="A94" s="1"/>
      <x:c r="B94" s="1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</x:row>
    <x:row r="95" ht="19" customHeight="1">
      <x:c r="A95" s="1"/>
      <x:c r="B95" s="1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</x:row>
    <x:row r="96" ht="19" customHeight="1">
      <x:c r="A96" s="1"/>
      <x:c r="B96" s="1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</x:row>
    <x:row r="97" ht="19" customHeight="1">
      <x:c r="A97" s="1"/>
      <x:c r="B97" s="1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</x:row>
    <x:row r="98" ht="19" customHeight="1">
      <x:c r="A98" s="1"/>
      <x:c r="B98" s="1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</x:row>
    <x:row r="99" ht="19" customHeight="1">
      <x:c r="A99" s="1"/>
      <x:c r="B99" s="1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</x:row>
    <x:row r="100" ht="19" customHeight="1">
      <x:c r="A100" s="1"/>
      <x:c r="B100" s="1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</x:row>
    <x:row r="101" ht="19" customHeight="1">
      <x:c r="A101" s="1"/>
      <x:c r="B101" s="1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</x:row>
    <x:row r="102" ht="19" customHeight="1">
      <x:c r="A102" s="1"/>
      <x:c r="B102" s="1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</x:row>
    <x:row r="103" ht="19" customHeight="1">
      <x:c r="A103" s="1"/>
      <x:c r="B103" s="1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</x:row>
    <x:row r="104" ht="19" customHeight="1">
      <x:c r="A104" s="1"/>
      <x:c r="B104" s="1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</x:row>
    <x:row r="105" ht="19" customHeight="1">
      <x:c r="A105" s="1"/>
      <x:c r="B105" s="1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</x:row>
    <x:row r="106" ht="19" customHeight="1">
      <x:c r="A106" s="1"/>
      <x:c r="B106" s="1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</x:row>
    <x:row r="107" ht="19" customHeight="1">
      <x:c r="A107" s="1"/>
      <x:c r="B107" s="1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</x:row>
    <x:row r="108" ht="19" customHeight="1">
      <x:c r="A108" s="1"/>
      <x:c r="B108" s="1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</x:row>
    <x:row r="109" ht="19" customHeight="1">
      <x:c r="A109" s="1"/>
      <x:c r="B109" s="1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</x:row>
    <x:row r="110" ht="19" customHeight="1">
      <x:c r="A110" s="1"/>
      <x:c r="B110" s="1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</x:row>
    <x:row r="111" ht="19" customHeight="1">
      <x:c r="A111" s="1"/>
      <x:c r="B111" s="1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</x:row>
    <x:row r="112" ht="19" customHeight="1">
      <x:c r="A112" s="1"/>
      <x:c r="B112" s="1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</x:row>
    <x:row r="113" ht="19" customHeight="1">
      <x:c r="A113" s="1"/>
      <x:c r="B113" s="1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</x:row>
    <x:row r="114" ht="19" customHeight="1">
      <x:c r="A114" s="1"/>
      <x:c r="B114" s="1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</x:row>
    <x:row r="115" ht="19" customHeight="1">
      <x:c r="A115" s="1"/>
      <x:c r="B115" s="1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</x:row>
    <x:row r="116" ht="19" customHeight="1">
      <x:c r="A116" s="1"/>
      <x:c r="B116" s="1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</x:row>
    <x:row r="117" ht="19" customHeight="1">
      <x:c r="A117" s="1"/>
      <x:c r="B117" s="1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</x:row>
    <x:row r="118" ht="19" customHeight="1">
      <x:c r="A118" s="1"/>
      <x:c r="B118" s="1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</x:row>
    <x:row r="119" ht="19" customHeight="1">
      <x:c r="A119" s="1"/>
      <x:c r="B119" s="1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</x:row>
    <x:row r="120" ht="19" customHeight="1">
      <x:c r="A120" s="1"/>
      <x:c r="B120" s="1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</x:row>
    <x:row r="121" ht="19" customHeight="1">
      <x:c r="A121" s="1"/>
      <x:c r="B121" s="1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</x:row>
    <x:row r="122" ht="19" customHeight="1">
      <x:c r="A122" s="1"/>
      <x:c r="B122" s="1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</x:row>
    <x:row r="123" ht="19" customHeight="1">
      <x:c r="A123" s="1"/>
      <x:c r="B123" s="1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</x:row>
    <x:row r="124" ht="19" customHeight="1">
      <x:c r="A124" s="1"/>
      <x:c r="B124" s="1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</x:row>
    <x:row r="125" ht="19" customHeight="1">
      <x:c r="A125" s="1"/>
      <x:c r="B125" s="1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</x:row>
    <x:row r="126" ht="19" customHeight="1">
      <x:c r="A126" s="1"/>
      <x:c r="B126" s="1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</x:row>
    <x:row r="127" ht="19" customHeight="1">
      <x:c r="A127" s="1"/>
      <x:c r="B127" s="1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</x:row>
    <x:row r="128" ht="19" customHeight="1">
      <x:c r="A128" s="1"/>
      <x:c r="B128" s="1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</x:row>
    <x:row r="129" ht="19" customHeight="1">
      <x:c r="A129" s="1"/>
      <x:c r="B129" s="1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</x:row>
    <x:row r="130" ht="19" customHeight="1">
      <x:c r="A130" s="1"/>
      <x:c r="B130" s="1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</x:row>
    <x:row r="131" ht="19" customHeight="1">
      <x:c r="A131" s="1"/>
      <x:c r="B131" s="1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</x:row>
    <x:row r="132" ht="19" customHeight="1">
      <x:c r="A132" s="1"/>
      <x:c r="B132" s="1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</x:row>
    <x:row r="133" ht="19" customHeight="1">
      <x:c r="A133" s="1"/>
      <x:c r="B133" s="1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</x:row>
    <x:row r="134" ht="19" customHeight="1">
      <x:c r="A134" s="1"/>
      <x:c r="B134" s="1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</x:row>
    <x:row r="135" ht="19" customHeight="1">
      <x:c r="A135" s="1"/>
      <x:c r="B135" s="1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</x:row>
    <x:row r="136" ht="19" customHeight="1">
      <x:c r="A136" s="1"/>
      <x:c r="B136" s="1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</x:row>
    <x:row r="137" ht="19" customHeight="1">
      <x:c r="A137" s="1"/>
      <x:c r="B137" s="1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</x:row>
    <x:row r="138" ht="19" customHeight="1">
      <x:c r="A138" s="1"/>
      <x:c r="B138" s="1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</x:row>
    <x:row r="139" ht="19" customHeight="1">
      <x:c r="A139" s="1"/>
      <x:c r="B139" s="1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</x:row>
    <x:row r="140" ht="19" customHeight="1">
      <x:c r="A140" s="1"/>
      <x:c r="B140" s="1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</x:row>
    <x:row r="141" ht="19" customHeight="1">
      <x:c r="A141" s="1"/>
      <x:c r="B141" s="1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</x:row>
    <x:row r="142" ht="19" customHeight="1">
      <x:c r="A142" s="1"/>
      <x:c r="B142" s="1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</x:row>
    <x:row r="143" ht="19" customHeight="1">
      <x:c r="A143" s="1"/>
      <x:c r="B143" s="1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</x:row>
    <x:row r="144" ht="19" customHeight="1">
      <x:c r="A144" s="1"/>
      <x:c r="B144" s="1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</x:row>
    <x:row r="145" ht="19" customHeight="1">
      <x:c r="A145" s="1"/>
      <x:c r="B145" s="1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</x:row>
    <x:row r="146" ht="19" customHeight="1">
      <x:c r="A146" s="1"/>
      <x:c r="B146" s="1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</x:row>
    <x:row r="147" ht="19" customHeight="1">
      <x:c r="A147" s="1"/>
      <x:c r="B147" s="1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</x:row>
    <x:row r="148" ht="19" customHeight="1">
      <x:c r="A148" s="1"/>
      <x:c r="B148" s="1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</x:row>
    <x:row r="149" ht="19" customHeight="1">
      <x:c r="A149" s="1"/>
      <x:c r="B149" s="1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</x:row>
    <x:row r="150" ht="19" customHeight="1">
      <x:c r="A150" s="1"/>
      <x:c r="B150" s="1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</x:row>
    <x:row r="151" ht="19" customHeight="1">
      <x:c r="A151" s="1"/>
      <x:c r="B151" s="1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</x:row>
    <x:row r="152" ht="19" customHeight="1">
      <x:c r="A152" s="1"/>
      <x:c r="B152" s="1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</x:row>
    <x:row r="153" ht="19" customHeight="1">
      <x:c r="A153" s="1"/>
      <x:c r="B153" s="1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</x:row>
    <x:row r="154" ht="19" customHeight="1">
      <x:c r="A154" s="1"/>
      <x:c r="B154" s="1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</x:row>
    <x:row r="155" ht="19" customHeight="1">
      <x:c r="A155" s="1"/>
      <x:c r="B155" s="1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</x:row>
    <x:row r="156" ht="19" customHeight="1">
      <x:c r="A156" s="1"/>
      <x:c r="B156" s="1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</x:row>
    <x:row r="157" ht="19" customHeight="1">
      <x:c r="A157" s="1"/>
      <x:c r="B157" s="1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</x:row>
    <x:row r="158" ht="19" customHeight="1">
      <x:c r="A158" s="1"/>
      <x:c r="B158" s="1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</x:row>
    <x:row r="159" ht="19" customHeight="1">
      <x:c r="A159" s="1"/>
      <x:c r="B159" s="1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</x:row>
    <x:row r="160" ht="19" customHeight="1">
      <x:c r="A160" s="1"/>
      <x:c r="B160" s="1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</x:row>
    <x:row r="161" ht="19" customHeight="1">
      <x:c r="A161" s="1"/>
      <x:c r="B161" s="1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</x:row>
    <x:row r="162" ht="19" customHeight="1">
      <x:c r="A162" s="1"/>
      <x:c r="B162" s="1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</x:row>
    <x:row r="163" ht="19" customHeight="1">
      <x:c r="A163" s="1"/>
      <x:c r="B163" s="1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</x:row>
    <x:row r="164" ht="19" customHeight="1">
      <x:c r="A164" s="1"/>
      <x:c r="B164" s="1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</x:row>
    <x:row r="165" ht="19" customHeight="1">
      <x:c r="A165" s="1"/>
      <x:c r="B165" s="1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</x:row>
    <x:row r="166" ht="19" customHeight="1">
      <x:c r="A166" s="1"/>
      <x:c r="B166" s="1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</x:row>
    <x:row r="167" ht="19" customHeight="1">
      <x:c r="A167" s="1"/>
      <x:c r="B167" s="1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</x:row>
    <x:row r="168" ht="19" customHeight="1">
      <x:c r="A168" s="1"/>
      <x:c r="B168" s="1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</x:row>
    <x:row r="169" ht="19" customHeight="1">
      <x:c r="A169" s="1"/>
      <x:c r="B169" s="1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</x:row>
    <x:row r="170" ht="19" customHeight="1">
      <x:c r="A170" s="1"/>
      <x:c r="B170" s="1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</x:row>
    <x:row r="171" ht="19" customHeight="1">
      <x:c r="A171" s="1"/>
      <x:c r="B171" s="1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</x:row>
    <x:row r="172" ht="19" customHeight="1">
      <x:c r="A172" s="1"/>
      <x:c r="B172" s="1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</x:row>
    <x:row r="173" ht="19" customHeight="1">
      <x:c r="A173" s="1"/>
      <x:c r="B173" s="1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</x:row>
    <x:row r="174" ht="19" customHeight="1">
      <x:c r="A174" s="1"/>
      <x:c r="B174" s="1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</x:row>
    <x:row r="175" ht="19" customHeight="1">
      <x:c r="A175" s="1"/>
      <x:c r="B175" s="1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</x:row>
    <x:row r="176" ht="19" customHeight="1">
      <x:c r="A176" s="1"/>
      <x:c r="B176" s="1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</x:row>
    <x:row r="177" ht="19" customHeight="1">
      <x:c r="A177" s="1"/>
      <x:c r="B177" s="1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</x:row>
    <x:row r="178" ht="19" customHeight="1">
      <x:c r="A178" s="1"/>
      <x:c r="B178" s="1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</x:row>
    <x:row r="179" ht="19" customHeight="1">
      <x:c r="A179" s="1"/>
      <x:c r="B179" s="1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</x:row>
    <x:row r="180" ht="19" customHeight="1">
      <x:c r="A180" s="1"/>
      <x:c r="B180" s="1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</x:row>
    <x:row r="181" ht="19" customHeight="1">
      <x:c r="A181" s="1"/>
      <x:c r="B181" s="1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</x:row>
    <x:row r="182" ht="19" customHeight="1">
      <x:c r="A182" s="1"/>
      <x:c r="B182" s="1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</x:row>
    <x:row r="183" ht="19" customHeight="1">
      <x:c r="A183" s="1"/>
      <x:c r="B183" s="1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</x:row>
    <x:row r="184" ht="19" customHeight="1">
      <x:c r="A184" s="1"/>
      <x:c r="B184" s="1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</x:row>
    <x:row r="185" ht="19" customHeight="1">
      <x:c r="A185" s="1"/>
      <x:c r="B185" s="1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</x:row>
    <x:row r="186" ht="19" customHeight="1">
      <x:c r="A186" s="1"/>
      <x:c r="B186" s="1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</x:row>
    <x:row r="187" ht="19" customHeight="1">
      <x:c r="A187" s="1"/>
      <x:c r="B187" s="1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</x:row>
    <x:row r="188" ht="19" customHeight="1">
      <x:c r="A188" s="1"/>
      <x:c r="B188" s="1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</x:row>
    <x:row r="189" ht="19" customHeight="1">
      <x:c r="A189" s="1"/>
      <x:c r="B189" s="1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</x:row>
    <x:row r="190" ht="19" customHeight="1">
      <x:c r="A190" s="1"/>
      <x:c r="B190" s="1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</x:row>
    <x:row r="191" ht="19" customHeight="1">
      <x:c r="A191" s="1"/>
      <x:c r="B191" s="1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</x:row>
    <x:row r="192" ht="19" customHeight="1">
      <x:c r="A192" s="1"/>
      <x:c r="B192" s="1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</x:row>
    <x:row r="193" ht="19" customHeight="1">
      <x:c r="A193" s="1"/>
      <x:c r="B193" s="1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</x:row>
    <x:row r="194" ht="19" customHeight="1">
      <x:c r="A194" s="1"/>
      <x:c r="B194" s="1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</x:row>
    <x:row r="195" ht="19" customHeight="1">
      <x:c r="A195" s="1"/>
      <x:c r="B195" s="1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</x:row>
    <x:row r="196" ht="19" customHeight="1">
      <x:c r="A196" s="1"/>
      <x:c r="B196" s="1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</x:row>
    <x:row r="197" ht="19" customHeight="1">
      <x:c r="A197" s="1"/>
      <x:c r="B197" s="1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</x:row>
    <x:row r="198" ht="19" customHeight="1">
      <x:c r="A198" s="1"/>
      <x:c r="B198" s="1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</x:row>
    <x:row r="199" ht="19" customHeight="1">
      <x:c r="A199" s="1"/>
      <x:c r="B199" s="1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</x:row>
    <x:row r="200" ht="19" customHeight="1">
      <x:c r="A200" s="1"/>
      <x:c r="B200" s="1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</x:row>
    <x:row r="201" ht="19" customHeight="1">
      <x:c r="A201" s="1"/>
      <x:c r="B201" s="1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</x:row>
    <x:row r="202" ht="19" customHeight="1">
      <x:c r="A202" s="1"/>
      <x:c r="B202" s="1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</x:row>
    <x:row r="203" ht="19" customHeight="1">
      <x:c r="A203" s="1"/>
      <x:c r="B203" s="1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</x:row>
    <x:row r="204" ht="19" customHeight="1">
      <x:c r="A204" s="1"/>
      <x:c r="B204" s="1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</x:row>
    <x:row r="205" ht="19" customHeight="1">
      <x:c r="A205" s="1"/>
      <x:c r="B205" s="1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</x:row>
    <x:row r="206" ht="19" customHeight="1">
      <x:c r="A206" s="1"/>
      <x:c r="B206" s="1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</x:row>
    <x:row r="207" ht="19" customHeight="1">
      <x:c r="A207" s="1"/>
      <x:c r="B207" s="1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</x:row>
    <x:row r="208" ht="19" customHeight="1">
      <x:c r="A208" s="1"/>
      <x:c r="B208" s="1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</x:row>
    <x:row r="209" ht="19" customHeight="1">
      <x:c r="A209" s="1"/>
      <x:c r="B209" s="1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</x:row>
    <x:row r="210" ht="19" customHeight="1">
      <x:c r="A210" s="1"/>
      <x:c r="B210" s="1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</x:row>
    <x:row r="211" ht="19" customHeight="1">
      <x:c r="A211" s="1"/>
      <x:c r="B211" s="1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</x:row>
    <x:row r="212" ht="19" customHeight="1">
      <x:c r="A212" s="1"/>
      <x:c r="B212" s="1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</x:row>
    <x:row r="213" ht="19" customHeight="1">
      <x:c r="A213" s="1"/>
      <x:c r="B213" s="1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</x:row>
    <x:row r="214" ht="19" customHeight="1">
      <x:c r="A214" s="1"/>
      <x:c r="B214" s="1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</x:row>
    <x:row r="215" ht="19" customHeight="1">
      <x:c r="A215" s="1"/>
      <x:c r="B215" s="1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</x:row>
    <x:row r="216" ht="19" customHeight="1">
      <x:c r="A216" s="1"/>
      <x:c r="B216" s="1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</x:row>
    <x:row r="217" ht="19" customHeight="1">
      <x:c r="A217" s="1"/>
      <x:c r="B217" s="1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</x:row>
    <x:row r="218" ht="19" customHeight="1">
      <x:c r="A218" s="1"/>
      <x:c r="B218" s="1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</x:row>
    <x:row r="219" ht="19" customHeight="1">
      <x:c r="A219" s="1"/>
      <x:c r="B219" s="1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3" hidden="0" customWidth="1"/>
    <x:col min="5" max="5" width="17" hidden="0" customWidth="1"/>
    <x:col min="6" max="6" width="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</x:cols>
  <x:sheetData>
    <x:row r="1" ht="19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</x:row>
    <x:row r="2" ht="19" customHeight="1">
      <x:c r="A2" s="1"/>
      <x:c r="B2" s="1"/>
      <x:c r="C2" s="3" t="str">
        <x:v>Installment build</x:v>
      </x:c>
      <x:c r="D2" s="3"/>
      <x:c r="E2" s="3"/>
      <x:c r="F2" s="3"/>
      <x:c r="G2" s="3"/>
      <x:c r="H2" s="3"/>
      <x:c r="I2" s="3"/>
      <x:c r="J2" s="3"/>
      <x:c r="K2" s="3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</x:row>
    <x:row r="3" ht="19" customHeight="1">
      <x:c r="A3" s="1"/>
      <x:c r="B3" s="1"/>
      <x:c r="C3" s="2" t="str">
        <x:v>Exported scenario</x:v>
      </x:c>
      <x:c r="D3" s="2"/>
      <x:c r="E3" s="4" t="str">
        <x:f>'Assumptions'!$E$8</x:f>
        <x:v>Base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</x:row>
    <x:row r="4" ht="19" customHeight="1">
      <x:c r="A4" s="1"/>
      <x:c r="B4" s="1"/>
      <x:c r="C4" s="2" t="str">
        <x:v>Loan-type totals from the two product segment builds.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</x:row>
    <x:row r="5" ht="19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</x:row>
    <x:row r="6" ht="19" customHeight="1">
      <x:c r="A6" s="1"/>
      <x:c r="B6" s="1"/>
      <x:c r="C6" s="2"/>
      <x:c r="D6" s="2"/>
      <x:c r="E6" s="2"/>
      <x:c r="F6" s="2"/>
      <x:c r="G6" s="19" t="n">
        <x:v>1</x:v>
      </x:c>
      <x:c r="H6" s="19" t="n">
        <x:v>2</x:v>
      </x:c>
      <x:c r="I6" s="19" t="n">
        <x:v>3</x:v>
      </x:c>
      <x:c r="J6" s="19" t="n">
        <x:v>4</x:v>
      </x:c>
      <x:c r="K6" s="19" t="n">
        <x:v>5</x:v>
      </x:c>
      <x:c r="L6" s="19" t="n">
        <x:v>6</x:v>
      </x:c>
      <x:c r="M6" s="19" t="n">
        <x:v>7</x:v>
      </x:c>
      <x:c r="N6" s="19" t="n">
        <x:v>8</x:v>
      </x:c>
      <x:c r="O6" s="19" t="n">
        <x:v>9</x:v>
      </x:c>
      <x:c r="P6" s="19" t="n">
        <x:v>10</x:v>
      </x:c>
      <x:c r="Q6" s="19" t="n">
        <x:v>11</x:v>
      </x:c>
      <x:c r="R6" s="19" t="n">
        <x:v>12</x:v>
      </x:c>
      <x:c r="S6" s="19" t="n">
        <x:v>13</x:v>
      </x:c>
      <x:c r="T6" s="19" t="n">
        <x:v>14</x:v>
      </x:c>
      <x:c r="U6" s="19" t="n">
        <x:v>15</x:v>
      </x:c>
      <x:c r="V6" s="19" t="n">
        <x:v>16</x:v>
      </x:c>
      <x:c r="W6" s="19" t="n">
        <x:v>17</x:v>
      </x:c>
      <x:c r="X6" s="19" t="n">
        <x:v>18</x:v>
      </x:c>
      <x:c r="Y6" s="19" t="n">
        <x:v>19</x:v>
      </x:c>
      <x:c r="Z6" s="19" t="n">
        <x:v>20</x:v>
      </x:c>
      <x:c r="AA6" s="19" t="n">
        <x:v>21</x:v>
      </x:c>
      <x:c r="AB6" s="19" t="n">
        <x:v>22</x:v>
      </x:c>
      <x:c r="AC6" s="19" t="n">
        <x:v>23</x:v>
      </x:c>
      <x:c r="AD6" s="19" t="n">
        <x:v>24</x:v>
      </x:c>
      <x:c r="AE6" s="19" t="n">
        <x:v>25</x:v>
      </x:c>
      <x:c r="AF6" s="19" t="n">
        <x:v>26</x:v>
      </x:c>
      <x:c r="AG6" s="19" t="n">
        <x:v>27</x:v>
      </x:c>
      <x:c r="AH6" s="19" t="n">
        <x:v>28</x:v>
      </x:c>
      <x:c r="AI6" s="19" t="n">
        <x:v>29</x:v>
      </x:c>
      <x:c r="AJ6" s="19" t="n">
        <x:v>30</x:v>
      </x:c>
      <x:c r="AK6" s="19" t="n">
        <x:v>31</x:v>
      </x:c>
      <x:c r="AL6" s="19" t="n">
        <x:v>32</x:v>
      </x:c>
      <x:c r="AM6" s="19" t="n">
        <x:v>33</x:v>
      </x:c>
      <x:c r="AN6" s="19" t="n">
        <x:v>34</x:v>
      </x:c>
      <x:c r="AO6" s="19" t="n">
        <x:v>35</x:v>
      </x:c>
      <x:c r="AP6" s="19" t="n">
        <x:v>36</x:v>
      </x:c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</x:row>
    <x:row r="7" ht="19" customHeight="1">
      <x:c r="A7" s="1"/>
      <x:c r="B7" s="1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</x:row>
    <x:row r="8" ht="19" customHeight="1">
      <x:c r="A8" s="1"/>
      <x:c r="B8" s="1"/>
      <x:c r="C8" s="2" t="str">
        <x:v>Applications</x:v>
      </x:c>
      <x:c r="D8" s="2"/>
      <x:c r="E8" s="37" t="n">
        <x:f>SUMIFS(G8:AP8,$G$6:$AP$6,"&lt;="&amp;'Assumptions'!$E$7)</x:f>
        <x:v>288000</x:v>
      </x:c>
      <x:c r="F8" s="2"/>
      <x:c r="G8" s="37" t="n">
        <x:f>'CF Installment'!G8+'MK Installment'!G8</x:f>
        <x:v>12000</x:v>
      </x:c>
      <x:c r="H8" s="37" t="n">
        <x:f>'CF Installment'!H8+'MK Installment'!H8</x:f>
        <x:v>12000</x:v>
      </x:c>
      <x:c r="I8" s="37" t="n">
        <x:f>'CF Installment'!I8+'MK Installment'!I8</x:f>
        <x:v>12000</x:v>
      </x:c>
      <x:c r="J8" s="37" t="n">
        <x:f>'CF Installment'!J8+'MK Installment'!J8</x:f>
        <x:v>12000</x:v>
      </x:c>
      <x:c r="K8" s="37" t="n">
        <x:f>'CF Installment'!K8+'MK Installment'!K8</x:f>
        <x:v>12000</x:v>
      </x:c>
      <x:c r="L8" s="37" t="n">
        <x:f>'CF Installment'!L8+'MK Installment'!L8</x:f>
        <x:v>12000</x:v>
      </x:c>
      <x:c r="M8" s="37" t="n">
        <x:f>'CF Installment'!M8+'MK Installment'!M8</x:f>
        <x:v>12000</x:v>
      </x:c>
      <x:c r="N8" s="37" t="n">
        <x:f>'CF Installment'!N8+'MK Installment'!N8</x:f>
        <x:v>12000</x:v>
      </x:c>
      <x:c r="O8" s="37" t="n">
        <x:f>'CF Installment'!O8+'MK Installment'!O8</x:f>
        <x:v>12000</x:v>
      </x:c>
      <x:c r="P8" s="37" t="n">
        <x:f>'CF Installment'!P8+'MK Installment'!P8</x:f>
        <x:v>12000</x:v>
      </x:c>
      <x:c r="Q8" s="37" t="n">
        <x:f>'CF Installment'!Q8+'MK Installment'!Q8</x:f>
        <x:v>12000</x:v>
      </x:c>
      <x:c r="R8" s="37" t="n">
        <x:f>'CF Installment'!R8+'MK Installment'!R8</x:f>
        <x:v>12000</x:v>
      </x:c>
      <x:c r="S8" s="37" t="n">
        <x:f>'CF Installment'!S8+'MK Installment'!S8</x:f>
        <x:v>12000</x:v>
      </x:c>
      <x:c r="T8" s="37" t="n">
        <x:f>'CF Installment'!T8+'MK Installment'!T8</x:f>
        <x:v>12000</x:v>
      </x:c>
      <x:c r="U8" s="37" t="n">
        <x:f>'CF Installment'!U8+'MK Installment'!U8</x:f>
        <x:v>12000</x:v>
      </x:c>
      <x:c r="V8" s="37" t="n">
        <x:f>'CF Installment'!V8+'MK Installment'!V8</x:f>
        <x:v>12000</x:v>
      </x:c>
      <x:c r="W8" s="37" t="n">
        <x:f>'CF Installment'!W8+'MK Installment'!W8</x:f>
        <x:v>12000</x:v>
      </x:c>
      <x:c r="X8" s="37" t="n">
        <x:f>'CF Installment'!X8+'MK Installment'!X8</x:f>
        <x:v>12000</x:v>
      </x:c>
      <x:c r="Y8" s="37" t="n">
        <x:f>'CF Installment'!Y8+'MK Installment'!Y8</x:f>
        <x:v>12000</x:v>
      </x:c>
      <x:c r="Z8" s="37" t="n">
        <x:f>'CF Installment'!Z8+'MK Installment'!Z8</x:f>
        <x:v>12000</x:v>
      </x:c>
      <x:c r="AA8" s="37" t="n">
        <x:f>'CF Installment'!AA8+'MK Installment'!AA8</x:f>
        <x:v>12000</x:v>
      </x:c>
      <x:c r="AB8" s="37" t="n">
        <x:f>'CF Installment'!AB8+'MK Installment'!AB8</x:f>
        <x:v>12000</x:v>
      </x:c>
      <x:c r="AC8" s="37" t="n">
        <x:f>'CF Installment'!AC8+'MK Installment'!AC8</x:f>
        <x:v>12000</x:v>
      </x:c>
      <x:c r="AD8" s="37" t="n">
        <x:f>'CF Installment'!AD8+'MK Installment'!AD8</x:f>
        <x:v>12000</x:v>
      </x:c>
      <x:c r="AE8" s="37" t="n">
        <x:f>'CF Installment'!AE8+'MK Installment'!AE8</x:f>
        <x:v>12000</x:v>
      </x:c>
      <x:c r="AF8" s="37" t="n">
        <x:f>'CF Installment'!AF8+'MK Installment'!AF8</x:f>
        <x:v>12000</x:v>
      </x:c>
      <x:c r="AG8" s="37" t="n">
        <x:f>'CF Installment'!AG8+'MK Installment'!AG8</x:f>
        <x:v>12000</x:v>
      </x:c>
      <x:c r="AH8" s="37" t="n">
        <x:f>'CF Installment'!AH8+'MK Installment'!AH8</x:f>
        <x:v>12000</x:v>
      </x:c>
      <x:c r="AI8" s="37" t="n">
        <x:f>'CF Installment'!AI8+'MK Installment'!AI8</x:f>
        <x:v>12000</x:v>
      </x:c>
      <x:c r="AJ8" s="37" t="n">
        <x:f>'CF Installment'!AJ8+'MK Installment'!AJ8</x:f>
        <x:v>12000</x:v>
      </x:c>
      <x:c r="AK8" s="37" t="n">
        <x:f>'CF Installment'!AK8+'MK Installment'!AK8</x:f>
        <x:v>12000</x:v>
      </x:c>
      <x:c r="AL8" s="37" t="n">
        <x:f>'CF Installment'!AL8+'MK Installment'!AL8</x:f>
        <x:v>12000</x:v>
      </x:c>
      <x:c r="AM8" s="37" t="n">
        <x:f>'CF Installment'!AM8+'MK Installment'!AM8</x:f>
        <x:v>12000</x:v>
      </x:c>
      <x:c r="AN8" s="37" t="n">
        <x:f>'CF Installment'!AN8+'MK Installment'!AN8</x:f>
        <x:v>12000</x:v>
      </x:c>
      <x:c r="AO8" s="37" t="n">
        <x:f>'CF Installment'!AO8+'MK Installment'!AO8</x:f>
        <x:v>12000</x:v>
      </x:c>
      <x:c r="AP8" s="37" t="n">
        <x:f>'CF Installment'!AP8+'MK Installment'!AP8</x:f>
        <x:v>12000</x:v>
      </x:c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</x:row>
    <x:row r="9" ht="19" customHeight="1">
      <x:c r="A9" s="1"/>
      <x:c r="B9" s="1"/>
      <x:c r="C9" s="2" t="str">
        <x:v>Approval rate</x:v>
      </x:c>
      <x:c r="D9" s="2"/>
      <x:c r="E9" s="35"/>
      <x:c r="F9" s="2"/>
      <x:c r="G9" s="12" t="n">
        <x:f>'CF Installment'!G9</x:f>
        <x:v>0.45</x:v>
      </x:c>
      <x:c r="H9" s="12" t="n">
        <x:f>'CF Installment'!H9</x:f>
        <x:v>0.45</x:v>
      </x:c>
      <x:c r="I9" s="12" t="n">
        <x:f>'CF Installment'!I9</x:f>
        <x:v>0.45</x:v>
      </x:c>
      <x:c r="J9" s="12" t="n">
        <x:f>'CF Installment'!J9</x:f>
        <x:v>0.45</x:v>
      </x:c>
      <x:c r="K9" s="12" t="n">
        <x:f>'CF Installment'!K9</x:f>
        <x:v>0.45</x:v>
      </x:c>
      <x:c r="L9" s="12" t="n">
        <x:f>'CF Installment'!L9</x:f>
        <x:v>0.45</x:v>
      </x:c>
      <x:c r="M9" s="12" t="n">
        <x:f>'CF Installment'!M9</x:f>
        <x:v>0.45</x:v>
      </x:c>
      <x:c r="N9" s="12" t="n">
        <x:f>'CF Installment'!N9</x:f>
        <x:v>0.45</x:v>
      </x:c>
      <x:c r="O9" s="12" t="n">
        <x:f>'CF Installment'!O9</x:f>
        <x:v>0.45</x:v>
      </x:c>
      <x:c r="P9" s="12" t="n">
        <x:f>'CF Installment'!P9</x:f>
        <x:v>0.45</x:v>
      </x:c>
      <x:c r="Q9" s="12" t="n">
        <x:f>'CF Installment'!Q9</x:f>
        <x:v>0.45</x:v>
      </x:c>
      <x:c r="R9" s="12" t="n">
        <x:f>'CF Installment'!R9</x:f>
        <x:v>0.45</x:v>
      </x:c>
      <x:c r="S9" s="12" t="n">
        <x:f>'CF Installment'!S9</x:f>
        <x:v>0.45</x:v>
      </x:c>
      <x:c r="T9" s="12" t="n">
        <x:f>'CF Installment'!T9</x:f>
        <x:v>0.45</x:v>
      </x:c>
      <x:c r="U9" s="12" t="n">
        <x:f>'CF Installment'!U9</x:f>
        <x:v>0.45</x:v>
      </x:c>
      <x:c r="V9" s="12" t="n">
        <x:f>'CF Installment'!V9</x:f>
        <x:v>0.45</x:v>
      </x:c>
      <x:c r="W9" s="12" t="n">
        <x:f>'CF Installment'!W9</x:f>
        <x:v>0.45</x:v>
      </x:c>
      <x:c r="X9" s="12" t="n">
        <x:f>'CF Installment'!X9</x:f>
        <x:v>0.45</x:v>
      </x:c>
      <x:c r="Y9" s="12" t="n">
        <x:f>'CF Installment'!Y9</x:f>
        <x:v>0.45</x:v>
      </x:c>
      <x:c r="Z9" s="12" t="n">
        <x:f>'CF Installment'!Z9</x:f>
        <x:v>0.45</x:v>
      </x:c>
      <x:c r="AA9" s="12" t="n">
        <x:f>'CF Installment'!AA9</x:f>
        <x:v>0.45</x:v>
      </x:c>
      <x:c r="AB9" s="12" t="n">
        <x:f>'CF Installment'!AB9</x:f>
        <x:v>0.45</x:v>
      </x:c>
      <x:c r="AC9" s="12" t="n">
        <x:f>'CF Installment'!AC9</x:f>
        <x:v>0.45</x:v>
      </x:c>
      <x:c r="AD9" s="12" t="n">
        <x:f>'CF Installment'!AD9</x:f>
        <x:v>0.45</x:v>
      </x:c>
      <x:c r="AE9" s="12" t="n">
        <x:f>'CF Installment'!AE9</x:f>
        <x:v>0.45</x:v>
      </x:c>
      <x:c r="AF9" s="12" t="n">
        <x:f>'CF Installment'!AF9</x:f>
        <x:v>0.45</x:v>
      </x:c>
      <x:c r="AG9" s="12" t="n">
        <x:f>'CF Installment'!AG9</x:f>
        <x:v>0.45</x:v>
      </x:c>
      <x:c r="AH9" s="12" t="n">
        <x:f>'CF Installment'!AH9</x:f>
        <x:v>0.45</x:v>
      </x:c>
      <x:c r="AI9" s="12" t="n">
        <x:f>'CF Installment'!AI9</x:f>
        <x:v>0.45</x:v>
      </x:c>
      <x:c r="AJ9" s="12" t="n">
        <x:f>'CF Installment'!AJ9</x:f>
        <x:v>0.45</x:v>
      </x:c>
      <x:c r="AK9" s="12" t="n">
        <x:f>'CF Installment'!AK9</x:f>
        <x:v>0.45</x:v>
      </x:c>
      <x:c r="AL9" s="12" t="n">
        <x:f>'CF Installment'!AL9</x:f>
        <x:v>0.45</x:v>
      </x:c>
      <x:c r="AM9" s="12" t="n">
        <x:f>'CF Installment'!AM9</x:f>
        <x:v>0.45</x:v>
      </x:c>
      <x:c r="AN9" s="12" t="n">
        <x:f>'CF Installment'!AN9</x:f>
        <x:v>0.45</x:v>
      </x:c>
      <x:c r="AO9" s="12" t="n">
        <x:f>'CF Installment'!AO9</x:f>
        <x:v>0.45</x:v>
      </x:c>
      <x:c r="AP9" s="12" t="n">
        <x:f>'CF Installment'!AP9</x:f>
        <x:v>0.45</x:v>
      </x:c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</x:row>
    <x:row r="10" ht="19" customHeight="1">
      <x:c r="A10" s="1"/>
      <x:c r="B10" s="1"/>
      <x:c r="C10" s="2" t="str">
        <x:v>Average loan size ($)</x:v>
      </x:c>
      <x:c r="D10" s="2"/>
      <x:c r="E10" s="35"/>
      <x:c r="F10" s="2"/>
      <x:c r="G10" s="48" t="n">
        <x:f>'CF Installment'!G10</x:f>
        <x:v>4000</x:v>
      </x:c>
      <x:c r="H10" s="48" t="n">
        <x:f>'CF Installment'!H10</x:f>
        <x:v>4000</x:v>
      </x:c>
      <x:c r="I10" s="48" t="n">
        <x:f>'CF Installment'!I10</x:f>
        <x:v>4000</x:v>
      </x:c>
      <x:c r="J10" s="48" t="n">
        <x:f>'CF Installment'!J10</x:f>
        <x:v>4000</x:v>
      </x:c>
      <x:c r="K10" s="48" t="n">
        <x:f>'CF Installment'!K10</x:f>
        <x:v>4000</x:v>
      </x:c>
      <x:c r="L10" s="48" t="n">
        <x:f>'CF Installment'!L10</x:f>
        <x:v>4000</x:v>
      </x:c>
      <x:c r="M10" s="48" t="n">
        <x:f>'CF Installment'!M10</x:f>
        <x:v>4000</x:v>
      </x:c>
      <x:c r="N10" s="48" t="n">
        <x:f>'CF Installment'!N10</x:f>
        <x:v>4000</x:v>
      </x:c>
      <x:c r="O10" s="48" t="n">
        <x:f>'CF Installment'!O10</x:f>
        <x:v>4000</x:v>
      </x:c>
      <x:c r="P10" s="48" t="n">
        <x:f>'CF Installment'!P10</x:f>
        <x:v>4000</x:v>
      </x:c>
      <x:c r="Q10" s="48" t="n">
        <x:f>'CF Installment'!Q10</x:f>
        <x:v>4000</x:v>
      </x:c>
      <x:c r="R10" s="48" t="n">
        <x:f>'CF Installment'!R10</x:f>
        <x:v>4000</x:v>
      </x:c>
      <x:c r="S10" s="48" t="n">
        <x:f>'CF Installment'!S10</x:f>
        <x:v>4000</x:v>
      </x:c>
      <x:c r="T10" s="48" t="n">
        <x:f>'CF Installment'!T10</x:f>
        <x:v>4000</x:v>
      </x:c>
      <x:c r="U10" s="48" t="n">
        <x:f>'CF Installment'!U10</x:f>
        <x:v>4000</x:v>
      </x:c>
      <x:c r="V10" s="48" t="n">
        <x:f>'CF Installment'!V10</x:f>
        <x:v>4000</x:v>
      </x:c>
      <x:c r="W10" s="48" t="n">
        <x:f>'CF Installment'!W10</x:f>
        <x:v>4000</x:v>
      </x:c>
      <x:c r="X10" s="48" t="n">
        <x:f>'CF Installment'!X10</x:f>
        <x:v>4000</x:v>
      </x:c>
      <x:c r="Y10" s="48" t="n">
        <x:f>'CF Installment'!Y10</x:f>
        <x:v>4000</x:v>
      </x:c>
      <x:c r="Z10" s="48" t="n">
        <x:f>'CF Installment'!Z10</x:f>
        <x:v>4000</x:v>
      </x:c>
      <x:c r="AA10" s="48" t="n">
        <x:f>'CF Installment'!AA10</x:f>
        <x:v>4000</x:v>
      </x:c>
      <x:c r="AB10" s="48" t="n">
        <x:f>'CF Installment'!AB10</x:f>
        <x:v>4000</x:v>
      </x:c>
      <x:c r="AC10" s="48" t="n">
        <x:f>'CF Installment'!AC10</x:f>
        <x:v>4000</x:v>
      </x:c>
      <x:c r="AD10" s="48" t="n">
        <x:f>'CF Installment'!AD10</x:f>
        <x:v>4000</x:v>
      </x:c>
      <x:c r="AE10" s="48" t="n">
        <x:f>'CF Installment'!AE10</x:f>
        <x:v>4000</x:v>
      </x:c>
      <x:c r="AF10" s="48" t="n">
        <x:f>'CF Installment'!AF10</x:f>
        <x:v>4000</x:v>
      </x:c>
      <x:c r="AG10" s="48" t="n">
        <x:f>'CF Installment'!AG10</x:f>
        <x:v>4000</x:v>
      </x:c>
      <x:c r="AH10" s="48" t="n">
        <x:f>'CF Installment'!AH10</x:f>
        <x:v>4000</x:v>
      </x:c>
      <x:c r="AI10" s="48" t="n">
        <x:f>'CF Installment'!AI10</x:f>
        <x:v>4000</x:v>
      </x:c>
      <x:c r="AJ10" s="48" t="n">
        <x:f>'CF Installment'!AJ10</x:f>
        <x:v>4000</x:v>
      </x:c>
      <x:c r="AK10" s="48" t="n">
        <x:f>'CF Installment'!AK10</x:f>
        <x:v>4000</x:v>
      </x:c>
      <x:c r="AL10" s="48" t="n">
        <x:f>'CF Installment'!AL10</x:f>
        <x:v>4000</x:v>
      </x:c>
      <x:c r="AM10" s="48" t="n">
        <x:f>'CF Installment'!AM10</x:f>
        <x:v>4000</x:v>
      </x:c>
      <x:c r="AN10" s="48" t="n">
        <x:f>'CF Installment'!AN10</x:f>
        <x:v>4000</x:v>
      </x:c>
      <x:c r="AO10" s="48" t="n">
        <x:f>'CF Installment'!AO10</x:f>
        <x:v>4000</x:v>
      </x:c>
      <x:c r="AP10" s="48" t="n">
        <x:f>'CF Installment'!AP10</x:f>
        <x:v>4000</x:v>
      </x:c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</x:row>
    <x:row r="11" ht="19" customHeight="1">
      <x:c r="A11" s="1"/>
      <x:c r="B11" s="1"/>
      <x:c r="C11" s="2" t="str">
        <x:v>Originations</x:v>
      </x:c>
      <x:c r="D11" s="2"/>
      <x:c r="E11" s="35" t="n">
        <x:f>SUMIFS(G11:AP11,$G$6:$AP$6,"&lt;="&amp;'Assumptions'!$E$7)</x:f>
        <x:v>518400000</x:v>
      </x:c>
      <x:c r="F11" s="2"/>
      <x:c r="G11" s="35" t="n">
        <x:f>'CF Installment'!G11+'MK Installment'!G11</x:f>
        <x:v>21600000</x:v>
      </x:c>
      <x:c r="H11" s="35" t="n">
        <x:f>'CF Installment'!H11+'MK Installment'!H11</x:f>
        <x:v>21600000</x:v>
      </x:c>
      <x:c r="I11" s="35" t="n">
        <x:f>'CF Installment'!I11+'MK Installment'!I11</x:f>
        <x:v>21600000</x:v>
      </x:c>
      <x:c r="J11" s="35" t="n">
        <x:f>'CF Installment'!J11+'MK Installment'!J11</x:f>
        <x:v>21600000</x:v>
      </x:c>
      <x:c r="K11" s="35" t="n">
        <x:f>'CF Installment'!K11+'MK Installment'!K11</x:f>
        <x:v>21600000</x:v>
      </x:c>
      <x:c r="L11" s="35" t="n">
        <x:f>'CF Installment'!L11+'MK Installment'!L11</x:f>
        <x:v>21600000</x:v>
      </x:c>
      <x:c r="M11" s="35" t="n">
        <x:f>'CF Installment'!M11+'MK Installment'!M11</x:f>
        <x:v>21600000</x:v>
      </x:c>
      <x:c r="N11" s="35" t="n">
        <x:f>'CF Installment'!N11+'MK Installment'!N11</x:f>
        <x:v>21600000</x:v>
      </x:c>
      <x:c r="O11" s="35" t="n">
        <x:f>'CF Installment'!O11+'MK Installment'!O11</x:f>
        <x:v>21600000</x:v>
      </x:c>
      <x:c r="P11" s="35" t="n">
        <x:f>'CF Installment'!P11+'MK Installment'!P11</x:f>
        <x:v>21600000</x:v>
      </x:c>
      <x:c r="Q11" s="35" t="n">
        <x:f>'CF Installment'!Q11+'MK Installment'!Q11</x:f>
        <x:v>21600000</x:v>
      </x:c>
      <x:c r="R11" s="35" t="n">
        <x:f>'CF Installment'!R11+'MK Installment'!R11</x:f>
        <x:v>21600000</x:v>
      </x:c>
      <x:c r="S11" s="35" t="n">
        <x:f>'CF Installment'!S11+'MK Installment'!S11</x:f>
        <x:v>21600000</x:v>
      </x:c>
      <x:c r="T11" s="35" t="n">
        <x:f>'CF Installment'!T11+'MK Installment'!T11</x:f>
        <x:v>21600000</x:v>
      </x:c>
      <x:c r="U11" s="35" t="n">
        <x:f>'CF Installment'!U11+'MK Installment'!U11</x:f>
        <x:v>21600000</x:v>
      </x:c>
      <x:c r="V11" s="35" t="n">
        <x:f>'CF Installment'!V11+'MK Installment'!V11</x:f>
        <x:v>21600000</x:v>
      </x:c>
      <x:c r="W11" s="35" t="n">
        <x:f>'CF Installment'!W11+'MK Installment'!W11</x:f>
        <x:v>21600000</x:v>
      </x:c>
      <x:c r="X11" s="35" t="n">
        <x:f>'CF Installment'!X11+'MK Installment'!X11</x:f>
        <x:v>21600000</x:v>
      </x:c>
      <x:c r="Y11" s="35" t="n">
        <x:f>'CF Installment'!Y11+'MK Installment'!Y11</x:f>
        <x:v>21600000</x:v>
      </x:c>
      <x:c r="Z11" s="35" t="n">
        <x:f>'CF Installment'!Z11+'MK Installment'!Z11</x:f>
        <x:v>21600000</x:v>
      </x:c>
      <x:c r="AA11" s="35" t="n">
        <x:f>'CF Installment'!AA11+'MK Installment'!AA11</x:f>
        <x:v>21600000</x:v>
      </x:c>
      <x:c r="AB11" s="35" t="n">
        <x:f>'CF Installment'!AB11+'MK Installment'!AB11</x:f>
        <x:v>21600000</x:v>
      </x:c>
      <x:c r="AC11" s="35" t="n">
        <x:f>'CF Installment'!AC11+'MK Installment'!AC11</x:f>
        <x:v>21600000</x:v>
      </x:c>
      <x:c r="AD11" s="35" t="n">
        <x:f>'CF Installment'!AD11+'MK Installment'!AD11</x:f>
        <x:v>21600000</x:v>
      </x:c>
      <x:c r="AE11" s="35" t="n">
        <x:f>'CF Installment'!AE11+'MK Installment'!AE11</x:f>
        <x:v>21600000</x:v>
      </x:c>
      <x:c r="AF11" s="35" t="n">
        <x:f>'CF Installment'!AF11+'MK Installment'!AF11</x:f>
        <x:v>21600000</x:v>
      </x:c>
      <x:c r="AG11" s="35" t="n">
        <x:f>'CF Installment'!AG11+'MK Installment'!AG11</x:f>
        <x:v>21600000</x:v>
      </x:c>
      <x:c r="AH11" s="35" t="n">
        <x:f>'CF Installment'!AH11+'MK Installment'!AH11</x:f>
        <x:v>21600000</x:v>
      </x:c>
      <x:c r="AI11" s="35" t="n">
        <x:f>'CF Installment'!AI11+'MK Installment'!AI11</x:f>
        <x:v>21600000</x:v>
      </x:c>
      <x:c r="AJ11" s="35" t="n">
        <x:f>'CF Installment'!AJ11+'MK Installment'!AJ11</x:f>
        <x:v>21600000</x:v>
      </x:c>
      <x:c r="AK11" s="35" t="n">
        <x:f>'CF Installment'!AK11+'MK Installment'!AK11</x:f>
        <x:v>21600000</x:v>
      </x:c>
      <x:c r="AL11" s="35" t="n">
        <x:f>'CF Installment'!AL11+'MK Installment'!AL11</x:f>
        <x:v>21600000</x:v>
      </x:c>
      <x:c r="AM11" s="35" t="n">
        <x:f>'CF Installment'!AM11+'MK Installment'!AM11</x:f>
        <x:v>21600000</x:v>
      </x:c>
      <x:c r="AN11" s="35" t="n">
        <x:f>'CF Installment'!AN11+'MK Installment'!AN11</x:f>
        <x:v>21600000</x:v>
      </x:c>
      <x:c r="AO11" s="35" t="n">
        <x:f>'CF Installment'!AO11+'MK Installment'!AO11</x:f>
        <x:v>21600000</x:v>
      </x:c>
      <x:c r="AP11" s="35" t="n">
        <x:f>'CF Installment'!AP11+'MK Installment'!AP11</x:f>
        <x:v>21600000</x:v>
      </x:c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</x:row>
    <x:row r="12" ht="19" customHeight="1">
      <x:c r="A12" s="1"/>
      <x:c r="B12" s="1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</x:row>
    <x:row r="13" ht="19" customHeight="1">
      <x:c r="A13" s="1"/>
      <x:c r="B13" s="1"/>
      <x:c r="C13" s="2" t="str">
        <x:v>Beginning gross CLAB</x:v>
      </x:c>
      <x:c r="D13" s="2"/>
      <x:c r="E13" s="35" t="n">
        <x:f>G13</x:f>
        <x:v>383400000</x:v>
      </x:c>
      <x:c r="F13" s="2"/>
      <x:c r="G13" s="35" t="n">
        <x:f>'CF Installment'!G13+'MK Installment'!G13</x:f>
        <x:v>383400000</x:v>
      </x:c>
      <x:c r="H13" s="35" t="n">
        <x:f>'CF Installment'!H13+'MK Installment'!H13</x:f>
        <x:v>224688808.6413032</x:v>
      </x:c>
      <x:c r="I13" s="35" t="n">
        <x:f>'CF Installment'!I13+'MK Installment'!I13</x:f>
        <x:v>147904773.0115946</x:v>
      </x:c>
      <x:c r="J13" s="35" t="n">
        <x:f>'CF Installment'!J13+'MK Installment'!J13</x:f>
        <x:v>107393126.28093366</x:v>
      </x:c>
      <x:c r="K13" s="35" t="n">
        <x:f>'CF Installment'!K13+'MK Installment'!K13</x:f>
        <x:v>85751729.46393454</x:v>
      </x:c>
      <x:c r="L13" s="35" t="n">
        <x:f>'CF Installment'!L13+'MK Installment'!L13</x:f>
        <x:v>74364321.33892399</x:v>
      </x:c>
      <x:c r="M13" s="35" t="n">
        <x:f>'CF Installment'!M13+'MK Installment'!M13</x:f>
        <x:v>68606103.5615182</x:v>
      </x:c>
      <x:c r="N13" s="35" t="n">
        <x:f>'CF Installment'!N13+'MK Installment'!N13</x:f>
        <x:v>65742855.884121224</x:v>
      </x:c>
      <x:c r="O13" s="35" t="n">
        <x:f>'CF Installment'!O13+'MK Installment'!O13</x:f>
        <x:v>64494018.04285487</x:v>
      </x:c>
      <x:c r="P13" s="35" t="n">
        <x:f>'CF Installment'!P13+'MK Installment'!P13</x:f>
        <x:v>64099838.555728525</x:v>
      </x:c>
      <x:c r="Q13" s="35" t="n">
        <x:f>'CF Installment'!Q13+'MK Installment'!Q13</x:f>
        <x:v>64099838.55572853</x:v>
      </x:c>
      <x:c r="R13" s="35" t="n">
        <x:f>'CF Installment'!R13+'MK Installment'!R13</x:f>
        <x:v>64099838.55572853</x:v>
      </x:c>
      <x:c r="S13" s="35" t="n">
        <x:f>'CF Installment'!S13+'MK Installment'!S13</x:f>
        <x:v>64099838.55572853</x:v>
      </x:c>
      <x:c r="T13" s="35" t="n">
        <x:f>'CF Installment'!T13+'MK Installment'!T13</x:f>
        <x:v>64099838.55572853</x:v>
      </x:c>
      <x:c r="U13" s="35" t="n">
        <x:f>'CF Installment'!U13+'MK Installment'!U13</x:f>
        <x:v>64099838.55572853</x:v>
      </x:c>
      <x:c r="V13" s="35" t="n">
        <x:f>'CF Installment'!V13+'MK Installment'!V13</x:f>
        <x:v>64099838.55572853</x:v>
      </x:c>
      <x:c r="W13" s="35" t="n">
        <x:f>'CF Installment'!W13+'MK Installment'!W13</x:f>
        <x:v>64099838.55572853</x:v>
      </x:c>
      <x:c r="X13" s="35" t="n">
        <x:f>'CF Installment'!X13+'MK Installment'!X13</x:f>
        <x:v>64099838.55572853</x:v>
      </x:c>
      <x:c r="Y13" s="35" t="n">
        <x:f>'CF Installment'!Y13+'MK Installment'!Y13</x:f>
        <x:v>64099838.55572853</x:v>
      </x:c>
      <x:c r="Z13" s="35" t="n">
        <x:f>'CF Installment'!Z13+'MK Installment'!Z13</x:f>
        <x:v>64099838.55572853</x:v>
      </x:c>
      <x:c r="AA13" s="35" t="n">
        <x:f>'CF Installment'!AA13+'MK Installment'!AA13</x:f>
        <x:v>64099838.55572853</x:v>
      </x:c>
      <x:c r="AB13" s="35" t="n">
        <x:f>'CF Installment'!AB13+'MK Installment'!AB13</x:f>
        <x:v>64099838.55572853</x:v>
      </x:c>
      <x:c r="AC13" s="35" t="n">
        <x:f>'CF Installment'!AC13+'MK Installment'!AC13</x:f>
        <x:v>64099838.55572853</x:v>
      </x:c>
      <x:c r="AD13" s="35" t="n">
        <x:f>'CF Installment'!AD13+'MK Installment'!AD13</x:f>
        <x:v>64099838.55572853</x:v>
      </x:c>
      <x:c r="AE13" s="35" t="n">
        <x:f>'CF Installment'!AE13+'MK Installment'!AE13</x:f>
        <x:v>64099838.55572853</x:v>
      </x:c>
      <x:c r="AF13" s="35" t="n">
        <x:f>'CF Installment'!AF13+'MK Installment'!AF13</x:f>
        <x:v>64099838.55572853</x:v>
      </x:c>
      <x:c r="AG13" s="35" t="n">
        <x:f>'CF Installment'!AG13+'MK Installment'!AG13</x:f>
        <x:v>64099838.55572853</x:v>
      </x:c>
      <x:c r="AH13" s="35" t="n">
        <x:f>'CF Installment'!AH13+'MK Installment'!AH13</x:f>
        <x:v>64099838.55572853</x:v>
      </x:c>
      <x:c r="AI13" s="35" t="n">
        <x:f>'CF Installment'!AI13+'MK Installment'!AI13</x:f>
        <x:v>64099838.55572853</x:v>
      </x:c>
      <x:c r="AJ13" s="35" t="n">
        <x:f>'CF Installment'!AJ13+'MK Installment'!AJ13</x:f>
        <x:v>64099838.55572853</x:v>
      </x:c>
      <x:c r="AK13" s="35" t="n">
        <x:f>'CF Installment'!AK13+'MK Installment'!AK13</x:f>
        <x:v>64099838.55572853</x:v>
      </x:c>
      <x:c r="AL13" s="35" t="n">
        <x:f>'CF Installment'!AL13+'MK Installment'!AL13</x:f>
        <x:v>64099838.55572853</x:v>
      </x:c>
      <x:c r="AM13" s="35" t="n">
        <x:f>'CF Installment'!AM13+'MK Installment'!AM13</x:f>
        <x:v>64099838.55572853</x:v>
      </x:c>
      <x:c r="AN13" s="35" t="n">
        <x:f>'CF Installment'!AN13+'MK Installment'!AN13</x:f>
        <x:v>64099838.55572853</x:v>
      </x:c>
      <x:c r="AO13" s="35" t="n">
        <x:f>'CF Installment'!AO13+'MK Installment'!AO13</x:f>
        <x:v>64099838.55572853</x:v>
      </x:c>
      <x:c r="AP13" s="35" t="n">
        <x:f>'CF Installment'!AP13+'MK Installment'!AP13</x:f>
        <x:v>64099838.55572853</x:v>
      </x:c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</x:row>
    <x:row r="14" ht="19" customHeight="1">
      <x:c r="A14" s="1"/>
      <x:c r="B14" s="1"/>
      <x:c r="C14" s="2" t="str">
        <x:v>Principal repayments</x:v>
      </x:c>
      <x:c r="D14" s="2"/>
      <x:c r="E14" s="35" t="n">
        <x:f>SUMIFS(G14:AP14,$G$6:$AP$6,"&lt;="&amp;'Assumptions'!$E$7)</x:f>
        <x:v>645713667.6824007</x:v>
      </x:c>
      <x:c r="F14" s="2"/>
      <x:c r="G14" s="35" t="n">
        <x:f>'CF Installment'!G14+'MK Installment'!G14</x:f>
        <x:v>135562894.52578074</x:v>
      </x:c>
      <x:c r="H14" s="35" t="n">
        <x:f>'CF Installment'!H14+'MK Installment'!H14</x:f>
        <x:v>74929975.77164923</x:v>
      </x:c>
      <x:c r="I14" s="35" t="n">
        <x:f>'CF Installment'!I14+'MK Installment'!I14</x:f>
        <x:v>47768036.06561525</x:v>
      </x:c>
      <x:c r="J14" s="35" t="n">
        <x:f>'CF Installment'!J14+'MK Installment'!J14</x:f>
        <x:v>33491121.425742067</x:v>
      </x:c>
      <x:c r="K14" s="35" t="n">
        <x:f>'CF Installment'!K14+'MK Installment'!K14</x:f>
        <x:v>25670851.14548562</x:v>
      </x:c>
      <x:c r="L14" s="35" t="n">
        <x:f>'CF Installment'!L14+'MK Installment'!L14</x:f>
        <x:v>21356689.503522955</x:v>
      </x:c>
      <x:c r="M14" s="35" t="n">
        <x:f>'CF Installment'!M14+'MK Installment'!M14</x:f>
        <x:v>19082015.98839011</x:v>
      </x:c>
      <x:c r="N14" s="35" t="n">
        <x:f>'CF Installment'!N14+'MK Installment'!N14</x:f>
        <x:v>17819812.31228277</x:v>
      </x:c>
      <x:c r="O14" s="35" t="n">
        <x:f>'CF Installment'!O14+'MK Installment'!O14</x:f>
        <x:v>17162211.684631627</x:v>
      </x:c>
      <x:c r="P14" s="35" t="n">
        <x:f>'CF Installment'!P14+'MK Installment'!P14</x:f>
        <x:v>16858003.950620018</x:v>
      </x:c>
      <x:c r="Q14" s="35" t="n">
        <x:f>'CF Installment'!Q14+'MK Installment'!Q14</x:f>
        <x:v>16858003.950620018</x:v>
      </x:c>
      <x:c r="R14" s="35" t="n">
        <x:f>'CF Installment'!R14+'MK Installment'!R14</x:f>
        <x:v>16858003.950620018</x:v>
      </x:c>
      <x:c r="S14" s="35" t="n">
        <x:f>'CF Installment'!S14+'MK Installment'!S14</x:f>
        <x:v>16858003.950620018</x:v>
      </x:c>
      <x:c r="T14" s="35" t="n">
        <x:f>'CF Installment'!T14+'MK Installment'!T14</x:f>
        <x:v>16858003.950620018</x:v>
      </x:c>
      <x:c r="U14" s="35" t="n">
        <x:f>'CF Installment'!U14+'MK Installment'!U14</x:f>
        <x:v>16858003.950620018</x:v>
      </x:c>
      <x:c r="V14" s="35" t="n">
        <x:f>'CF Installment'!V14+'MK Installment'!V14</x:f>
        <x:v>16858003.950620018</x:v>
      </x:c>
      <x:c r="W14" s="35" t="n">
        <x:f>'CF Installment'!W14+'MK Installment'!W14</x:f>
        <x:v>16858003.950620018</x:v>
      </x:c>
      <x:c r="X14" s="35" t="n">
        <x:f>'CF Installment'!X14+'MK Installment'!X14</x:f>
        <x:v>16858003.950620018</x:v>
      </x:c>
      <x:c r="Y14" s="35" t="n">
        <x:f>'CF Installment'!Y14+'MK Installment'!Y14</x:f>
        <x:v>16858003.950620018</x:v>
      </x:c>
      <x:c r="Z14" s="35" t="n">
        <x:f>'CF Installment'!Z14+'MK Installment'!Z14</x:f>
        <x:v>16858003.950620018</x:v>
      </x:c>
      <x:c r="AA14" s="35" t="n">
        <x:f>'CF Installment'!AA14+'MK Installment'!AA14</x:f>
        <x:v>16858003.950620018</x:v>
      </x:c>
      <x:c r="AB14" s="35" t="n">
        <x:f>'CF Installment'!AB14+'MK Installment'!AB14</x:f>
        <x:v>16858003.950620018</x:v>
      </x:c>
      <x:c r="AC14" s="35" t="n">
        <x:f>'CF Installment'!AC14+'MK Installment'!AC14</x:f>
        <x:v>16858003.950620018</x:v>
      </x:c>
      <x:c r="AD14" s="35" t="n">
        <x:f>'CF Installment'!AD14+'MK Installment'!AD14</x:f>
        <x:v>16858003.950620018</x:v>
      </x:c>
      <x:c r="AE14" s="35" t="n">
        <x:f>'CF Installment'!AE14+'MK Installment'!AE14</x:f>
        <x:v>16858003.950620018</x:v>
      </x:c>
      <x:c r="AF14" s="35" t="n">
        <x:f>'CF Installment'!AF14+'MK Installment'!AF14</x:f>
        <x:v>16858003.950620018</x:v>
      </x:c>
      <x:c r="AG14" s="35" t="n">
        <x:f>'CF Installment'!AG14+'MK Installment'!AG14</x:f>
        <x:v>16858003.950620018</x:v>
      </x:c>
      <x:c r="AH14" s="35" t="n">
        <x:f>'CF Installment'!AH14+'MK Installment'!AH14</x:f>
        <x:v>16858003.950620018</x:v>
      </x:c>
      <x:c r="AI14" s="35" t="n">
        <x:f>'CF Installment'!AI14+'MK Installment'!AI14</x:f>
        <x:v>16858003.950620018</x:v>
      </x:c>
      <x:c r="AJ14" s="35" t="n">
        <x:f>'CF Installment'!AJ14+'MK Installment'!AJ14</x:f>
        <x:v>16858003.950620018</x:v>
      </x:c>
      <x:c r="AK14" s="35" t="n">
        <x:f>'CF Installment'!AK14+'MK Installment'!AK14</x:f>
        <x:v>16858003.950620018</x:v>
      </x:c>
      <x:c r="AL14" s="35" t="n">
        <x:f>'CF Installment'!AL14+'MK Installment'!AL14</x:f>
        <x:v>16858003.950620018</x:v>
      </x:c>
      <x:c r="AM14" s="35" t="n">
        <x:f>'CF Installment'!AM14+'MK Installment'!AM14</x:f>
        <x:v>16858003.950620018</x:v>
      </x:c>
      <x:c r="AN14" s="35" t="n">
        <x:f>'CF Installment'!AN14+'MK Installment'!AN14</x:f>
        <x:v>16858003.950620018</x:v>
      </x:c>
      <x:c r="AO14" s="35" t="n">
        <x:f>'CF Installment'!AO14+'MK Installment'!AO14</x:f>
        <x:v>16858003.950620018</x:v>
      </x:c>
      <x:c r="AP14" s="35" t="n">
        <x:f>'CF Installment'!AP14+'MK Installment'!AP14</x:f>
        <x:v>16858003.950620018</x:v>
      </x:c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</x:row>
    <x:row r="15" ht="19" customHeight="1">
      <x:c r="A15" s="1"/>
      <x:c r="B15" s="1"/>
      <x:c r="C15" s="2" t="str">
        <x:v>Charge-offs</x:v>
      </x:c>
      <x:c r="D15" s="2"/>
      <x:c r="E15" s="35" t="n">
        <x:f>SUMIFS(G15:AP15,$G$6:$AP$6,"&lt;="&amp;'Assumptions'!$E$7)</x:f>
        <x:v>191986493.76187074</x:v>
      </x:c>
      <x:c r="F15" s="2"/>
      <x:c r="G15" s="35" t="n">
        <x:f>'CF Installment'!G15+'MK Installment'!G15</x:f>
        <x:v>44748296.83291605</x:v>
      </x:c>
      <x:c r="H15" s="35" t="n">
        <x:f>'CF Installment'!H15+'MK Installment'!H15</x:f>
        <x:v>23454059.858059432</x:v>
      </x:c>
      <x:c r="I15" s="35" t="n">
        <x:f>'CF Installment'!I15+'MK Installment'!I15</x:f>
        <x:v>14343610.665045656</x:v>
      </x:c>
      <x:c r="J15" s="35" t="n">
        <x:f>'CF Installment'!J15+'MK Installment'!J15</x:f>
        <x:v>9750275.391257044</x:v>
      </x:c>
      <x:c r="K15" s="35" t="n">
        <x:f>'CF Installment'!K15+'MK Installment'!K15</x:f>
        <x:v>7316556.979524919</x:v>
      </x:c>
      <x:c r="L15" s="35" t="n">
        <x:f>'CF Installment'!L15+'MK Installment'!L15</x:f>
        <x:v>6001528.273882828</x:v>
      </x:c>
      <x:c r="M15" s="35" t="n">
        <x:f>'CF Installment'!M15+'MK Installment'!M15</x:f>
        <x:v>5381231.689006859</x:v>
      </x:c>
      <x:c r="N15" s="35" t="n">
        <x:f>'CF Installment'!N15+'MK Installment'!N15</x:f>
        <x:v>5029025.528983581</x:v>
      </x:c>
      <x:c r="O15" s="35" t="n">
        <x:f>'CF Installment'!O15+'MK Installment'!O15</x:f>
        <x:v>4831967.802494714</x:v>
      </x:c>
      <x:c r="P15" s="35" t="n">
        <x:f>'CF Installment'!P15+'MK Installment'!P15</x:f>
        <x:v>4741996.049379985</x:v>
      </x:c>
      <x:c r="Q15" s="35" t="n">
        <x:f>'CF Installment'!Q15+'MK Installment'!Q15</x:f>
        <x:v>4741996.049379985</x:v>
      </x:c>
      <x:c r="R15" s="35" t="n">
        <x:f>'CF Installment'!R15+'MK Installment'!R15</x:f>
        <x:v>4741996.049379985</x:v>
      </x:c>
      <x:c r="S15" s="35" t="n">
        <x:f>'CF Installment'!S15+'MK Installment'!S15</x:f>
        <x:v>4741996.049379985</x:v>
      </x:c>
      <x:c r="T15" s="35" t="n">
        <x:f>'CF Installment'!T15+'MK Installment'!T15</x:f>
        <x:v>4741996.049379985</x:v>
      </x:c>
      <x:c r="U15" s="35" t="n">
        <x:f>'CF Installment'!U15+'MK Installment'!U15</x:f>
        <x:v>4741996.049379985</x:v>
      </x:c>
      <x:c r="V15" s="35" t="n">
        <x:f>'CF Installment'!V15+'MK Installment'!V15</x:f>
        <x:v>4741996.049379985</x:v>
      </x:c>
      <x:c r="W15" s="35" t="n">
        <x:f>'CF Installment'!W15+'MK Installment'!W15</x:f>
        <x:v>4741996.049379985</x:v>
      </x:c>
      <x:c r="X15" s="35" t="n">
        <x:f>'CF Installment'!X15+'MK Installment'!X15</x:f>
        <x:v>4741996.049379985</x:v>
      </x:c>
      <x:c r="Y15" s="35" t="n">
        <x:f>'CF Installment'!Y15+'MK Installment'!Y15</x:f>
        <x:v>4741996.049379985</x:v>
      </x:c>
      <x:c r="Z15" s="35" t="n">
        <x:f>'CF Installment'!Z15+'MK Installment'!Z15</x:f>
        <x:v>4741996.049379985</x:v>
      </x:c>
      <x:c r="AA15" s="35" t="n">
        <x:f>'CF Installment'!AA15+'MK Installment'!AA15</x:f>
        <x:v>4741996.049379985</x:v>
      </x:c>
      <x:c r="AB15" s="35" t="n">
        <x:f>'CF Installment'!AB15+'MK Installment'!AB15</x:f>
        <x:v>4741996.049379985</x:v>
      </x:c>
      <x:c r="AC15" s="35" t="n">
        <x:f>'CF Installment'!AC15+'MK Installment'!AC15</x:f>
        <x:v>4741996.049379985</x:v>
      </x:c>
      <x:c r="AD15" s="35" t="n">
        <x:f>'CF Installment'!AD15+'MK Installment'!AD15</x:f>
        <x:v>4741996.049379985</x:v>
      </x:c>
      <x:c r="AE15" s="35" t="n">
        <x:f>'CF Installment'!AE15+'MK Installment'!AE15</x:f>
        <x:v>4741996.049379985</x:v>
      </x:c>
      <x:c r="AF15" s="35" t="n">
        <x:f>'CF Installment'!AF15+'MK Installment'!AF15</x:f>
        <x:v>4741996.049379985</x:v>
      </x:c>
      <x:c r="AG15" s="35" t="n">
        <x:f>'CF Installment'!AG15+'MK Installment'!AG15</x:f>
        <x:v>4741996.049379985</x:v>
      </x:c>
      <x:c r="AH15" s="35" t="n">
        <x:f>'CF Installment'!AH15+'MK Installment'!AH15</x:f>
        <x:v>4741996.049379985</x:v>
      </x:c>
      <x:c r="AI15" s="35" t="n">
        <x:f>'CF Installment'!AI15+'MK Installment'!AI15</x:f>
        <x:v>4741996.049379985</x:v>
      </x:c>
      <x:c r="AJ15" s="35" t="n">
        <x:f>'CF Installment'!AJ15+'MK Installment'!AJ15</x:f>
        <x:v>4741996.049379985</x:v>
      </x:c>
      <x:c r="AK15" s="35" t="n">
        <x:f>'CF Installment'!AK15+'MK Installment'!AK15</x:f>
        <x:v>4741996.049379985</x:v>
      </x:c>
      <x:c r="AL15" s="35" t="n">
        <x:f>'CF Installment'!AL15+'MK Installment'!AL15</x:f>
        <x:v>4741996.049379985</x:v>
      </x:c>
      <x:c r="AM15" s="35" t="n">
        <x:f>'CF Installment'!AM15+'MK Installment'!AM15</x:f>
        <x:v>4741996.049379985</x:v>
      </x:c>
      <x:c r="AN15" s="35" t="n">
        <x:f>'CF Installment'!AN15+'MK Installment'!AN15</x:f>
        <x:v>4741996.049379985</x:v>
      </x:c>
      <x:c r="AO15" s="35" t="n">
        <x:f>'CF Installment'!AO15+'MK Installment'!AO15</x:f>
        <x:v>4741996.049379985</x:v>
      </x:c>
      <x:c r="AP15" s="35" t="n">
        <x:f>'CF Installment'!AP15+'MK Installment'!AP15</x:f>
        <x:v>4741996.049379985</x:v>
      </x:c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</x:row>
    <x:row r="16" ht="19" customHeight="1">
      <x:c r="A16" s="1"/>
      <x:c r="B16" s="1"/>
      <x:c r="C16" s="2" t="str">
        <x:v>Ending gross CLAB</x:v>
      </x:c>
      <x:c r="D16" s="2"/>
      <x:c r="E16" s="35" t="n">
        <x:f>INDEX(G16:AP16,1,'Assumptions'!$E$7)</x:f>
        <x:v>64099838.55572853</x:v>
      </x:c>
      <x:c r="F16" s="2"/>
      <x:c r="G16" s="35" t="n">
        <x:f>'CF Installment'!G16+'MK Installment'!G16</x:f>
        <x:v>224688808.6413032</x:v>
      </x:c>
      <x:c r="H16" s="35" t="n">
        <x:f>'CF Installment'!H16+'MK Installment'!H16</x:f>
        <x:v>147904773.0115946</x:v>
      </x:c>
      <x:c r="I16" s="35" t="n">
        <x:f>'CF Installment'!I16+'MK Installment'!I16</x:f>
        <x:v>107393126.28093366</x:v>
      </x:c>
      <x:c r="J16" s="35" t="n">
        <x:f>'CF Installment'!J16+'MK Installment'!J16</x:f>
        <x:v>85751729.46393454</x:v>
      </x:c>
      <x:c r="K16" s="35" t="n">
        <x:f>'CF Installment'!K16+'MK Installment'!K16</x:f>
        <x:v>74364321.33892399</x:v>
      </x:c>
      <x:c r="L16" s="35" t="n">
        <x:f>'CF Installment'!L16+'MK Installment'!L16</x:f>
        <x:v>68606103.5615182</x:v>
      </x:c>
      <x:c r="M16" s="35" t="n">
        <x:f>'CF Installment'!M16+'MK Installment'!M16</x:f>
        <x:v>65742855.884121224</x:v>
      </x:c>
      <x:c r="N16" s="35" t="n">
        <x:f>'CF Installment'!N16+'MK Installment'!N16</x:f>
        <x:v>64494018.04285487</x:v>
      </x:c>
      <x:c r="O16" s="35" t="n">
        <x:f>'CF Installment'!O16+'MK Installment'!O16</x:f>
        <x:v>64099838.555728525</x:v>
      </x:c>
      <x:c r="P16" s="35" t="n">
        <x:f>'CF Installment'!P16+'MK Installment'!P16</x:f>
        <x:v>64099838.55572853</x:v>
      </x:c>
      <x:c r="Q16" s="35" t="n">
        <x:f>'CF Installment'!Q16+'MK Installment'!Q16</x:f>
        <x:v>64099838.55572853</x:v>
      </x:c>
      <x:c r="R16" s="35" t="n">
        <x:f>'CF Installment'!R16+'MK Installment'!R16</x:f>
        <x:v>64099838.55572853</x:v>
      </x:c>
      <x:c r="S16" s="35" t="n">
        <x:f>'CF Installment'!S16+'MK Installment'!S16</x:f>
        <x:v>64099838.55572853</x:v>
      </x:c>
      <x:c r="T16" s="35" t="n">
        <x:f>'CF Installment'!T16+'MK Installment'!T16</x:f>
        <x:v>64099838.55572853</x:v>
      </x:c>
      <x:c r="U16" s="35" t="n">
        <x:f>'CF Installment'!U16+'MK Installment'!U16</x:f>
        <x:v>64099838.55572853</x:v>
      </x:c>
      <x:c r="V16" s="35" t="n">
        <x:f>'CF Installment'!V16+'MK Installment'!V16</x:f>
        <x:v>64099838.55572853</x:v>
      </x:c>
      <x:c r="W16" s="35" t="n">
        <x:f>'CF Installment'!W16+'MK Installment'!W16</x:f>
        <x:v>64099838.55572853</x:v>
      </x:c>
      <x:c r="X16" s="35" t="n">
        <x:f>'CF Installment'!X16+'MK Installment'!X16</x:f>
        <x:v>64099838.55572853</x:v>
      </x:c>
      <x:c r="Y16" s="35" t="n">
        <x:f>'CF Installment'!Y16+'MK Installment'!Y16</x:f>
        <x:v>64099838.55572853</x:v>
      </x:c>
      <x:c r="Z16" s="35" t="n">
        <x:f>'CF Installment'!Z16+'MK Installment'!Z16</x:f>
        <x:v>64099838.55572853</x:v>
      </x:c>
      <x:c r="AA16" s="35" t="n">
        <x:f>'CF Installment'!AA16+'MK Installment'!AA16</x:f>
        <x:v>64099838.55572853</x:v>
      </x:c>
      <x:c r="AB16" s="35" t="n">
        <x:f>'CF Installment'!AB16+'MK Installment'!AB16</x:f>
        <x:v>64099838.55572853</x:v>
      </x:c>
      <x:c r="AC16" s="35" t="n">
        <x:f>'CF Installment'!AC16+'MK Installment'!AC16</x:f>
        <x:v>64099838.55572853</x:v>
      </x:c>
      <x:c r="AD16" s="35" t="n">
        <x:f>'CF Installment'!AD16+'MK Installment'!AD16</x:f>
        <x:v>64099838.55572853</x:v>
      </x:c>
      <x:c r="AE16" s="35" t="n">
        <x:f>'CF Installment'!AE16+'MK Installment'!AE16</x:f>
        <x:v>64099838.55572853</x:v>
      </x:c>
      <x:c r="AF16" s="35" t="n">
        <x:f>'CF Installment'!AF16+'MK Installment'!AF16</x:f>
        <x:v>64099838.55572853</x:v>
      </x:c>
      <x:c r="AG16" s="35" t="n">
        <x:f>'CF Installment'!AG16+'MK Installment'!AG16</x:f>
        <x:v>64099838.55572853</x:v>
      </x:c>
      <x:c r="AH16" s="35" t="n">
        <x:f>'CF Installment'!AH16+'MK Installment'!AH16</x:f>
        <x:v>64099838.55572853</x:v>
      </x:c>
      <x:c r="AI16" s="35" t="n">
        <x:f>'CF Installment'!AI16+'MK Installment'!AI16</x:f>
        <x:v>64099838.55572853</x:v>
      </x:c>
      <x:c r="AJ16" s="35" t="n">
        <x:f>'CF Installment'!AJ16+'MK Installment'!AJ16</x:f>
        <x:v>64099838.55572853</x:v>
      </x:c>
      <x:c r="AK16" s="35" t="n">
        <x:f>'CF Installment'!AK16+'MK Installment'!AK16</x:f>
        <x:v>64099838.55572853</x:v>
      </x:c>
      <x:c r="AL16" s="35" t="n">
        <x:f>'CF Installment'!AL16+'MK Installment'!AL16</x:f>
        <x:v>64099838.55572853</x:v>
      </x:c>
      <x:c r="AM16" s="35" t="n">
        <x:f>'CF Installment'!AM16+'MK Installment'!AM16</x:f>
        <x:v>64099838.55572853</x:v>
      </x:c>
      <x:c r="AN16" s="35" t="n">
        <x:f>'CF Installment'!AN16+'MK Installment'!AN16</x:f>
        <x:v>64099838.55572853</x:v>
      </x:c>
      <x:c r="AO16" s="35" t="n">
        <x:f>'CF Installment'!AO16+'MK Installment'!AO16</x:f>
        <x:v>64099838.55572853</x:v>
      </x:c>
      <x:c r="AP16" s="35" t="n">
        <x:f>'CF Installment'!AP16+'MK Installment'!AP16</x:f>
        <x:v>64099838.55572853</x:v>
      </x:c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</x:row>
    <x:row r="17" ht="19" customHeight="1">
      <x:c r="A17" s="1"/>
      <x:c r="B17" s="1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</x:row>
    <x:row r="18" ht="19" customHeight="1">
      <x:c r="A18" s="1"/>
      <x:c r="B18" s="1"/>
      <x:c r="C18" s="2" t="str">
        <x:v>Beginning reserve</x:v>
      </x:c>
      <x:c r="D18" s="2"/>
      <x:c r="E18" s="35" t="n">
        <x:f>G18</x:f>
        <x:v>92260993.10010692</x:v>
      </x:c>
      <x:c r="F18" s="2"/>
      <x:c r="G18" s="35" t="n">
        <x:f>'CF Installment'!G18+'MK Installment'!G18</x:f>
        <x:v>92260993.10010692</x:v>
      </x:c>
      <x:c r="H18" s="35" t="n">
        <x:f>'CF Installment'!H18+'MK Installment'!H18</x:f>
        <x:v>52254692.31657085</x:v>
      </x:c>
      <x:c r="I18" s="35" t="n">
        <x:f>'CF Installment'!I18+'MK Installment'!I18</x:f>
        <x:v>33542628.5078914</x:v>
      </x:c>
      <x:c r="J18" s="35" t="n">
        <x:f>'CF Installment'!J18+'MK Installment'!J18</x:f>
        <x:v>23941013.892225727</x:v>
      </x:c>
      <x:c r="K18" s="35" t="n">
        <x:f>'CF Installment'!K18+'MK Installment'!K18</x:f>
        <x:v>18932734.55034867</x:v>
      </x:c>
      <x:c r="L18" s="35" t="n">
        <x:f>'CF Installment'!L18+'MK Installment'!L18</x:f>
        <x:v>16358173.620203733</x:v>
      </x:c>
      <x:c r="M18" s="35" t="n">
        <x:f>'CF Installment'!M18+'MK Installment'!M18</x:f>
        <x:v>15098641.39570089</x:v>
      </x:c>
      <x:c r="N18" s="35" t="n">
        <x:f>'CF Installment'!N18+'MK Installment'!N18</x:f>
        <x:v>14459405.756074017</x:v>
      </x:c>
      <x:c r="O18" s="35" t="n">
        <x:f>'CF Installment'!O18+'MK Installment'!O18</x:f>
        <x:v>14172376.27647042</x:v>
      </x:c>
      <x:c r="P18" s="35" t="n">
        <x:f>'CF Installment'!P18+'MK Installment'!P18</x:f>
        <x:v>14082404.52335569</x:v>
      </x:c>
      <x:c r="Q18" s="35" t="n">
        <x:f>'CF Installment'!Q18+'MK Installment'!Q18</x:f>
        <x:v>14082404.52335569</x:v>
      </x:c>
      <x:c r="R18" s="35" t="n">
        <x:f>'CF Installment'!R18+'MK Installment'!R18</x:f>
        <x:v>14082404.52335569</x:v>
      </x:c>
      <x:c r="S18" s="35" t="n">
        <x:f>'CF Installment'!S18+'MK Installment'!S18</x:f>
        <x:v>14082404.52335569</x:v>
      </x:c>
      <x:c r="T18" s="35" t="n">
        <x:f>'CF Installment'!T18+'MK Installment'!T18</x:f>
        <x:v>14082404.52335569</x:v>
      </x:c>
      <x:c r="U18" s="35" t="n">
        <x:f>'CF Installment'!U18+'MK Installment'!U18</x:f>
        <x:v>14082404.52335569</x:v>
      </x:c>
      <x:c r="V18" s="35" t="n">
        <x:f>'CF Installment'!V18+'MK Installment'!V18</x:f>
        <x:v>14082404.52335569</x:v>
      </x:c>
      <x:c r="W18" s="35" t="n">
        <x:f>'CF Installment'!W18+'MK Installment'!W18</x:f>
        <x:v>14082404.52335569</x:v>
      </x:c>
      <x:c r="X18" s="35" t="n">
        <x:f>'CF Installment'!X18+'MK Installment'!X18</x:f>
        <x:v>14082404.52335569</x:v>
      </x:c>
      <x:c r="Y18" s="35" t="n">
        <x:f>'CF Installment'!Y18+'MK Installment'!Y18</x:f>
        <x:v>14082404.52335569</x:v>
      </x:c>
      <x:c r="Z18" s="35" t="n">
        <x:f>'CF Installment'!Z18+'MK Installment'!Z18</x:f>
        <x:v>14082404.52335569</x:v>
      </x:c>
      <x:c r="AA18" s="35" t="n">
        <x:f>'CF Installment'!AA18+'MK Installment'!AA18</x:f>
        <x:v>14082404.52335569</x:v>
      </x:c>
      <x:c r="AB18" s="35" t="n">
        <x:f>'CF Installment'!AB18+'MK Installment'!AB18</x:f>
        <x:v>14082404.52335569</x:v>
      </x:c>
      <x:c r="AC18" s="35" t="n">
        <x:f>'CF Installment'!AC18+'MK Installment'!AC18</x:f>
        <x:v>14082404.52335569</x:v>
      </x:c>
      <x:c r="AD18" s="35" t="n">
        <x:f>'CF Installment'!AD18+'MK Installment'!AD18</x:f>
        <x:v>14082404.52335569</x:v>
      </x:c>
      <x:c r="AE18" s="35" t="n">
        <x:f>'CF Installment'!AE18+'MK Installment'!AE18</x:f>
        <x:v>14082404.52335569</x:v>
      </x:c>
      <x:c r="AF18" s="35" t="n">
        <x:f>'CF Installment'!AF18+'MK Installment'!AF18</x:f>
        <x:v>14082404.52335569</x:v>
      </x:c>
      <x:c r="AG18" s="35" t="n">
        <x:f>'CF Installment'!AG18+'MK Installment'!AG18</x:f>
        <x:v>14082404.52335569</x:v>
      </x:c>
      <x:c r="AH18" s="35" t="n">
        <x:f>'CF Installment'!AH18+'MK Installment'!AH18</x:f>
        <x:v>14082404.52335569</x:v>
      </x:c>
      <x:c r="AI18" s="35" t="n">
        <x:f>'CF Installment'!AI18+'MK Installment'!AI18</x:f>
        <x:v>14082404.52335569</x:v>
      </x:c>
      <x:c r="AJ18" s="35" t="n">
        <x:f>'CF Installment'!AJ18+'MK Installment'!AJ18</x:f>
        <x:v>14082404.52335569</x:v>
      </x:c>
      <x:c r="AK18" s="35" t="n">
        <x:f>'CF Installment'!AK18+'MK Installment'!AK18</x:f>
        <x:v>14082404.52335569</x:v>
      </x:c>
      <x:c r="AL18" s="35" t="n">
        <x:f>'CF Installment'!AL18+'MK Installment'!AL18</x:f>
        <x:v>14082404.52335569</x:v>
      </x:c>
      <x:c r="AM18" s="35" t="n">
        <x:f>'CF Installment'!AM18+'MK Installment'!AM18</x:f>
        <x:v>14082404.52335569</x:v>
      </x:c>
      <x:c r="AN18" s="35" t="n">
        <x:f>'CF Installment'!AN18+'MK Installment'!AN18</x:f>
        <x:v>14082404.52335569</x:v>
      </x:c>
      <x:c r="AO18" s="35" t="n">
        <x:f>'CF Installment'!AO18+'MK Installment'!AO18</x:f>
        <x:v>14082404.52335569</x:v>
      </x:c>
      <x:c r="AP18" s="35" t="n">
        <x:f>'CF Installment'!AP18+'MK Installment'!AP18</x:f>
        <x:v>14082404.52335569</x:v>
      </x:c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</x:row>
    <x:row r="19" ht="19" customHeight="1">
      <x:c r="A19" s="1"/>
      <x:c r="B19" s="1"/>
      <x:c r="C19" s="2" t="str">
        <x:v>New provision expense</x:v>
      </x:c>
      <x:c r="D19" s="2"/>
      <x:c r="E19" s="35" t="n">
        <x:f>SUMIFS(G19:AP19,$G$6:$AP$6,"&lt;="&amp;'Assumptions'!$E$7)</x:f>
        <x:v>113807905.18511964</x:v>
      </x:c>
      <x:c r="F19" s="2"/>
      <x:c r="G19" s="35" t="n">
        <x:f>'CF Installment'!G19+'MK Installment'!G19</x:f>
        <x:v>4741996.049379984</x:v>
      </x:c>
      <x:c r="H19" s="35" t="n">
        <x:f>'CF Installment'!H19+'MK Installment'!H19</x:f>
        <x:v>4741996.049379984</x:v>
      </x:c>
      <x:c r="I19" s="35" t="n">
        <x:f>'CF Installment'!I19+'MK Installment'!I19</x:f>
        <x:v>4741996.049379984</x:v>
      </x:c>
      <x:c r="J19" s="35" t="n">
        <x:f>'CF Installment'!J19+'MK Installment'!J19</x:f>
        <x:v>4741996.049379984</x:v>
      </x:c>
      <x:c r="K19" s="35" t="n">
        <x:f>'CF Installment'!K19+'MK Installment'!K19</x:f>
        <x:v>4741996.049379984</x:v>
      </x:c>
      <x:c r="L19" s="35" t="n">
        <x:f>'CF Installment'!L19+'MK Installment'!L19</x:f>
        <x:v>4741996.049379984</x:v>
      </x:c>
      <x:c r="M19" s="35" t="n">
        <x:f>'CF Installment'!M19+'MK Installment'!M19</x:f>
        <x:v>4741996.049379984</x:v>
      </x:c>
      <x:c r="N19" s="35" t="n">
        <x:f>'CF Installment'!N19+'MK Installment'!N19</x:f>
        <x:v>4741996.049379984</x:v>
      </x:c>
      <x:c r="O19" s="35" t="n">
        <x:f>'CF Installment'!O19+'MK Installment'!O19</x:f>
        <x:v>4741996.049379984</x:v>
      </x:c>
      <x:c r="P19" s="35" t="n">
        <x:f>'CF Installment'!P19+'MK Installment'!P19</x:f>
        <x:v>4741996.049379984</x:v>
      </x:c>
      <x:c r="Q19" s="35" t="n">
        <x:f>'CF Installment'!Q19+'MK Installment'!Q19</x:f>
        <x:v>4741996.049379984</x:v>
      </x:c>
      <x:c r="R19" s="35" t="n">
        <x:f>'CF Installment'!R19+'MK Installment'!R19</x:f>
        <x:v>4741996.049379984</x:v>
      </x:c>
      <x:c r="S19" s="35" t="n">
        <x:f>'CF Installment'!S19+'MK Installment'!S19</x:f>
        <x:v>4741996.049379984</x:v>
      </x:c>
      <x:c r="T19" s="35" t="n">
        <x:f>'CF Installment'!T19+'MK Installment'!T19</x:f>
        <x:v>4741996.049379984</x:v>
      </x:c>
      <x:c r="U19" s="35" t="n">
        <x:f>'CF Installment'!U19+'MK Installment'!U19</x:f>
        <x:v>4741996.049379984</x:v>
      </x:c>
      <x:c r="V19" s="35" t="n">
        <x:f>'CF Installment'!V19+'MK Installment'!V19</x:f>
        <x:v>4741996.049379984</x:v>
      </x:c>
      <x:c r="W19" s="35" t="n">
        <x:f>'CF Installment'!W19+'MK Installment'!W19</x:f>
        <x:v>4741996.049379984</x:v>
      </x:c>
      <x:c r="X19" s="35" t="n">
        <x:f>'CF Installment'!X19+'MK Installment'!X19</x:f>
        <x:v>4741996.049379984</x:v>
      </x:c>
      <x:c r="Y19" s="35" t="n">
        <x:f>'CF Installment'!Y19+'MK Installment'!Y19</x:f>
        <x:v>4741996.049379984</x:v>
      </x:c>
      <x:c r="Z19" s="35" t="n">
        <x:f>'CF Installment'!Z19+'MK Installment'!Z19</x:f>
        <x:v>4741996.049379984</x:v>
      </x:c>
      <x:c r="AA19" s="35" t="n">
        <x:f>'CF Installment'!AA19+'MK Installment'!AA19</x:f>
        <x:v>4741996.049379984</x:v>
      </x:c>
      <x:c r="AB19" s="35" t="n">
        <x:f>'CF Installment'!AB19+'MK Installment'!AB19</x:f>
        <x:v>4741996.049379984</x:v>
      </x:c>
      <x:c r="AC19" s="35" t="n">
        <x:f>'CF Installment'!AC19+'MK Installment'!AC19</x:f>
        <x:v>4741996.049379984</x:v>
      </x:c>
      <x:c r="AD19" s="35" t="n">
        <x:f>'CF Installment'!AD19+'MK Installment'!AD19</x:f>
        <x:v>4741996.049379984</x:v>
      </x:c>
      <x:c r="AE19" s="35" t="n">
        <x:f>'CF Installment'!AE19+'MK Installment'!AE19</x:f>
        <x:v>4741996.049379984</x:v>
      </x:c>
      <x:c r="AF19" s="35" t="n">
        <x:f>'CF Installment'!AF19+'MK Installment'!AF19</x:f>
        <x:v>4741996.049379984</x:v>
      </x:c>
      <x:c r="AG19" s="35" t="n">
        <x:f>'CF Installment'!AG19+'MK Installment'!AG19</x:f>
        <x:v>4741996.049379984</x:v>
      </x:c>
      <x:c r="AH19" s="35" t="n">
        <x:f>'CF Installment'!AH19+'MK Installment'!AH19</x:f>
        <x:v>4741996.049379984</x:v>
      </x:c>
      <x:c r="AI19" s="35" t="n">
        <x:f>'CF Installment'!AI19+'MK Installment'!AI19</x:f>
        <x:v>4741996.049379984</x:v>
      </x:c>
      <x:c r="AJ19" s="35" t="n">
        <x:f>'CF Installment'!AJ19+'MK Installment'!AJ19</x:f>
        <x:v>4741996.049379984</x:v>
      </x:c>
      <x:c r="AK19" s="35" t="n">
        <x:f>'CF Installment'!AK19+'MK Installment'!AK19</x:f>
        <x:v>4741996.049379984</x:v>
      </x:c>
      <x:c r="AL19" s="35" t="n">
        <x:f>'CF Installment'!AL19+'MK Installment'!AL19</x:f>
        <x:v>4741996.049379984</x:v>
      </x:c>
      <x:c r="AM19" s="35" t="n">
        <x:f>'CF Installment'!AM19+'MK Installment'!AM19</x:f>
        <x:v>4741996.049379984</x:v>
      </x:c>
      <x:c r="AN19" s="35" t="n">
        <x:f>'CF Installment'!AN19+'MK Installment'!AN19</x:f>
        <x:v>4741996.049379984</x:v>
      </x:c>
      <x:c r="AO19" s="35" t="n">
        <x:f>'CF Installment'!AO19+'MK Installment'!AO19</x:f>
        <x:v>4741996.049379984</x:v>
      </x:c>
      <x:c r="AP19" s="35" t="n">
        <x:f>'CF Installment'!AP19+'MK Installment'!AP19</x:f>
        <x:v>4741996.049379984</x:v>
      </x:c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</x:row>
    <x:row r="20" ht="19" customHeight="1">
      <x:c r="A20" s="1"/>
      <x:c r="B20" s="1"/>
      <x:c r="C20" s="2" t="str">
        <x:v>Ending reserve</x:v>
      </x:c>
      <x:c r="D20" s="2"/>
      <x:c r="E20" s="35" t="n">
        <x:f>INDEX(G20:AP20,1,'Assumptions'!$E$7)</x:f>
        <x:v>14082404.52335569</x:v>
      </x:c>
      <x:c r="F20" s="2"/>
      <x:c r="G20" s="35" t="n">
        <x:f>'CF Installment'!G20+'MK Installment'!G20</x:f>
        <x:v>52254692.31657085</x:v>
      </x:c>
      <x:c r="H20" s="35" t="n">
        <x:f>'CF Installment'!H20+'MK Installment'!H20</x:f>
        <x:v>33542628.5078914</x:v>
      </x:c>
      <x:c r="I20" s="35" t="n">
        <x:f>'CF Installment'!I20+'MK Installment'!I20</x:f>
        <x:v>23941013.892225727</x:v>
      </x:c>
      <x:c r="J20" s="35" t="n">
        <x:f>'CF Installment'!J20+'MK Installment'!J20</x:f>
        <x:v>18932734.55034867</x:v>
      </x:c>
      <x:c r="K20" s="35" t="n">
        <x:f>'CF Installment'!K20+'MK Installment'!K20</x:f>
        <x:v>16358173.620203733</x:v>
      </x:c>
      <x:c r="L20" s="35" t="n">
        <x:f>'CF Installment'!L20+'MK Installment'!L20</x:f>
        <x:v>15098641.39570089</x:v>
      </x:c>
      <x:c r="M20" s="35" t="n">
        <x:f>'CF Installment'!M20+'MK Installment'!M20</x:f>
        <x:v>14459405.756074017</x:v>
      </x:c>
      <x:c r="N20" s="35" t="n">
        <x:f>'CF Installment'!N20+'MK Installment'!N20</x:f>
        <x:v>14172376.27647042</x:v>
      </x:c>
      <x:c r="O20" s="35" t="n">
        <x:f>'CF Installment'!O20+'MK Installment'!O20</x:f>
        <x:v>14082404.52335569</x:v>
      </x:c>
      <x:c r="P20" s="35" t="n">
        <x:f>'CF Installment'!P20+'MK Installment'!P20</x:f>
        <x:v>14082404.52335569</x:v>
      </x:c>
      <x:c r="Q20" s="35" t="n">
        <x:f>'CF Installment'!Q20+'MK Installment'!Q20</x:f>
        <x:v>14082404.52335569</x:v>
      </x:c>
      <x:c r="R20" s="35" t="n">
        <x:f>'CF Installment'!R20+'MK Installment'!R20</x:f>
        <x:v>14082404.52335569</x:v>
      </x:c>
      <x:c r="S20" s="35" t="n">
        <x:f>'CF Installment'!S20+'MK Installment'!S20</x:f>
        <x:v>14082404.52335569</x:v>
      </x:c>
      <x:c r="T20" s="35" t="n">
        <x:f>'CF Installment'!T20+'MK Installment'!T20</x:f>
        <x:v>14082404.52335569</x:v>
      </x:c>
      <x:c r="U20" s="35" t="n">
        <x:f>'CF Installment'!U20+'MK Installment'!U20</x:f>
        <x:v>14082404.52335569</x:v>
      </x:c>
      <x:c r="V20" s="35" t="n">
        <x:f>'CF Installment'!V20+'MK Installment'!V20</x:f>
        <x:v>14082404.52335569</x:v>
      </x:c>
      <x:c r="W20" s="35" t="n">
        <x:f>'CF Installment'!W20+'MK Installment'!W20</x:f>
        <x:v>14082404.52335569</x:v>
      </x:c>
      <x:c r="X20" s="35" t="n">
        <x:f>'CF Installment'!X20+'MK Installment'!X20</x:f>
        <x:v>14082404.52335569</x:v>
      </x:c>
      <x:c r="Y20" s="35" t="n">
        <x:f>'CF Installment'!Y20+'MK Installment'!Y20</x:f>
        <x:v>14082404.52335569</x:v>
      </x:c>
      <x:c r="Z20" s="35" t="n">
        <x:f>'CF Installment'!Z20+'MK Installment'!Z20</x:f>
        <x:v>14082404.52335569</x:v>
      </x:c>
      <x:c r="AA20" s="35" t="n">
        <x:f>'CF Installment'!AA20+'MK Installment'!AA20</x:f>
        <x:v>14082404.52335569</x:v>
      </x:c>
      <x:c r="AB20" s="35" t="n">
        <x:f>'CF Installment'!AB20+'MK Installment'!AB20</x:f>
        <x:v>14082404.52335569</x:v>
      </x:c>
      <x:c r="AC20" s="35" t="n">
        <x:f>'CF Installment'!AC20+'MK Installment'!AC20</x:f>
        <x:v>14082404.52335569</x:v>
      </x:c>
      <x:c r="AD20" s="35" t="n">
        <x:f>'CF Installment'!AD20+'MK Installment'!AD20</x:f>
        <x:v>14082404.52335569</x:v>
      </x:c>
      <x:c r="AE20" s="35" t="n">
        <x:f>'CF Installment'!AE20+'MK Installment'!AE20</x:f>
        <x:v>14082404.52335569</x:v>
      </x:c>
      <x:c r="AF20" s="35" t="n">
        <x:f>'CF Installment'!AF20+'MK Installment'!AF20</x:f>
        <x:v>14082404.52335569</x:v>
      </x:c>
      <x:c r="AG20" s="35" t="n">
        <x:f>'CF Installment'!AG20+'MK Installment'!AG20</x:f>
        <x:v>14082404.52335569</x:v>
      </x:c>
      <x:c r="AH20" s="35" t="n">
        <x:f>'CF Installment'!AH20+'MK Installment'!AH20</x:f>
        <x:v>14082404.52335569</x:v>
      </x:c>
      <x:c r="AI20" s="35" t="n">
        <x:f>'CF Installment'!AI20+'MK Installment'!AI20</x:f>
        <x:v>14082404.52335569</x:v>
      </x:c>
      <x:c r="AJ20" s="35" t="n">
        <x:f>'CF Installment'!AJ20+'MK Installment'!AJ20</x:f>
        <x:v>14082404.52335569</x:v>
      </x:c>
      <x:c r="AK20" s="35" t="n">
        <x:f>'CF Installment'!AK20+'MK Installment'!AK20</x:f>
        <x:v>14082404.52335569</x:v>
      </x:c>
      <x:c r="AL20" s="35" t="n">
        <x:f>'CF Installment'!AL20+'MK Installment'!AL20</x:f>
        <x:v>14082404.52335569</x:v>
      </x:c>
      <x:c r="AM20" s="35" t="n">
        <x:f>'CF Installment'!AM20+'MK Installment'!AM20</x:f>
        <x:v>14082404.52335569</x:v>
      </x:c>
      <x:c r="AN20" s="35" t="n">
        <x:f>'CF Installment'!AN20+'MK Installment'!AN20</x:f>
        <x:v>14082404.52335569</x:v>
      </x:c>
      <x:c r="AO20" s="35" t="n">
        <x:f>'CF Installment'!AO20+'MK Installment'!AO20</x:f>
        <x:v>14082404.52335569</x:v>
      </x:c>
      <x:c r="AP20" s="35" t="n">
        <x:f>'CF Installment'!AP20+'MK Installment'!AP20</x:f>
        <x:v>14082404.52335569</x:v>
      </x:c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</x:row>
    <x:row r="21" ht="19" customHeight="1">
      <x:c r="A21" s="1"/>
      <x:c r="B21" s="1"/>
      <x:c r="C21" s="2" t="str">
        <x:v>Net CLAB</x:v>
      </x:c>
      <x:c r="D21" s="2"/>
      <x:c r="E21" s="35" t="n">
        <x:f>INDEX(G21:AP21,1,'Assumptions'!$E$7)</x:f>
        <x:v>50017434.03237285</x:v>
      </x:c>
      <x:c r="F21" s="2"/>
      <x:c r="G21" s="35" t="n">
        <x:f>'CF Installment'!G21+'MK Installment'!G21</x:f>
        <x:v>172434116.3247324</x:v>
      </x:c>
      <x:c r="H21" s="35" t="n">
        <x:f>'CF Installment'!H21+'MK Installment'!H21</x:f>
        <x:v>114362144.50370318</x:v>
      </x:c>
      <x:c r="I21" s="35" t="n">
        <x:f>'CF Installment'!I21+'MK Installment'!I21</x:f>
        <x:v>83452112.38870794</x:v>
      </x:c>
      <x:c r="J21" s="35" t="n">
        <x:f>'CF Installment'!J21+'MK Installment'!J21</x:f>
        <x:v>66818994.91358588</x:v>
      </x:c>
      <x:c r="K21" s="35" t="n">
        <x:f>'CF Installment'!K21+'MK Installment'!K21</x:f>
        <x:v>58006147.718720265</x:v>
      </x:c>
      <x:c r="L21" s="35" t="n">
        <x:f>'CF Installment'!L21+'MK Installment'!L21</x:f>
        <x:v>53507462.16581732</x:v>
      </x:c>
      <x:c r="M21" s="35" t="n">
        <x:f>'CF Installment'!M21+'MK Installment'!M21</x:f>
        <x:v>51283450.12804721</x:v>
      </x:c>
      <x:c r="N21" s="35" t="n">
        <x:f>'CF Installment'!N21+'MK Installment'!N21</x:f>
        <x:v>50321641.76638445</x:v>
      </x:c>
      <x:c r="O21" s="35" t="n">
        <x:f>'CF Installment'!O21+'MK Installment'!O21</x:f>
        <x:v>50017434.03237283</x:v>
      </x:c>
      <x:c r="P21" s="35" t="n">
        <x:f>'CF Installment'!P21+'MK Installment'!P21</x:f>
        <x:v>50017434.03237285</x:v>
      </x:c>
      <x:c r="Q21" s="35" t="n">
        <x:f>'CF Installment'!Q21+'MK Installment'!Q21</x:f>
        <x:v>50017434.03237285</x:v>
      </x:c>
      <x:c r="R21" s="35" t="n">
        <x:f>'CF Installment'!R21+'MK Installment'!R21</x:f>
        <x:v>50017434.03237285</x:v>
      </x:c>
      <x:c r="S21" s="35" t="n">
        <x:f>'CF Installment'!S21+'MK Installment'!S21</x:f>
        <x:v>50017434.03237285</x:v>
      </x:c>
      <x:c r="T21" s="35" t="n">
        <x:f>'CF Installment'!T21+'MK Installment'!T21</x:f>
        <x:v>50017434.03237285</x:v>
      </x:c>
      <x:c r="U21" s="35" t="n">
        <x:f>'CF Installment'!U21+'MK Installment'!U21</x:f>
        <x:v>50017434.03237285</x:v>
      </x:c>
      <x:c r="V21" s="35" t="n">
        <x:f>'CF Installment'!V21+'MK Installment'!V21</x:f>
        <x:v>50017434.03237285</x:v>
      </x:c>
      <x:c r="W21" s="35" t="n">
        <x:f>'CF Installment'!W21+'MK Installment'!W21</x:f>
        <x:v>50017434.03237285</x:v>
      </x:c>
      <x:c r="X21" s="35" t="n">
        <x:f>'CF Installment'!X21+'MK Installment'!X21</x:f>
        <x:v>50017434.03237285</x:v>
      </x:c>
      <x:c r="Y21" s="35" t="n">
        <x:f>'CF Installment'!Y21+'MK Installment'!Y21</x:f>
        <x:v>50017434.03237285</x:v>
      </x:c>
      <x:c r="Z21" s="35" t="n">
        <x:f>'CF Installment'!Z21+'MK Installment'!Z21</x:f>
        <x:v>50017434.03237285</x:v>
      </x:c>
      <x:c r="AA21" s="35" t="n">
        <x:f>'CF Installment'!AA21+'MK Installment'!AA21</x:f>
        <x:v>50017434.03237285</x:v>
      </x:c>
      <x:c r="AB21" s="35" t="n">
        <x:f>'CF Installment'!AB21+'MK Installment'!AB21</x:f>
        <x:v>50017434.03237285</x:v>
      </x:c>
      <x:c r="AC21" s="35" t="n">
        <x:f>'CF Installment'!AC21+'MK Installment'!AC21</x:f>
        <x:v>50017434.03237285</x:v>
      </x:c>
      <x:c r="AD21" s="35" t="n">
        <x:f>'CF Installment'!AD21+'MK Installment'!AD21</x:f>
        <x:v>50017434.03237285</x:v>
      </x:c>
      <x:c r="AE21" s="35" t="n">
        <x:f>'CF Installment'!AE21+'MK Installment'!AE21</x:f>
        <x:v>50017434.03237285</x:v>
      </x:c>
      <x:c r="AF21" s="35" t="n">
        <x:f>'CF Installment'!AF21+'MK Installment'!AF21</x:f>
        <x:v>50017434.03237285</x:v>
      </x:c>
      <x:c r="AG21" s="35" t="n">
        <x:f>'CF Installment'!AG21+'MK Installment'!AG21</x:f>
        <x:v>50017434.03237285</x:v>
      </x:c>
      <x:c r="AH21" s="35" t="n">
        <x:f>'CF Installment'!AH21+'MK Installment'!AH21</x:f>
        <x:v>50017434.03237285</x:v>
      </x:c>
      <x:c r="AI21" s="35" t="n">
        <x:f>'CF Installment'!AI21+'MK Installment'!AI21</x:f>
        <x:v>50017434.03237285</x:v>
      </x:c>
      <x:c r="AJ21" s="35" t="n">
        <x:f>'CF Installment'!AJ21+'MK Installment'!AJ21</x:f>
        <x:v>50017434.03237285</x:v>
      </x:c>
      <x:c r="AK21" s="35" t="n">
        <x:f>'CF Installment'!AK21+'MK Installment'!AK21</x:f>
        <x:v>50017434.03237285</x:v>
      </x:c>
      <x:c r="AL21" s="35" t="n">
        <x:f>'CF Installment'!AL21+'MK Installment'!AL21</x:f>
        <x:v>50017434.03237285</x:v>
      </x:c>
      <x:c r="AM21" s="35" t="n">
        <x:f>'CF Installment'!AM21+'MK Installment'!AM21</x:f>
        <x:v>50017434.03237285</x:v>
      </x:c>
      <x:c r="AN21" s="35" t="n">
        <x:f>'CF Installment'!AN21+'MK Installment'!AN21</x:f>
        <x:v>50017434.03237285</x:v>
      </x:c>
      <x:c r="AO21" s="35" t="n">
        <x:f>'CF Installment'!AO21+'MK Installment'!AO21</x:f>
        <x:v>50017434.03237285</x:v>
      </x:c>
      <x:c r="AP21" s="35" t="n">
        <x:f>'CF Installment'!AP21+'MK Installment'!AP21</x:f>
        <x:v>50017434.03237285</x:v>
      </x:c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</x:row>
    <x:row r="22" ht="19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</x:row>
    <x:row r="23" ht="19" customHeight="1">
      <x:c r="A23" s="1"/>
      <x:c r="B23" s="1"/>
      <x:c r="C23" s="2" t="str">
        <x:v>Annual yield</x:v>
      </x:c>
      <x:c r="D23" s="2"/>
      <x:c r="E23" s="35"/>
      <x:c r="F23" s="2"/>
      <x:c r="G23" s="12" t="n">
        <x:f>'CF Installment'!G23</x:f>
        <x:v>0.55</x:v>
      </x:c>
      <x:c r="H23" s="12" t="n">
        <x:f>'CF Installment'!H23</x:f>
        <x:v>0.55</x:v>
      </x:c>
      <x:c r="I23" s="12" t="n">
        <x:f>'CF Installment'!I23</x:f>
        <x:v>0.55</x:v>
      </x:c>
      <x:c r="J23" s="12" t="n">
        <x:f>'CF Installment'!J23</x:f>
        <x:v>0.55</x:v>
      </x:c>
      <x:c r="K23" s="12" t="n">
        <x:f>'CF Installment'!K23</x:f>
        <x:v>0.55</x:v>
      </x:c>
      <x:c r="L23" s="12" t="n">
        <x:f>'CF Installment'!L23</x:f>
        <x:v>0.55</x:v>
      </x:c>
      <x:c r="M23" s="12" t="n">
        <x:f>'CF Installment'!M23</x:f>
        <x:v>0.55</x:v>
      </x:c>
      <x:c r="N23" s="12" t="n">
        <x:f>'CF Installment'!N23</x:f>
        <x:v>0.55</x:v>
      </x:c>
      <x:c r="O23" s="12" t="n">
        <x:f>'CF Installment'!O23</x:f>
        <x:v>0.55</x:v>
      </x:c>
      <x:c r="P23" s="12" t="n">
        <x:f>'CF Installment'!P23</x:f>
        <x:v>0.55</x:v>
      </x:c>
      <x:c r="Q23" s="12" t="n">
        <x:f>'CF Installment'!Q23</x:f>
        <x:v>0.55</x:v>
      </x:c>
      <x:c r="R23" s="12" t="n">
        <x:f>'CF Installment'!R23</x:f>
        <x:v>0.55</x:v>
      </x:c>
      <x:c r="S23" s="12" t="n">
        <x:f>'CF Installment'!S23</x:f>
        <x:v>0.55</x:v>
      </x:c>
      <x:c r="T23" s="12" t="n">
        <x:f>'CF Installment'!T23</x:f>
        <x:v>0.55</x:v>
      </x:c>
      <x:c r="U23" s="12" t="n">
        <x:f>'CF Installment'!U23</x:f>
        <x:v>0.55</x:v>
      </x:c>
      <x:c r="V23" s="12" t="n">
        <x:f>'CF Installment'!V23</x:f>
        <x:v>0.55</x:v>
      </x:c>
      <x:c r="W23" s="12" t="n">
        <x:f>'CF Installment'!W23</x:f>
        <x:v>0.55</x:v>
      </x:c>
      <x:c r="X23" s="12" t="n">
        <x:f>'CF Installment'!X23</x:f>
        <x:v>0.55</x:v>
      </x:c>
      <x:c r="Y23" s="12" t="n">
        <x:f>'CF Installment'!Y23</x:f>
        <x:v>0.55</x:v>
      </x:c>
      <x:c r="Z23" s="12" t="n">
        <x:f>'CF Installment'!Z23</x:f>
        <x:v>0.55</x:v>
      </x:c>
      <x:c r="AA23" s="12" t="n">
        <x:f>'CF Installment'!AA23</x:f>
        <x:v>0.55</x:v>
      </x:c>
      <x:c r="AB23" s="12" t="n">
        <x:f>'CF Installment'!AB23</x:f>
        <x:v>0.55</x:v>
      </x:c>
      <x:c r="AC23" s="12" t="n">
        <x:f>'CF Installment'!AC23</x:f>
        <x:v>0.55</x:v>
      </x:c>
      <x:c r="AD23" s="12" t="n">
        <x:f>'CF Installment'!AD23</x:f>
        <x:v>0.55</x:v>
      </x:c>
      <x:c r="AE23" s="12" t="n">
        <x:f>'CF Installment'!AE23</x:f>
        <x:v>0.55</x:v>
      </x:c>
      <x:c r="AF23" s="12" t="n">
        <x:f>'CF Installment'!AF23</x:f>
        <x:v>0.55</x:v>
      </x:c>
      <x:c r="AG23" s="12" t="n">
        <x:f>'CF Installment'!AG23</x:f>
        <x:v>0.55</x:v>
      </x:c>
      <x:c r="AH23" s="12" t="n">
        <x:f>'CF Installment'!AH23</x:f>
        <x:v>0.55</x:v>
      </x:c>
      <x:c r="AI23" s="12" t="n">
        <x:f>'CF Installment'!AI23</x:f>
        <x:v>0.55</x:v>
      </x:c>
      <x:c r="AJ23" s="12" t="n">
        <x:f>'CF Installment'!AJ23</x:f>
        <x:v>0.55</x:v>
      </x:c>
      <x:c r="AK23" s="12" t="n">
        <x:f>'CF Installment'!AK23</x:f>
        <x:v>0.55</x:v>
      </x:c>
      <x:c r="AL23" s="12" t="n">
        <x:f>'CF Installment'!AL23</x:f>
        <x:v>0.55</x:v>
      </x:c>
      <x:c r="AM23" s="12" t="n">
        <x:f>'CF Installment'!AM23</x:f>
        <x:v>0.55</x:v>
      </x:c>
      <x:c r="AN23" s="12" t="n">
        <x:f>'CF Installment'!AN23</x:f>
        <x:v>0.55</x:v>
      </x:c>
      <x:c r="AO23" s="12" t="n">
        <x:f>'CF Installment'!AO23</x:f>
        <x:v>0.55</x:v>
      </x:c>
      <x:c r="AP23" s="12" t="n">
        <x:f>'CF Installment'!AP23</x:f>
        <x:v>0.55</x:v>
      </x:c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</x:row>
    <x:row r="24" ht="19" customHeight="1">
      <x:c r="A24" s="1"/>
      <x:c r="B24" s="1"/>
      <x:c r="C24" s="2" t="str">
        <x:v>Revenue</x:v>
      </x:c>
      <x:c r="D24" s="2"/>
      <x:c r="E24" s="35" t="n">
        <x:f>SUMIFS(G24:AP24,$G$6:$AP$6,"&lt;="&amp;'Assumptions'!$E$7)</x:f>
        <x:v>91293437.61996524</x:v>
      </x:c>
      <x:c r="F24" s="2"/>
      <x:c r="G24" s="35" t="n">
        <x:f>'CF Installment'!G24+'MK Installment'!G24</x:f>
        <x:v>15521536.395158017</x:v>
      </x:c>
      <x:c r="H24" s="35" t="n">
        <x:f>'CF Installment'!H24+'MK Installment'!H24</x:f>
        <x:v>9223259.319232007</x:v>
      </x:c>
      <x:c r="I24" s="35" t="n">
        <x:f>'CF Installment'!I24+'MK Installment'!I24</x:f>
        <x:v>6121553.274216826</x:v>
      </x:c>
      <x:c r="J24" s="35" t="n">
        <x:f>'CF Installment'!J24+'MK Installment'!J24</x:f>
        <x:v>4475297.332443512</x:v>
      </x:c>
      <x:c r="K24" s="35" t="n">
        <x:f>'CF Installment'!K24+'MK Installment'!K24</x:f>
        <x:v>3594945.405535442</x:v>
      </x:c>
      <x:c r="L24" s="35" t="n">
        <x:f>'CF Installment'!L24+'MK Installment'!L24</x:f>
        <x:v>3133294.682147721</x:v>
      </x:c>
      <x:c r="M24" s="35" t="n">
        <x:f>'CF Installment'!M24+'MK Installment'!M24</x:f>
        <x:v>2897806.6274901037</x:v>
      </x:c>
      <x:c r="N24" s="35" t="n">
        <x:f>'CF Installment'!N24+'MK Installment'!N24</x:f>
        <x:v>2782717.224610476</x:v>
      </x:c>
      <x:c r="O24" s="35" t="n">
        <x:f>'CF Installment'!O24+'MK Installment'!O24</x:f>
        <x:v>2734510.6360165076</x:v>
      </x:c>
      <x:c r="P24" s="35" t="n">
        <x:f>'CF Installment'!P24+'MK Installment'!P24</x:f>
        <x:v>2720567.781540975</x:v>
      </x:c>
      <x:c r="Q24" s="35" t="n">
        <x:f>'CF Installment'!Q24+'MK Installment'!Q24</x:f>
        <x:v>2720567.7815409754</x:v>
      </x:c>
      <x:c r="R24" s="35" t="n">
        <x:f>'CF Installment'!R24+'MK Installment'!R24</x:f>
        <x:v>2720567.7815409754</x:v>
      </x:c>
      <x:c r="S24" s="35" t="n">
        <x:f>'CF Installment'!S24+'MK Installment'!S24</x:f>
        <x:v>2720567.7815409754</x:v>
      </x:c>
      <x:c r="T24" s="35" t="n">
        <x:f>'CF Installment'!T24+'MK Installment'!T24</x:f>
        <x:v>2720567.7815409754</x:v>
      </x:c>
      <x:c r="U24" s="35" t="n">
        <x:f>'CF Installment'!U24+'MK Installment'!U24</x:f>
        <x:v>2720567.7815409754</x:v>
      </x:c>
      <x:c r="V24" s="35" t="n">
        <x:f>'CF Installment'!V24+'MK Installment'!V24</x:f>
        <x:v>2720567.7815409754</x:v>
      </x:c>
      <x:c r="W24" s="35" t="n">
        <x:f>'CF Installment'!W24+'MK Installment'!W24</x:f>
        <x:v>2720567.7815409754</x:v>
      </x:c>
      <x:c r="X24" s="35" t="n">
        <x:f>'CF Installment'!X24+'MK Installment'!X24</x:f>
        <x:v>2720567.7815409754</x:v>
      </x:c>
      <x:c r="Y24" s="35" t="n">
        <x:f>'CF Installment'!Y24+'MK Installment'!Y24</x:f>
        <x:v>2720567.7815409754</x:v>
      </x:c>
      <x:c r="Z24" s="35" t="n">
        <x:f>'CF Installment'!Z24+'MK Installment'!Z24</x:f>
        <x:v>2720567.7815409754</x:v>
      </x:c>
      <x:c r="AA24" s="35" t="n">
        <x:f>'CF Installment'!AA24+'MK Installment'!AA24</x:f>
        <x:v>2720567.7815409754</x:v>
      </x:c>
      <x:c r="AB24" s="35" t="n">
        <x:f>'CF Installment'!AB24+'MK Installment'!AB24</x:f>
        <x:v>2720567.7815409754</x:v>
      </x:c>
      <x:c r="AC24" s="35" t="n">
        <x:f>'CF Installment'!AC24+'MK Installment'!AC24</x:f>
        <x:v>2720567.7815409754</x:v>
      </x:c>
      <x:c r="AD24" s="35" t="n">
        <x:f>'CF Installment'!AD24+'MK Installment'!AD24</x:f>
        <x:v>2720567.7815409754</x:v>
      </x:c>
      <x:c r="AE24" s="35" t="n">
        <x:f>'CF Installment'!AE24+'MK Installment'!AE24</x:f>
        <x:v>2720567.7815409754</x:v>
      </x:c>
      <x:c r="AF24" s="35" t="n">
        <x:f>'CF Installment'!AF24+'MK Installment'!AF24</x:f>
        <x:v>2720567.7815409754</x:v>
      </x:c>
      <x:c r="AG24" s="35" t="n">
        <x:f>'CF Installment'!AG24+'MK Installment'!AG24</x:f>
        <x:v>2720567.7815409754</x:v>
      </x:c>
      <x:c r="AH24" s="35" t="n">
        <x:f>'CF Installment'!AH24+'MK Installment'!AH24</x:f>
        <x:v>2720567.7815409754</x:v>
      </x:c>
      <x:c r="AI24" s="35" t="n">
        <x:f>'CF Installment'!AI24+'MK Installment'!AI24</x:f>
        <x:v>2720567.7815409754</x:v>
      </x:c>
      <x:c r="AJ24" s="35" t="n">
        <x:f>'CF Installment'!AJ24+'MK Installment'!AJ24</x:f>
        <x:v>2720567.7815409754</x:v>
      </x:c>
      <x:c r="AK24" s="35" t="n">
        <x:f>'CF Installment'!AK24+'MK Installment'!AK24</x:f>
        <x:v>2720567.7815409754</x:v>
      </x:c>
      <x:c r="AL24" s="35" t="n">
        <x:f>'CF Installment'!AL24+'MK Installment'!AL24</x:f>
        <x:v>2720567.7815409754</x:v>
      </x:c>
      <x:c r="AM24" s="35" t="n">
        <x:f>'CF Installment'!AM24+'MK Installment'!AM24</x:f>
        <x:v>2720567.7815409754</x:v>
      </x:c>
      <x:c r="AN24" s="35" t="n">
        <x:f>'CF Installment'!AN24+'MK Installment'!AN24</x:f>
        <x:v>2720567.7815409754</x:v>
      </x:c>
      <x:c r="AO24" s="35" t="n">
        <x:f>'CF Installment'!AO24+'MK Installment'!AO24</x:f>
        <x:v>2720567.7815409754</x:v>
      </x:c>
      <x:c r="AP24" s="35" t="n">
        <x:f>'CF Installment'!AP24+'MK Installment'!AP24</x:f>
        <x:v>2720567.7815409754</x:v>
      </x:c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</x:row>
    <x:row r="25" ht="19" customHeight="1">
      <x:c r="A25" s="1"/>
      <x:c r="B25" s="1"/>
      <x:c r="C25" s="2" t="str">
        <x:v>Net revenue</x:v>
      </x:c>
      <x:c r="D25" s="2"/>
      <x:c r="E25" s="35" t="n">
        <x:f>SUMIFS(G25:AP25,$G$6:$AP$6,"&lt;="&amp;'Assumptions'!$E$7)</x:f>
        <x:v>-22514467.565154374</x:v>
      </x:c>
      <x:c r="F25" s="2"/>
      <x:c r="G25" s="35" t="n">
        <x:f>'CF Installment'!G25+'MK Installment'!G25</x:f>
        <x:v>10779540.345778031</x:v>
      </x:c>
      <x:c r="H25" s="35" t="n">
        <x:f>'CF Installment'!H25+'MK Installment'!H25</x:f>
        <x:v>4481263.2698520245</x:v>
      </x:c>
      <x:c r="I25" s="35" t="n">
        <x:f>'CF Installment'!I25+'MK Installment'!I25</x:f>
        <x:v>1379557.2248368417</x:v>
      </x:c>
      <x:c r="J25" s="35" t="n">
        <x:f>'CF Installment'!J25+'MK Installment'!J25</x:f>
        <x:v>-266698.71693647234</x:v>
      </x:c>
      <x:c r="K25" s="35" t="n">
        <x:f>'CF Installment'!K25+'MK Installment'!K25</x:f>
        <x:v>-1147050.6438445423</x:v>
      </x:c>
      <x:c r="L25" s="35" t="n">
        <x:f>'CF Installment'!L25+'MK Installment'!L25</x:f>
        <x:v>-1608701.3672322633</x:v>
      </x:c>
      <x:c r="M25" s="35" t="n">
        <x:f>'CF Installment'!M25+'MK Installment'!M25</x:f>
        <x:v>-1844189.4218898804</x:v>
      </x:c>
      <x:c r="N25" s="35" t="n">
        <x:f>'CF Installment'!N25+'MK Installment'!N25</x:f>
        <x:v>-1959278.8247695083</x:v>
      </x:c>
      <x:c r="O25" s="35" t="n">
        <x:f>'CF Installment'!O25+'MK Installment'!O25</x:f>
        <x:v>-2007485.4133634765</x:v>
      </x:c>
      <x:c r="P25" s="35" t="n">
        <x:f>'CF Installment'!P25+'MK Installment'!P25</x:f>
        <x:v>-2021428.2678390092</x:v>
      </x:c>
      <x:c r="Q25" s="35" t="n">
        <x:f>'CF Installment'!Q25+'MK Installment'!Q25</x:f>
        <x:v>-2021428.2678390087</x:v>
      </x:c>
      <x:c r="R25" s="35" t="n">
        <x:f>'CF Installment'!R25+'MK Installment'!R25</x:f>
        <x:v>-2021428.2678390087</x:v>
      </x:c>
      <x:c r="S25" s="35" t="n">
        <x:f>'CF Installment'!S25+'MK Installment'!S25</x:f>
        <x:v>-2021428.2678390087</x:v>
      </x:c>
      <x:c r="T25" s="35" t="n">
        <x:f>'CF Installment'!T25+'MK Installment'!T25</x:f>
        <x:v>-2021428.2678390087</x:v>
      </x:c>
      <x:c r="U25" s="35" t="n">
        <x:f>'CF Installment'!U25+'MK Installment'!U25</x:f>
        <x:v>-2021428.2678390087</x:v>
      </x:c>
      <x:c r="V25" s="35" t="n">
        <x:f>'CF Installment'!V25+'MK Installment'!V25</x:f>
        <x:v>-2021428.2678390087</x:v>
      </x:c>
      <x:c r="W25" s="35" t="n">
        <x:f>'CF Installment'!W25+'MK Installment'!W25</x:f>
        <x:v>-2021428.2678390087</x:v>
      </x:c>
      <x:c r="X25" s="35" t="n">
        <x:f>'CF Installment'!X25+'MK Installment'!X25</x:f>
        <x:v>-2021428.2678390087</x:v>
      </x:c>
      <x:c r="Y25" s="35" t="n">
        <x:f>'CF Installment'!Y25+'MK Installment'!Y25</x:f>
        <x:v>-2021428.2678390087</x:v>
      </x:c>
      <x:c r="Z25" s="35" t="n">
        <x:f>'CF Installment'!Z25+'MK Installment'!Z25</x:f>
        <x:v>-2021428.2678390087</x:v>
      </x:c>
      <x:c r="AA25" s="35" t="n">
        <x:f>'CF Installment'!AA25+'MK Installment'!AA25</x:f>
        <x:v>-2021428.2678390087</x:v>
      </x:c>
      <x:c r="AB25" s="35" t="n">
        <x:f>'CF Installment'!AB25+'MK Installment'!AB25</x:f>
        <x:v>-2021428.2678390087</x:v>
      </x:c>
      <x:c r="AC25" s="35" t="n">
        <x:f>'CF Installment'!AC25+'MK Installment'!AC25</x:f>
        <x:v>-2021428.2678390087</x:v>
      </x:c>
      <x:c r="AD25" s="35" t="n">
        <x:f>'CF Installment'!AD25+'MK Installment'!AD25</x:f>
        <x:v>-2021428.2678390087</x:v>
      </x:c>
      <x:c r="AE25" s="35" t="n">
        <x:f>'CF Installment'!AE25+'MK Installment'!AE25</x:f>
        <x:v>-2021428.2678390087</x:v>
      </x:c>
      <x:c r="AF25" s="35" t="n">
        <x:f>'CF Installment'!AF25+'MK Installment'!AF25</x:f>
        <x:v>-2021428.2678390087</x:v>
      </x:c>
      <x:c r="AG25" s="35" t="n">
        <x:f>'CF Installment'!AG25+'MK Installment'!AG25</x:f>
        <x:v>-2021428.2678390087</x:v>
      </x:c>
      <x:c r="AH25" s="35" t="n">
        <x:f>'CF Installment'!AH25+'MK Installment'!AH25</x:f>
        <x:v>-2021428.2678390087</x:v>
      </x:c>
      <x:c r="AI25" s="35" t="n">
        <x:f>'CF Installment'!AI25+'MK Installment'!AI25</x:f>
        <x:v>-2021428.2678390087</x:v>
      </x:c>
      <x:c r="AJ25" s="35" t="n">
        <x:f>'CF Installment'!AJ25+'MK Installment'!AJ25</x:f>
        <x:v>-2021428.2678390087</x:v>
      </x:c>
      <x:c r="AK25" s="35" t="n">
        <x:f>'CF Installment'!AK25+'MK Installment'!AK25</x:f>
        <x:v>-2021428.2678390087</x:v>
      </x:c>
      <x:c r="AL25" s="35" t="n">
        <x:f>'CF Installment'!AL25+'MK Installment'!AL25</x:f>
        <x:v>-2021428.2678390087</x:v>
      </x:c>
      <x:c r="AM25" s="35" t="n">
        <x:f>'CF Installment'!AM25+'MK Installment'!AM25</x:f>
        <x:v>-2021428.2678390087</x:v>
      </x:c>
      <x:c r="AN25" s="35" t="n">
        <x:f>'CF Installment'!AN25+'MK Installment'!AN25</x:f>
        <x:v>-2021428.2678390087</x:v>
      </x:c>
      <x:c r="AO25" s="35" t="n">
        <x:f>'CF Installment'!AO25+'MK Installment'!AO25</x:f>
        <x:v>-2021428.2678390087</x:v>
      </x:c>
      <x:c r="AP25" s="35" t="n">
        <x:f>'CF Installment'!AP25+'MK Installment'!AP25</x:f>
        <x:v>-2021428.2678390087</x:v>
      </x:c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</x:row>
    <x:row r="26" ht="19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</x:row>
    <x:row r="27" ht="19" customHeight="1">
      <x:c r="A27" s="1"/>
      <x:c r="B27" s="1"/>
      <x:c r="C27" s="2" t="str">
        <x:v>Opening-book charge-offs</x:v>
      </x:c>
      <x:c r="D27" s="2"/>
      <x:c r="E27" s="35" t="n">
        <x:f>SUMIFS(G27:AP27,$G$6:$AP$6,"&lt;="&amp;'Assumptions'!$E$7)</x:f>
        <x:v>92260993.10010692</x:v>
      </x:c>
      <x:c r="F27" s="2"/>
      <x:c r="G27" s="35" t="n">
        <x:f>'CF Installment'!G27+'MK Installment'!G27</x:f>
        <x:v>44748296.83291605</x:v>
      </x:c>
      <x:c r="H27" s="35" t="n">
        <x:f>'CF Installment'!H27+'MK Installment'!H27</x:f>
        <x:v>22002055.560468193</x:v>
      </x:c>
      <x:c r="I27" s="35" t="n">
        <x:f>'CF Installment'!I27+'MK Installment'!I27</x:f>
        <x:v>11849966.017790437</x:v>
      </x:c>
      <x:c r="J27" s="35" t="n">
        <x:f>'CF Installment'!J27+'MK Installment'!J27</x:f>
        <x:v>6529928.001860656</x:v>
      </x:c>
      <x:c r="K27" s="35" t="n">
        <x:f>'CF Installment'!K27+'MK Installment'!K27</x:f>
        <x:v>3565388.097962402</x:v>
      </x:c>
      <x:c r="L27" s="35" t="n">
        <x:f>'CF Installment'!L27+'MK Installment'!L27</x:f>
        <x:v>1853110.6988498294</x:v>
      </x:c>
      <x:c r="M27" s="35" t="n">
        <x:f>'CF Installment'!M27+'MK Installment'!M27</x:f>
        <x:v>1019207.7877078822</x:v>
      </x:c>
      <x:c r="N27" s="35" t="n">
        <x:f>'CF Installment'!N27+'MK Installment'!N27</x:f>
        <x:v>510525.97480444727</x:v>
      </x:c>
      <x:c r="O27" s="35" t="n">
        <x:f>'CF Installment'!O27+'MK Installment'!O27</x:f>
        <x:v>182514.12774702298</x:v>
      </x:c>
      <x:c r="P27" s="35" t="n">
        <x:f>'CF Installment'!P27+'MK Installment'!P27</x:f>
        <x:v>0</x:v>
      </x:c>
      <x:c r="Q27" s="35" t="n">
        <x:f>'CF Installment'!Q27+'MK Installment'!Q27</x:f>
        <x:v>0</x:v>
      </x:c>
      <x:c r="R27" s="35" t="n">
        <x:f>'CF Installment'!R27+'MK Installment'!R27</x:f>
        <x:v>0</x:v>
      </x:c>
      <x:c r="S27" s="35" t="n">
        <x:f>'CF Installment'!S27+'MK Installment'!S27</x:f>
        <x:v>0</x:v>
      </x:c>
      <x:c r="T27" s="35" t="n">
        <x:f>'CF Installment'!T27+'MK Installment'!T27</x:f>
        <x:v>0</x:v>
      </x:c>
      <x:c r="U27" s="35" t="n">
        <x:f>'CF Installment'!U27+'MK Installment'!U27</x:f>
        <x:v>0</x:v>
      </x:c>
      <x:c r="V27" s="35" t="n">
        <x:f>'CF Installment'!V27+'MK Installment'!V27</x:f>
        <x:v>0</x:v>
      </x:c>
      <x:c r="W27" s="35" t="n">
        <x:f>'CF Installment'!W27+'MK Installment'!W27</x:f>
        <x:v>0</x:v>
      </x:c>
      <x:c r="X27" s="35" t="n">
        <x:f>'CF Installment'!X27+'MK Installment'!X27</x:f>
        <x:v>0</x:v>
      </x:c>
      <x:c r="Y27" s="35" t="n">
        <x:f>'CF Installment'!Y27+'MK Installment'!Y27</x:f>
        <x:v>0</x:v>
      </x:c>
      <x:c r="Z27" s="35" t="n">
        <x:f>'CF Installment'!Z27+'MK Installment'!Z27</x:f>
        <x:v>0</x:v>
      </x:c>
      <x:c r="AA27" s="35" t="n">
        <x:f>'CF Installment'!AA27+'MK Installment'!AA27</x:f>
        <x:v>0</x:v>
      </x:c>
      <x:c r="AB27" s="35" t="n">
        <x:f>'CF Installment'!AB27+'MK Installment'!AB27</x:f>
        <x:v>0</x:v>
      </x:c>
      <x:c r="AC27" s="35" t="n">
        <x:f>'CF Installment'!AC27+'MK Installment'!AC27</x:f>
        <x:v>0</x:v>
      </x:c>
      <x:c r="AD27" s="35" t="n">
        <x:f>'CF Installment'!AD27+'MK Installment'!AD27</x:f>
        <x:v>0</x:v>
      </x:c>
      <x:c r="AE27" s="35" t="n">
        <x:f>'CF Installment'!AE27+'MK Installment'!AE27</x:f>
        <x:v>0</x:v>
      </x:c>
      <x:c r="AF27" s="35" t="n">
        <x:f>'CF Installment'!AF27+'MK Installment'!AF27</x:f>
        <x:v>0</x:v>
      </x:c>
      <x:c r="AG27" s="35" t="n">
        <x:f>'CF Installment'!AG27+'MK Installment'!AG27</x:f>
        <x:v>0</x:v>
      </x:c>
      <x:c r="AH27" s="35" t="n">
        <x:f>'CF Installment'!AH27+'MK Installment'!AH27</x:f>
        <x:v>0</x:v>
      </x:c>
      <x:c r="AI27" s="35" t="n">
        <x:f>'CF Installment'!AI27+'MK Installment'!AI27</x:f>
        <x:v>0</x:v>
      </x:c>
      <x:c r="AJ27" s="35" t="n">
        <x:f>'CF Installment'!AJ27+'MK Installment'!AJ27</x:f>
        <x:v>0</x:v>
      </x:c>
      <x:c r="AK27" s="35" t="n">
        <x:f>'CF Installment'!AK27+'MK Installment'!AK27</x:f>
        <x:v>0</x:v>
      </x:c>
      <x:c r="AL27" s="35" t="n">
        <x:f>'CF Installment'!AL27+'MK Installment'!AL27</x:f>
        <x:v>0</x:v>
      </x:c>
      <x:c r="AM27" s="35" t="n">
        <x:f>'CF Installment'!AM27+'MK Installment'!AM27</x:f>
        <x:v>0</x:v>
      </x:c>
      <x:c r="AN27" s="35" t="n">
        <x:f>'CF Installment'!AN27+'MK Installment'!AN27</x:f>
        <x:v>0</x:v>
      </x:c>
      <x:c r="AO27" s="35" t="n">
        <x:f>'CF Installment'!AO27+'MK Installment'!AO27</x:f>
        <x:v>0</x:v>
      </x:c>
      <x:c r="AP27" s="35" t="n">
        <x:f>'CF Installment'!AP27+'MK Installment'!AP27</x:f>
        <x:v>0</x:v>
      </x:c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</x:row>
    <x:row r="28" ht="19" customHeight="1">
      <x:c r="A28" s="1"/>
      <x:c r="B28" s="1"/>
      <x:c r="C28" s="2" t="str">
        <x:v>New-book charge-offs</x:v>
      </x:c>
      <x:c r="D28" s="2"/>
      <x:c r="E28" s="35" t="n">
        <x:f>SUMIFS(G28:AP28,$G$6:$AP$6,"&lt;="&amp;'Assumptions'!$E$7)</x:f>
        <x:v>99725500.66176395</x:v>
      </x:c>
      <x:c r="F28" s="2"/>
      <x:c r="G28" s="35" t="n">
        <x:f>'CF Installment'!G28+'MK Installment'!G28</x:f>
        <x:v>0</x:v>
      </x:c>
      <x:c r="H28" s="35" t="n">
        <x:f>'CF Installment'!H28+'MK Installment'!H28</x:f>
        <x:v>1452004.2975912385</x:v>
      </x:c>
      <x:c r="I28" s="35" t="n">
        <x:f>'CF Installment'!I28+'MK Installment'!I28</x:f>
        <x:v>2493644.647255221</x:v>
      </x:c>
      <x:c r="J28" s="35" t="n">
        <x:f>'CF Installment'!J28+'MK Installment'!J28</x:f>
        <x:v>3220347.3893963885</x:v>
      </x:c>
      <x:c r="K28" s="35" t="n">
        <x:f>'CF Installment'!K28+'MK Installment'!K28</x:f>
        <x:v>3751168.881562517</x:v>
      </x:c>
      <x:c r="L28" s="35" t="n">
        <x:f>'CF Installment'!L28+'MK Installment'!L28</x:f>
        <x:v>4148417.575032998</x:v>
      </x:c>
      <x:c r="M28" s="35" t="n">
        <x:f>'CF Installment'!M28+'MK Installment'!M28</x:f>
        <x:v>4362023.901298977</x:v>
      </x:c>
      <x:c r="N28" s="35" t="n">
        <x:f>'CF Installment'!N28+'MK Installment'!N28</x:f>
        <x:v>4518499.554179133</x:v>
      </x:c>
      <x:c r="O28" s="35" t="n">
        <x:f>'CF Installment'!O28+'MK Installment'!O28</x:f>
        <x:v>4649453.6747476915</x:v>
      </x:c>
      <x:c r="P28" s="35" t="n">
        <x:f>'CF Installment'!P28+'MK Installment'!P28</x:f>
        <x:v>4741996.049379985</x:v>
      </x:c>
      <x:c r="Q28" s="35" t="n">
        <x:f>'CF Installment'!Q28+'MK Installment'!Q28</x:f>
        <x:v>4741996.049379985</x:v>
      </x:c>
      <x:c r="R28" s="35" t="n">
        <x:f>'CF Installment'!R28+'MK Installment'!R28</x:f>
        <x:v>4741996.049379985</x:v>
      </x:c>
      <x:c r="S28" s="35" t="n">
        <x:f>'CF Installment'!S28+'MK Installment'!S28</x:f>
        <x:v>4741996.049379985</x:v>
      </x:c>
      <x:c r="T28" s="35" t="n">
        <x:f>'CF Installment'!T28+'MK Installment'!T28</x:f>
        <x:v>4741996.049379985</x:v>
      </x:c>
      <x:c r="U28" s="35" t="n">
        <x:f>'CF Installment'!U28+'MK Installment'!U28</x:f>
        <x:v>4741996.049379985</x:v>
      </x:c>
      <x:c r="V28" s="35" t="n">
        <x:f>'CF Installment'!V28+'MK Installment'!V28</x:f>
        <x:v>4741996.049379985</x:v>
      </x:c>
      <x:c r="W28" s="35" t="n">
        <x:f>'CF Installment'!W28+'MK Installment'!W28</x:f>
        <x:v>4741996.049379985</x:v>
      </x:c>
      <x:c r="X28" s="35" t="n">
        <x:f>'CF Installment'!X28+'MK Installment'!X28</x:f>
        <x:v>4741996.049379985</x:v>
      </x:c>
      <x:c r="Y28" s="35" t="n">
        <x:f>'CF Installment'!Y28+'MK Installment'!Y28</x:f>
        <x:v>4741996.049379985</x:v>
      </x:c>
      <x:c r="Z28" s="35" t="n">
        <x:f>'CF Installment'!Z28+'MK Installment'!Z28</x:f>
        <x:v>4741996.049379985</x:v>
      </x:c>
      <x:c r="AA28" s="35" t="n">
        <x:f>'CF Installment'!AA28+'MK Installment'!AA28</x:f>
        <x:v>4741996.049379985</x:v>
      </x:c>
      <x:c r="AB28" s="35" t="n">
        <x:f>'CF Installment'!AB28+'MK Installment'!AB28</x:f>
        <x:v>4741996.049379985</x:v>
      </x:c>
      <x:c r="AC28" s="35" t="n">
        <x:f>'CF Installment'!AC28+'MK Installment'!AC28</x:f>
        <x:v>4741996.049379985</x:v>
      </x:c>
      <x:c r="AD28" s="35" t="n">
        <x:f>'CF Installment'!AD28+'MK Installment'!AD28</x:f>
        <x:v>4741996.049379985</x:v>
      </x:c>
      <x:c r="AE28" s="35" t="n">
        <x:f>'CF Installment'!AE28+'MK Installment'!AE28</x:f>
        <x:v>4741996.049379985</x:v>
      </x:c>
      <x:c r="AF28" s="35" t="n">
        <x:f>'CF Installment'!AF28+'MK Installment'!AF28</x:f>
        <x:v>4741996.049379985</x:v>
      </x:c>
      <x:c r="AG28" s="35" t="n">
        <x:f>'CF Installment'!AG28+'MK Installment'!AG28</x:f>
        <x:v>4741996.049379985</x:v>
      </x:c>
      <x:c r="AH28" s="35" t="n">
        <x:f>'CF Installment'!AH28+'MK Installment'!AH28</x:f>
        <x:v>4741996.049379985</x:v>
      </x:c>
      <x:c r="AI28" s="35" t="n">
        <x:f>'CF Installment'!AI28+'MK Installment'!AI28</x:f>
        <x:v>4741996.049379985</x:v>
      </x:c>
      <x:c r="AJ28" s="35" t="n">
        <x:f>'CF Installment'!AJ28+'MK Installment'!AJ28</x:f>
        <x:v>4741996.049379985</x:v>
      </x:c>
      <x:c r="AK28" s="35" t="n">
        <x:f>'CF Installment'!AK28+'MK Installment'!AK28</x:f>
        <x:v>4741996.049379985</x:v>
      </x:c>
      <x:c r="AL28" s="35" t="n">
        <x:f>'CF Installment'!AL28+'MK Installment'!AL28</x:f>
        <x:v>4741996.049379985</x:v>
      </x:c>
      <x:c r="AM28" s="35" t="n">
        <x:f>'CF Installment'!AM28+'MK Installment'!AM28</x:f>
        <x:v>4741996.049379985</x:v>
      </x:c>
      <x:c r="AN28" s="35" t="n">
        <x:f>'CF Installment'!AN28+'MK Installment'!AN28</x:f>
        <x:v>4741996.049379985</x:v>
      </x:c>
      <x:c r="AO28" s="35" t="n">
        <x:f>'CF Installment'!AO28+'MK Installment'!AO28</x:f>
        <x:v>4741996.049379985</x:v>
      </x:c>
      <x:c r="AP28" s="35" t="n">
        <x:f>'CF Installment'!AP28+'MK Installment'!AP28</x:f>
        <x:v>4741996.049379985</x:v>
      </x:c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</x:row>
    <x:row r="29" ht="19" customHeight="1">
      <x:c r="A29" s="1"/>
      <x:c r="B29" s="1"/>
      <x:c r="C29" s="2" t="str">
        <x:v>Opening-book repayments</x:v>
      </x:c>
      <x:c r="D29" s="2"/>
      <x:c r="E29" s="35" t="n">
        <x:f>SUMIFS(G29:AP29,$G$6:$AP$6,"&lt;="&amp;'Assumptions'!$E$7)</x:f>
        <x:v>291139006.8998932</x:v>
      </x:c>
      <x:c r="F29" s="2"/>
      <x:c r="G29" s="35" t="n">
        <x:f>'CF Installment'!G29+'MK Installment'!G29</x:f>
        <x:v>135562894.52578074</x:v>
      </x:c>
      <x:c r="H29" s="35" t="n">
        <x:f>'CF Installment'!H29+'MK Installment'!H29</x:f>
        <x:v>69736331.33739358</x:v>
      </x:c>
      <x:c r="I29" s="35" t="n">
        <x:f>'CF Installment'!I29+'MK Installment'!I29</x:f>
        <x:v>38904186.71406403</x:v>
      </x:c>
      <x:c r="J29" s="35" t="n">
        <x:f>'CF Installment'!J29+'MK Installment'!J29</x:f>
        <x:v>22001774.679176625</x:v>
      </x:c>
      <x:c r="K29" s="35" t="n">
        <x:f>'CF Installment'!K29+'MK Installment'!K29</x:f>
        <x:v>12320753.003223436</x:v>
      </x:c>
      <x:c r="L29" s="35" t="n">
        <x:f>'CF Installment'!L29+'MK Installment'!L29</x:f>
        <x:v>6707277.834000221</x:v>
      </x:c>
      <x:c r="M29" s="35" t="n">
        <x:f>'CF Installment'!M29+'MK Installment'!M29</x:f>
        <x:v>3580127.3480028566</x:v>
      </x:c>
      <x:c r="N29" s="35" t="n">
        <x:f>'CF Installment'!N29+'MK Installment'!N29</x:f>
        <x:v>1708554.3406853122</x:v>
      </x:c>
      <x:c r="O29" s="35" t="n">
        <x:f>'CF Installment'!O29+'MK Installment'!O29</x:f>
        <x:v>617107.1175664124</x:v>
      </x:c>
      <x:c r="P29" s="35" t="n">
        <x:f>'CF Installment'!P29+'MK Installment'!P29</x:f>
        <x:v>0</x:v>
      </x:c>
      <x:c r="Q29" s="35" t="n">
        <x:f>'CF Installment'!Q29+'MK Installment'!Q29</x:f>
        <x:v>0</x:v>
      </x:c>
      <x:c r="R29" s="35" t="n">
        <x:f>'CF Installment'!R29+'MK Installment'!R29</x:f>
        <x:v>0</x:v>
      </x:c>
      <x:c r="S29" s="35" t="n">
        <x:f>'CF Installment'!S29+'MK Installment'!S29</x:f>
        <x:v>0</x:v>
      </x:c>
      <x:c r="T29" s="35" t="n">
        <x:f>'CF Installment'!T29+'MK Installment'!T29</x:f>
        <x:v>0</x:v>
      </x:c>
      <x:c r="U29" s="35" t="n">
        <x:f>'CF Installment'!U29+'MK Installment'!U29</x:f>
        <x:v>0</x:v>
      </x:c>
      <x:c r="V29" s="35" t="n">
        <x:f>'CF Installment'!V29+'MK Installment'!V29</x:f>
        <x:v>0</x:v>
      </x:c>
      <x:c r="W29" s="35" t="n">
        <x:f>'CF Installment'!W29+'MK Installment'!W29</x:f>
        <x:v>0</x:v>
      </x:c>
      <x:c r="X29" s="35" t="n">
        <x:f>'CF Installment'!X29+'MK Installment'!X29</x:f>
        <x:v>0</x:v>
      </x:c>
      <x:c r="Y29" s="35" t="n">
        <x:f>'CF Installment'!Y29+'MK Installment'!Y29</x:f>
        <x:v>0</x:v>
      </x:c>
      <x:c r="Z29" s="35" t="n">
        <x:f>'CF Installment'!Z29+'MK Installment'!Z29</x:f>
        <x:v>0</x:v>
      </x:c>
      <x:c r="AA29" s="35" t="n">
        <x:f>'CF Installment'!AA29+'MK Installment'!AA29</x:f>
        <x:v>0</x:v>
      </x:c>
      <x:c r="AB29" s="35" t="n">
        <x:f>'CF Installment'!AB29+'MK Installment'!AB29</x:f>
        <x:v>0</x:v>
      </x:c>
      <x:c r="AC29" s="35" t="n">
        <x:f>'CF Installment'!AC29+'MK Installment'!AC29</x:f>
        <x:v>0</x:v>
      </x:c>
      <x:c r="AD29" s="35" t="n">
        <x:f>'CF Installment'!AD29+'MK Installment'!AD29</x:f>
        <x:v>0</x:v>
      </x:c>
      <x:c r="AE29" s="35" t="n">
        <x:f>'CF Installment'!AE29+'MK Installment'!AE29</x:f>
        <x:v>0</x:v>
      </x:c>
      <x:c r="AF29" s="35" t="n">
        <x:f>'CF Installment'!AF29+'MK Installment'!AF29</x:f>
        <x:v>0</x:v>
      </x:c>
      <x:c r="AG29" s="35" t="n">
        <x:f>'CF Installment'!AG29+'MK Installment'!AG29</x:f>
        <x:v>0</x:v>
      </x:c>
      <x:c r="AH29" s="35" t="n">
        <x:f>'CF Installment'!AH29+'MK Installment'!AH29</x:f>
        <x:v>0</x:v>
      </x:c>
      <x:c r="AI29" s="35" t="n">
        <x:f>'CF Installment'!AI29+'MK Installment'!AI29</x:f>
        <x:v>0</x:v>
      </x:c>
      <x:c r="AJ29" s="35" t="n">
        <x:f>'CF Installment'!AJ29+'MK Installment'!AJ29</x:f>
        <x:v>0</x:v>
      </x:c>
      <x:c r="AK29" s="35" t="n">
        <x:f>'CF Installment'!AK29+'MK Installment'!AK29</x:f>
        <x:v>0</x:v>
      </x:c>
      <x:c r="AL29" s="35" t="n">
        <x:f>'CF Installment'!AL29+'MK Installment'!AL29</x:f>
        <x:v>0</x:v>
      </x:c>
      <x:c r="AM29" s="35" t="n">
        <x:f>'CF Installment'!AM29+'MK Installment'!AM29</x:f>
        <x:v>0</x:v>
      </x:c>
      <x:c r="AN29" s="35" t="n">
        <x:f>'CF Installment'!AN29+'MK Installment'!AN29</x:f>
        <x:v>0</x:v>
      </x:c>
      <x:c r="AO29" s="35" t="n">
        <x:f>'CF Installment'!AO29+'MK Installment'!AO29</x:f>
        <x:v>0</x:v>
      </x:c>
      <x:c r="AP29" s="35" t="n">
        <x:f>'CF Installment'!AP29+'MK Installment'!AP29</x:f>
        <x:v>0</x:v>
      </x:c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</x:row>
    <x:row r="30" ht="19" customHeight="1">
      <x:c r="A30" s="1"/>
      <x:c r="B30" s="1"/>
      <x:c r="C30" s="2" t="str">
        <x:v>New-book repayments</x:v>
      </x:c>
      <x:c r="D30" s="2"/>
      <x:c r="E30" s="35" t="n">
        <x:f>SUMIFS(G30:AP30,$G$6:$AP$6,"&lt;="&amp;'Assumptions'!$E$7)</x:f>
        <x:v>354574660.78250736</x:v>
      </x:c>
      <x:c r="F30" s="2"/>
      <x:c r="G30" s="35" t="n">
        <x:f>'CF Installment'!G30+'MK Installment'!G30</x:f>
        <x:v>0</x:v>
      </x:c>
      <x:c r="H30" s="35" t="n">
        <x:f>'CF Installment'!H30+'MK Installment'!H30</x:f>
        <x:v>5193644.434255646</x:v>
      </x:c>
      <x:c r="I30" s="35" t="n">
        <x:f>'CF Installment'!I30+'MK Installment'!I30</x:f>
        <x:v>8863849.351551227</x:v>
      </x:c>
      <x:c r="J30" s="35" t="n">
        <x:f>'CF Installment'!J30+'MK Installment'!J30</x:f>
        <x:v>11489346.746565444</x:v>
      </x:c>
      <x:c r="K30" s="35" t="n">
        <x:f>'CF Installment'!K30+'MK Installment'!K30</x:f>
        <x:v>13350098.142262183</x:v>
      </x:c>
      <x:c r="L30" s="35" t="n">
        <x:f>'CF Installment'!L30+'MK Installment'!L30</x:f>
        <x:v>14649411.669522734</x:v>
      </x:c>
      <x:c r="M30" s="35" t="n">
        <x:f>'CF Installment'!M30+'MK Installment'!M30</x:f>
        <x:v>15501888.640387256</x:v>
      </x:c>
      <x:c r="N30" s="35" t="n">
        <x:f>'CF Installment'!N30+'MK Installment'!N30</x:f>
        <x:v>16111257.97159746</x:v>
      </x:c>
      <x:c r="O30" s="35" t="n">
        <x:f>'CF Installment'!O30+'MK Installment'!O30</x:f>
        <x:v>16545104.567065215</x:v>
      </x:c>
      <x:c r="P30" s="35" t="n">
        <x:f>'CF Installment'!P30+'MK Installment'!P30</x:f>
        <x:v>16858003.950620018</x:v>
      </x:c>
      <x:c r="Q30" s="35" t="n">
        <x:f>'CF Installment'!Q30+'MK Installment'!Q30</x:f>
        <x:v>16858003.950620018</x:v>
      </x:c>
      <x:c r="R30" s="35" t="n">
        <x:f>'CF Installment'!R30+'MK Installment'!R30</x:f>
        <x:v>16858003.950620018</x:v>
      </x:c>
      <x:c r="S30" s="35" t="n">
        <x:f>'CF Installment'!S30+'MK Installment'!S30</x:f>
        <x:v>16858003.950620018</x:v>
      </x:c>
      <x:c r="T30" s="35" t="n">
        <x:f>'CF Installment'!T30+'MK Installment'!T30</x:f>
        <x:v>16858003.950620018</x:v>
      </x:c>
      <x:c r="U30" s="35" t="n">
        <x:f>'CF Installment'!U30+'MK Installment'!U30</x:f>
        <x:v>16858003.950620018</x:v>
      </x:c>
      <x:c r="V30" s="35" t="n">
        <x:f>'CF Installment'!V30+'MK Installment'!V30</x:f>
        <x:v>16858003.950620018</x:v>
      </x:c>
      <x:c r="W30" s="35" t="n">
        <x:f>'CF Installment'!W30+'MK Installment'!W30</x:f>
        <x:v>16858003.950620018</x:v>
      </x:c>
      <x:c r="X30" s="35" t="n">
        <x:f>'CF Installment'!X30+'MK Installment'!X30</x:f>
        <x:v>16858003.950620018</x:v>
      </x:c>
      <x:c r="Y30" s="35" t="n">
        <x:f>'CF Installment'!Y30+'MK Installment'!Y30</x:f>
        <x:v>16858003.950620018</x:v>
      </x:c>
      <x:c r="Z30" s="35" t="n">
        <x:f>'CF Installment'!Z30+'MK Installment'!Z30</x:f>
        <x:v>16858003.950620018</x:v>
      </x:c>
      <x:c r="AA30" s="35" t="n">
        <x:f>'CF Installment'!AA30+'MK Installment'!AA30</x:f>
        <x:v>16858003.950620018</x:v>
      </x:c>
      <x:c r="AB30" s="35" t="n">
        <x:f>'CF Installment'!AB30+'MK Installment'!AB30</x:f>
        <x:v>16858003.950620018</x:v>
      </x:c>
      <x:c r="AC30" s="35" t="n">
        <x:f>'CF Installment'!AC30+'MK Installment'!AC30</x:f>
        <x:v>16858003.950620018</x:v>
      </x:c>
      <x:c r="AD30" s="35" t="n">
        <x:f>'CF Installment'!AD30+'MK Installment'!AD30</x:f>
        <x:v>16858003.950620018</x:v>
      </x:c>
      <x:c r="AE30" s="35" t="n">
        <x:f>'CF Installment'!AE30+'MK Installment'!AE30</x:f>
        <x:v>16858003.950620018</x:v>
      </x:c>
      <x:c r="AF30" s="35" t="n">
        <x:f>'CF Installment'!AF30+'MK Installment'!AF30</x:f>
        <x:v>16858003.950620018</x:v>
      </x:c>
      <x:c r="AG30" s="35" t="n">
        <x:f>'CF Installment'!AG30+'MK Installment'!AG30</x:f>
        <x:v>16858003.950620018</x:v>
      </x:c>
      <x:c r="AH30" s="35" t="n">
        <x:f>'CF Installment'!AH30+'MK Installment'!AH30</x:f>
        <x:v>16858003.950620018</x:v>
      </x:c>
      <x:c r="AI30" s="35" t="n">
        <x:f>'CF Installment'!AI30+'MK Installment'!AI30</x:f>
        <x:v>16858003.950620018</x:v>
      </x:c>
      <x:c r="AJ30" s="35" t="n">
        <x:f>'CF Installment'!AJ30+'MK Installment'!AJ30</x:f>
        <x:v>16858003.950620018</x:v>
      </x:c>
      <x:c r="AK30" s="35" t="n">
        <x:f>'CF Installment'!AK30+'MK Installment'!AK30</x:f>
        <x:v>16858003.950620018</x:v>
      </x:c>
      <x:c r="AL30" s="35" t="n">
        <x:f>'CF Installment'!AL30+'MK Installment'!AL30</x:f>
        <x:v>16858003.950620018</x:v>
      </x:c>
      <x:c r="AM30" s="35" t="n">
        <x:f>'CF Installment'!AM30+'MK Installment'!AM30</x:f>
        <x:v>16858003.950620018</x:v>
      </x:c>
      <x:c r="AN30" s="35" t="n">
        <x:f>'CF Installment'!AN30+'MK Installment'!AN30</x:f>
        <x:v>16858003.950620018</x:v>
      </x:c>
      <x:c r="AO30" s="35" t="n">
        <x:f>'CF Installment'!AO30+'MK Installment'!AO30</x:f>
        <x:v>16858003.950620018</x:v>
      </x:c>
      <x:c r="AP30" s="35" t="n">
        <x:f>'CF Installment'!AP30+'MK Installment'!AP30</x:f>
        <x:v>16858003.950620018</x:v>
      </x:c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</x:row>
    <x:row r="31" ht="19" customHeight="1">
      <x:c r="A31" s="1"/>
      <x:c r="B31" s="1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</x:row>
    <x:row r="32" ht="19" customHeight="1">
      <x:c r="A32" s="1"/>
      <x:c r="B32" s="1"/>
      <x:c r="C32" s="2" t="str">
        <x:v>Opening-book revenue</x:v>
      </x:c>
      <x:c r="D32" s="2"/>
      <x:c r="E32" s="35" t="n">
        <x:f>SUMIFS(G32:AP32,$G$6:$AP$6,"&lt;="&amp;'Assumptions'!$E$7)</x:f>
        <x:v>33268301.79561017</x:v>
      </x:c>
      <x:c r="F32" s="2"/>
      <x:c r="G32" s="35" t="n">
        <x:f>'CF Installment'!G32+'MK Installment'!G32</x:f>
        <x:v>15521536.395158017</x:v>
      </x:c>
      <x:c r="H32" s="35" t="n">
        <x:f>'CF Installment'!H32+'MK Installment'!H32</x:f>
        <x:v>8299809.51620494</x:v>
      </x:c>
      <x:c r="I32" s="35" t="n">
        <x:f>'CF Installment'!I32+'MK Installment'!I32</x:f>
        <x:v>4560437.554092338</x:v>
      </x:c>
      <x:c r="J32" s="35" t="n">
        <x:f>'CF Installment'!J32+'MK Installment'!J32</x:f>
        <x:v>2478040.629612457</x:v>
      </x:c>
      <x:c r="K32" s="35" t="n">
        <x:f>'CF Installment'!K32+'MK Installment'!K32</x:f>
        <x:v>1306212.3356602516</x:v>
      </x:c>
      <x:c r="L32" s="35" t="n">
        <x:f>'CF Installment'!L32+'MK Installment'!L32</x:f>
        <x:v>656576.9159818934</x:v>
      </x:c>
      <x:c r="M32" s="35" t="n">
        <x:f>'CF Installment'!M32+'MK Installment'!M32</x:f>
        <x:v>302446.3249869386</x:v>
      </x:c>
      <x:c r="N32" s="35" t="n">
        <x:f>'CF Installment'!N32+'MK Installment'!N32</x:f>
        <x:v>114958.04769160389</x:v>
      </x:c>
      <x:c r="O32" s="35" t="n">
        <x:f>'CF Installment'!O32+'MK Installment'!O32</x:f>
        <x:v>28284.076221788513</x:v>
      </x:c>
      <x:c r="P32" s="35" t="n">
        <x:f>'CF Installment'!P32+'MK Installment'!P32</x:f>
        <x:v>-5.3890592729051905e-9</x:v>
      </x:c>
      <x:c r="Q32" s="35" t="n">
        <x:f>'CF Installment'!Q32+'MK Installment'!Q32</x:f>
        <x:v>-5.3890592729051905e-9</x:v>
      </x:c>
      <x:c r="R32" s="35" t="n">
        <x:f>'CF Installment'!R32+'MK Installment'!R32</x:f>
        <x:v>-5.3890592729051905e-9</x:v>
      </x:c>
      <x:c r="S32" s="35" t="n">
        <x:f>'CF Installment'!S32+'MK Installment'!S32</x:f>
        <x:v>-5.3890592729051905e-9</x:v>
      </x:c>
      <x:c r="T32" s="35" t="n">
        <x:f>'CF Installment'!T32+'MK Installment'!T32</x:f>
        <x:v>-5.3890592729051905e-9</x:v>
      </x:c>
      <x:c r="U32" s="35" t="n">
        <x:f>'CF Installment'!U32+'MK Installment'!U32</x:f>
        <x:v>-5.3890592729051905e-9</x:v>
      </x:c>
      <x:c r="V32" s="35" t="n">
        <x:f>'CF Installment'!V32+'MK Installment'!V32</x:f>
        <x:v>-5.3890592729051905e-9</x:v>
      </x:c>
      <x:c r="W32" s="35" t="n">
        <x:f>'CF Installment'!W32+'MK Installment'!W32</x:f>
        <x:v>-5.3890592729051905e-9</x:v>
      </x:c>
      <x:c r="X32" s="35" t="n">
        <x:f>'CF Installment'!X32+'MK Installment'!X32</x:f>
        <x:v>-5.3890592729051905e-9</x:v>
      </x:c>
      <x:c r="Y32" s="35" t="n">
        <x:f>'CF Installment'!Y32+'MK Installment'!Y32</x:f>
        <x:v>-5.3890592729051905e-9</x:v>
      </x:c>
      <x:c r="Z32" s="35" t="n">
        <x:f>'CF Installment'!Z32+'MK Installment'!Z32</x:f>
        <x:v>-5.3890592729051905e-9</x:v>
      </x:c>
      <x:c r="AA32" s="35" t="n">
        <x:f>'CF Installment'!AA32+'MK Installment'!AA32</x:f>
        <x:v>-5.3890592729051905e-9</x:v>
      </x:c>
      <x:c r="AB32" s="35" t="n">
        <x:f>'CF Installment'!AB32+'MK Installment'!AB32</x:f>
        <x:v>-5.3890592729051905e-9</x:v>
      </x:c>
      <x:c r="AC32" s="35" t="n">
        <x:f>'CF Installment'!AC32+'MK Installment'!AC32</x:f>
        <x:v>-5.3890592729051905e-9</x:v>
      </x:c>
      <x:c r="AD32" s="35" t="n">
        <x:f>'CF Installment'!AD32+'MK Installment'!AD32</x:f>
        <x:v>-5.3890592729051905e-9</x:v>
      </x:c>
      <x:c r="AE32" s="35" t="n">
        <x:f>'CF Installment'!AE32+'MK Installment'!AE32</x:f>
        <x:v>-5.3890592729051905e-9</x:v>
      </x:c>
      <x:c r="AF32" s="35" t="n">
        <x:f>'CF Installment'!AF32+'MK Installment'!AF32</x:f>
        <x:v>-5.3890592729051905e-9</x:v>
      </x:c>
      <x:c r="AG32" s="35" t="n">
        <x:f>'CF Installment'!AG32+'MK Installment'!AG32</x:f>
        <x:v>-5.3890592729051905e-9</x:v>
      </x:c>
      <x:c r="AH32" s="35" t="n">
        <x:f>'CF Installment'!AH32+'MK Installment'!AH32</x:f>
        <x:v>-5.3890592729051905e-9</x:v>
      </x:c>
      <x:c r="AI32" s="35" t="n">
        <x:f>'CF Installment'!AI32+'MK Installment'!AI32</x:f>
        <x:v>-5.3890592729051905e-9</x:v>
      </x:c>
      <x:c r="AJ32" s="35" t="n">
        <x:f>'CF Installment'!AJ32+'MK Installment'!AJ32</x:f>
        <x:v>-5.3890592729051905e-9</x:v>
      </x:c>
      <x:c r="AK32" s="35" t="n">
        <x:f>'CF Installment'!AK32+'MK Installment'!AK32</x:f>
        <x:v>-5.3890592729051905e-9</x:v>
      </x:c>
      <x:c r="AL32" s="35" t="n">
        <x:f>'CF Installment'!AL32+'MK Installment'!AL32</x:f>
        <x:v>-5.3890592729051905e-9</x:v>
      </x:c>
      <x:c r="AM32" s="35" t="n">
        <x:f>'CF Installment'!AM32+'MK Installment'!AM32</x:f>
        <x:v>-5.3890592729051905e-9</x:v>
      </x:c>
      <x:c r="AN32" s="35" t="n">
        <x:f>'CF Installment'!AN32+'MK Installment'!AN32</x:f>
        <x:v>-5.3890592729051905e-9</x:v>
      </x:c>
      <x:c r="AO32" s="35" t="n">
        <x:f>'CF Installment'!AO32+'MK Installment'!AO32</x:f>
        <x:v>-5.3890592729051905e-9</x:v>
      </x:c>
      <x:c r="AP32" s="35" t="n">
        <x:f>'CF Installment'!AP32+'MK Installment'!AP32</x:f>
        <x:v>-5.3890592729051905e-9</x:v>
      </x:c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</x:row>
    <x:row r="33" ht="19" customHeight="1">
      <x:c r="A33" s="1"/>
      <x:c r="B33" s="1"/>
      <x:c r="C33" s="2" t="str">
        <x:v>New-book revenue</x:v>
      </x:c>
      <x:c r="D33" s="2"/>
      <x:c r="E33" s="35" t="n">
        <x:f>SUMIFS(G33:AP33,$G$6:$AP$6,"&lt;="&amp;'Assumptions'!$E$7)</x:f>
        <x:v>58025135.82435512</x:v>
      </x:c>
      <x:c r="F33" s="2"/>
      <x:c r="G33" s="35" t="n">
        <x:f>'CF Installment'!G33+'MK Installment'!G33</x:f>
        <x:v>0</x:v>
      </x:c>
      <x:c r="H33" s="35" t="n">
        <x:f>'CF Installment'!H33+'MK Installment'!H33</x:f>
        <x:v>923449.8030270683</x:v>
      </x:c>
      <x:c r="I33" s="35" t="n">
        <x:f>'CF Installment'!I33+'MK Installment'!I33</x:f>
        <x:v>1561115.7201244878</x:v>
      </x:c>
      <x:c r="J33" s="35" t="n">
        <x:f>'CF Installment'!J33+'MK Installment'!J33</x:f>
        <x:v>1997256.702831055</x:v>
      </x:c>
      <x:c r="K33" s="35" t="n">
        <x:f>'CF Installment'!K33+'MK Installment'!K33</x:f>
        <x:v>2288733.06987519</x:v>
      </x:c>
      <x:c r="L33" s="35" t="n">
        <x:f>'CF Installment'!L33+'MK Installment'!L33</x:f>
        <x:v>2476717.7661658274</x:v>
      </x:c>
      <x:c r="M33" s="35" t="n">
        <x:f>'CF Installment'!M33+'MK Installment'!M33</x:f>
        <x:v>2595360.302503165</x:v>
      </x:c>
      <x:c r="N33" s="35" t="n">
        <x:f>'CF Installment'!N33+'MK Installment'!N33</x:f>
        <x:v>2667759.1769188717</x:v>
      </x:c>
      <x:c r="O33" s="35" t="n">
        <x:f>'CF Installment'!O33+'MK Installment'!O33</x:f>
        <x:v>2706226.5597947193</x:v>
      </x:c>
      <x:c r="P33" s="35" t="n">
        <x:f>'CF Installment'!P33+'MK Installment'!P33</x:f>
        <x:v>2720567.7815409806</x:v>
      </x:c>
      <x:c r="Q33" s="35" t="n">
        <x:f>'CF Installment'!Q33+'MK Installment'!Q33</x:f>
        <x:v>2720567.7815409806</x:v>
      </x:c>
      <x:c r="R33" s="35" t="n">
        <x:f>'CF Installment'!R33+'MK Installment'!R33</x:f>
        <x:v>2720567.7815409806</x:v>
      </x:c>
      <x:c r="S33" s="35" t="n">
        <x:f>'CF Installment'!S33+'MK Installment'!S33</x:f>
        <x:v>2720567.7815409806</x:v>
      </x:c>
      <x:c r="T33" s="35" t="n">
        <x:f>'CF Installment'!T33+'MK Installment'!T33</x:f>
        <x:v>2720567.7815409806</x:v>
      </x:c>
      <x:c r="U33" s="35" t="n">
        <x:f>'CF Installment'!U33+'MK Installment'!U33</x:f>
        <x:v>2720567.7815409806</x:v>
      </x:c>
      <x:c r="V33" s="35" t="n">
        <x:f>'CF Installment'!V33+'MK Installment'!V33</x:f>
        <x:v>2720567.7815409806</x:v>
      </x:c>
      <x:c r="W33" s="35" t="n">
        <x:f>'CF Installment'!W33+'MK Installment'!W33</x:f>
        <x:v>2720567.7815409806</x:v>
      </x:c>
      <x:c r="X33" s="35" t="n">
        <x:f>'CF Installment'!X33+'MK Installment'!X33</x:f>
        <x:v>2720567.7815409806</x:v>
      </x:c>
      <x:c r="Y33" s="35" t="n">
        <x:f>'CF Installment'!Y33+'MK Installment'!Y33</x:f>
        <x:v>2720567.7815409806</x:v>
      </x:c>
      <x:c r="Z33" s="35" t="n">
        <x:f>'CF Installment'!Z33+'MK Installment'!Z33</x:f>
        <x:v>2720567.7815409806</x:v>
      </x:c>
      <x:c r="AA33" s="35" t="n">
        <x:f>'CF Installment'!AA33+'MK Installment'!AA33</x:f>
        <x:v>2720567.7815409806</x:v>
      </x:c>
      <x:c r="AB33" s="35" t="n">
        <x:f>'CF Installment'!AB33+'MK Installment'!AB33</x:f>
        <x:v>2720567.7815409806</x:v>
      </x:c>
      <x:c r="AC33" s="35" t="n">
        <x:f>'CF Installment'!AC33+'MK Installment'!AC33</x:f>
        <x:v>2720567.7815409806</x:v>
      </x:c>
      <x:c r="AD33" s="35" t="n">
        <x:f>'CF Installment'!AD33+'MK Installment'!AD33</x:f>
        <x:v>2720567.7815409806</x:v>
      </x:c>
      <x:c r="AE33" s="35" t="n">
        <x:f>'CF Installment'!AE33+'MK Installment'!AE33</x:f>
        <x:v>2720567.7815409806</x:v>
      </x:c>
      <x:c r="AF33" s="35" t="n">
        <x:f>'CF Installment'!AF33+'MK Installment'!AF33</x:f>
        <x:v>2720567.7815409806</x:v>
      </x:c>
      <x:c r="AG33" s="35" t="n">
        <x:f>'CF Installment'!AG33+'MK Installment'!AG33</x:f>
        <x:v>2720567.7815409806</x:v>
      </x:c>
      <x:c r="AH33" s="35" t="n">
        <x:f>'CF Installment'!AH33+'MK Installment'!AH33</x:f>
        <x:v>2720567.7815409806</x:v>
      </x:c>
      <x:c r="AI33" s="35" t="n">
        <x:f>'CF Installment'!AI33+'MK Installment'!AI33</x:f>
        <x:v>2720567.7815409806</x:v>
      </x:c>
      <x:c r="AJ33" s="35" t="n">
        <x:f>'CF Installment'!AJ33+'MK Installment'!AJ33</x:f>
        <x:v>2720567.7815409806</x:v>
      </x:c>
      <x:c r="AK33" s="35" t="n">
        <x:f>'CF Installment'!AK33+'MK Installment'!AK33</x:f>
        <x:v>2720567.7815409806</x:v>
      </x:c>
      <x:c r="AL33" s="35" t="n">
        <x:f>'CF Installment'!AL33+'MK Installment'!AL33</x:f>
        <x:v>2720567.7815409806</x:v>
      </x:c>
      <x:c r="AM33" s="35" t="n">
        <x:f>'CF Installment'!AM33+'MK Installment'!AM33</x:f>
        <x:v>2720567.7815409806</x:v>
      </x:c>
      <x:c r="AN33" s="35" t="n">
        <x:f>'CF Installment'!AN33+'MK Installment'!AN33</x:f>
        <x:v>2720567.7815409806</x:v>
      </x:c>
      <x:c r="AO33" s="35" t="n">
        <x:f>'CF Installment'!AO33+'MK Installment'!AO33</x:f>
        <x:v>2720567.7815409806</x:v>
      </x:c>
      <x:c r="AP33" s="35" t="n">
        <x:f>'CF Installment'!AP33+'MK Installment'!AP33</x:f>
        <x:v>2720567.7815409806</x:v>
      </x:c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</x:row>
    <x:row r="34" ht="19" customHeight="1">
      <x:c r="A34" s="1"/>
      <x:c r="B34" s="1"/>
      <x:c r="C34" s="2" t="str">
        <x:v>Opening-book ending CLAB</x:v>
      </x:c>
      <x:c r="D34" s="2"/>
      <x:c r="E34" s="35" t="n">
        <x:f>INDEX(G34:AP34,1,'Assumptions'!$E$7)</x:f>
        <x:v>-1.1757947504520416e-7</x:v>
      </x:c>
      <x:c r="F34" s="2"/>
      <x:c r="G34" s="35" t="n">
        <x:f>'CF Installment'!G34+'MK Installment'!G34</x:f>
        <x:v>203088808.6413032</x:v>
      </x:c>
      <x:c r="H34" s="35" t="n">
        <x:f>'CF Installment'!H34+'MK Installment'!H34</x:f>
        <x:v>111350421.74344145</x:v>
      </x:c>
      <x:c r="I34" s="35" t="n">
        <x:f>'CF Installment'!I34+'MK Installment'!I34</x:f>
        <x:v>60596269.01158699</x:v>
      </x:c>
      <x:c r="J34" s="35" t="n">
        <x:f>'CF Installment'!J34+'MK Installment'!J34</x:f>
        <x:v>32064566.330549702</x:v>
      </x:c>
      <x:c r="K34" s="35" t="n">
        <x:f>'CF Installment'!K34+'MK Installment'!K34</x:f>
        <x:v>16178425.229363866</x:v>
      </x:c>
      <x:c r="L34" s="35" t="n">
        <x:f>'CF Installment'!L34+'MK Installment'!L34</x:f>
        <x:v>7618036.696513816</x:v>
      </x:c>
      <x:c r="M34" s="35" t="n">
        <x:f>'CF Installment'!M34+'MK Installment'!M34</x:f>
        <x:v>3018701.560803077</x:v>
      </x:c>
      <x:c r="N34" s="35" t="n">
        <x:f>'CF Installment'!N34+'MK Installment'!N34</x:f>
        <x:v>799621.2453133179</x:v>
      </x:c>
      <x:c r="O34" s="35" t="n">
        <x:f>'CF Installment'!O34+'MK Installment'!O34</x:f>
        <x:v>-1.1757947504520416e-7</x:v>
      </x:c>
      <x:c r="P34" s="35" t="n">
        <x:f>'CF Installment'!P34+'MK Installment'!P34</x:f>
        <x:v>-1.1757947504520416e-7</x:v>
      </x:c>
      <x:c r="Q34" s="35" t="n">
        <x:f>'CF Installment'!Q34+'MK Installment'!Q34</x:f>
        <x:v>-1.1757947504520416e-7</x:v>
      </x:c>
      <x:c r="R34" s="35" t="n">
        <x:f>'CF Installment'!R34+'MK Installment'!R34</x:f>
        <x:v>-1.1757947504520416e-7</x:v>
      </x:c>
      <x:c r="S34" s="35" t="n">
        <x:f>'CF Installment'!S34+'MK Installment'!S34</x:f>
        <x:v>-1.1757947504520416e-7</x:v>
      </x:c>
      <x:c r="T34" s="35" t="n">
        <x:f>'CF Installment'!T34+'MK Installment'!T34</x:f>
        <x:v>-1.1757947504520416e-7</x:v>
      </x:c>
      <x:c r="U34" s="35" t="n">
        <x:f>'CF Installment'!U34+'MK Installment'!U34</x:f>
        <x:v>-1.1757947504520416e-7</x:v>
      </x:c>
      <x:c r="V34" s="35" t="n">
        <x:f>'CF Installment'!V34+'MK Installment'!V34</x:f>
        <x:v>-1.1757947504520416e-7</x:v>
      </x:c>
      <x:c r="W34" s="35" t="n">
        <x:f>'CF Installment'!W34+'MK Installment'!W34</x:f>
        <x:v>-1.1757947504520416e-7</x:v>
      </x:c>
      <x:c r="X34" s="35" t="n">
        <x:f>'CF Installment'!X34+'MK Installment'!X34</x:f>
        <x:v>-1.1757947504520416e-7</x:v>
      </x:c>
      <x:c r="Y34" s="35" t="n">
        <x:f>'CF Installment'!Y34+'MK Installment'!Y34</x:f>
        <x:v>-1.1757947504520416e-7</x:v>
      </x:c>
      <x:c r="Z34" s="35" t="n">
        <x:f>'CF Installment'!Z34+'MK Installment'!Z34</x:f>
        <x:v>-1.1757947504520416e-7</x:v>
      </x:c>
      <x:c r="AA34" s="35" t="n">
        <x:f>'CF Installment'!AA34+'MK Installment'!AA34</x:f>
        <x:v>-1.1757947504520416e-7</x:v>
      </x:c>
      <x:c r="AB34" s="35" t="n">
        <x:f>'CF Installment'!AB34+'MK Installment'!AB34</x:f>
        <x:v>-1.1757947504520416e-7</x:v>
      </x:c>
      <x:c r="AC34" s="35" t="n">
        <x:f>'CF Installment'!AC34+'MK Installment'!AC34</x:f>
        <x:v>-1.1757947504520416e-7</x:v>
      </x:c>
      <x:c r="AD34" s="35" t="n">
        <x:f>'CF Installment'!AD34+'MK Installment'!AD34</x:f>
        <x:v>-1.1757947504520416e-7</x:v>
      </x:c>
      <x:c r="AE34" s="35" t="n">
        <x:f>'CF Installment'!AE34+'MK Installment'!AE34</x:f>
        <x:v>-1.1757947504520416e-7</x:v>
      </x:c>
      <x:c r="AF34" s="35" t="n">
        <x:f>'CF Installment'!AF34+'MK Installment'!AF34</x:f>
        <x:v>-1.1757947504520416e-7</x:v>
      </x:c>
      <x:c r="AG34" s="35" t="n">
        <x:f>'CF Installment'!AG34+'MK Installment'!AG34</x:f>
        <x:v>-1.1757947504520416e-7</x:v>
      </x:c>
      <x:c r="AH34" s="35" t="n">
        <x:f>'CF Installment'!AH34+'MK Installment'!AH34</x:f>
        <x:v>-1.1757947504520416e-7</x:v>
      </x:c>
      <x:c r="AI34" s="35" t="n">
        <x:f>'CF Installment'!AI34+'MK Installment'!AI34</x:f>
        <x:v>-1.1757947504520416e-7</x:v>
      </x:c>
      <x:c r="AJ34" s="35" t="n">
        <x:f>'CF Installment'!AJ34+'MK Installment'!AJ34</x:f>
        <x:v>-1.1757947504520416e-7</x:v>
      </x:c>
      <x:c r="AK34" s="35" t="n">
        <x:f>'CF Installment'!AK34+'MK Installment'!AK34</x:f>
        <x:v>-1.1757947504520416e-7</x:v>
      </x:c>
      <x:c r="AL34" s="35" t="n">
        <x:f>'CF Installment'!AL34+'MK Installment'!AL34</x:f>
        <x:v>-1.1757947504520416e-7</x:v>
      </x:c>
      <x:c r="AM34" s="35" t="n">
        <x:f>'CF Installment'!AM34+'MK Installment'!AM34</x:f>
        <x:v>-1.1757947504520416e-7</x:v>
      </x:c>
      <x:c r="AN34" s="35" t="n">
        <x:f>'CF Installment'!AN34+'MK Installment'!AN34</x:f>
        <x:v>-1.1757947504520416e-7</x:v>
      </x:c>
      <x:c r="AO34" s="35" t="n">
        <x:f>'CF Installment'!AO34+'MK Installment'!AO34</x:f>
        <x:v>-1.1757947504520416e-7</x:v>
      </x:c>
      <x:c r="AP34" s="35" t="n">
        <x:f>'CF Installment'!AP34+'MK Installment'!AP34</x:f>
        <x:v>-1.1757947504520416e-7</x:v>
      </x:c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</x:row>
    <x:row r="35" ht="19" customHeight="1">
      <x:c r="A35" s="1"/>
      <x:c r="B35" s="1"/>
      <x:c r="C35" s="2" t="str">
        <x:v>Gross CLAB check ($)</x:v>
      </x:c>
      <x:c r="D35" s="2"/>
      <x:c r="E35" s="35"/>
      <x:c r="F35" s="2"/>
      <x:c r="G35" s="36" t="n">
        <x:f>'CF Installment'!G35+'MK Installment'!G35</x:f>
        <x:v>0</x:v>
      </x:c>
      <x:c r="H35" s="36" t="n">
        <x:f>'CF Installment'!H35+'MK Installment'!H35</x:f>
        <x:v>0</x:v>
      </x:c>
      <x:c r="I35" s="36" t="n">
        <x:f>'CF Installment'!I35+'MK Installment'!I35</x:f>
        <x:v>0</x:v>
      </x:c>
      <x:c r="J35" s="36" t="n">
        <x:f>'CF Installment'!J35+'MK Installment'!J35</x:f>
        <x:v>0</x:v>
      </x:c>
      <x:c r="K35" s="36" t="n">
        <x:f>'CF Installment'!K35+'MK Installment'!K35</x:f>
        <x:v>0</x:v>
      </x:c>
      <x:c r="L35" s="36" t="n">
        <x:f>'CF Installment'!L35+'MK Installment'!L35</x:f>
        <x:v>0</x:v>
      </x:c>
      <x:c r="M35" s="36" t="n">
        <x:f>'CF Installment'!M35+'MK Installment'!M35</x:f>
        <x:v>0</x:v>
      </x:c>
      <x:c r="N35" s="36" t="n">
        <x:f>'CF Installment'!N35+'MK Installment'!N35</x:f>
        <x:v>0</x:v>
      </x:c>
      <x:c r="O35" s="36" t="n">
        <x:f>'CF Installment'!O35+'MK Installment'!O35</x:f>
        <x:v>0</x:v>
      </x:c>
      <x:c r="P35" s="36" t="n">
        <x:f>'CF Installment'!P35+'MK Installment'!P35</x:f>
        <x:v>0</x:v>
      </x:c>
      <x:c r="Q35" s="36" t="n">
        <x:f>'CF Installment'!Q35+'MK Installment'!Q35</x:f>
        <x:v>0</x:v>
      </x:c>
      <x:c r="R35" s="36" t="n">
        <x:f>'CF Installment'!R35+'MK Installment'!R35</x:f>
        <x:v>0</x:v>
      </x:c>
      <x:c r="S35" s="36" t="n">
        <x:f>'CF Installment'!S35+'MK Installment'!S35</x:f>
        <x:v>0</x:v>
      </x:c>
      <x:c r="T35" s="36" t="n">
        <x:f>'CF Installment'!T35+'MK Installment'!T35</x:f>
        <x:v>0</x:v>
      </x:c>
      <x:c r="U35" s="36" t="n">
        <x:f>'CF Installment'!U35+'MK Installment'!U35</x:f>
        <x:v>0</x:v>
      </x:c>
      <x:c r="V35" s="36" t="n">
        <x:f>'CF Installment'!V35+'MK Installment'!V35</x:f>
        <x:v>0</x:v>
      </x:c>
      <x:c r="W35" s="36" t="n">
        <x:f>'CF Installment'!W35+'MK Installment'!W35</x:f>
        <x:v>0</x:v>
      </x:c>
      <x:c r="X35" s="36" t="n">
        <x:f>'CF Installment'!X35+'MK Installment'!X35</x:f>
        <x:v>0</x:v>
      </x:c>
      <x:c r="Y35" s="36" t="n">
        <x:f>'CF Installment'!Y35+'MK Installment'!Y35</x:f>
        <x:v>0</x:v>
      </x:c>
      <x:c r="Z35" s="36" t="n">
        <x:f>'CF Installment'!Z35+'MK Installment'!Z35</x:f>
        <x:v>0</x:v>
      </x:c>
      <x:c r="AA35" s="36" t="n">
        <x:f>'CF Installment'!AA35+'MK Installment'!AA35</x:f>
        <x:v>0</x:v>
      </x:c>
      <x:c r="AB35" s="36" t="n">
        <x:f>'CF Installment'!AB35+'MK Installment'!AB35</x:f>
        <x:v>0</x:v>
      </x:c>
      <x:c r="AC35" s="36" t="n">
        <x:f>'CF Installment'!AC35+'MK Installment'!AC35</x:f>
        <x:v>0</x:v>
      </x:c>
      <x:c r="AD35" s="36" t="n">
        <x:f>'CF Installment'!AD35+'MK Installment'!AD35</x:f>
        <x:v>0</x:v>
      </x:c>
      <x:c r="AE35" s="36" t="n">
        <x:f>'CF Installment'!AE35+'MK Installment'!AE35</x:f>
        <x:v>0</x:v>
      </x:c>
      <x:c r="AF35" s="36" t="n">
        <x:f>'CF Installment'!AF35+'MK Installment'!AF35</x:f>
        <x:v>0</x:v>
      </x:c>
      <x:c r="AG35" s="36" t="n">
        <x:f>'CF Installment'!AG35+'MK Installment'!AG35</x:f>
        <x:v>0</x:v>
      </x:c>
      <x:c r="AH35" s="36" t="n">
        <x:f>'CF Installment'!AH35+'MK Installment'!AH35</x:f>
        <x:v>0</x:v>
      </x:c>
      <x:c r="AI35" s="36" t="n">
        <x:f>'CF Installment'!AI35+'MK Installment'!AI35</x:f>
        <x:v>0</x:v>
      </x:c>
      <x:c r="AJ35" s="36" t="n">
        <x:f>'CF Installment'!AJ35+'MK Installment'!AJ35</x:f>
        <x:v>0</x:v>
      </x:c>
      <x:c r="AK35" s="36" t="n">
        <x:f>'CF Installment'!AK35+'MK Installment'!AK35</x:f>
        <x:v>0</x:v>
      </x:c>
      <x:c r="AL35" s="36" t="n">
        <x:f>'CF Installment'!AL35+'MK Installment'!AL35</x:f>
        <x:v>0</x:v>
      </x:c>
      <x:c r="AM35" s="36" t="n">
        <x:f>'CF Installment'!AM35+'MK Installment'!AM35</x:f>
        <x:v>0</x:v>
      </x:c>
      <x:c r="AN35" s="36" t="n">
        <x:f>'CF Installment'!AN35+'MK Installment'!AN35</x:f>
        <x:v>0</x:v>
      </x:c>
      <x:c r="AO35" s="36" t="n">
        <x:f>'CF Installment'!AO35+'MK Installment'!AO35</x:f>
        <x:v>0</x:v>
      </x:c>
      <x:c r="AP35" s="36" t="n">
        <x:f>'CF Installment'!AP35+'MK Installment'!AP35</x:f>
        <x:v>0</x:v>
      </x:c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</x:row>
    <x:row r="36" ht="19" customHeight="1">
      <x:c r="A36" s="1"/>
      <x:c r="B36" s="1"/>
      <x:c r="C36" s="2" t="str">
        <x:v>Reserve check ($)</x:v>
      </x:c>
      <x:c r="D36" s="2"/>
      <x:c r="E36" s="35"/>
      <x:c r="F36" s="2"/>
      <x:c r="G36" s="36" t="n">
        <x:f>'CF Installment'!G36+'MK Installment'!G36</x:f>
        <x:v>0</x:v>
      </x:c>
      <x:c r="H36" s="36" t="n">
        <x:f>'CF Installment'!H36+'MK Installment'!H36</x:f>
        <x:v>0</x:v>
      </x:c>
      <x:c r="I36" s="36" t="n">
        <x:f>'CF Installment'!I36+'MK Installment'!I36</x:f>
        <x:v>0</x:v>
      </x:c>
      <x:c r="J36" s="36" t="n">
        <x:f>'CF Installment'!J36+'MK Installment'!J36</x:f>
        <x:v>0</x:v>
      </x:c>
      <x:c r="K36" s="36" t="n">
        <x:f>'CF Installment'!K36+'MK Installment'!K36</x:f>
        <x:v>0</x:v>
      </x:c>
      <x:c r="L36" s="36" t="n">
        <x:f>'CF Installment'!L36+'MK Installment'!L36</x:f>
        <x:v>0</x:v>
      </x:c>
      <x:c r="M36" s="36" t="n">
        <x:f>'CF Installment'!M36+'MK Installment'!M36</x:f>
        <x:v>0</x:v>
      </x:c>
      <x:c r="N36" s="36" t="n">
        <x:f>'CF Installment'!N36+'MK Installment'!N36</x:f>
        <x:v>0</x:v>
      </x:c>
      <x:c r="O36" s="36" t="n">
        <x:f>'CF Installment'!O36+'MK Installment'!O36</x:f>
        <x:v>0</x:v>
      </x:c>
      <x:c r="P36" s="36" t="n">
        <x:f>'CF Installment'!P36+'MK Installment'!P36</x:f>
        <x:v>0</x:v>
      </x:c>
      <x:c r="Q36" s="36" t="n">
        <x:f>'CF Installment'!Q36+'MK Installment'!Q36</x:f>
        <x:v>0</x:v>
      </x:c>
      <x:c r="R36" s="36" t="n">
        <x:f>'CF Installment'!R36+'MK Installment'!R36</x:f>
        <x:v>0</x:v>
      </x:c>
      <x:c r="S36" s="36" t="n">
        <x:f>'CF Installment'!S36+'MK Installment'!S36</x:f>
        <x:v>0</x:v>
      </x:c>
      <x:c r="T36" s="36" t="n">
        <x:f>'CF Installment'!T36+'MK Installment'!T36</x:f>
        <x:v>0</x:v>
      </x:c>
      <x:c r="U36" s="36" t="n">
        <x:f>'CF Installment'!U36+'MK Installment'!U36</x:f>
        <x:v>0</x:v>
      </x:c>
      <x:c r="V36" s="36" t="n">
        <x:f>'CF Installment'!V36+'MK Installment'!V36</x:f>
        <x:v>0</x:v>
      </x:c>
      <x:c r="W36" s="36" t="n">
        <x:f>'CF Installment'!W36+'MK Installment'!W36</x:f>
        <x:v>0</x:v>
      </x:c>
      <x:c r="X36" s="36" t="n">
        <x:f>'CF Installment'!X36+'MK Installment'!X36</x:f>
        <x:v>0</x:v>
      </x:c>
      <x:c r="Y36" s="36" t="n">
        <x:f>'CF Installment'!Y36+'MK Installment'!Y36</x:f>
        <x:v>0</x:v>
      </x:c>
      <x:c r="Z36" s="36" t="n">
        <x:f>'CF Installment'!Z36+'MK Installment'!Z36</x:f>
        <x:v>0</x:v>
      </x:c>
      <x:c r="AA36" s="36" t="n">
        <x:f>'CF Installment'!AA36+'MK Installment'!AA36</x:f>
        <x:v>0</x:v>
      </x:c>
      <x:c r="AB36" s="36" t="n">
        <x:f>'CF Installment'!AB36+'MK Installment'!AB36</x:f>
        <x:v>0</x:v>
      </x:c>
      <x:c r="AC36" s="36" t="n">
        <x:f>'CF Installment'!AC36+'MK Installment'!AC36</x:f>
        <x:v>0</x:v>
      </x:c>
      <x:c r="AD36" s="36" t="n">
        <x:f>'CF Installment'!AD36+'MK Installment'!AD36</x:f>
        <x:v>0</x:v>
      </x:c>
      <x:c r="AE36" s="36" t="n">
        <x:f>'CF Installment'!AE36+'MK Installment'!AE36</x:f>
        <x:v>0</x:v>
      </x:c>
      <x:c r="AF36" s="36" t="n">
        <x:f>'CF Installment'!AF36+'MK Installment'!AF36</x:f>
        <x:v>0</x:v>
      </x:c>
      <x:c r="AG36" s="36" t="n">
        <x:f>'CF Installment'!AG36+'MK Installment'!AG36</x:f>
        <x:v>0</x:v>
      </x:c>
      <x:c r="AH36" s="36" t="n">
        <x:f>'CF Installment'!AH36+'MK Installment'!AH36</x:f>
        <x:v>0</x:v>
      </x:c>
      <x:c r="AI36" s="36" t="n">
        <x:f>'CF Installment'!AI36+'MK Installment'!AI36</x:f>
        <x:v>0</x:v>
      </x:c>
      <x:c r="AJ36" s="36" t="n">
        <x:f>'CF Installment'!AJ36+'MK Installment'!AJ36</x:f>
        <x:v>0</x:v>
      </x:c>
      <x:c r="AK36" s="36" t="n">
        <x:f>'CF Installment'!AK36+'MK Installment'!AK36</x:f>
        <x:v>0</x:v>
      </x:c>
      <x:c r="AL36" s="36" t="n">
        <x:f>'CF Installment'!AL36+'MK Installment'!AL36</x:f>
        <x:v>0</x:v>
      </x:c>
      <x:c r="AM36" s="36" t="n">
        <x:f>'CF Installment'!AM36+'MK Installment'!AM36</x:f>
        <x:v>0</x:v>
      </x:c>
      <x:c r="AN36" s="36" t="n">
        <x:f>'CF Installment'!AN36+'MK Installment'!AN36</x:f>
        <x:v>0</x:v>
      </x:c>
      <x:c r="AO36" s="36" t="n">
        <x:f>'CF Installment'!AO36+'MK Installment'!AO36</x:f>
        <x:v>0</x:v>
      </x:c>
      <x:c r="AP36" s="36" t="n">
        <x:f>'CF Installment'!AP36+'MK Installment'!AP36</x:f>
        <x:v>0</x:v>
      </x:c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</x:row>
    <x:row r="37" ht="19" customHeight="1">
      <x:c r="A37" s="1"/>
      <x:c r="B37" s="1"/>
      <x:c r="C37" s="2" t="str">
        <x:v>Net revenue check ($)</x:v>
      </x:c>
      <x:c r="D37" s="2"/>
      <x:c r="E37" s="35"/>
      <x:c r="F37" s="2"/>
      <x:c r="G37" s="36" t="n">
        <x:f>'CF Installment'!G37+'MK Installment'!G37</x:f>
        <x:v>0</x:v>
      </x:c>
      <x:c r="H37" s="36" t="n">
        <x:f>'CF Installment'!H37+'MK Installment'!H37</x:f>
        <x:v>0</x:v>
      </x:c>
      <x:c r="I37" s="36" t="n">
        <x:f>'CF Installment'!I37+'MK Installment'!I37</x:f>
        <x:v>0</x:v>
      </x:c>
      <x:c r="J37" s="36" t="n">
        <x:f>'CF Installment'!J37+'MK Installment'!J37</x:f>
        <x:v>0</x:v>
      </x:c>
      <x:c r="K37" s="36" t="n">
        <x:f>'CF Installment'!K37+'MK Installment'!K37</x:f>
        <x:v>0</x:v>
      </x:c>
      <x:c r="L37" s="36" t="n">
        <x:f>'CF Installment'!L37+'MK Installment'!L37</x:f>
        <x:v>0</x:v>
      </x:c>
      <x:c r="M37" s="36" t="n">
        <x:f>'CF Installment'!M37+'MK Installment'!M37</x:f>
        <x:v>0</x:v>
      </x:c>
      <x:c r="N37" s="36" t="n">
        <x:f>'CF Installment'!N37+'MK Installment'!N37</x:f>
        <x:v>0</x:v>
      </x:c>
      <x:c r="O37" s="36" t="n">
        <x:f>'CF Installment'!O37+'MK Installment'!O37</x:f>
        <x:v>0</x:v>
      </x:c>
      <x:c r="P37" s="36" t="n">
        <x:f>'CF Installment'!P37+'MK Installment'!P37</x:f>
        <x:v>0</x:v>
      </x:c>
      <x:c r="Q37" s="36" t="n">
        <x:f>'CF Installment'!Q37+'MK Installment'!Q37</x:f>
        <x:v>0</x:v>
      </x:c>
      <x:c r="R37" s="36" t="n">
        <x:f>'CF Installment'!R37+'MK Installment'!R37</x:f>
        <x:v>0</x:v>
      </x:c>
      <x:c r="S37" s="36" t="n">
        <x:f>'CF Installment'!S37+'MK Installment'!S37</x:f>
        <x:v>0</x:v>
      </x:c>
      <x:c r="T37" s="36" t="n">
        <x:f>'CF Installment'!T37+'MK Installment'!T37</x:f>
        <x:v>0</x:v>
      </x:c>
      <x:c r="U37" s="36" t="n">
        <x:f>'CF Installment'!U37+'MK Installment'!U37</x:f>
        <x:v>0</x:v>
      </x:c>
      <x:c r="V37" s="36" t="n">
        <x:f>'CF Installment'!V37+'MK Installment'!V37</x:f>
        <x:v>0</x:v>
      </x:c>
      <x:c r="W37" s="36" t="n">
        <x:f>'CF Installment'!W37+'MK Installment'!W37</x:f>
        <x:v>0</x:v>
      </x:c>
      <x:c r="X37" s="36" t="n">
        <x:f>'CF Installment'!X37+'MK Installment'!X37</x:f>
        <x:v>0</x:v>
      </x:c>
      <x:c r="Y37" s="36" t="n">
        <x:f>'CF Installment'!Y37+'MK Installment'!Y37</x:f>
        <x:v>0</x:v>
      </x:c>
      <x:c r="Z37" s="36" t="n">
        <x:f>'CF Installment'!Z37+'MK Installment'!Z37</x:f>
        <x:v>0</x:v>
      </x:c>
      <x:c r="AA37" s="36" t="n">
        <x:f>'CF Installment'!AA37+'MK Installment'!AA37</x:f>
        <x:v>0</x:v>
      </x:c>
      <x:c r="AB37" s="36" t="n">
        <x:f>'CF Installment'!AB37+'MK Installment'!AB37</x:f>
        <x:v>0</x:v>
      </x:c>
      <x:c r="AC37" s="36" t="n">
        <x:f>'CF Installment'!AC37+'MK Installment'!AC37</x:f>
        <x:v>0</x:v>
      </x:c>
      <x:c r="AD37" s="36" t="n">
        <x:f>'CF Installment'!AD37+'MK Installment'!AD37</x:f>
        <x:v>0</x:v>
      </x:c>
      <x:c r="AE37" s="36" t="n">
        <x:f>'CF Installment'!AE37+'MK Installment'!AE37</x:f>
        <x:v>0</x:v>
      </x:c>
      <x:c r="AF37" s="36" t="n">
        <x:f>'CF Installment'!AF37+'MK Installment'!AF37</x:f>
        <x:v>0</x:v>
      </x:c>
      <x:c r="AG37" s="36" t="n">
        <x:f>'CF Installment'!AG37+'MK Installment'!AG37</x:f>
        <x:v>0</x:v>
      </x:c>
      <x:c r="AH37" s="36" t="n">
        <x:f>'CF Installment'!AH37+'MK Installment'!AH37</x:f>
        <x:v>0</x:v>
      </x:c>
      <x:c r="AI37" s="36" t="n">
        <x:f>'CF Installment'!AI37+'MK Installment'!AI37</x:f>
        <x:v>0</x:v>
      </x:c>
      <x:c r="AJ37" s="36" t="n">
        <x:f>'CF Installment'!AJ37+'MK Installment'!AJ37</x:f>
        <x:v>0</x:v>
      </x:c>
      <x:c r="AK37" s="36" t="n">
        <x:f>'CF Installment'!AK37+'MK Installment'!AK37</x:f>
        <x:v>0</x:v>
      </x:c>
      <x:c r="AL37" s="36" t="n">
        <x:f>'CF Installment'!AL37+'MK Installment'!AL37</x:f>
        <x:v>0</x:v>
      </x:c>
      <x:c r="AM37" s="36" t="n">
        <x:f>'CF Installment'!AM37+'MK Installment'!AM37</x:f>
        <x:v>0</x:v>
      </x:c>
      <x:c r="AN37" s="36" t="n">
        <x:f>'CF Installment'!AN37+'MK Installment'!AN37</x:f>
        <x:v>0</x:v>
      </x:c>
      <x:c r="AO37" s="36" t="n">
        <x:f>'CF Installment'!AO37+'MK Installment'!AO37</x:f>
        <x:v>0</x:v>
      </x:c>
      <x:c r="AP37" s="36" t="n">
        <x:f>'CF Installment'!AP37+'MK Installment'!AP37</x:f>
        <x:v>0</x:v>
      </x:c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</x:row>
    <x:row r="38" ht="19" customHeight="1">
      <x:c r="A38" s="1"/>
      <x:c r="B38" s="1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</x:row>
    <x:row r="39" ht="19" customHeight="1">
      <x:c r="A39" s="1"/>
      <x:c r="B39" s="1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</x:row>
    <x:row r="40" ht="19" customHeight="1">
      <x:c r="A40" s="1"/>
      <x:c r="B40" s="1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</x:row>
    <x:row r="41" ht="19" customHeight="1">
      <x:c r="A41" s="1"/>
      <x:c r="B41" s="1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</x:row>
    <x:row r="42" ht="19" customHeight="1">
      <x:c r="A42" s="1"/>
      <x:c r="B42" s="1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</x:row>
    <x:row r="43" ht="19" customHeight="1">
      <x:c r="A43" s="1"/>
      <x:c r="B43" s="1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</x:row>
    <x:row r="44" ht="19" customHeight="1">
      <x:c r="A44" s="1"/>
      <x:c r="B44" s="1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</x:row>
    <x:row r="45" ht="19" customHeight="1">
      <x:c r="A45" s="1"/>
      <x:c r="B45" s="1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</x:row>
    <x:row r="46" ht="19" customHeight="1">
      <x:c r="A46" s="1"/>
      <x:c r="B46" s="1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</x:row>
    <x:row r="47" ht="19" customHeight="1">
      <x:c r="A47" s="1"/>
      <x:c r="B47" s="1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</x:row>
    <x:row r="48" ht="19" customHeight="1">
      <x:c r="A48" s="1"/>
      <x:c r="B48" s="1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</x:row>
    <x:row r="49" ht="19" customHeight="1">
      <x:c r="A49" s="1"/>
      <x:c r="B49" s="1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</x:row>
    <x:row r="50" ht="19" customHeight="1">
      <x:c r="A50" s="1"/>
      <x:c r="B50" s="1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</x:row>
    <x:row r="51" ht="19" customHeight="1">
      <x:c r="A51" s="1"/>
      <x:c r="B51" s="1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</x:row>
    <x:row r="52" ht="19" customHeight="1">
      <x:c r="A52" s="1"/>
      <x:c r="B52" s="1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</x:row>
    <x:row r="53" ht="19" customHeight="1">
      <x:c r="A53" s="1"/>
      <x:c r="B53" s="1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</x:row>
    <x:row r="54" ht="19" customHeight="1">
      <x:c r="A54" s="1"/>
      <x:c r="B54" s="1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</x:row>
    <x:row r="55" ht="19" customHeight="1">
      <x:c r="A55" s="1"/>
      <x:c r="B55" s="1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</x:row>
    <x:row r="56" ht="19" customHeight="1">
      <x:c r="A56" s="1"/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</x:row>
    <x:row r="57" ht="19" customHeight="1">
      <x:c r="A57" s="1"/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</x:row>
    <x:row r="58" ht="19" customHeight="1">
      <x:c r="A58" s="1"/>
      <x:c r="B58" s="1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</x:row>
    <x:row r="59" ht="19" customHeight="1">
      <x:c r="A59" s="1"/>
      <x:c r="B59" s="1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</x:row>
    <x:row r="60" ht="19" customHeight="1">
      <x:c r="A60" s="1"/>
      <x:c r="B60" s="1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</x:row>
    <x:row r="61" ht="19" customHeight="1">
      <x:c r="A61" s="1"/>
      <x:c r="B61" s="1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</x:row>
    <x:row r="62" ht="19" customHeight="1">
      <x:c r="A62" s="1"/>
      <x:c r="B62" s="1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</x:row>
    <x:row r="63" ht="19" customHeight="1">
      <x:c r="A63" s="1"/>
      <x:c r="B63" s="1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</x:row>
    <x:row r="64" ht="19" customHeight="1">
      <x:c r="A64" s="1"/>
      <x:c r="B64" s="1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</x:row>
    <x:row r="65" ht="19" customHeight="1">
      <x:c r="A65" s="1"/>
      <x:c r="B65" s="1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</x:row>
    <x:row r="66" ht="19" customHeight="1">
      <x:c r="A66" s="1"/>
      <x:c r="B66" s="1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</x:row>
    <x:row r="67" ht="19" customHeight="1">
      <x:c r="A67" s="1"/>
      <x:c r="B67" s="1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</x:row>
    <x:row r="68" ht="19" customHeight="1">
      <x:c r="A68" s="1"/>
      <x:c r="B68" s="1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</x:row>
    <x:row r="69" ht="19" customHeight="1">
      <x:c r="A69" s="1"/>
      <x:c r="B69" s="1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</x:row>
    <x:row r="70" ht="19" customHeight="1">
      <x:c r="A70" s="1"/>
      <x:c r="B70" s="1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</x:row>
    <x:row r="71" ht="19" customHeight="1">
      <x:c r="A71" s="1"/>
      <x:c r="B71" s="1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</x:row>
    <x:row r="72" ht="19" customHeight="1">
      <x:c r="A72" s="1"/>
      <x:c r="B72" s="1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</x:row>
    <x:row r="73" ht="19" customHeight="1">
      <x:c r="A73" s="1"/>
      <x:c r="B73" s="1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</x:row>
    <x:row r="74" ht="19" customHeight="1">
      <x:c r="A74" s="1"/>
      <x:c r="B74" s="1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</x:row>
    <x:row r="75" ht="19" customHeight="1">
      <x:c r="A75" s="1"/>
      <x:c r="B75" s="1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</x:row>
    <x:row r="76" ht="19" customHeight="1">
      <x:c r="A76" s="1"/>
      <x:c r="B76" s="1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</x:row>
    <x:row r="77" ht="19" customHeight="1">
      <x:c r="A77" s="1"/>
      <x:c r="B77" s="1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</x:row>
    <x:row r="78" ht="19" customHeight="1">
      <x:c r="A78" s="1"/>
      <x:c r="B78" s="1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</x:row>
    <x:row r="79" ht="19" customHeight="1">
      <x:c r="A79" s="1"/>
      <x:c r="B79" s="1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</x:row>
    <x:row r="80" ht="19" customHeight="1">
      <x:c r="A80" s="1"/>
      <x:c r="B80" s="1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</x:row>
    <x:row r="81" ht="19" customHeight="1">
      <x:c r="A81" s="1"/>
      <x:c r="B81" s="1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</x:row>
    <x:row r="82" ht="19" customHeight="1">
      <x:c r="A82" s="1"/>
      <x:c r="B82" s="1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</x:row>
    <x:row r="83" ht="19" customHeight="1">
      <x:c r="A83" s="1"/>
      <x:c r="B83" s="1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</x:row>
    <x:row r="84" ht="19" customHeight="1">
      <x:c r="A84" s="1"/>
      <x:c r="B84" s="1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</x:row>
    <x:row r="85" ht="19" customHeight="1">
      <x:c r="A85" s="1"/>
      <x:c r="B85" s="1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</x:row>
    <x:row r="86" ht="19" customHeight="1">
      <x:c r="A86" s="1"/>
      <x:c r="B86" s="1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</x:row>
    <x:row r="87" ht="19" customHeight="1">
      <x:c r="A87" s="1"/>
      <x:c r="B87" s="1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</x:row>
    <x:row r="88" ht="19" customHeight="1">
      <x:c r="A88" s="1"/>
      <x:c r="B88" s="1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</x:row>
    <x:row r="89" ht="19" customHeight="1">
      <x:c r="A89" s="1"/>
      <x:c r="B89" s="1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</x:row>
    <x:row r="90" ht="19" customHeight="1">
      <x:c r="A90" s="1"/>
      <x:c r="B90" s="1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</x:row>
    <x:row r="91" ht="19" customHeight="1">
      <x:c r="A91" s="1"/>
      <x:c r="B91" s="1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</x:row>
    <x:row r="92" ht="19" customHeight="1">
      <x:c r="A92" s="1"/>
      <x:c r="B92" s="1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</x:row>
    <x:row r="93" ht="19" customHeight="1">
      <x:c r="A93" s="1"/>
      <x:c r="B93" s="1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</x:row>
    <x:row r="94" ht="19" customHeight="1">
      <x:c r="A94" s="1"/>
      <x:c r="B94" s="1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</x:row>
    <x:row r="95" ht="19" customHeight="1">
      <x:c r="A95" s="1"/>
      <x:c r="B95" s="1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</x:row>
    <x:row r="96" ht="19" customHeight="1">
      <x:c r="A96" s="1"/>
      <x:c r="B96" s="1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</x:row>
    <x:row r="97" ht="19" customHeight="1">
      <x:c r="A97" s="1"/>
      <x:c r="B97" s="1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</x:row>
    <x:row r="98" ht="19" customHeight="1">
      <x:c r="A98" s="1"/>
      <x:c r="B98" s="1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</x:row>
    <x:row r="99" ht="19" customHeight="1">
      <x:c r="A99" s="1"/>
      <x:c r="B99" s="1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</x:row>
    <x:row r="100" ht="19" customHeight="1">
      <x:c r="A100" s="1"/>
      <x:c r="B100" s="1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</x:row>
    <x:row r="101" ht="19" customHeight="1">
      <x:c r="A101" s="1"/>
      <x:c r="B101" s="1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</x:row>
    <x:row r="102" ht="19" customHeight="1">
      <x:c r="A102" s="1"/>
      <x:c r="B102" s="1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</x:row>
    <x:row r="103" ht="19" customHeight="1">
      <x:c r="A103" s="1"/>
      <x:c r="B103" s="1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</x:row>
    <x:row r="104" ht="19" customHeight="1">
      <x:c r="A104" s="1"/>
      <x:c r="B104" s="1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</x:row>
    <x:row r="105" ht="19" customHeight="1">
      <x:c r="A105" s="1"/>
      <x:c r="B105" s="1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</x:row>
    <x:row r="106" ht="19" customHeight="1">
      <x:c r="A106" s="1"/>
      <x:c r="B106" s="1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</x:row>
    <x:row r="107" ht="19" customHeight="1">
      <x:c r="A107" s="1"/>
      <x:c r="B107" s="1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</x:row>
    <x:row r="108" ht="19" customHeight="1">
      <x:c r="A108" s="1"/>
      <x:c r="B108" s="1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</x:row>
    <x:row r="109" ht="19" customHeight="1">
      <x:c r="A109" s="1"/>
      <x:c r="B109" s="1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</x:row>
    <x:row r="110" ht="19" customHeight="1">
      <x:c r="A110" s="1"/>
      <x:c r="B110" s="1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</x:row>
    <x:row r="111" ht="19" customHeight="1">
      <x:c r="A111" s="1"/>
      <x:c r="B111" s="1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</x:row>
    <x:row r="112" ht="19" customHeight="1">
      <x:c r="A112" s="1"/>
      <x:c r="B112" s="1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</x:row>
    <x:row r="113" ht="19" customHeight="1">
      <x:c r="A113" s="1"/>
      <x:c r="B113" s="1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</x:row>
    <x:row r="114" ht="19" customHeight="1">
      <x:c r="A114" s="1"/>
      <x:c r="B114" s="1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</x:row>
    <x:row r="115" ht="19" customHeight="1">
      <x:c r="A115" s="1"/>
      <x:c r="B115" s="1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</x:row>
    <x:row r="116" ht="19" customHeight="1">
      <x:c r="A116" s="1"/>
      <x:c r="B116" s="1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</x:row>
    <x:row r="117" ht="19" customHeight="1">
      <x:c r="A117" s="1"/>
      <x:c r="B117" s="1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</x:row>
    <x:row r="118" ht="19" customHeight="1">
      <x:c r="A118" s="1"/>
      <x:c r="B118" s="1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</x:row>
    <x:row r="119" ht="19" customHeight="1">
      <x:c r="A119" s="1"/>
      <x:c r="B119" s="1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</x:row>
    <x:row r="120" ht="19" customHeight="1">
      <x:c r="A120" s="1"/>
      <x:c r="B120" s="1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</x:row>
    <x:row r="121" ht="19" customHeight="1">
      <x:c r="A121" s="1"/>
      <x:c r="B121" s="1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</x:row>
    <x:row r="122" ht="19" customHeight="1">
      <x:c r="A122" s="1"/>
      <x:c r="B122" s="1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</x:row>
    <x:row r="123" ht="19" customHeight="1">
      <x:c r="A123" s="1"/>
      <x:c r="B123" s="1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</x:row>
    <x:row r="124" ht="19" customHeight="1">
      <x:c r="A124" s="1"/>
      <x:c r="B124" s="1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</x:row>
    <x:row r="125" ht="19" customHeight="1">
      <x:c r="A125" s="1"/>
      <x:c r="B125" s="1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</x:row>
    <x:row r="126" ht="19" customHeight="1">
      <x:c r="A126" s="1"/>
      <x:c r="B126" s="1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</x:row>
    <x:row r="127" ht="19" customHeight="1">
      <x:c r="A127" s="1"/>
      <x:c r="B127" s="1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</x:row>
    <x:row r="128" ht="19" customHeight="1">
      <x:c r="A128" s="1"/>
      <x:c r="B128" s="1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</x:row>
    <x:row r="129" ht="19" customHeight="1">
      <x:c r="A129" s="1"/>
      <x:c r="B129" s="1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</x:row>
    <x:row r="130" ht="19" customHeight="1">
      <x:c r="A130" s="1"/>
      <x:c r="B130" s="1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</x:row>
    <x:row r="131" ht="19" customHeight="1">
      <x:c r="A131" s="1"/>
      <x:c r="B131" s="1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</x:row>
    <x:row r="132" ht="19" customHeight="1">
      <x:c r="A132" s="1"/>
      <x:c r="B132" s="1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</x:row>
    <x:row r="133" ht="19" customHeight="1">
      <x:c r="A133" s="1"/>
      <x:c r="B133" s="1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</x:row>
    <x:row r="134" ht="19" customHeight="1">
      <x:c r="A134" s="1"/>
      <x:c r="B134" s="1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</x:row>
    <x:row r="135" ht="19" customHeight="1">
      <x:c r="A135" s="1"/>
      <x:c r="B135" s="1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</x:row>
    <x:row r="136" ht="19" customHeight="1">
      <x:c r="A136" s="1"/>
      <x:c r="B136" s="1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</x:row>
    <x:row r="137" ht="19" customHeight="1">
      <x:c r="A137" s="1"/>
      <x:c r="B137" s="1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</x:row>
    <x:row r="138" ht="19" customHeight="1">
      <x:c r="A138" s="1"/>
      <x:c r="B138" s="1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</x:row>
    <x:row r="139" ht="19" customHeight="1">
      <x:c r="A139" s="1"/>
      <x:c r="B139" s="1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</x:row>
    <x:row r="140" ht="19" customHeight="1">
      <x:c r="A140" s="1"/>
      <x:c r="B140" s="1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</x:row>
    <x:row r="141" ht="19" customHeight="1">
      <x:c r="A141" s="1"/>
      <x:c r="B141" s="1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</x:row>
    <x:row r="142" ht="19" customHeight="1">
      <x:c r="A142" s="1"/>
      <x:c r="B142" s="1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</x:row>
    <x:row r="143" ht="19" customHeight="1">
      <x:c r="A143" s="1"/>
      <x:c r="B143" s="1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</x:row>
    <x:row r="144" ht="19" customHeight="1">
      <x:c r="A144" s="1"/>
      <x:c r="B144" s="1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</x:row>
    <x:row r="145" ht="19" customHeight="1">
      <x:c r="A145" s="1"/>
      <x:c r="B145" s="1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</x:row>
    <x:row r="146" ht="19" customHeight="1">
      <x:c r="A146" s="1"/>
      <x:c r="B146" s="1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</x:row>
    <x:row r="147" ht="19" customHeight="1">
      <x:c r="A147" s="1"/>
      <x:c r="B147" s="1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</x:row>
    <x:row r="148" ht="19" customHeight="1">
      <x:c r="A148" s="1"/>
      <x:c r="B148" s="1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</x:row>
    <x:row r="149" ht="19" customHeight="1">
      <x:c r="A149" s="1"/>
      <x:c r="B149" s="1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</x:row>
    <x:row r="150" ht="19" customHeight="1">
      <x:c r="A150" s="1"/>
      <x:c r="B150" s="1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</x:row>
    <x:row r="151" ht="19" customHeight="1">
      <x:c r="A151" s="1"/>
      <x:c r="B151" s="1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</x:row>
    <x:row r="152" ht="19" customHeight="1">
      <x:c r="A152" s="1"/>
      <x:c r="B152" s="1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</x:row>
    <x:row r="153" ht="19" customHeight="1">
      <x:c r="A153" s="1"/>
      <x:c r="B153" s="1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</x:row>
    <x:row r="154" ht="19" customHeight="1">
      <x:c r="A154" s="1"/>
      <x:c r="B154" s="1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</x:row>
    <x:row r="155" ht="19" customHeight="1">
      <x:c r="A155" s="1"/>
      <x:c r="B155" s="1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</x:row>
    <x:row r="156" ht="19" customHeight="1">
      <x:c r="A156" s="1"/>
      <x:c r="B156" s="1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</x:row>
    <x:row r="157" ht="19" customHeight="1">
      <x:c r="A157" s="1"/>
      <x:c r="B157" s="1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</x:row>
    <x:row r="158" ht="19" customHeight="1">
      <x:c r="A158" s="1"/>
      <x:c r="B158" s="1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</x:row>
    <x:row r="159" ht="19" customHeight="1">
      <x:c r="A159" s="1"/>
      <x:c r="B159" s="1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</x:row>
    <x:row r="160" ht="19" customHeight="1">
      <x:c r="A160" s="1"/>
      <x:c r="B160" s="1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</x:row>
    <x:row r="161" ht="19" customHeight="1">
      <x:c r="A161" s="1"/>
      <x:c r="B161" s="1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</x:row>
    <x:row r="162" ht="19" customHeight="1">
      <x:c r="A162" s="1"/>
      <x:c r="B162" s="1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</x:row>
    <x:row r="163" ht="19" customHeight="1">
      <x:c r="A163" s="1"/>
      <x:c r="B163" s="1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</x:row>
    <x:row r="164" ht="19" customHeight="1">
      <x:c r="A164" s="1"/>
      <x:c r="B164" s="1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</x:row>
    <x:row r="165" ht="19" customHeight="1">
      <x:c r="A165" s="1"/>
      <x:c r="B165" s="1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</x:row>
    <x:row r="166" ht="19" customHeight="1">
      <x:c r="A166" s="1"/>
      <x:c r="B166" s="1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</x:row>
    <x:row r="167" ht="19" customHeight="1">
      <x:c r="A167" s="1"/>
      <x:c r="B167" s="1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</x:row>
    <x:row r="168" ht="19" customHeight="1">
      <x:c r="A168" s="1"/>
      <x:c r="B168" s="1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</x:row>
    <x:row r="169" ht="19" customHeight="1">
      <x:c r="A169" s="1"/>
      <x:c r="B169" s="1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</x:row>
    <x:row r="170" ht="19" customHeight="1">
      <x:c r="A170" s="1"/>
      <x:c r="B170" s="1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</x:row>
    <x:row r="171" ht="19" customHeight="1">
      <x:c r="A171" s="1"/>
      <x:c r="B171" s="1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</x:row>
    <x:row r="172" ht="19" customHeight="1">
      <x:c r="A172" s="1"/>
      <x:c r="B172" s="1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</x:row>
    <x:row r="173" ht="19" customHeight="1">
      <x:c r="A173" s="1"/>
      <x:c r="B173" s="1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</x:row>
    <x:row r="174" ht="19" customHeight="1">
      <x:c r="A174" s="1"/>
      <x:c r="B174" s="1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</x:row>
    <x:row r="175" ht="19" customHeight="1">
      <x:c r="A175" s="1"/>
      <x:c r="B175" s="1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</x:row>
    <x:row r="176" ht="19" customHeight="1">
      <x:c r="A176" s="1"/>
      <x:c r="B176" s="1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</x:row>
    <x:row r="177" ht="19" customHeight="1">
      <x:c r="A177" s="1"/>
      <x:c r="B177" s="1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</x:row>
    <x:row r="178" ht="19" customHeight="1">
      <x:c r="A178" s="1"/>
      <x:c r="B178" s="1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</x:row>
    <x:row r="179" ht="19" customHeight="1">
      <x:c r="A179" s="1"/>
      <x:c r="B179" s="1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</x:row>
    <x:row r="180" ht="19" customHeight="1">
      <x:c r="A180" s="1"/>
      <x:c r="B180" s="1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</x:row>
    <x:row r="181" ht="19" customHeight="1">
      <x:c r="A181" s="1"/>
      <x:c r="B181" s="1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</x:row>
    <x:row r="182" ht="19" customHeight="1">
      <x:c r="A182" s="1"/>
      <x:c r="B182" s="1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</x:row>
    <x:row r="183" ht="19" customHeight="1">
      <x:c r="A183" s="1"/>
      <x:c r="B183" s="1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</x:row>
    <x:row r="184" ht="19" customHeight="1">
      <x:c r="A184" s="1"/>
      <x:c r="B184" s="1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</x:row>
    <x:row r="185" ht="19" customHeight="1">
      <x:c r="A185" s="1"/>
      <x:c r="B185" s="1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</x:row>
    <x:row r="186" ht="19" customHeight="1">
      <x:c r="A186" s="1"/>
      <x:c r="B186" s="1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</x:row>
    <x:row r="187" ht="19" customHeight="1">
      <x:c r="A187" s="1"/>
      <x:c r="B187" s="1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</x:row>
    <x:row r="188" ht="19" customHeight="1">
      <x:c r="A188" s="1"/>
      <x:c r="B188" s="1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</x:row>
    <x:row r="189" ht="19" customHeight="1">
      <x:c r="A189" s="1"/>
      <x:c r="B189" s="1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</x:row>
    <x:row r="190" ht="19" customHeight="1">
      <x:c r="A190" s="1"/>
      <x:c r="B190" s="1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</x:row>
    <x:row r="191" ht="19" customHeight="1">
      <x:c r="A191" s="1"/>
      <x:c r="B191" s="1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</x:row>
    <x:row r="192" ht="19" customHeight="1">
      <x:c r="A192" s="1"/>
      <x:c r="B192" s="1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</x:row>
    <x:row r="193" ht="19" customHeight="1">
      <x:c r="A193" s="1"/>
      <x:c r="B193" s="1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</x:row>
    <x:row r="194" ht="19" customHeight="1">
      <x:c r="A194" s="1"/>
      <x:c r="B194" s="1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</x:row>
    <x:row r="195" ht="19" customHeight="1">
      <x:c r="A195" s="1"/>
      <x:c r="B195" s="1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</x:row>
    <x:row r="196" ht="19" customHeight="1">
      <x:c r="A196" s="1"/>
      <x:c r="B196" s="1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</x:row>
    <x:row r="197" ht="19" customHeight="1">
      <x:c r="A197" s="1"/>
      <x:c r="B197" s="1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</x:row>
    <x:row r="198" ht="19" customHeight="1">
      <x:c r="A198" s="1"/>
      <x:c r="B198" s="1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</x:row>
    <x:row r="199" ht="19" customHeight="1">
      <x:c r="A199" s="1"/>
      <x:c r="B199" s="1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</x:row>
    <x:row r="200" ht="19" customHeight="1">
      <x:c r="A200" s="1"/>
      <x:c r="B200" s="1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</x:row>
    <x:row r="201" ht="19" customHeight="1">
      <x:c r="A201" s="1"/>
      <x:c r="B201" s="1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</x:row>
    <x:row r="202" ht="19" customHeight="1">
      <x:c r="A202" s="1"/>
      <x:c r="B202" s="1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</x:row>
    <x:row r="203" ht="19" customHeight="1">
      <x:c r="A203" s="1"/>
      <x:c r="B203" s="1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</x:row>
    <x:row r="204" ht="19" customHeight="1">
      <x:c r="A204" s="1"/>
      <x:c r="B204" s="1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</x:row>
    <x:row r="205" ht="19" customHeight="1">
      <x:c r="A205" s="1"/>
      <x:c r="B205" s="1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</x:row>
    <x:row r="206" ht="19" customHeight="1">
      <x:c r="A206" s="1"/>
      <x:c r="B206" s="1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</x:row>
    <x:row r="207" ht="19" customHeight="1">
      <x:c r="A207" s="1"/>
      <x:c r="B207" s="1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</x:row>
    <x:row r="208" ht="19" customHeight="1">
      <x:c r="A208" s="1"/>
      <x:c r="B208" s="1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</x:row>
    <x:row r="209" ht="19" customHeight="1">
      <x:c r="A209" s="1"/>
      <x:c r="B209" s="1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</x:row>
    <x:row r="210" ht="19" customHeight="1">
      <x:c r="A210" s="1"/>
      <x:c r="B210" s="1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</x:row>
    <x:row r="211" ht="19" customHeight="1">
      <x:c r="A211" s="1"/>
      <x:c r="B211" s="1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</x:row>
    <x:row r="212" ht="19" customHeight="1">
      <x:c r="A212" s="1"/>
      <x:c r="B212" s="1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</x:row>
    <x:row r="213" ht="19" customHeight="1">
      <x:c r="A213" s="1"/>
      <x:c r="B213" s="1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</x:row>
    <x:row r="214" ht="19" customHeight="1">
      <x:c r="A214" s="1"/>
      <x:c r="B214" s="1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</x:row>
    <x:row r="215" ht="19" customHeight="1">
      <x:c r="A215" s="1"/>
      <x:c r="B215" s="1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</x:row>
    <x:row r="216" ht="19" customHeight="1">
      <x:c r="A216" s="1"/>
      <x:c r="B216" s="1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</x:row>
    <x:row r="217" ht="19" customHeight="1">
      <x:c r="A217" s="1"/>
      <x:c r="B217" s="1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</x:row>
    <x:row r="218" ht="19" customHeight="1">
      <x:c r="A218" s="1"/>
      <x:c r="B218" s="1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</x:row>
    <x:row r="219" ht="19" customHeight="1">
      <x:c r="A219" s="1"/>
      <x:c r="B219" s="1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</x:cols>
  <x:sheetData>
    <x:row r="1" ht="19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</x:row>
    <x:row r="2" ht="19" customHeight="1">
      <x:c r="A2" s="1"/>
      <x:c r="B2" s="1"/>
      <x:c r="C2" s="3" t="str">
        <x:v>CF Short-Term</x:v>
      </x:c>
      <x:c r="D2" s="3"/>
      <x:c r="E2" s="3"/>
      <x:c r="F2" s="3"/>
      <x:c r="G2" s="3"/>
      <x:c r="H2" s="3"/>
      <x:c r="I2" s="3"/>
      <x:c r="J2" s="3"/>
      <x:c r="K2" s="3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</x:row>
    <x:row r="3" ht="19" customHeight="1">
      <x:c r="A3" s="1"/>
      <x:c r="B3" s="1"/>
      <x:c r="C3" s="2" t="str">
        <x:v>Exported scenario</x:v>
      </x:c>
      <x:c r="D3" s="2"/>
      <x:c r="E3" s="4" t="str">
        <x:f>'Assumptions'!$E$8</x:f>
        <x:v>Base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</x:row>
    <x:row r="4" ht="19" customHeight="1">
      <x:c r="A4" s="1"/>
      <x:c r="B4" s="1"/>
      <x:c r="C4" s="2" t="str">
        <x:v>USD thousands unless noted. Months run left to right. Detailed curve and opening cohorts below.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</x:row>
    <x:row r="5" ht="19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</x:row>
    <x:row r="6" ht="19" customHeight="1">
      <x:c r="A6" s="1"/>
      <x:c r="B6" s="1"/>
      <x:c r="C6" s="6"/>
      <x:c r="D6" s="6"/>
      <x:c r="E6" s="6" t="str">
        <x:v>Horizon total / end</x:v>
      </x:c>
      <x:c r="F6" s="6"/>
      <x:c r="G6" s="21" t="n">
        <x:v>1</x:v>
      </x:c>
      <x:c r="H6" s="21" t="n">
        <x:v>2</x:v>
      </x:c>
      <x:c r="I6" s="21" t="n">
        <x:v>3</x:v>
      </x:c>
      <x:c r="J6" s="21" t="n">
        <x:v>4</x:v>
      </x:c>
      <x:c r="K6" s="21" t="n">
        <x:v>5</x:v>
      </x:c>
      <x:c r="L6" s="21" t="n">
        <x:v>6</x:v>
      </x:c>
      <x:c r="M6" s="21" t="n">
        <x:v>7</x:v>
      </x:c>
      <x:c r="N6" s="21" t="n">
        <x:v>8</x:v>
      </x:c>
      <x:c r="O6" s="21" t="n">
        <x:v>9</x:v>
      </x:c>
      <x:c r="P6" s="21" t="n">
        <x:v>10</x:v>
      </x:c>
      <x:c r="Q6" s="21" t="n">
        <x:v>11</x:v>
      </x:c>
      <x:c r="R6" s="21" t="n">
        <x:v>12</x:v>
      </x:c>
      <x:c r="S6" s="21" t="n">
        <x:v>13</x:v>
      </x:c>
      <x:c r="T6" s="21" t="n">
        <x:v>14</x:v>
      </x:c>
      <x:c r="U6" s="21" t="n">
        <x:v>15</x:v>
      </x:c>
      <x:c r="V6" s="21" t="n">
        <x:v>16</x:v>
      </x:c>
      <x:c r="W6" s="21" t="n">
        <x:v>17</x:v>
      </x:c>
      <x:c r="X6" s="21" t="n">
        <x:v>18</x:v>
      </x:c>
      <x:c r="Y6" s="21" t="n">
        <x:v>19</x:v>
      </x:c>
      <x:c r="Z6" s="21" t="n">
        <x:v>20</x:v>
      </x:c>
      <x:c r="AA6" s="21" t="n">
        <x:v>21</x:v>
      </x:c>
      <x:c r="AB6" s="21" t="n">
        <x:v>22</x:v>
      </x:c>
      <x:c r="AC6" s="21" t="n">
        <x:v>23</x:v>
      </x:c>
      <x:c r="AD6" s="21" t="n">
        <x:v>24</x:v>
      </x:c>
      <x:c r="AE6" s="21" t="n">
        <x:v>25</x:v>
      </x:c>
      <x:c r="AF6" s="21" t="n">
        <x:v>26</x:v>
      </x:c>
      <x:c r="AG6" s="21" t="n">
        <x:v>27</x:v>
      </x:c>
      <x:c r="AH6" s="21" t="n">
        <x:v>28</x:v>
      </x:c>
      <x:c r="AI6" s="21" t="n">
        <x:v>29</x:v>
      </x:c>
      <x:c r="AJ6" s="21" t="n">
        <x:v>30</x:v>
      </x:c>
      <x:c r="AK6" s="21" t="n">
        <x:v>31</x:v>
      </x:c>
      <x:c r="AL6" s="21" t="n">
        <x:v>32</x:v>
      </x:c>
      <x:c r="AM6" s="21" t="n">
        <x:v>33</x:v>
      </x:c>
      <x:c r="AN6" s="21" t="n">
        <x:v>34</x:v>
      </x:c>
      <x:c r="AO6" s="21" t="n">
        <x:v>35</x:v>
      </x:c>
      <x:c r="AP6" s="21" t="n">
        <x:v>36</x:v>
      </x:c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</x:row>
    <x:row r="7" ht="19" customHeight="1">
      <x:c r="A7" s="1"/>
      <x:c r="B7" s="1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</x:row>
    <x:row r="8" ht="19" customHeight="1">
      <x:c r="A8" s="1"/>
      <x:c r="B8" s="1"/>
      <x:c r="C8" s="2" t="str">
        <x:v>Applications</x:v>
      </x:c>
      <x:c r="D8" s="2"/>
      <x:c r="E8" s="37" t="n">
        <x:f>SUMIFS(G8:AP8,$G$6:$AP$6,"&lt;="&amp;'Assumptions'!$E$7)</x:f>
        <x:v>576000</x:v>
      </x:c>
      <x:c r="F8" s="2"/>
      <x:c r="G8" s="32" t="n">
        <x:f>'Assumptions'!$E$11*(1+'Assumptions'!$E$12)^(G$6-1)*INDEX('Assumptions'!$E$34:$E$45,MOD(G$6-1,12)+1)*'Assumptions'!$E$29</x:f>
        <x:v>24000</x:v>
      </x:c>
      <x:c r="H8" s="32" t="n">
        <x:f>'Assumptions'!$E$11*(1+'Assumptions'!$E$12)^(H$6-1)*INDEX('Assumptions'!$E$34:$E$45,MOD(H$6-1,12)+1)*'Assumptions'!$E$29</x:f>
        <x:v>24000</x:v>
      </x:c>
      <x:c r="I8" s="32" t="n">
        <x:f>'Assumptions'!$E$11*(1+'Assumptions'!$E$12)^(I$6-1)*INDEX('Assumptions'!$E$34:$E$45,MOD(I$6-1,12)+1)*'Assumptions'!$E$29</x:f>
        <x:v>24000</x:v>
      </x:c>
      <x:c r="J8" s="32" t="n">
        <x:f>'Assumptions'!$E$11*(1+'Assumptions'!$E$12)^(J$6-1)*INDEX('Assumptions'!$E$34:$E$45,MOD(J$6-1,12)+1)*'Assumptions'!$E$29</x:f>
        <x:v>24000</x:v>
      </x:c>
      <x:c r="K8" s="32" t="n">
        <x:f>'Assumptions'!$E$11*(1+'Assumptions'!$E$12)^(K$6-1)*INDEX('Assumptions'!$E$34:$E$45,MOD(K$6-1,12)+1)*'Assumptions'!$E$29</x:f>
        <x:v>24000</x:v>
      </x:c>
      <x:c r="L8" s="32" t="n">
        <x:f>'Assumptions'!$E$11*(1+'Assumptions'!$E$12)^(L$6-1)*INDEX('Assumptions'!$E$34:$E$45,MOD(L$6-1,12)+1)*'Assumptions'!$E$29</x:f>
        <x:v>24000</x:v>
      </x:c>
      <x:c r="M8" s="32" t="n">
        <x:f>'Assumptions'!$E$11*(1+'Assumptions'!$E$12)^(M$6-1)*INDEX('Assumptions'!$E$34:$E$45,MOD(M$6-1,12)+1)*'Assumptions'!$E$29</x:f>
        <x:v>24000</x:v>
      </x:c>
      <x:c r="N8" s="32" t="n">
        <x:f>'Assumptions'!$E$11*(1+'Assumptions'!$E$12)^(N$6-1)*INDEX('Assumptions'!$E$34:$E$45,MOD(N$6-1,12)+1)*'Assumptions'!$E$29</x:f>
        <x:v>24000</x:v>
      </x:c>
      <x:c r="O8" s="32" t="n">
        <x:f>'Assumptions'!$E$11*(1+'Assumptions'!$E$12)^(O$6-1)*INDEX('Assumptions'!$E$34:$E$45,MOD(O$6-1,12)+1)*'Assumptions'!$E$29</x:f>
        <x:v>24000</x:v>
      </x:c>
      <x:c r="P8" s="32" t="n">
        <x:f>'Assumptions'!$E$11*(1+'Assumptions'!$E$12)^(P$6-1)*INDEX('Assumptions'!$E$34:$E$45,MOD(P$6-1,12)+1)*'Assumptions'!$E$29</x:f>
        <x:v>24000</x:v>
      </x:c>
      <x:c r="Q8" s="32" t="n">
        <x:f>'Assumptions'!$E$11*(1+'Assumptions'!$E$12)^(Q$6-1)*INDEX('Assumptions'!$E$34:$E$45,MOD(Q$6-1,12)+1)*'Assumptions'!$E$29</x:f>
        <x:v>24000</x:v>
      </x:c>
      <x:c r="R8" s="32" t="n">
        <x:f>'Assumptions'!$E$11*(1+'Assumptions'!$E$12)^(R$6-1)*INDEX('Assumptions'!$E$34:$E$45,MOD(R$6-1,12)+1)*'Assumptions'!$E$29</x:f>
        <x:v>24000</x:v>
      </x:c>
      <x:c r="S8" s="32" t="n">
        <x:f>'Assumptions'!$E$11*(1+'Assumptions'!$E$12)^(S$6-1)*INDEX('Assumptions'!$E$34:$E$45,MOD(S$6-1,12)+1)*'Assumptions'!$E$29</x:f>
        <x:v>24000</x:v>
      </x:c>
      <x:c r="T8" s="32" t="n">
        <x:f>'Assumptions'!$E$11*(1+'Assumptions'!$E$12)^(T$6-1)*INDEX('Assumptions'!$E$34:$E$45,MOD(T$6-1,12)+1)*'Assumptions'!$E$29</x:f>
        <x:v>24000</x:v>
      </x:c>
      <x:c r="U8" s="32" t="n">
        <x:f>'Assumptions'!$E$11*(1+'Assumptions'!$E$12)^(U$6-1)*INDEX('Assumptions'!$E$34:$E$45,MOD(U$6-1,12)+1)*'Assumptions'!$E$29</x:f>
        <x:v>24000</x:v>
      </x:c>
      <x:c r="V8" s="32" t="n">
        <x:f>'Assumptions'!$E$11*(1+'Assumptions'!$E$12)^(V$6-1)*INDEX('Assumptions'!$E$34:$E$45,MOD(V$6-1,12)+1)*'Assumptions'!$E$29</x:f>
        <x:v>24000</x:v>
      </x:c>
      <x:c r="W8" s="32" t="n">
        <x:f>'Assumptions'!$E$11*(1+'Assumptions'!$E$12)^(W$6-1)*INDEX('Assumptions'!$E$34:$E$45,MOD(W$6-1,12)+1)*'Assumptions'!$E$29</x:f>
        <x:v>24000</x:v>
      </x:c>
      <x:c r="X8" s="32" t="n">
        <x:f>'Assumptions'!$E$11*(1+'Assumptions'!$E$12)^(X$6-1)*INDEX('Assumptions'!$E$34:$E$45,MOD(X$6-1,12)+1)*'Assumptions'!$E$29</x:f>
        <x:v>24000</x:v>
      </x:c>
      <x:c r="Y8" s="32" t="n">
        <x:f>'Assumptions'!$E$11*(1+'Assumptions'!$E$12)^(Y$6-1)*INDEX('Assumptions'!$E$34:$E$45,MOD(Y$6-1,12)+1)*'Assumptions'!$E$29</x:f>
        <x:v>24000</x:v>
      </x:c>
      <x:c r="Z8" s="32" t="n">
        <x:f>'Assumptions'!$E$11*(1+'Assumptions'!$E$12)^(Z$6-1)*INDEX('Assumptions'!$E$34:$E$45,MOD(Z$6-1,12)+1)*'Assumptions'!$E$29</x:f>
        <x:v>24000</x:v>
      </x:c>
      <x:c r="AA8" s="32" t="n">
        <x:f>'Assumptions'!$E$11*(1+'Assumptions'!$E$12)^(AA$6-1)*INDEX('Assumptions'!$E$34:$E$45,MOD(AA$6-1,12)+1)*'Assumptions'!$E$29</x:f>
        <x:v>24000</x:v>
      </x:c>
      <x:c r="AB8" s="32" t="n">
        <x:f>'Assumptions'!$E$11*(1+'Assumptions'!$E$12)^(AB$6-1)*INDEX('Assumptions'!$E$34:$E$45,MOD(AB$6-1,12)+1)*'Assumptions'!$E$29</x:f>
        <x:v>24000</x:v>
      </x:c>
      <x:c r="AC8" s="32" t="n">
        <x:f>'Assumptions'!$E$11*(1+'Assumptions'!$E$12)^(AC$6-1)*INDEX('Assumptions'!$E$34:$E$45,MOD(AC$6-1,12)+1)*'Assumptions'!$E$29</x:f>
        <x:v>24000</x:v>
      </x:c>
      <x:c r="AD8" s="32" t="n">
        <x:f>'Assumptions'!$E$11*(1+'Assumptions'!$E$12)^(AD$6-1)*INDEX('Assumptions'!$E$34:$E$45,MOD(AD$6-1,12)+1)*'Assumptions'!$E$29</x:f>
        <x:v>24000</x:v>
      </x:c>
      <x:c r="AE8" s="32" t="n">
        <x:f>'Assumptions'!$E$11*(1+'Assumptions'!$E$12)^(AE$6-1)*INDEX('Assumptions'!$E$34:$E$45,MOD(AE$6-1,12)+1)*'Assumptions'!$E$29</x:f>
        <x:v>24000</x:v>
      </x:c>
      <x:c r="AF8" s="32" t="n">
        <x:f>'Assumptions'!$E$11*(1+'Assumptions'!$E$12)^(AF$6-1)*INDEX('Assumptions'!$E$34:$E$45,MOD(AF$6-1,12)+1)*'Assumptions'!$E$29</x:f>
        <x:v>24000</x:v>
      </x:c>
      <x:c r="AG8" s="32" t="n">
        <x:f>'Assumptions'!$E$11*(1+'Assumptions'!$E$12)^(AG$6-1)*INDEX('Assumptions'!$E$34:$E$45,MOD(AG$6-1,12)+1)*'Assumptions'!$E$29</x:f>
        <x:v>24000</x:v>
      </x:c>
      <x:c r="AH8" s="32" t="n">
        <x:f>'Assumptions'!$E$11*(1+'Assumptions'!$E$12)^(AH$6-1)*INDEX('Assumptions'!$E$34:$E$45,MOD(AH$6-1,12)+1)*'Assumptions'!$E$29</x:f>
        <x:v>24000</x:v>
      </x:c>
      <x:c r="AI8" s="32" t="n">
        <x:f>'Assumptions'!$E$11*(1+'Assumptions'!$E$12)^(AI$6-1)*INDEX('Assumptions'!$E$34:$E$45,MOD(AI$6-1,12)+1)*'Assumptions'!$E$29</x:f>
        <x:v>24000</x:v>
      </x:c>
      <x:c r="AJ8" s="32" t="n">
        <x:f>'Assumptions'!$E$11*(1+'Assumptions'!$E$12)^(AJ$6-1)*INDEX('Assumptions'!$E$34:$E$45,MOD(AJ$6-1,12)+1)*'Assumptions'!$E$29</x:f>
        <x:v>24000</x:v>
      </x:c>
      <x:c r="AK8" s="32" t="n">
        <x:f>'Assumptions'!$E$11*(1+'Assumptions'!$E$12)^(AK$6-1)*INDEX('Assumptions'!$E$34:$E$45,MOD(AK$6-1,12)+1)*'Assumptions'!$E$29</x:f>
        <x:v>24000</x:v>
      </x:c>
      <x:c r="AL8" s="32" t="n">
        <x:f>'Assumptions'!$E$11*(1+'Assumptions'!$E$12)^(AL$6-1)*INDEX('Assumptions'!$E$34:$E$45,MOD(AL$6-1,12)+1)*'Assumptions'!$E$29</x:f>
        <x:v>24000</x:v>
      </x:c>
      <x:c r="AM8" s="32" t="n">
        <x:f>'Assumptions'!$E$11*(1+'Assumptions'!$E$12)^(AM$6-1)*INDEX('Assumptions'!$E$34:$E$45,MOD(AM$6-1,12)+1)*'Assumptions'!$E$29</x:f>
        <x:v>24000</x:v>
      </x:c>
      <x:c r="AN8" s="32" t="n">
        <x:f>'Assumptions'!$E$11*(1+'Assumptions'!$E$12)^(AN$6-1)*INDEX('Assumptions'!$E$34:$E$45,MOD(AN$6-1,12)+1)*'Assumptions'!$E$29</x:f>
        <x:v>24000</x:v>
      </x:c>
      <x:c r="AO8" s="32" t="n">
        <x:f>'Assumptions'!$E$11*(1+'Assumptions'!$E$12)^(AO$6-1)*INDEX('Assumptions'!$E$34:$E$45,MOD(AO$6-1,12)+1)*'Assumptions'!$E$29</x:f>
        <x:v>24000</x:v>
      </x:c>
      <x:c r="AP8" s="32" t="n">
        <x:f>'Assumptions'!$E$11*(1+'Assumptions'!$E$12)^(AP$6-1)*INDEX('Assumptions'!$E$34:$E$45,MOD(AP$6-1,12)+1)*'Assumptions'!$E$29</x:f>
        <x:v>24000</x:v>
      </x:c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</x:row>
    <x:row r="9" ht="19" customHeight="1">
      <x:c r="A9" s="1"/>
      <x:c r="B9" s="1"/>
      <x:c r="C9" s="2" t="str">
        <x:v>Approval rate</x:v>
      </x:c>
      <x:c r="D9" s="2"/>
      <x:c r="E9" s="35"/>
      <x:c r="F9" s="2"/>
      <x:c r="G9" s="33" t="n">
        <x:f>'Assumptions'!$E$13</x:f>
        <x:v>0.3</x:v>
      </x:c>
      <x:c r="H9" s="33" t="n">
        <x:f>'Assumptions'!$E$13</x:f>
        <x:v>0.3</x:v>
      </x:c>
      <x:c r="I9" s="33" t="n">
        <x:f>'Assumptions'!$E$13</x:f>
        <x:v>0.3</x:v>
      </x:c>
      <x:c r="J9" s="33" t="n">
        <x:f>'Assumptions'!$E$13</x:f>
        <x:v>0.3</x:v>
      </x:c>
      <x:c r="K9" s="33" t="n">
        <x:f>'Assumptions'!$E$13</x:f>
        <x:v>0.3</x:v>
      </x:c>
      <x:c r="L9" s="33" t="n">
        <x:f>'Assumptions'!$E$13</x:f>
        <x:v>0.3</x:v>
      </x:c>
      <x:c r="M9" s="33" t="n">
        <x:f>'Assumptions'!$E$13</x:f>
        <x:v>0.3</x:v>
      </x:c>
      <x:c r="N9" s="33" t="n">
        <x:f>'Assumptions'!$E$13</x:f>
        <x:v>0.3</x:v>
      </x:c>
      <x:c r="O9" s="33" t="n">
        <x:f>'Assumptions'!$E$13</x:f>
        <x:v>0.3</x:v>
      </x:c>
      <x:c r="P9" s="33" t="n">
        <x:f>'Assumptions'!$E$13</x:f>
        <x:v>0.3</x:v>
      </x:c>
      <x:c r="Q9" s="33" t="n">
        <x:f>'Assumptions'!$E$13</x:f>
        <x:v>0.3</x:v>
      </x:c>
      <x:c r="R9" s="33" t="n">
        <x:f>'Assumptions'!$E$13</x:f>
        <x:v>0.3</x:v>
      </x:c>
      <x:c r="S9" s="33" t="n">
        <x:f>'Assumptions'!$E$13</x:f>
        <x:v>0.3</x:v>
      </x:c>
      <x:c r="T9" s="33" t="n">
        <x:f>'Assumptions'!$E$13</x:f>
        <x:v>0.3</x:v>
      </x:c>
      <x:c r="U9" s="33" t="n">
        <x:f>'Assumptions'!$E$13</x:f>
        <x:v>0.3</x:v>
      </x:c>
      <x:c r="V9" s="33" t="n">
        <x:f>'Assumptions'!$E$13</x:f>
        <x:v>0.3</x:v>
      </x:c>
      <x:c r="W9" s="33" t="n">
        <x:f>'Assumptions'!$E$13</x:f>
        <x:v>0.3</x:v>
      </x:c>
      <x:c r="X9" s="33" t="n">
        <x:f>'Assumptions'!$E$13</x:f>
        <x:v>0.3</x:v>
      </x:c>
      <x:c r="Y9" s="33" t="n">
        <x:f>'Assumptions'!$E$13</x:f>
        <x:v>0.3</x:v>
      </x:c>
      <x:c r="Z9" s="33" t="n">
        <x:f>'Assumptions'!$E$13</x:f>
        <x:v>0.3</x:v>
      </x:c>
      <x:c r="AA9" s="33" t="n">
        <x:f>'Assumptions'!$E$13</x:f>
        <x:v>0.3</x:v>
      </x:c>
      <x:c r="AB9" s="33" t="n">
        <x:f>'Assumptions'!$E$13</x:f>
        <x:v>0.3</x:v>
      </x:c>
      <x:c r="AC9" s="33" t="n">
        <x:f>'Assumptions'!$E$13</x:f>
        <x:v>0.3</x:v>
      </x:c>
      <x:c r="AD9" s="33" t="n">
        <x:f>'Assumptions'!$E$13</x:f>
        <x:v>0.3</x:v>
      </x:c>
      <x:c r="AE9" s="33" t="n">
        <x:f>'Assumptions'!$E$13</x:f>
        <x:v>0.3</x:v>
      </x:c>
      <x:c r="AF9" s="33" t="n">
        <x:f>'Assumptions'!$E$13</x:f>
        <x:v>0.3</x:v>
      </x:c>
      <x:c r="AG9" s="33" t="n">
        <x:f>'Assumptions'!$E$13</x:f>
        <x:v>0.3</x:v>
      </x:c>
      <x:c r="AH9" s="33" t="n">
        <x:f>'Assumptions'!$E$13</x:f>
        <x:v>0.3</x:v>
      </x:c>
      <x:c r="AI9" s="33" t="n">
        <x:f>'Assumptions'!$E$13</x:f>
        <x:v>0.3</x:v>
      </x:c>
      <x:c r="AJ9" s="33" t="n">
        <x:f>'Assumptions'!$E$13</x:f>
        <x:v>0.3</x:v>
      </x:c>
      <x:c r="AK9" s="33" t="n">
        <x:f>'Assumptions'!$E$13</x:f>
        <x:v>0.3</x:v>
      </x:c>
      <x:c r="AL9" s="33" t="n">
        <x:f>'Assumptions'!$E$13</x:f>
        <x:v>0.3</x:v>
      </x:c>
      <x:c r="AM9" s="33" t="n">
        <x:f>'Assumptions'!$E$13</x:f>
        <x:v>0.3</x:v>
      </x:c>
      <x:c r="AN9" s="33" t="n">
        <x:f>'Assumptions'!$E$13</x:f>
        <x:v>0.3</x:v>
      </x:c>
      <x:c r="AO9" s="33" t="n">
        <x:f>'Assumptions'!$E$13</x:f>
        <x:v>0.3</x:v>
      </x:c>
      <x:c r="AP9" s="33" t="n">
        <x:f>'Assumptions'!$E$13</x:f>
        <x:v>0.3</x:v>
      </x:c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</x:row>
    <x:row r="10" ht="19" customHeight="1">
      <x:c r="A10" s="1"/>
      <x:c r="B10" s="1"/>
      <x:c r="C10" s="2" t="str">
        <x:v>Average loan size ($)</x:v>
      </x:c>
      <x:c r="D10" s="2"/>
      <x:c r="E10" s="35"/>
      <x:c r="F10" s="2"/>
      <x:c r="G10" s="34" t="n">
        <x:f>'Assumptions'!$E$14</x:f>
        <x:v>1500</x:v>
      </x:c>
      <x:c r="H10" s="34" t="n">
        <x:f>'Assumptions'!$E$14</x:f>
        <x:v>1500</x:v>
      </x:c>
      <x:c r="I10" s="34" t="n">
        <x:f>'Assumptions'!$E$14</x:f>
        <x:v>1500</x:v>
      </x:c>
      <x:c r="J10" s="34" t="n">
        <x:f>'Assumptions'!$E$14</x:f>
        <x:v>1500</x:v>
      </x:c>
      <x:c r="K10" s="34" t="n">
        <x:f>'Assumptions'!$E$14</x:f>
        <x:v>1500</x:v>
      </x:c>
      <x:c r="L10" s="34" t="n">
        <x:f>'Assumptions'!$E$14</x:f>
        <x:v>1500</x:v>
      </x:c>
      <x:c r="M10" s="34" t="n">
        <x:f>'Assumptions'!$E$14</x:f>
        <x:v>1500</x:v>
      </x:c>
      <x:c r="N10" s="34" t="n">
        <x:f>'Assumptions'!$E$14</x:f>
        <x:v>1500</x:v>
      </x:c>
      <x:c r="O10" s="34" t="n">
        <x:f>'Assumptions'!$E$14</x:f>
        <x:v>1500</x:v>
      </x:c>
      <x:c r="P10" s="34" t="n">
        <x:f>'Assumptions'!$E$14</x:f>
        <x:v>1500</x:v>
      </x:c>
      <x:c r="Q10" s="34" t="n">
        <x:f>'Assumptions'!$E$14</x:f>
        <x:v>1500</x:v>
      </x:c>
      <x:c r="R10" s="34" t="n">
        <x:f>'Assumptions'!$E$14</x:f>
        <x:v>1500</x:v>
      </x:c>
      <x:c r="S10" s="34" t="n">
        <x:f>'Assumptions'!$E$14</x:f>
        <x:v>1500</x:v>
      </x:c>
      <x:c r="T10" s="34" t="n">
        <x:f>'Assumptions'!$E$14</x:f>
        <x:v>1500</x:v>
      </x:c>
      <x:c r="U10" s="34" t="n">
        <x:f>'Assumptions'!$E$14</x:f>
        <x:v>1500</x:v>
      </x:c>
      <x:c r="V10" s="34" t="n">
        <x:f>'Assumptions'!$E$14</x:f>
        <x:v>1500</x:v>
      </x:c>
      <x:c r="W10" s="34" t="n">
        <x:f>'Assumptions'!$E$14</x:f>
        <x:v>1500</x:v>
      </x:c>
      <x:c r="X10" s="34" t="n">
        <x:f>'Assumptions'!$E$14</x:f>
        <x:v>1500</x:v>
      </x:c>
      <x:c r="Y10" s="34" t="n">
        <x:f>'Assumptions'!$E$14</x:f>
        <x:v>1500</x:v>
      </x:c>
      <x:c r="Z10" s="34" t="n">
        <x:f>'Assumptions'!$E$14</x:f>
        <x:v>1500</x:v>
      </x:c>
      <x:c r="AA10" s="34" t="n">
        <x:f>'Assumptions'!$E$14</x:f>
        <x:v>1500</x:v>
      </x:c>
      <x:c r="AB10" s="34" t="n">
        <x:f>'Assumptions'!$E$14</x:f>
        <x:v>1500</x:v>
      </x:c>
      <x:c r="AC10" s="34" t="n">
        <x:f>'Assumptions'!$E$14</x:f>
        <x:v>1500</x:v>
      </x:c>
      <x:c r="AD10" s="34" t="n">
        <x:f>'Assumptions'!$E$14</x:f>
        <x:v>1500</x:v>
      </x:c>
      <x:c r="AE10" s="34" t="n">
        <x:f>'Assumptions'!$E$14</x:f>
        <x:v>1500</x:v>
      </x:c>
      <x:c r="AF10" s="34" t="n">
        <x:f>'Assumptions'!$E$14</x:f>
        <x:v>1500</x:v>
      </x:c>
      <x:c r="AG10" s="34" t="n">
        <x:f>'Assumptions'!$E$14</x:f>
        <x:v>1500</x:v>
      </x:c>
      <x:c r="AH10" s="34" t="n">
        <x:f>'Assumptions'!$E$14</x:f>
        <x:v>1500</x:v>
      </x:c>
      <x:c r="AI10" s="34" t="n">
        <x:f>'Assumptions'!$E$14</x:f>
        <x:v>1500</x:v>
      </x:c>
      <x:c r="AJ10" s="34" t="n">
        <x:f>'Assumptions'!$E$14</x:f>
        <x:v>1500</x:v>
      </x:c>
      <x:c r="AK10" s="34" t="n">
        <x:f>'Assumptions'!$E$14</x:f>
        <x:v>1500</x:v>
      </x:c>
      <x:c r="AL10" s="34" t="n">
        <x:f>'Assumptions'!$E$14</x:f>
        <x:v>1500</x:v>
      </x:c>
      <x:c r="AM10" s="34" t="n">
        <x:f>'Assumptions'!$E$14</x:f>
        <x:v>1500</x:v>
      </x:c>
      <x:c r="AN10" s="34" t="n">
        <x:f>'Assumptions'!$E$14</x:f>
        <x:v>1500</x:v>
      </x:c>
      <x:c r="AO10" s="34" t="n">
        <x:f>'Assumptions'!$E$14</x:f>
        <x:v>1500</x:v>
      </x:c>
      <x:c r="AP10" s="34" t="n">
        <x:f>'Assumptions'!$E$14</x:f>
        <x:v>1500</x:v>
      </x:c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</x:row>
    <x:row r="11" ht="19" customHeight="1">
      <x:c r="A11" s="1"/>
      <x:c r="B11" s="1"/>
      <x:c r="C11" s="42" t="str">
        <x:v>Originations</x:v>
      </x:c>
      <x:c r="D11" s="42"/>
      <x:c r="E11" s="43" t="n">
        <x:f>SUMIFS(G11:AP11,$G$6:$AP$6,"&lt;="&amp;'Assumptions'!$E$7)</x:f>
        <x:v>259200000</x:v>
      </x:c>
      <x:c r="F11" s="42"/>
      <x:c r="G11" s="43" t="n">
        <x:f>G8*G9*G10</x:f>
        <x:v>10800000</x:v>
      </x:c>
      <x:c r="H11" s="43" t="n">
        <x:f>H8*H9*H10</x:f>
        <x:v>10800000</x:v>
      </x:c>
      <x:c r="I11" s="43" t="n">
        <x:f>I8*I9*I10</x:f>
        <x:v>10800000</x:v>
      </x:c>
      <x:c r="J11" s="43" t="n">
        <x:f>J8*J9*J10</x:f>
        <x:v>10800000</x:v>
      </x:c>
      <x:c r="K11" s="43" t="n">
        <x:f>K8*K9*K10</x:f>
        <x:v>10800000</x:v>
      </x:c>
      <x:c r="L11" s="43" t="n">
        <x:f>L8*L9*L10</x:f>
        <x:v>10800000</x:v>
      </x:c>
      <x:c r="M11" s="43" t="n">
        <x:f>M8*M9*M10</x:f>
        <x:v>10800000</x:v>
      </x:c>
      <x:c r="N11" s="43" t="n">
        <x:f>N8*N9*N10</x:f>
        <x:v>10800000</x:v>
      </x:c>
      <x:c r="O11" s="43" t="n">
        <x:f>O8*O9*O10</x:f>
        <x:v>10800000</x:v>
      </x:c>
      <x:c r="P11" s="43" t="n">
        <x:f>P8*P9*P10</x:f>
        <x:v>10800000</x:v>
      </x:c>
      <x:c r="Q11" s="43" t="n">
        <x:f>Q8*Q9*Q10</x:f>
        <x:v>10800000</x:v>
      </x:c>
      <x:c r="R11" s="43" t="n">
        <x:f>R8*R9*R10</x:f>
        <x:v>10800000</x:v>
      </x:c>
      <x:c r="S11" s="43" t="n">
        <x:f>S8*S9*S10</x:f>
        <x:v>10800000</x:v>
      </x:c>
      <x:c r="T11" s="43" t="n">
        <x:f>T8*T9*T10</x:f>
        <x:v>10800000</x:v>
      </x:c>
      <x:c r="U11" s="43" t="n">
        <x:f>U8*U9*U10</x:f>
        <x:v>10800000</x:v>
      </x:c>
      <x:c r="V11" s="43" t="n">
        <x:f>V8*V9*V10</x:f>
        <x:v>10800000</x:v>
      </x:c>
      <x:c r="W11" s="43" t="n">
        <x:f>W8*W9*W10</x:f>
        <x:v>10800000</x:v>
      </x:c>
      <x:c r="X11" s="43" t="n">
        <x:f>X8*X9*X10</x:f>
        <x:v>10800000</x:v>
      </x:c>
      <x:c r="Y11" s="43" t="n">
        <x:f>Y8*Y9*Y10</x:f>
        <x:v>10800000</x:v>
      </x:c>
      <x:c r="Z11" s="43" t="n">
        <x:f>Z8*Z9*Z10</x:f>
        <x:v>10800000</x:v>
      </x:c>
      <x:c r="AA11" s="43" t="n">
        <x:f>AA8*AA9*AA10</x:f>
        <x:v>10800000</x:v>
      </x:c>
      <x:c r="AB11" s="43" t="n">
        <x:f>AB8*AB9*AB10</x:f>
        <x:v>10800000</x:v>
      </x:c>
      <x:c r="AC11" s="43" t="n">
        <x:f>AC8*AC9*AC10</x:f>
        <x:v>10800000</x:v>
      </x:c>
      <x:c r="AD11" s="43" t="n">
        <x:f>AD8*AD9*AD10</x:f>
        <x:v>10800000</x:v>
      </x:c>
      <x:c r="AE11" s="43" t="n">
        <x:f>AE8*AE9*AE10</x:f>
        <x:v>10800000</x:v>
      </x:c>
      <x:c r="AF11" s="43" t="n">
        <x:f>AF8*AF9*AF10</x:f>
        <x:v>10800000</x:v>
      </x:c>
      <x:c r="AG11" s="43" t="n">
        <x:f>AG8*AG9*AG10</x:f>
        <x:v>10800000</x:v>
      </x:c>
      <x:c r="AH11" s="43" t="n">
        <x:f>AH8*AH9*AH10</x:f>
        <x:v>10800000</x:v>
      </x:c>
      <x:c r="AI11" s="43" t="n">
        <x:f>AI8*AI9*AI10</x:f>
        <x:v>10800000</x:v>
      </x:c>
      <x:c r="AJ11" s="43" t="n">
        <x:f>AJ8*AJ9*AJ10</x:f>
        <x:v>10800000</x:v>
      </x:c>
      <x:c r="AK11" s="43" t="n">
        <x:f>AK8*AK9*AK10</x:f>
        <x:v>10800000</x:v>
      </x:c>
      <x:c r="AL11" s="43" t="n">
        <x:f>AL8*AL9*AL10</x:f>
        <x:v>10800000</x:v>
      </x:c>
      <x:c r="AM11" s="43" t="n">
        <x:f>AM8*AM9*AM10</x:f>
        <x:v>10800000</x:v>
      </x:c>
      <x:c r="AN11" s="43" t="n">
        <x:f>AN8*AN9*AN10</x:f>
        <x:v>10800000</x:v>
      </x:c>
      <x:c r="AO11" s="43" t="n">
        <x:f>AO8*AO9*AO10</x:f>
        <x:v>10800000</x:v>
      </x:c>
      <x:c r="AP11" s="43" t="n">
        <x:f>AP8*AP9*AP10</x:f>
        <x:v>10800000</x:v>
      </x:c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</x:row>
    <x:row r="12" ht="19" customHeight="1">
      <x:c r="A12" s="1"/>
      <x:c r="B12" s="1"/>
      <x:c r="C12" s="2"/>
      <x:c r="D12" s="2"/>
      <x:c r="E12" s="35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</x:row>
    <x:row r="13" ht="19" customHeight="1">
      <x:c r="A13" s="1"/>
      <x:c r="B13" s="1"/>
      <x:c r="C13" s="2" t="str">
        <x:v>Beginning gross CLAB</x:v>
      </x:c>
      <x:c r="D13" s="2"/>
      <x:c r="E13" s="35" t="n">
        <x:f>G13</x:f>
        <x:v>204480000</x:v>
      </x:c>
      <x:c r="F13" s="2"/>
      <x:c r="G13" s="35" t="n">
        <x:f>$E$44</x:f>
        <x:v>204480000</x:v>
      </x:c>
      <x:c r="H13" s="35" t="n">
        <x:f>G16</x:f>
        <x:v>118940482.62911195</x:v>
      </x:c>
      <x:c r="I13" s="35" t="n">
        <x:f>H16</x:f>
        <x:v>77424328.70795931</x:v>
      </x:c>
      <x:c r="J13" s="35" t="n">
        <x:f>I16</x:f>
        <x:v>55397305.21810193</x:v>
      </x:c>
      <x:c r="K13" s="35" t="n">
        <x:f>J16</x:f>
        <x:v>43597026.70267554</x:v>
      </x:c>
      <x:c r="L13" s="35" t="n">
        <x:f>K16</x:f>
        <x:v>37404358.8798667</x:v>
      </x:c>
      <x:c r="M13" s="35" t="n">
        <x:f>L16</x:f>
        <x:v>34300811.29751723</x:v>
      </x:c>
      <x:c r="N13" s="35" t="n">
        <x:f>M16</x:f>
        <x:v>32868291.210574146</x:v>
      </x:c>
      <x:c r="O13" s="35" t="n">
        <x:f>N16</x:f>
        <x:v>32297605.446619686</x:v>
      </x:c>
      <x:c r="P13" s="35" t="n">
        <x:f>O16</x:f>
        <x:v>32137802.317604594</x:v>
      </x:c>
      <x:c r="Q13" s="35" t="n">
        <x:f>P16</x:f>
        <x:v>32137802.317604598</x:v>
      </x:c>
      <x:c r="R13" s="35" t="n">
        <x:f>Q16</x:f>
        <x:v>32137802.317604598</x:v>
      </x:c>
      <x:c r="S13" s="35" t="n">
        <x:f>R16</x:f>
        <x:v>32137802.317604598</x:v>
      </x:c>
      <x:c r="T13" s="35" t="n">
        <x:f>S16</x:f>
        <x:v>32137802.317604598</x:v>
      </x:c>
      <x:c r="U13" s="35" t="n">
        <x:f>T16</x:f>
        <x:v>32137802.317604598</x:v>
      </x:c>
      <x:c r="V13" s="35" t="n">
        <x:f>U16</x:f>
        <x:v>32137802.317604598</x:v>
      </x:c>
      <x:c r="W13" s="35" t="n">
        <x:f>V16</x:f>
        <x:v>32137802.317604598</x:v>
      </x:c>
      <x:c r="X13" s="35" t="n">
        <x:f>W16</x:f>
        <x:v>32137802.317604598</x:v>
      </x:c>
      <x:c r="Y13" s="35" t="n">
        <x:f>X16</x:f>
        <x:v>32137802.317604598</x:v>
      </x:c>
      <x:c r="Z13" s="35" t="n">
        <x:f>Y16</x:f>
        <x:v>32137802.317604598</x:v>
      </x:c>
      <x:c r="AA13" s="35" t="n">
        <x:f>Z16</x:f>
        <x:v>32137802.317604598</x:v>
      </x:c>
      <x:c r="AB13" s="35" t="n">
        <x:f>AA16</x:f>
        <x:v>32137802.317604598</x:v>
      </x:c>
      <x:c r="AC13" s="35" t="n">
        <x:f>AB16</x:f>
        <x:v>32137802.317604598</x:v>
      </x:c>
      <x:c r="AD13" s="35" t="n">
        <x:f>AC16</x:f>
        <x:v>32137802.317604598</x:v>
      </x:c>
      <x:c r="AE13" s="35" t="n">
        <x:f>AD16</x:f>
        <x:v>32137802.317604598</x:v>
      </x:c>
      <x:c r="AF13" s="35" t="n">
        <x:f>AE16</x:f>
        <x:v>32137802.317604598</x:v>
      </x:c>
      <x:c r="AG13" s="35" t="n">
        <x:f>AF16</x:f>
        <x:v>32137802.317604598</x:v>
      </x:c>
      <x:c r="AH13" s="35" t="n">
        <x:f>AG16</x:f>
        <x:v>32137802.317604598</x:v>
      </x:c>
      <x:c r="AI13" s="35" t="n">
        <x:f>AH16</x:f>
        <x:v>32137802.317604598</x:v>
      </x:c>
      <x:c r="AJ13" s="35" t="n">
        <x:f>AI16</x:f>
        <x:v>32137802.317604598</x:v>
      </x:c>
      <x:c r="AK13" s="35" t="n">
        <x:f>AJ16</x:f>
        <x:v>32137802.317604598</x:v>
      </x:c>
      <x:c r="AL13" s="35" t="n">
        <x:f>AK16</x:f>
        <x:v>32137802.317604598</x:v>
      </x:c>
      <x:c r="AM13" s="35" t="n">
        <x:f>AL16</x:f>
        <x:v>32137802.317604598</x:v>
      </x:c>
      <x:c r="AN13" s="35" t="n">
        <x:f>AM16</x:f>
        <x:v>32137802.317604598</x:v>
      </x:c>
      <x:c r="AO13" s="35" t="n">
        <x:f>AN16</x:f>
        <x:v>32137802.317604598</x:v>
      </x:c>
      <x:c r="AP13" s="35" t="n">
        <x:f>AO16</x:f>
        <x:v>32137802.317604598</x:v>
      </x:c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</x:row>
    <x:row r="14" ht="19" customHeight="1">
      <x:c r="A14" s="1"/>
      <x:c r="B14" s="1"/>
      <x:c r="C14" s="2" t="str">
        <x:v>Principal repayments</x:v>
      </x:c>
      <x:c r="D14" s="2"/>
      <x:c r="E14" s="35" t="n">
        <x:f>SUMIFS(G14:AP14,$G$6:$AP$6,"&lt;="&amp;'Assumptions'!$E$7)</x:f>
        <x:v>354032251.64193004</x:v>
      </x:c>
      <x:c r="F14" s="2"/>
      <x:c r="G14" s="35" t="n">
        <x:f>SUM(G29:G30)</x:f>
        <x:v>77806437.67298885</x:v>
      </x:c>
      <x:c r="H14" s="35" t="n">
        <x:f>SUM(H29:H30)</x:f>
        <x:v>42496956.543571256</x:v>
      </x:c>
      <x:c r="I14" s="35" t="n">
        <x:f>SUM(I29:I30)</x:f>
        <x:v>26747571.16595096</x:v>
      </x:c>
      <x:c r="J14" s="35" t="n">
        <x:f>SUM(J29:J30)</x:f>
        <x:v>18464757.764716346</x:v>
      </x:c>
      <x:c r="K14" s="35" t="n">
        <x:f>SUM(K29:K30)</x:f>
        <x:v>13934999.930254694</x:v>
      </x:c>
      <x:c r="L14" s="35" t="n">
        <x:f>SUM(L29:L30)</x:f>
        <x:v>11449048.981598552</x:v>
      </x:c>
      <x:c r="M14" s="35" t="n">
        <x:f>SUM(M29:M30)</x:f>
        <x:v>10103151.353159854</x:v>
      </x:c>
      <x:c r="N14" s="35" t="n">
        <x:f>SUM(N29:N30)</x:f>
        <x:v>9413455.44213034</x:v>
      </x:c>
      <x:c r="O14" s="35" t="n">
        <x:f>SUM(O29:O30)</x:f>
        <x:v>9091612.001601372</x:v>
      </x:c>
      <x:c r="P14" s="35" t="n">
        <x:f>SUM(P29:P30)</x:f>
        <x:v>8968284.052397188</x:v>
      </x:c>
      <x:c r="Q14" s="35" t="n">
        <x:f>SUM(Q29:Q30)</x:f>
        <x:v>8968284.052397188</x:v>
      </x:c>
      <x:c r="R14" s="35" t="n">
        <x:f>SUM(R29:R30)</x:f>
        <x:v>8968284.052397188</x:v>
      </x:c>
      <x:c r="S14" s="35" t="n">
        <x:f>SUM(S29:S30)</x:f>
        <x:v>8968284.052397188</x:v>
      </x:c>
      <x:c r="T14" s="35" t="n">
        <x:f>SUM(T29:T30)</x:f>
        <x:v>8968284.052397188</x:v>
      </x:c>
      <x:c r="U14" s="35" t="n">
        <x:f>SUM(U29:U30)</x:f>
        <x:v>8968284.052397188</x:v>
      </x:c>
      <x:c r="V14" s="35" t="n">
        <x:f>SUM(V29:V30)</x:f>
        <x:v>8968284.052397188</x:v>
      </x:c>
      <x:c r="W14" s="35" t="n">
        <x:f>SUM(W29:W30)</x:f>
        <x:v>8968284.052397188</x:v>
      </x:c>
      <x:c r="X14" s="35" t="n">
        <x:f>SUM(X29:X30)</x:f>
        <x:v>8968284.052397188</x:v>
      </x:c>
      <x:c r="Y14" s="35" t="n">
        <x:f>SUM(Y29:Y30)</x:f>
        <x:v>8968284.052397188</x:v>
      </x:c>
      <x:c r="Z14" s="35" t="n">
        <x:f>SUM(Z29:Z30)</x:f>
        <x:v>8968284.052397188</x:v>
      </x:c>
      <x:c r="AA14" s="35" t="n">
        <x:f>SUM(AA29:AA30)</x:f>
        <x:v>8968284.052397188</x:v>
      </x:c>
      <x:c r="AB14" s="35" t="n">
        <x:f>SUM(AB29:AB30)</x:f>
        <x:v>8968284.052397188</x:v>
      </x:c>
      <x:c r="AC14" s="35" t="n">
        <x:f>SUM(AC29:AC30)</x:f>
        <x:v>8968284.052397188</x:v>
      </x:c>
      <x:c r="AD14" s="35" t="n">
        <x:f>SUM(AD29:AD30)</x:f>
        <x:v>8968284.052397188</x:v>
      </x:c>
      <x:c r="AE14" s="35" t="n">
        <x:f>SUM(AE29:AE30)</x:f>
        <x:v>8968284.052397188</x:v>
      </x:c>
      <x:c r="AF14" s="35" t="n">
        <x:f>SUM(AF29:AF30)</x:f>
        <x:v>8968284.052397188</x:v>
      </x:c>
      <x:c r="AG14" s="35" t="n">
        <x:f>SUM(AG29:AG30)</x:f>
        <x:v>8968284.052397188</x:v>
      </x:c>
      <x:c r="AH14" s="35" t="n">
        <x:f>SUM(AH29:AH30)</x:f>
        <x:v>8968284.052397188</x:v>
      </x:c>
      <x:c r="AI14" s="35" t="n">
        <x:f>SUM(AI29:AI30)</x:f>
        <x:v>8968284.052397188</x:v>
      </x:c>
      <x:c r="AJ14" s="35" t="n">
        <x:f>SUM(AJ29:AJ30)</x:f>
        <x:v>8968284.052397188</x:v>
      </x:c>
      <x:c r="AK14" s="35" t="n">
        <x:f>SUM(AK29:AK30)</x:f>
        <x:v>8968284.052397188</x:v>
      </x:c>
      <x:c r="AL14" s="35" t="n">
        <x:f>SUM(AL29:AL30)</x:f>
        <x:v>8968284.052397188</x:v>
      </x:c>
      <x:c r="AM14" s="35" t="n">
        <x:f>SUM(AM29:AM30)</x:f>
        <x:v>8968284.052397188</x:v>
      </x:c>
      <x:c r="AN14" s="35" t="n">
        <x:f>SUM(AN29:AN30)</x:f>
        <x:v>8968284.052397188</x:v>
      </x:c>
      <x:c r="AO14" s="35" t="n">
        <x:f>SUM(AO29:AO30)</x:f>
        <x:v>8968284.052397188</x:v>
      </x:c>
      <x:c r="AP14" s="35" t="n">
        <x:f>SUM(AP29:AP30)</x:f>
        <x:v>8968284.052397188</x:v>
      </x:c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</x:row>
    <x:row r="15" ht="19" customHeight="1">
      <x:c r="A15" s="1"/>
      <x:c r="B15" s="1"/>
      <x:c r="C15" s="2" t="str">
        <x:v>Charge-offs</x:v>
      </x:c>
      <x:c r="D15" s="2"/>
      <x:c r="E15" s="35" t="n">
        <x:f>SUMIFS(G15:AP15,$G$6:$AP$6,"&lt;="&amp;'Assumptions'!$E$7)</x:f>
        <x:v>77509946.04046534</x:v>
      </x:c>
      <x:c r="F15" s="2"/>
      <x:c r="G15" s="35" t="n">
        <x:f>SUM(G27:G28)</x:f>
        <x:v>18533079.69789923</x:v>
      </x:c>
      <x:c r="H15" s="35" t="n">
        <x:f>SUM(H27:H28)</x:f>
        <x:v>9819197.377581373</x:v>
      </x:c>
      <x:c r="I15" s="35" t="n">
        <x:f>SUM(I27:I28)</x:f>
        <x:v>6079452.323906417</x:v>
      </x:c>
      <x:c r="J15" s="35" t="n">
        <x:f>SUM(J27:J28)</x:f>
        <x:v>4135520.750710055</x:v>
      </x:c>
      <x:c r="K15" s="35" t="n">
        <x:f>SUM(K27:K28)</x:f>
        <x:v>3057667.892554145</x:v>
      </x:c>
      <x:c r="L15" s="35" t="n">
        <x:f>SUM(L27:L28)</x:f>
        <x:v>2454498.6007509143</x:v>
      </x:c>
      <x:c r="M15" s="35" t="n">
        <x:f>SUM(M27:M28)</x:f>
        <x:v>2129368.7337832344</x:v>
      </x:c>
      <x:c r="N15" s="35" t="n">
        <x:f>SUM(N27:N28)</x:f>
        <x:v>1957230.321824122</x:v>
      </x:c>
      <x:c r="O15" s="35" t="n">
        <x:f>SUM(O27:O28)</x:f>
        <x:v>1868191.1274137266</x:v>
      </x:c>
      <x:c r="P15" s="35" t="n">
        <x:f>SUM(P27:P28)</x:f>
        <x:v>1831715.9476028115</x:v>
      </x:c>
      <x:c r="Q15" s="35" t="n">
        <x:f>SUM(Q27:Q28)</x:f>
        <x:v>1831715.9476028115</x:v>
      </x:c>
      <x:c r="R15" s="35" t="n">
        <x:f>SUM(R27:R28)</x:f>
        <x:v>1831715.9476028115</x:v>
      </x:c>
      <x:c r="S15" s="35" t="n">
        <x:f>SUM(S27:S28)</x:f>
        <x:v>1831715.9476028115</x:v>
      </x:c>
      <x:c r="T15" s="35" t="n">
        <x:f>SUM(T27:T28)</x:f>
        <x:v>1831715.9476028115</x:v>
      </x:c>
      <x:c r="U15" s="35" t="n">
        <x:f>SUM(U27:U28)</x:f>
        <x:v>1831715.9476028115</x:v>
      </x:c>
      <x:c r="V15" s="35" t="n">
        <x:f>SUM(V27:V28)</x:f>
        <x:v>1831715.9476028115</x:v>
      </x:c>
      <x:c r="W15" s="35" t="n">
        <x:f>SUM(W27:W28)</x:f>
        <x:v>1831715.9476028115</x:v>
      </x:c>
      <x:c r="X15" s="35" t="n">
        <x:f>SUM(X27:X28)</x:f>
        <x:v>1831715.9476028115</x:v>
      </x:c>
      <x:c r="Y15" s="35" t="n">
        <x:f>SUM(Y27:Y28)</x:f>
        <x:v>1831715.9476028115</x:v>
      </x:c>
      <x:c r="Z15" s="35" t="n">
        <x:f>SUM(Z27:Z28)</x:f>
        <x:v>1831715.9476028115</x:v>
      </x:c>
      <x:c r="AA15" s="35" t="n">
        <x:f>SUM(AA27:AA28)</x:f>
        <x:v>1831715.9476028115</x:v>
      </x:c>
      <x:c r="AB15" s="35" t="n">
        <x:f>SUM(AB27:AB28)</x:f>
        <x:v>1831715.9476028115</x:v>
      </x:c>
      <x:c r="AC15" s="35" t="n">
        <x:f>SUM(AC27:AC28)</x:f>
        <x:v>1831715.9476028115</x:v>
      </x:c>
      <x:c r="AD15" s="35" t="n">
        <x:f>SUM(AD27:AD28)</x:f>
        <x:v>1831715.9476028115</x:v>
      </x:c>
      <x:c r="AE15" s="35" t="n">
        <x:f>SUM(AE27:AE28)</x:f>
        <x:v>1831715.9476028115</x:v>
      </x:c>
      <x:c r="AF15" s="35" t="n">
        <x:f>SUM(AF27:AF28)</x:f>
        <x:v>1831715.9476028115</x:v>
      </x:c>
      <x:c r="AG15" s="35" t="n">
        <x:f>SUM(AG27:AG28)</x:f>
        <x:v>1831715.9476028115</x:v>
      </x:c>
      <x:c r="AH15" s="35" t="n">
        <x:f>SUM(AH27:AH28)</x:f>
        <x:v>1831715.9476028115</x:v>
      </x:c>
      <x:c r="AI15" s="35" t="n">
        <x:f>SUM(AI27:AI28)</x:f>
        <x:v>1831715.9476028115</x:v>
      </x:c>
      <x:c r="AJ15" s="35" t="n">
        <x:f>SUM(AJ27:AJ28)</x:f>
        <x:v>1831715.9476028115</x:v>
      </x:c>
      <x:c r="AK15" s="35" t="n">
        <x:f>SUM(AK27:AK28)</x:f>
        <x:v>1831715.9476028115</x:v>
      </x:c>
      <x:c r="AL15" s="35" t="n">
        <x:f>SUM(AL27:AL28)</x:f>
        <x:v>1831715.9476028115</x:v>
      </x:c>
      <x:c r="AM15" s="35" t="n">
        <x:f>SUM(AM27:AM28)</x:f>
        <x:v>1831715.9476028115</x:v>
      </x:c>
      <x:c r="AN15" s="35" t="n">
        <x:f>SUM(AN27:AN28)</x:f>
        <x:v>1831715.9476028115</x:v>
      </x:c>
      <x:c r="AO15" s="35" t="n">
        <x:f>SUM(AO27:AO28)</x:f>
        <x:v>1831715.9476028115</x:v>
      </x:c>
      <x:c r="AP15" s="35" t="n">
        <x:f>SUM(AP27:AP28)</x:f>
        <x:v>1831715.9476028115</x:v>
      </x:c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</x:row>
    <x:row r="16" ht="19" customHeight="1">
      <x:c r="A16" s="1"/>
      <x:c r="B16" s="1"/>
      <x:c r="C16" s="42" t="str">
        <x:v>Ending gross CLAB</x:v>
      </x:c>
      <x:c r="D16" s="42"/>
      <x:c r="E16" s="43" t="n">
        <x:f>INDEX(G16:AP16,1,'Assumptions'!$E$7)</x:f>
        <x:v>32137802.317604598</x:v>
      </x:c>
      <x:c r="F16" s="42"/>
      <x:c r="G16" s="43" t="n">
        <x:f>G13+G11-G14-G15</x:f>
        <x:v>118940482.62911195</x:v>
      </x:c>
      <x:c r="H16" s="43" t="n">
        <x:f>H13+H11-H14-H15</x:f>
        <x:v>77424328.70795931</x:v>
      </x:c>
      <x:c r="I16" s="43" t="n">
        <x:f>I13+I11-I14-I15</x:f>
        <x:v>55397305.21810193</x:v>
      </x:c>
      <x:c r="J16" s="43" t="n">
        <x:f>J13+J11-J14-J15</x:f>
        <x:v>43597026.70267554</x:v>
      </x:c>
      <x:c r="K16" s="43" t="n">
        <x:f>K13+K11-K14-K15</x:f>
        <x:v>37404358.8798667</x:v>
      </x:c>
      <x:c r="L16" s="43" t="n">
        <x:f>L13+L11-L14-L15</x:f>
        <x:v>34300811.29751723</x:v>
      </x:c>
      <x:c r="M16" s="43" t="n">
        <x:f>M13+M11-M14-M15</x:f>
        <x:v>32868291.210574146</x:v>
      </x:c>
      <x:c r="N16" s="43" t="n">
        <x:f>N13+N11-N14-N15</x:f>
        <x:v>32297605.446619686</x:v>
      </x:c>
      <x:c r="O16" s="43" t="n">
        <x:f>O13+O11-O14-O15</x:f>
        <x:v>32137802.317604594</x:v>
      </x:c>
      <x:c r="P16" s="43" t="n">
        <x:f>P13+P11-P14-P15</x:f>
        <x:v>32137802.317604598</x:v>
      </x:c>
      <x:c r="Q16" s="43" t="n">
        <x:f>Q13+Q11-Q14-Q15</x:f>
        <x:v>32137802.317604598</x:v>
      </x:c>
      <x:c r="R16" s="43" t="n">
        <x:f>R13+R11-R14-R15</x:f>
        <x:v>32137802.317604598</x:v>
      </x:c>
      <x:c r="S16" s="43" t="n">
        <x:f>S13+S11-S14-S15</x:f>
        <x:v>32137802.317604598</x:v>
      </x:c>
      <x:c r="T16" s="43" t="n">
        <x:f>T13+T11-T14-T15</x:f>
        <x:v>32137802.317604598</x:v>
      </x:c>
      <x:c r="U16" s="43" t="n">
        <x:f>U13+U11-U14-U15</x:f>
        <x:v>32137802.317604598</x:v>
      </x:c>
      <x:c r="V16" s="43" t="n">
        <x:f>V13+V11-V14-V15</x:f>
        <x:v>32137802.317604598</x:v>
      </x:c>
      <x:c r="W16" s="43" t="n">
        <x:f>W13+W11-W14-W15</x:f>
        <x:v>32137802.317604598</x:v>
      </x:c>
      <x:c r="X16" s="43" t="n">
        <x:f>X13+X11-X14-X15</x:f>
        <x:v>32137802.317604598</x:v>
      </x:c>
      <x:c r="Y16" s="43" t="n">
        <x:f>Y13+Y11-Y14-Y15</x:f>
        <x:v>32137802.317604598</x:v>
      </x:c>
      <x:c r="Z16" s="43" t="n">
        <x:f>Z13+Z11-Z14-Z15</x:f>
        <x:v>32137802.317604598</x:v>
      </x:c>
      <x:c r="AA16" s="43" t="n">
        <x:f>AA13+AA11-AA14-AA15</x:f>
        <x:v>32137802.317604598</x:v>
      </x:c>
      <x:c r="AB16" s="43" t="n">
        <x:f>AB13+AB11-AB14-AB15</x:f>
        <x:v>32137802.317604598</x:v>
      </x:c>
      <x:c r="AC16" s="43" t="n">
        <x:f>AC13+AC11-AC14-AC15</x:f>
        <x:v>32137802.317604598</x:v>
      </x:c>
      <x:c r="AD16" s="43" t="n">
        <x:f>AD13+AD11-AD14-AD15</x:f>
        <x:v>32137802.317604598</x:v>
      </x:c>
      <x:c r="AE16" s="43" t="n">
        <x:f>AE13+AE11-AE14-AE15</x:f>
        <x:v>32137802.317604598</x:v>
      </x:c>
      <x:c r="AF16" s="43" t="n">
        <x:f>AF13+AF11-AF14-AF15</x:f>
        <x:v>32137802.317604598</x:v>
      </x:c>
      <x:c r="AG16" s="43" t="n">
        <x:f>AG13+AG11-AG14-AG15</x:f>
        <x:v>32137802.317604598</x:v>
      </x:c>
      <x:c r="AH16" s="43" t="n">
        <x:f>AH13+AH11-AH14-AH15</x:f>
        <x:v>32137802.317604598</x:v>
      </x:c>
      <x:c r="AI16" s="43" t="n">
        <x:f>AI13+AI11-AI14-AI15</x:f>
        <x:v>32137802.317604598</x:v>
      </x:c>
      <x:c r="AJ16" s="43" t="n">
        <x:f>AJ13+AJ11-AJ14-AJ15</x:f>
        <x:v>32137802.317604598</x:v>
      </x:c>
      <x:c r="AK16" s="43" t="n">
        <x:f>AK13+AK11-AK14-AK15</x:f>
        <x:v>32137802.317604598</x:v>
      </x:c>
      <x:c r="AL16" s="43" t="n">
        <x:f>AL13+AL11-AL14-AL15</x:f>
        <x:v>32137802.317604598</x:v>
      </x:c>
      <x:c r="AM16" s="43" t="n">
        <x:f>AM13+AM11-AM14-AM15</x:f>
        <x:v>32137802.317604598</x:v>
      </x:c>
      <x:c r="AN16" s="43" t="n">
        <x:f>AN13+AN11-AN14-AN15</x:f>
        <x:v>32137802.317604598</x:v>
      </x:c>
      <x:c r="AO16" s="43" t="n">
        <x:f>AO13+AO11-AO14-AO15</x:f>
        <x:v>32137802.317604598</x:v>
      </x:c>
      <x:c r="AP16" s="43" t="n">
        <x:f>AP13+AP11-AP14-AP15</x:f>
        <x:v>32137802.317604598</x:v>
      </x:c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</x:row>
    <x:row r="17" ht="19" customHeight="1">
      <x:c r="A17" s="1"/>
      <x:c r="B17" s="1"/>
      <x:c r="C17" s="2"/>
      <x:c r="D17" s="2"/>
      <x:c r="E17" s="35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</x:row>
    <x:row r="18" ht="19" customHeight="1">
      <x:c r="A18" s="1"/>
      <x:c r="B18" s="1"/>
      <x:c r="C18" s="2" t="str">
        <x:v>Beginning reserve</x:v>
      </x:c>
      <x:c r="D18" s="2"/>
      <x:c r="E18" s="35" t="n">
        <x:f>G18</x:f>
        <x:v>39237954.80147392</x:v>
      </x:c>
      <x:c r="F18" s="2"/>
      <x:c r="G18" s="35" t="n">
        <x:f>$E$48</x:f>
        <x:v>39237954.80147392</x:v>
      </x:c>
      <x:c r="H18" s="35" t="n">
        <x:f>G20</x:f>
        <x:v>22536591.0511775</x:v>
      </x:c>
      <x:c r="I18" s="35" t="n">
        <x:f>H20</x:f>
        <x:v>14549109.621198941</x:v>
      </x:c>
      <x:c r="J18" s="35" t="n">
        <x:f>I20</x:f>
        <x:v>10301373.244895335</x:v>
      </x:c>
      <x:c r="K18" s="35" t="n">
        <x:f>J20</x:f>
        <x:v>7997568.441788092</x:v>
      </x:c>
      <x:c r="L18" s="35" t="n">
        <x:f>K20</x:f>
        <x:v>6771616.496836759</x:v>
      </x:c>
      <x:c r="M18" s="35" t="n">
        <x:f>L20</x:f>
        <x:v>6148833.8436886575</x:v>
      </x:c>
      <x:c r="N18" s="35" t="n">
        <x:f>M20</x:f>
        <x:v>5851181.057508234</x:v>
      </x:c>
      <x:c r="O18" s="35" t="n">
        <x:f>N20</x:f>
        <x:v>5725666.683286923</x:v>
      </x:c>
      <x:c r="P18" s="35" t="n">
        <x:f>O20</x:f>
        <x:v>5689191.503476008</x:v>
      </x:c>
      <x:c r="Q18" s="35" t="n">
        <x:f>P20</x:f>
        <x:v>5689191.503476008</x:v>
      </x:c>
      <x:c r="R18" s="35" t="n">
        <x:f>Q20</x:f>
        <x:v>5689191.503476008</x:v>
      </x:c>
      <x:c r="S18" s="35" t="n">
        <x:f>R20</x:f>
        <x:v>5689191.503476008</x:v>
      </x:c>
      <x:c r="T18" s="35" t="n">
        <x:f>S20</x:f>
        <x:v>5689191.503476008</x:v>
      </x:c>
      <x:c r="U18" s="35" t="n">
        <x:f>T20</x:f>
        <x:v>5689191.503476008</x:v>
      </x:c>
      <x:c r="V18" s="35" t="n">
        <x:f>U20</x:f>
        <x:v>5689191.503476008</x:v>
      </x:c>
      <x:c r="W18" s="35" t="n">
        <x:f>V20</x:f>
        <x:v>5689191.503476008</x:v>
      </x:c>
      <x:c r="X18" s="35" t="n">
        <x:f>W20</x:f>
        <x:v>5689191.503476008</x:v>
      </x:c>
      <x:c r="Y18" s="35" t="n">
        <x:f>X20</x:f>
        <x:v>5689191.503476008</x:v>
      </x:c>
      <x:c r="Z18" s="35" t="n">
        <x:f>Y20</x:f>
        <x:v>5689191.503476008</x:v>
      </x:c>
      <x:c r="AA18" s="35" t="n">
        <x:f>Z20</x:f>
        <x:v>5689191.503476008</x:v>
      </x:c>
      <x:c r="AB18" s="35" t="n">
        <x:f>AA20</x:f>
        <x:v>5689191.503476008</x:v>
      </x:c>
      <x:c r="AC18" s="35" t="n">
        <x:f>AB20</x:f>
        <x:v>5689191.503476008</x:v>
      </x:c>
      <x:c r="AD18" s="35" t="n">
        <x:f>AC20</x:f>
        <x:v>5689191.503476008</x:v>
      </x:c>
      <x:c r="AE18" s="35" t="n">
        <x:f>AD20</x:f>
        <x:v>5689191.503476008</x:v>
      </x:c>
      <x:c r="AF18" s="35" t="n">
        <x:f>AE20</x:f>
        <x:v>5689191.503476008</x:v>
      </x:c>
      <x:c r="AG18" s="35" t="n">
        <x:f>AF20</x:f>
        <x:v>5689191.503476008</x:v>
      </x:c>
      <x:c r="AH18" s="35" t="n">
        <x:f>AG20</x:f>
        <x:v>5689191.503476008</x:v>
      </x:c>
      <x:c r="AI18" s="35" t="n">
        <x:f>AH20</x:f>
        <x:v>5689191.503476008</x:v>
      </x:c>
      <x:c r="AJ18" s="35" t="n">
        <x:f>AI20</x:f>
        <x:v>5689191.503476008</x:v>
      </x:c>
      <x:c r="AK18" s="35" t="n">
        <x:f>AJ20</x:f>
        <x:v>5689191.503476008</x:v>
      </x:c>
      <x:c r="AL18" s="35" t="n">
        <x:f>AK20</x:f>
        <x:v>5689191.503476008</x:v>
      </x:c>
      <x:c r="AM18" s="35" t="n">
        <x:f>AL20</x:f>
        <x:v>5689191.503476008</x:v>
      </x:c>
      <x:c r="AN18" s="35" t="n">
        <x:f>AM20</x:f>
        <x:v>5689191.503476008</x:v>
      </x:c>
      <x:c r="AO18" s="35" t="n">
        <x:f>AN20</x:f>
        <x:v>5689191.503476008</x:v>
      </x:c>
      <x:c r="AP18" s="35" t="n">
        <x:f>AO20</x:f>
        <x:v>5689191.503476008</x:v>
      </x:c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</x:row>
    <x:row r="19" ht="19" customHeight="1">
      <x:c r="A19" s="1"/>
      <x:c r="B19" s="1"/>
      <x:c r="C19" s="2" t="str">
        <x:v>New provision expense</x:v>
      </x:c>
      <x:c r="D19" s="2"/>
      <x:c r="E19" s="35" t="n">
        <x:f>SUMIFS(G19:AP19,$G$6:$AP$6,"&lt;="&amp;'Assumptions'!$E$7)</x:f>
        <x:v>43961182.74246747</x:v>
      </x:c>
      <x:c r="F19" s="2"/>
      <x:c r="G19" s="35" t="n">
        <x:f>G11*$E$49</x:f>
        <x:v>1831715.9476028113</x:v>
      </x:c>
      <x:c r="H19" s="35" t="n">
        <x:f>H11*$E$49</x:f>
        <x:v>1831715.9476028113</x:v>
      </x:c>
      <x:c r="I19" s="35" t="n">
        <x:f>I11*$E$49</x:f>
        <x:v>1831715.9476028113</x:v>
      </x:c>
      <x:c r="J19" s="35" t="n">
        <x:f>J11*$E$49</x:f>
        <x:v>1831715.9476028113</x:v>
      </x:c>
      <x:c r="K19" s="35" t="n">
        <x:f>K11*$E$49</x:f>
        <x:v>1831715.9476028113</x:v>
      </x:c>
      <x:c r="L19" s="35" t="n">
        <x:f>L11*$E$49</x:f>
        <x:v>1831715.9476028113</x:v>
      </x:c>
      <x:c r="M19" s="35" t="n">
        <x:f>M11*$E$49</x:f>
        <x:v>1831715.9476028113</x:v>
      </x:c>
      <x:c r="N19" s="35" t="n">
        <x:f>N11*$E$49</x:f>
        <x:v>1831715.9476028113</x:v>
      </x:c>
      <x:c r="O19" s="35" t="n">
        <x:f>O11*$E$49</x:f>
        <x:v>1831715.9476028113</x:v>
      </x:c>
      <x:c r="P19" s="35" t="n">
        <x:f>P11*$E$49</x:f>
        <x:v>1831715.9476028113</x:v>
      </x:c>
      <x:c r="Q19" s="35" t="n">
        <x:f>Q11*$E$49</x:f>
        <x:v>1831715.9476028113</x:v>
      </x:c>
      <x:c r="R19" s="35" t="n">
        <x:f>R11*$E$49</x:f>
        <x:v>1831715.9476028113</x:v>
      </x:c>
      <x:c r="S19" s="35" t="n">
        <x:f>S11*$E$49</x:f>
        <x:v>1831715.9476028113</x:v>
      </x:c>
      <x:c r="T19" s="35" t="n">
        <x:f>T11*$E$49</x:f>
        <x:v>1831715.9476028113</x:v>
      </x:c>
      <x:c r="U19" s="35" t="n">
        <x:f>U11*$E$49</x:f>
        <x:v>1831715.9476028113</x:v>
      </x:c>
      <x:c r="V19" s="35" t="n">
        <x:f>V11*$E$49</x:f>
        <x:v>1831715.9476028113</x:v>
      </x:c>
      <x:c r="W19" s="35" t="n">
        <x:f>W11*$E$49</x:f>
        <x:v>1831715.9476028113</x:v>
      </x:c>
      <x:c r="X19" s="35" t="n">
        <x:f>X11*$E$49</x:f>
        <x:v>1831715.9476028113</x:v>
      </x:c>
      <x:c r="Y19" s="35" t="n">
        <x:f>Y11*$E$49</x:f>
        <x:v>1831715.9476028113</x:v>
      </x:c>
      <x:c r="Z19" s="35" t="n">
        <x:f>Z11*$E$49</x:f>
        <x:v>1831715.9476028113</x:v>
      </x:c>
      <x:c r="AA19" s="35" t="n">
        <x:f>AA11*$E$49</x:f>
        <x:v>1831715.9476028113</x:v>
      </x:c>
      <x:c r="AB19" s="35" t="n">
        <x:f>AB11*$E$49</x:f>
        <x:v>1831715.9476028113</x:v>
      </x:c>
      <x:c r="AC19" s="35" t="n">
        <x:f>AC11*$E$49</x:f>
        <x:v>1831715.9476028113</x:v>
      </x:c>
      <x:c r="AD19" s="35" t="n">
        <x:f>AD11*$E$49</x:f>
        <x:v>1831715.9476028113</x:v>
      </x:c>
      <x:c r="AE19" s="35" t="n">
        <x:f>AE11*$E$49</x:f>
        <x:v>1831715.9476028113</x:v>
      </x:c>
      <x:c r="AF19" s="35" t="n">
        <x:f>AF11*$E$49</x:f>
        <x:v>1831715.9476028113</x:v>
      </x:c>
      <x:c r="AG19" s="35" t="n">
        <x:f>AG11*$E$49</x:f>
        <x:v>1831715.9476028113</x:v>
      </x:c>
      <x:c r="AH19" s="35" t="n">
        <x:f>AH11*$E$49</x:f>
        <x:v>1831715.9476028113</x:v>
      </x:c>
      <x:c r="AI19" s="35" t="n">
        <x:f>AI11*$E$49</x:f>
        <x:v>1831715.9476028113</x:v>
      </x:c>
      <x:c r="AJ19" s="35" t="n">
        <x:f>AJ11*$E$49</x:f>
        <x:v>1831715.9476028113</x:v>
      </x:c>
      <x:c r="AK19" s="35" t="n">
        <x:f>AK11*$E$49</x:f>
        <x:v>1831715.9476028113</x:v>
      </x:c>
      <x:c r="AL19" s="35" t="n">
        <x:f>AL11*$E$49</x:f>
        <x:v>1831715.9476028113</x:v>
      </x:c>
      <x:c r="AM19" s="35" t="n">
        <x:f>AM11*$E$49</x:f>
        <x:v>1831715.9476028113</x:v>
      </x:c>
      <x:c r="AN19" s="35" t="n">
        <x:f>AN11*$E$49</x:f>
        <x:v>1831715.9476028113</x:v>
      </x:c>
      <x:c r="AO19" s="35" t="n">
        <x:f>AO11*$E$49</x:f>
        <x:v>1831715.9476028113</x:v>
      </x:c>
      <x:c r="AP19" s="35" t="n">
        <x:f>AP11*$E$49</x:f>
        <x:v>1831715.9476028113</x:v>
      </x:c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</x:row>
    <x:row r="20" ht="19" customHeight="1">
      <x:c r="A20" s="1"/>
      <x:c r="B20" s="1"/>
      <x:c r="C20" s="42" t="str">
        <x:v>Ending reserve</x:v>
      </x:c>
      <x:c r="D20" s="42"/>
      <x:c r="E20" s="43" t="n">
        <x:f>INDEX(G20:AP20,1,'Assumptions'!$E$7)</x:f>
        <x:v>5689191.503476008</x:v>
      </x:c>
      <x:c r="F20" s="42"/>
      <x:c r="G20" s="43" t="n">
        <x:f>G18+G19-G15</x:f>
        <x:v>22536591.0511775</x:v>
      </x:c>
      <x:c r="H20" s="43" t="n">
        <x:f>H18+H19-H15</x:f>
        <x:v>14549109.621198941</x:v>
      </x:c>
      <x:c r="I20" s="43" t="n">
        <x:f>I18+I19-I15</x:f>
        <x:v>10301373.244895335</x:v>
      </x:c>
      <x:c r="J20" s="43" t="n">
        <x:f>J18+J19-J15</x:f>
        <x:v>7997568.441788092</x:v>
      </x:c>
      <x:c r="K20" s="43" t="n">
        <x:f>K18+K19-K15</x:f>
        <x:v>6771616.496836759</x:v>
      </x:c>
      <x:c r="L20" s="43" t="n">
        <x:f>L18+L19-L15</x:f>
        <x:v>6148833.8436886575</x:v>
      </x:c>
      <x:c r="M20" s="43" t="n">
        <x:f>M18+M19-M15</x:f>
        <x:v>5851181.057508234</x:v>
      </x:c>
      <x:c r="N20" s="43" t="n">
        <x:f>N18+N19-N15</x:f>
        <x:v>5725666.683286923</x:v>
      </x:c>
      <x:c r="O20" s="43" t="n">
        <x:f>O18+O19-O15</x:f>
        <x:v>5689191.503476008</x:v>
      </x:c>
      <x:c r="P20" s="43" t="n">
        <x:f>P18+P19-P15</x:f>
        <x:v>5689191.503476008</x:v>
      </x:c>
      <x:c r="Q20" s="43" t="n">
        <x:f>Q18+Q19-Q15</x:f>
        <x:v>5689191.503476008</x:v>
      </x:c>
      <x:c r="R20" s="43" t="n">
        <x:f>R18+R19-R15</x:f>
        <x:v>5689191.503476008</x:v>
      </x:c>
      <x:c r="S20" s="43" t="n">
        <x:f>S18+S19-S15</x:f>
        <x:v>5689191.503476008</x:v>
      </x:c>
      <x:c r="T20" s="43" t="n">
        <x:f>T18+T19-T15</x:f>
        <x:v>5689191.503476008</x:v>
      </x:c>
      <x:c r="U20" s="43" t="n">
        <x:f>U18+U19-U15</x:f>
        <x:v>5689191.503476008</x:v>
      </x:c>
      <x:c r="V20" s="43" t="n">
        <x:f>V18+V19-V15</x:f>
        <x:v>5689191.503476008</x:v>
      </x:c>
      <x:c r="W20" s="43" t="n">
        <x:f>W18+W19-W15</x:f>
        <x:v>5689191.503476008</x:v>
      </x:c>
      <x:c r="X20" s="43" t="n">
        <x:f>X18+X19-X15</x:f>
        <x:v>5689191.503476008</x:v>
      </x:c>
      <x:c r="Y20" s="43" t="n">
        <x:f>Y18+Y19-Y15</x:f>
        <x:v>5689191.503476008</x:v>
      </x:c>
      <x:c r="Z20" s="43" t="n">
        <x:f>Z18+Z19-Z15</x:f>
        <x:v>5689191.503476008</x:v>
      </x:c>
      <x:c r="AA20" s="43" t="n">
        <x:f>AA18+AA19-AA15</x:f>
        <x:v>5689191.503476008</x:v>
      </x:c>
      <x:c r="AB20" s="43" t="n">
        <x:f>AB18+AB19-AB15</x:f>
        <x:v>5689191.503476008</x:v>
      </x:c>
      <x:c r="AC20" s="43" t="n">
        <x:f>AC18+AC19-AC15</x:f>
        <x:v>5689191.503476008</x:v>
      </x:c>
      <x:c r="AD20" s="43" t="n">
        <x:f>AD18+AD19-AD15</x:f>
        <x:v>5689191.503476008</x:v>
      </x:c>
      <x:c r="AE20" s="43" t="n">
        <x:f>AE18+AE19-AE15</x:f>
        <x:v>5689191.503476008</x:v>
      </x:c>
      <x:c r="AF20" s="43" t="n">
        <x:f>AF18+AF19-AF15</x:f>
        <x:v>5689191.503476008</x:v>
      </x:c>
      <x:c r="AG20" s="43" t="n">
        <x:f>AG18+AG19-AG15</x:f>
        <x:v>5689191.503476008</x:v>
      </x:c>
      <x:c r="AH20" s="43" t="n">
        <x:f>AH18+AH19-AH15</x:f>
        <x:v>5689191.503476008</x:v>
      </x:c>
      <x:c r="AI20" s="43" t="n">
        <x:f>AI18+AI19-AI15</x:f>
        <x:v>5689191.503476008</x:v>
      </x:c>
      <x:c r="AJ20" s="43" t="n">
        <x:f>AJ18+AJ19-AJ15</x:f>
        <x:v>5689191.503476008</x:v>
      </x:c>
      <x:c r="AK20" s="43" t="n">
        <x:f>AK18+AK19-AK15</x:f>
        <x:v>5689191.503476008</x:v>
      </x:c>
      <x:c r="AL20" s="43" t="n">
        <x:f>AL18+AL19-AL15</x:f>
        <x:v>5689191.503476008</x:v>
      </x:c>
      <x:c r="AM20" s="43" t="n">
        <x:f>AM18+AM19-AM15</x:f>
        <x:v>5689191.503476008</x:v>
      </x:c>
      <x:c r="AN20" s="43" t="n">
        <x:f>AN18+AN19-AN15</x:f>
        <x:v>5689191.503476008</x:v>
      </x:c>
      <x:c r="AO20" s="43" t="n">
        <x:f>AO18+AO19-AO15</x:f>
        <x:v>5689191.503476008</x:v>
      </x:c>
      <x:c r="AP20" s="43" t="n">
        <x:f>AP18+AP19-AP15</x:f>
        <x:v>5689191.503476008</x:v>
      </x:c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</x:row>
    <x:row r="21" ht="19" customHeight="1">
      <x:c r="A21" s="1"/>
      <x:c r="B21" s="1"/>
      <x:c r="C21" s="42" t="str">
        <x:v>Net CLAB</x:v>
      </x:c>
      <x:c r="D21" s="42"/>
      <x:c r="E21" s="43" t="n">
        <x:f>INDEX(G21:AP21,1,'Assumptions'!$E$7)</x:f>
        <x:v>26448610.81412859</x:v>
      </x:c>
      <x:c r="F21" s="42"/>
      <x:c r="G21" s="43" t="n">
        <x:f>G16-G20</x:f>
        <x:v>96403891.57793444</x:v>
      </x:c>
      <x:c r="H21" s="43" t="n">
        <x:f>H16-H20</x:f>
        <x:v>62875219.08676037</x:v>
      </x:c>
      <x:c r="I21" s="43" t="n">
        <x:f>I16-I20</x:f>
        <x:v>45095931.973206595</x:v>
      </x:c>
      <x:c r="J21" s="43" t="n">
        <x:f>J16-J20</x:f>
        <x:v>35599458.260887444</x:v>
      </x:c>
      <x:c r="K21" s="43" t="n">
        <x:f>K16-K20</x:f>
        <x:v>30632742.383029938</x:v>
      </x:c>
      <x:c r="L21" s="43" t="n">
        <x:f>L16-L20</x:f>
        <x:v>28151977.453828573</x:v>
      </x:c>
      <x:c r="M21" s="43" t="n">
        <x:f>M16-M20</x:f>
        <x:v>27017110.153065912</x:v>
      </x:c>
      <x:c r="N21" s="43" t="n">
        <x:f>N16-N20</x:f>
        <x:v>26571938.76333276</x:v>
      </x:c>
      <x:c r="O21" s="43" t="n">
        <x:f>O16-O20</x:f>
        <x:v>26448610.814128585</x:v>
      </x:c>
      <x:c r="P21" s="43" t="n">
        <x:f>P16-P20</x:f>
        <x:v>26448610.81412859</x:v>
      </x:c>
      <x:c r="Q21" s="43" t="n">
        <x:f>Q16-Q20</x:f>
        <x:v>26448610.81412859</x:v>
      </x:c>
      <x:c r="R21" s="43" t="n">
        <x:f>R16-R20</x:f>
        <x:v>26448610.81412859</x:v>
      </x:c>
      <x:c r="S21" s="43" t="n">
        <x:f>S16-S20</x:f>
        <x:v>26448610.81412859</x:v>
      </x:c>
      <x:c r="T21" s="43" t="n">
        <x:f>T16-T20</x:f>
        <x:v>26448610.81412859</x:v>
      </x:c>
      <x:c r="U21" s="43" t="n">
        <x:f>U16-U20</x:f>
        <x:v>26448610.81412859</x:v>
      </x:c>
      <x:c r="V21" s="43" t="n">
        <x:f>V16-V20</x:f>
        <x:v>26448610.81412859</x:v>
      </x:c>
      <x:c r="W21" s="43" t="n">
        <x:f>W16-W20</x:f>
        <x:v>26448610.81412859</x:v>
      </x:c>
      <x:c r="X21" s="43" t="n">
        <x:f>X16-X20</x:f>
        <x:v>26448610.81412859</x:v>
      </x:c>
      <x:c r="Y21" s="43" t="n">
        <x:f>Y16-Y20</x:f>
        <x:v>26448610.81412859</x:v>
      </x:c>
      <x:c r="Z21" s="43" t="n">
        <x:f>Z16-Z20</x:f>
        <x:v>26448610.81412859</x:v>
      </x:c>
      <x:c r="AA21" s="43" t="n">
        <x:f>AA16-AA20</x:f>
        <x:v>26448610.81412859</x:v>
      </x:c>
      <x:c r="AB21" s="43" t="n">
        <x:f>AB16-AB20</x:f>
        <x:v>26448610.81412859</x:v>
      </x:c>
      <x:c r="AC21" s="43" t="n">
        <x:f>AC16-AC20</x:f>
        <x:v>26448610.81412859</x:v>
      </x:c>
      <x:c r="AD21" s="43" t="n">
        <x:f>AD16-AD20</x:f>
        <x:v>26448610.81412859</x:v>
      </x:c>
      <x:c r="AE21" s="43" t="n">
        <x:f>AE16-AE20</x:f>
        <x:v>26448610.81412859</x:v>
      </x:c>
      <x:c r="AF21" s="43" t="n">
        <x:f>AF16-AF20</x:f>
        <x:v>26448610.81412859</x:v>
      </x:c>
      <x:c r="AG21" s="43" t="n">
        <x:f>AG16-AG20</x:f>
        <x:v>26448610.81412859</x:v>
      </x:c>
      <x:c r="AH21" s="43" t="n">
        <x:f>AH16-AH20</x:f>
        <x:v>26448610.81412859</x:v>
      </x:c>
      <x:c r="AI21" s="43" t="n">
        <x:f>AI16-AI20</x:f>
        <x:v>26448610.81412859</x:v>
      </x:c>
      <x:c r="AJ21" s="43" t="n">
        <x:f>AJ16-AJ20</x:f>
        <x:v>26448610.81412859</x:v>
      </x:c>
      <x:c r="AK21" s="43" t="n">
        <x:f>AK16-AK20</x:f>
        <x:v>26448610.81412859</x:v>
      </x:c>
      <x:c r="AL21" s="43" t="n">
        <x:f>AL16-AL20</x:f>
        <x:v>26448610.81412859</x:v>
      </x:c>
      <x:c r="AM21" s="43" t="n">
        <x:f>AM16-AM20</x:f>
        <x:v>26448610.81412859</x:v>
      </x:c>
      <x:c r="AN21" s="43" t="n">
        <x:f>AN16-AN20</x:f>
        <x:v>26448610.81412859</x:v>
      </x:c>
      <x:c r="AO21" s="43" t="n">
        <x:f>AO16-AO20</x:f>
        <x:v>26448610.81412859</x:v>
      </x:c>
      <x:c r="AP21" s="43" t="n">
        <x:f>AP16-AP20</x:f>
        <x:v>26448610.81412859</x:v>
      </x:c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</x:row>
    <x:row r="22" ht="19" customHeight="1">
      <x:c r="A22" s="1"/>
      <x:c r="B22" s="1"/>
      <x:c r="C22" s="2"/>
      <x:c r="D22" s="2"/>
      <x:c r="E22" s="35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</x:row>
    <x:row r="23" ht="19" customHeight="1">
      <x:c r="A23" s="1"/>
      <x:c r="B23" s="1"/>
      <x:c r="C23" s="2" t="str">
        <x:v>Annual yield</x:v>
      </x:c>
      <x:c r="D23" s="2"/>
      <x:c r="E23" s="35"/>
      <x:c r="F23" s="2"/>
      <x:c r="G23" s="33" t="n">
        <x:f>'Assumptions'!$E$15</x:f>
        <x:v>1</x:v>
      </x:c>
      <x:c r="H23" s="33" t="n">
        <x:f>'Assumptions'!$E$15</x:f>
        <x:v>1</x:v>
      </x:c>
      <x:c r="I23" s="33" t="n">
        <x:f>'Assumptions'!$E$15</x:f>
        <x:v>1</x:v>
      </x:c>
      <x:c r="J23" s="33" t="n">
        <x:f>'Assumptions'!$E$15</x:f>
        <x:v>1</x:v>
      </x:c>
      <x:c r="K23" s="33" t="n">
        <x:f>'Assumptions'!$E$15</x:f>
        <x:v>1</x:v>
      </x:c>
      <x:c r="L23" s="33" t="n">
        <x:f>'Assumptions'!$E$15</x:f>
        <x:v>1</x:v>
      </x:c>
      <x:c r="M23" s="33" t="n">
        <x:f>'Assumptions'!$E$15</x:f>
        <x:v>1</x:v>
      </x:c>
      <x:c r="N23" s="33" t="n">
        <x:f>'Assumptions'!$E$15</x:f>
        <x:v>1</x:v>
      </x:c>
      <x:c r="O23" s="33" t="n">
        <x:f>'Assumptions'!$E$15</x:f>
        <x:v>1</x:v>
      </x:c>
      <x:c r="P23" s="33" t="n">
        <x:f>'Assumptions'!$E$15</x:f>
        <x:v>1</x:v>
      </x:c>
      <x:c r="Q23" s="33" t="n">
        <x:f>'Assumptions'!$E$15</x:f>
        <x:v>1</x:v>
      </x:c>
      <x:c r="R23" s="33" t="n">
        <x:f>'Assumptions'!$E$15</x:f>
        <x:v>1</x:v>
      </x:c>
      <x:c r="S23" s="33" t="n">
        <x:f>'Assumptions'!$E$15</x:f>
        <x:v>1</x:v>
      </x:c>
      <x:c r="T23" s="33" t="n">
        <x:f>'Assumptions'!$E$15</x:f>
        <x:v>1</x:v>
      </x:c>
      <x:c r="U23" s="33" t="n">
        <x:f>'Assumptions'!$E$15</x:f>
        <x:v>1</x:v>
      </x:c>
      <x:c r="V23" s="33" t="n">
        <x:f>'Assumptions'!$E$15</x:f>
        <x:v>1</x:v>
      </x:c>
      <x:c r="W23" s="33" t="n">
        <x:f>'Assumptions'!$E$15</x:f>
        <x:v>1</x:v>
      </x:c>
      <x:c r="X23" s="33" t="n">
        <x:f>'Assumptions'!$E$15</x:f>
        <x:v>1</x:v>
      </x:c>
      <x:c r="Y23" s="33" t="n">
        <x:f>'Assumptions'!$E$15</x:f>
        <x:v>1</x:v>
      </x:c>
      <x:c r="Z23" s="33" t="n">
        <x:f>'Assumptions'!$E$15</x:f>
        <x:v>1</x:v>
      </x:c>
      <x:c r="AA23" s="33" t="n">
        <x:f>'Assumptions'!$E$15</x:f>
        <x:v>1</x:v>
      </x:c>
      <x:c r="AB23" s="33" t="n">
        <x:f>'Assumptions'!$E$15</x:f>
        <x:v>1</x:v>
      </x:c>
      <x:c r="AC23" s="33" t="n">
        <x:f>'Assumptions'!$E$15</x:f>
        <x:v>1</x:v>
      </x:c>
      <x:c r="AD23" s="33" t="n">
        <x:f>'Assumptions'!$E$15</x:f>
        <x:v>1</x:v>
      </x:c>
      <x:c r="AE23" s="33" t="n">
        <x:f>'Assumptions'!$E$15</x:f>
        <x:v>1</x:v>
      </x:c>
      <x:c r="AF23" s="33" t="n">
        <x:f>'Assumptions'!$E$15</x:f>
        <x:v>1</x:v>
      </x:c>
      <x:c r="AG23" s="33" t="n">
        <x:f>'Assumptions'!$E$15</x:f>
        <x:v>1</x:v>
      </x:c>
      <x:c r="AH23" s="33" t="n">
        <x:f>'Assumptions'!$E$15</x:f>
        <x:v>1</x:v>
      </x:c>
      <x:c r="AI23" s="33" t="n">
        <x:f>'Assumptions'!$E$15</x:f>
        <x:v>1</x:v>
      </x:c>
      <x:c r="AJ23" s="33" t="n">
        <x:f>'Assumptions'!$E$15</x:f>
        <x:v>1</x:v>
      </x:c>
      <x:c r="AK23" s="33" t="n">
        <x:f>'Assumptions'!$E$15</x:f>
        <x:v>1</x:v>
      </x:c>
      <x:c r="AL23" s="33" t="n">
        <x:f>'Assumptions'!$E$15</x:f>
        <x:v>1</x:v>
      </x:c>
      <x:c r="AM23" s="33" t="n">
        <x:f>'Assumptions'!$E$15</x:f>
        <x:v>1</x:v>
      </x:c>
      <x:c r="AN23" s="33" t="n">
        <x:f>'Assumptions'!$E$15</x:f>
        <x:v>1</x:v>
      </x:c>
      <x:c r="AO23" s="33" t="n">
        <x:f>'Assumptions'!$E$15</x:f>
        <x:v>1</x:v>
      </x:c>
      <x:c r="AP23" s="33" t="n">
        <x:f>'Assumptions'!$E$15</x:f>
        <x:v>1</x:v>
      </x:c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</x:row>
    <x:row r="24" ht="19" customHeight="1">
      <x:c r="A24" s="1"/>
      <x:c r="B24" s="1"/>
      <x:c r="C24" s="42" t="str">
        <x:v>Revenue</x:v>
      </x:c>
      <x:c r="D24" s="42"/>
      <x:c r="E24" s="43" t="n">
        <x:f>SUMIFS(G24:AP24,$G$6:$AP$6,"&lt;="&amp;'Assumptions'!$E$7)</x:f>
        <x:v>86772274.90133587</x:v>
      </x:c>
      <x:c r="F24" s="42"/>
      <x:c r="G24" s="43" t="n">
        <x:f>(G13-G15)*G23/12</x:f>
        <x:v>15495576.69184173</x:v>
      </x:c>
      <x:c r="H24" s="43" t="n">
        <x:f>(H13-H15)*H23/12</x:f>
        <x:v>9093440.437627548</x:v>
      </x:c>
      <x:c r="I24" s="43" t="n">
        <x:f>(I13-I15)*I23/12</x:f>
        <x:v>5945406.365337741</x:v>
      </x:c>
      <x:c r="J24" s="43" t="n">
        <x:f>(J13-J15)*J23/12</x:f>
        <x:v>4271815.372282657</x:v>
      </x:c>
      <x:c r="K24" s="43" t="n">
        <x:f>(K13-K15)*K23/12</x:f>
        <x:v>3378279.9008434494</x:v>
      </x:c>
      <x:c r="L24" s="43" t="n">
        <x:f>(L13-L15)*L23/12</x:f>
        <x:v>2912488.3565929816</x:v>
      </x:c>
      <x:c r="M24" s="43" t="n">
        <x:f>(M13-M15)*M23/12</x:f>
        <x:v>2680953.5469778334</x:v>
      </x:c>
      <x:c r="N24" s="43" t="n">
        <x:f>(N13-N15)*N23/12</x:f>
        <x:v>2575921.7407291685</x:v>
      </x:c>
      <x:c r="O24" s="43" t="n">
        <x:f>(O13-O15)*O23/12</x:f>
        <x:v>2535784.5266004964</x:v>
      </x:c>
      <x:c r="P24" s="43" t="n">
        <x:f>(P13-P15)*P23/12</x:f>
        <x:v>2525507.1975001483</x:v>
      </x:c>
      <x:c r="Q24" s="43" t="n">
        <x:f>(Q13-Q15)*Q23/12</x:f>
        <x:v>2525507.197500149</x:v>
      </x:c>
      <x:c r="R24" s="43" t="n">
        <x:f>(R13-R15)*R23/12</x:f>
        <x:v>2525507.197500149</x:v>
      </x:c>
      <x:c r="S24" s="43" t="n">
        <x:f>(S13-S15)*S23/12</x:f>
        <x:v>2525507.197500149</x:v>
      </x:c>
      <x:c r="T24" s="43" t="n">
        <x:f>(T13-T15)*T23/12</x:f>
        <x:v>2525507.197500149</x:v>
      </x:c>
      <x:c r="U24" s="43" t="n">
        <x:f>(U13-U15)*U23/12</x:f>
        <x:v>2525507.197500149</x:v>
      </x:c>
      <x:c r="V24" s="43" t="n">
        <x:f>(V13-V15)*V23/12</x:f>
        <x:v>2525507.197500149</x:v>
      </x:c>
      <x:c r="W24" s="43" t="n">
        <x:f>(W13-W15)*W23/12</x:f>
        <x:v>2525507.197500149</x:v>
      </x:c>
      <x:c r="X24" s="43" t="n">
        <x:f>(X13-X15)*X23/12</x:f>
        <x:v>2525507.197500149</x:v>
      </x:c>
      <x:c r="Y24" s="43" t="n">
        <x:f>(Y13-Y15)*Y23/12</x:f>
        <x:v>2525507.197500149</x:v>
      </x:c>
      <x:c r="Z24" s="43" t="n">
        <x:f>(Z13-Z15)*Z23/12</x:f>
        <x:v>2525507.197500149</x:v>
      </x:c>
      <x:c r="AA24" s="43" t="n">
        <x:f>(AA13-AA15)*AA23/12</x:f>
        <x:v>2525507.197500149</x:v>
      </x:c>
      <x:c r="AB24" s="43" t="n">
        <x:f>(AB13-AB15)*AB23/12</x:f>
        <x:v>2525507.197500149</x:v>
      </x:c>
      <x:c r="AC24" s="43" t="n">
        <x:f>(AC13-AC15)*AC23/12</x:f>
        <x:v>2525507.197500149</x:v>
      </x:c>
      <x:c r="AD24" s="43" t="n">
        <x:f>(AD13-AD15)*AD23/12</x:f>
        <x:v>2525507.197500149</x:v>
      </x:c>
      <x:c r="AE24" s="43" t="n">
        <x:f>(AE13-AE15)*AE23/12</x:f>
        <x:v>2525507.197500149</x:v>
      </x:c>
      <x:c r="AF24" s="43" t="n">
        <x:f>(AF13-AF15)*AF23/12</x:f>
        <x:v>2525507.197500149</x:v>
      </x:c>
      <x:c r="AG24" s="43" t="n">
        <x:f>(AG13-AG15)*AG23/12</x:f>
        <x:v>2525507.197500149</x:v>
      </x:c>
      <x:c r="AH24" s="43" t="n">
        <x:f>(AH13-AH15)*AH23/12</x:f>
        <x:v>2525507.197500149</x:v>
      </x:c>
      <x:c r="AI24" s="43" t="n">
        <x:f>(AI13-AI15)*AI23/12</x:f>
        <x:v>2525507.197500149</x:v>
      </x:c>
      <x:c r="AJ24" s="43" t="n">
        <x:f>(AJ13-AJ15)*AJ23/12</x:f>
        <x:v>2525507.197500149</x:v>
      </x:c>
      <x:c r="AK24" s="43" t="n">
        <x:f>(AK13-AK15)*AK23/12</x:f>
        <x:v>2525507.197500149</x:v>
      </x:c>
      <x:c r="AL24" s="43" t="n">
        <x:f>(AL13-AL15)*AL23/12</x:f>
        <x:v>2525507.197500149</x:v>
      </x:c>
      <x:c r="AM24" s="43" t="n">
        <x:f>(AM13-AM15)*AM23/12</x:f>
        <x:v>2525507.197500149</x:v>
      </x:c>
      <x:c r="AN24" s="43" t="n">
        <x:f>(AN13-AN15)*AN23/12</x:f>
        <x:v>2525507.197500149</x:v>
      </x:c>
      <x:c r="AO24" s="43" t="n">
        <x:f>(AO13-AO15)*AO23/12</x:f>
        <x:v>2525507.197500149</x:v>
      </x:c>
      <x:c r="AP24" s="43" t="n">
        <x:f>(AP13-AP15)*AP23/12</x:f>
        <x:v>2525507.197500149</x:v>
      </x:c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</x:row>
    <x:row r="25" ht="19" customHeight="1">
      <x:c r="A25" s="1"/>
      <x:c r="B25" s="1"/>
      <x:c r="C25" s="46" t="str">
        <x:v>Net revenue</x:v>
      </x:c>
      <x:c r="D25" s="46"/>
      <x:c r="E25" s="47" t="n">
        <x:f>SUMIFS(G25:AP25,$G$6:$AP$6,"&lt;="&amp;'Assumptions'!$E$7)</x:f>
        <x:v>42811092.15886838</x:v>
      </x:c>
      <x:c r="F25" s="46"/>
      <x:c r="G25" s="47" t="n">
        <x:f>G24-G19</x:f>
        <x:v>13663860.74423892</x:v>
      </x:c>
      <x:c r="H25" s="47" t="n">
        <x:f>H24-H19</x:f>
        <x:v>7261724.490024737</x:v>
      </x:c>
      <x:c r="I25" s="47" t="n">
        <x:f>I24-I19</x:f>
        <x:v>4113690.4177349294</x:v>
      </x:c>
      <x:c r="J25" s="47" t="n">
        <x:f>J24-J19</x:f>
        <x:v>2440099.4246798456</x:v>
      </x:c>
      <x:c r="K25" s="47" t="n">
        <x:f>K24-K19</x:f>
        <x:v>1546563.9532406381</x:v>
      </x:c>
      <x:c r="L25" s="47" t="n">
        <x:f>L24-L19</x:f>
        <x:v>1080772.4089901703</x:v>
      </x:c>
      <x:c r="M25" s="47" t="n">
        <x:f>M24-M19</x:f>
        <x:v>849237.5993750221</x:v>
      </x:c>
      <x:c r="N25" s="47" t="n">
        <x:f>N24-N19</x:f>
        <x:v>744205.7931263573</x:v>
      </x:c>
      <x:c r="O25" s="47" t="n">
        <x:f>O24-O19</x:f>
        <x:v>704068.5789976851</x:v>
      </x:c>
      <x:c r="P25" s="47" t="n">
        <x:f>P24-P19</x:f>
        <x:v>693791.249897337</x:v>
      </x:c>
      <x:c r="Q25" s="47" t="n">
        <x:f>Q24-Q19</x:f>
        <x:v>693791.2498973375</x:v>
      </x:c>
      <x:c r="R25" s="47" t="n">
        <x:f>R24-R19</x:f>
        <x:v>693791.2498973375</x:v>
      </x:c>
      <x:c r="S25" s="47" t="n">
        <x:f>S24-S19</x:f>
        <x:v>693791.2498973375</x:v>
      </x:c>
      <x:c r="T25" s="47" t="n">
        <x:f>T24-T19</x:f>
        <x:v>693791.2498973375</x:v>
      </x:c>
      <x:c r="U25" s="47" t="n">
        <x:f>U24-U19</x:f>
        <x:v>693791.2498973375</x:v>
      </x:c>
      <x:c r="V25" s="47" t="n">
        <x:f>V24-V19</x:f>
        <x:v>693791.2498973375</x:v>
      </x:c>
      <x:c r="W25" s="47" t="n">
        <x:f>W24-W19</x:f>
        <x:v>693791.2498973375</x:v>
      </x:c>
      <x:c r="X25" s="47" t="n">
        <x:f>X24-X19</x:f>
        <x:v>693791.2498973375</x:v>
      </x:c>
      <x:c r="Y25" s="47" t="n">
        <x:f>Y24-Y19</x:f>
        <x:v>693791.2498973375</x:v>
      </x:c>
      <x:c r="Z25" s="47" t="n">
        <x:f>Z24-Z19</x:f>
        <x:v>693791.2498973375</x:v>
      </x:c>
      <x:c r="AA25" s="47" t="n">
        <x:f>AA24-AA19</x:f>
        <x:v>693791.2498973375</x:v>
      </x:c>
      <x:c r="AB25" s="47" t="n">
        <x:f>AB24-AB19</x:f>
        <x:v>693791.2498973375</x:v>
      </x:c>
      <x:c r="AC25" s="47" t="n">
        <x:f>AC24-AC19</x:f>
        <x:v>693791.2498973375</x:v>
      </x:c>
      <x:c r="AD25" s="47" t="n">
        <x:f>AD24-AD19</x:f>
        <x:v>693791.2498973375</x:v>
      </x:c>
      <x:c r="AE25" s="47" t="n">
        <x:f>AE24-AE19</x:f>
        <x:v>693791.2498973375</x:v>
      </x:c>
      <x:c r="AF25" s="47" t="n">
        <x:f>AF24-AF19</x:f>
        <x:v>693791.2498973375</x:v>
      </x:c>
      <x:c r="AG25" s="47" t="n">
        <x:f>AG24-AG19</x:f>
        <x:v>693791.2498973375</x:v>
      </x:c>
      <x:c r="AH25" s="47" t="n">
        <x:f>AH24-AH19</x:f>
        <x:v>693791.2498973375</x:v>
      </x:c>
      <x:c r="AI25" s="47" t="n">
        <x:f>AI24-AI19</x:f>
        <x:v>693791.2498973375</x:v>
      </x:c>
      <x:c r="AJ25" s="47" t="n">
        <x:f>AJ24-AJ19</x:f>
        <x:v>693791.2498973375</x:v>
      </x:c>
      <x:c r="AK25" s="47" t="n">
        <x:f>AK24-AK19</x:f>
        <x:v>693791.2498973375</x:v>
      </x:c>
      <x:c r="AL25" s="47" t="n">
        <x:f>AL24-AL19</x:f>
        <x:v>693791.2498973375</x:v>
      </x:c>
      <x:c r="AM25" s="47" t="n">
        <x:f>AM24-AM19</x:f>
        <x:v>693791.2498973375</x:v>
      </x:c>
      <x:c r="AN25" s="47" t="n">
        <x:f>AN24-AN19</x:f>
        <x:v>693791.2498973375</x:v>
      </x:c>
      <x:c r="AO25" s="47" t="n">
        <x:f>AO24-AO19</x:f>
        <x:v>693791.2498973375</x:v>
      </x:c>
      <x:c r="AP25" s="47" t="n">
        <x:f>AP24-AP19</x:f>
        <x:v>693791.2498973375</x:v>
      </x:c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</x:row>
    <x:row r="26" ht="19" customHeight="1">
      <x:c r="A26" s="1"/>
      <x:c r="B26" s="1"/>
      <x:c r="C26" s="2"/>
      <x:c r="D26" s="2"/>
      <x:c r="E26" s="35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</x:row>
    <x:row r="27" ht="19" customHeight="1">
      <x:c r="A27" s="1"/>
      <x:c r="B27" s="1"/>
      <x:c r="C27" s="2" t="str">
        <x:v>Opening-book charge-offs</x:v>
      </x:c>
      <x:c r="D27" s="2"/>
      <x:c r="E27" s="35" t="n">
        <x:f>SUMIFS(G27:AP27,$G$6:$AP$6,"&lt;="&amp;'Assumptions'!$E$7)</x:f>
        <x:v>39237954.801473916</x:v>
      </x:c>
      <x:c r="F27" s="2"/>
      <x:c r="G27" s="35" t="n">
        <x:f>SUMPRODUCT($E$160:$E$219,$E$52:$E$111)</x:f>
        <x:v>18533079.69789923</x:v>
      </x:c>
      <x:c r="H27" s="35" t="n">
        <x:f>SUMPRODUCT($E$160:$E$219,$E$53:$E$112)</x:f>
        <x:v>9303023.175143695</x:v>
      </x:c>
      <x:c r="I27" s="35" t="n">
        <x:f>SUMPRODUCT($E$160:$E$219,$E$54:$E$113)</x:f>
        <x:v>5172493.480036336</x:v>
      </x:c>
      <x:c r="J27" s="35" t="n">
        <x:f>SUMPRODUCT($E$160:$E$219,$E$55:$E$114)</x:f>
        <x:v>2948365.3574369503</x:v>
      </x:c>
      <x:c r="K27" s="35" t="n">
        <x:f>SUMPRODUCT($E$160:$E$219,$E$56:$E$115)</x:f>
        <x:v>1653813.2291870427</x:v>
      </x:c>
      <x:c r="L27" s="35" t="n">
        <x:f>SUMPRODUCT($E$160:$E$219,$E$57:$E$116)</x:f>
        <x:v>888411.2387213482</x:v>
      </x:c>
      <x:c r="M27" s="35" t="n">
        <x:f>SUMPRODUCT($E$160:$E$219,$E$58:$E$117)</x:f>
        <x:v>456644.0925386682</x:v>
      </x:c>
      <x:c r="N27" s="35" t="n">
        <x:f>SUMPRODUCT($E$160:$E$219,$E$59:$E$118)</x:f>
        <x:v>212601.36899185297</x:v>
      </x:c>
      <x:c r="O27" s="35" t="n">
        <x:f>SUMPRODUCT($E$160:$E$219,$E$60:$E$119)</x:f>
        <x:v>69523.16151879089</x:v>
      </x:c>
      <x:c r="P27" s="35" t="n">
        <x:f>SUMPRODUCT($E$160:$E$219,$E$61:$E$120)</x:f>
        <x:v>0</x:v>
      </x:c>
      <x:c r="Q27" s="35" t="n">
        <x:f>SUMPRODUCT($E$160:$E$219,$E$62:$E$121)</x:f>
        <x:v>0</x:v>
      </x:c>
      <x:c r="R27" s="35" t="n">
        <x:f>SUMPRODUCT($E$160:$E$219,$E$63:$E$122)</x:f>
        <x:v>0</x:v>
      </x:c>
      <x:c r="S27" s="35" t="n">
        <x:f>SUMPRODUCT($E$160:$E$219,$E$64:$E$123)</x:f>
        <x:v>0</x:v>
      </x:c>
      <x:c r="T27" s="35" t="n">
        <x:f>SUMPRODUCT($E$160:$E$219,$E$65:$E$124)</x:f>
        <x:v>0</x:v>
      </x:c>
      <x:c r="U27" s="35" t="n">
        <x:f>SUMPRODUCT($E$160:$E$219,$E$66:$E$125)</x:f>
        <x:v>0</x:v>
      </x:c>
      <x:c r="V27" s="35" t="n">
        <x:f>SUMPRODUCT($E$160:$E$219,$E$67:$E$126)</x:f>
        <x:v>0</x:v>
      </x:c>
      <x:c r="W27" s="35" t="n">
        <x:f>SUMPRODUCT($E$160:$E$219,$E$68:$E$127)</x:f>
        <x:v>0</x:v>
      </x:c>
      <x:c r="X27" s="35" t="n">
        <x:f>SUMPRODUCT($E$160:$E$219,$E$69:$E$128)</x:f>
        <x:v>0</x:v>
      </x:c>
      <x:c r="Y27" s="35" t="n">
        <x:f>SUMPRODUCT($E$160:$E$219,$E$70:$E$129)</x:f>
        <x:v>0</x:v>
      </x:c>
      <x:c r="Z27" s="35" t="n">
        <x:f>SUMPRODUCT($E$160:$E$219,$E$71:$E$130)</x:f>
        <x:v>0</x:v>
      </x:c>
      <x:c r="AA27" s="35" t="n">
        <x:f>SUMPRODUCT($E$160:$E$219,$E$72:$E$131)</x:f>
        <x:v>0</x:v>
      </x:c>
      <x:c r="AB27" s="35" t="n">
        <x:f>SUMPRODUCT($E$160:$E$219,$E$73:$E$132)</x:f>
        <x:v>0</x:v>
      </x:c>
      <x:c r="AC27" s="35" t="n">
        <x:f>SUMPRODUCT($E$160:$E$219,$E$74:$E$133)</x:f>
        <x:v>0</x:v>
      </x:c>
      <x:c r="AD27" s="35" t="n">
        <x:f>SUMPRODUCT($E$160:$E$219,$E$75:$E$134)</x:f>
        <x:v>0</x:v>
      </x:c>
      <x:c r="AE27" s="35" t="n">
        <x:f>SUMPRODUCT($E$160:$E$219,$E$76:$E$135)</x:f>
        <x:v>0</x:v>
      </x:c>
      <x:c r="AF27" s="35" t="n">
        <x:f>SUMPRODUCT($E$160:$E$219,$E$77:$E$136)</x:f>
        <x:v>0</x:v>
      </x:c>
      <x:c r="AG27" s="35" t="n">
        <x:f>SUMPRODUCT($E$160:$E$219,$E$78:$E$137)</x:f>
        <x:v>0</x:v>
      </x:c>
      <x:c r="AH27" s="35" t="n">
        <x:f>SUMPRODUCT($E$160:$E$219,$E$79:$E$138)</x:f>
        <x:v>0</x:v>
      </x:c>
      <x:c r="AI27" s="35" t="n">
        <x:f>SUMPRODUCT($E$160:$E$219,$E$80:$E$139)</x:f>
        <x:v>0</x:v>
      </x:c>
      <x:c r="AJ27" s="35" t="n">
        <x:f>SUMPRODUCT($E$160:$E$219,$E$81:$E$140)</x:f>
        <x:v>0</x:v>
      </x:c>
      <x:c r="AK27" s="35" t="n">
        <x:f>SUMPRODUCT($E$160:$E$219,$E$82:$E$141)</x:f>
        <x:v>0</x:v>
      </x:c>
      <x:c r="AL27" s="35" t="n">
        <x:f>SUMPRODUCT($E$160:$E$219,$E$83:$E$142)</x:f>
        <x:v>0</x:v>
      </x:c>
      <x:c r="AM27" s="35" t="n">
        <x:f>SUMPRODUCT($E$160:$E$219,$E$84:$E$143)</x:f>
        <x:v>0</x:v>
      </x:c>
      <x:c r="AN27" s="35" t="n">
        <x:f>SUMPRODUCT($E$160:$E$219,$E$85:$E$144)</x:f>
        <x:v>0</x:v>
      </x:c>
      <x:c r="AO27" s="35" t="n">
        <x:f>SUMPRODUCT($E$160:$E$219,$E$86:$E$145)</x:f>
        <x:v>0</x:v>
      </x:c>
      <x:c r="AP27" s="35" t="n">
        <x:f>SUMPRODUCT($E$160:$E$219,$E$87:$E$146)</x:f>
        <x:v>0</x:v>
      </x:c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</x:row>
    <x:row r="28" ht="19" customHeight="1">
      <x:c r="A28" s="1"/>
      <x:c r="B28" s="1"/>
      <x:c r="C28" s="2" t="str">
        <x:v>New-book charge-offs</x:v>
      </x:c>
      <x:c r="D28" s="2"/>
      <x:c r="E28" s="35" t="n">
        <x:f>SUMIFS(G28:AP28,$G$6:$AP$6,"&lt;="&amp;'Assumptions'!$E$7)</x:f>
        <x:v>38271991.23899148</x:v>
      </x:c>
      <x:c r="F28" s="2"/>
      <x:c r="G28" s="35" t="n">
        <x:f>SUMPRODUCT($G$11:G11,$CY$150:$CY$150)</x:f>
        <x:v>0</x:v>
      </x:c>
      <x:c r="H28" s="35" t="n">
        <x:f>SUMPRODUCT($G$11:H11,$CX$150:$CY$150)</x:f>
        <x:v>516174.2024376781</x:v>
      </x:c>
      <x:c r="I28" s="35" t="n">
        <x:f>SUMPRODUCT($G$11:I11,$CW$150:$CY$150)</x:f>
        <x:v>906958.8438700808</x:v>
      </x:c>
      <x:c r="J28" s="35" t="n">
        <x:f>SUMPRODUCT($G$11:J11,$CV$150:$CY$150)</x:f>
        <x:v>1187155.3932731047</x:v>
      </x:c>
      <x:c r="K28" s="35" t="n">
        <x:f>SUMPRODUCT($G$11:K11,$CU$150:$CY$150)</x:f>
        <x:v>1403854.6633671022</x:v>
      </x:c>
      <x:c r="L28" s="35" t="n">
        <x:f>SUMPRODUCT($G$11:L11,$CT$150:$CY$150)</x:f>
        <x:v>1566087.3620295662</x:v>
      </x:c>
      <x:c r="M28" s="35" t="n">
        <x:f>SUMPRODUCT($G$11:M11,$CS$150:$CY$150)</x:f>
        <x:v>1672724.641244566</x:v>
      </x:c>
      <x:c r="N28" s="35" t="n">
        <x:f>SUMPRODUCT($G$11:N11,$CR$150:$CY$150)</x:f>
        <x:v>1744628.952832269</x:v>
      </x:c>
      <x:c r="O28" s="35" t="n">
        <x:f>SUMPRODUCT($G$11:O11,$CQ$150:$CY$150)</x:f>
        <x:v>1798667.9658949357</x:v>
      </x:c>
      <x:c r="P28" s="35" t="n">
        <x:f>SUMPRODUCT($G$11:P11,$CP$150:$CY$150)</x:f>
        <x:v>1831715.9476028115</x:v>
      </x:c>
      <x:c r="Q28" s="35" t="n">
        <x:f>SUMPRODUCT($G$11:Q11,$CO$150:$CY$150)</x:f>
        <x:v>1831715.9476028115</x:v>
      </x:c>
      <x:c r="R28" s="35" t="n">
        <x:f>SUMPRODUCT($G$11:R11,$CN$150:$CY$150)</x:f>
        <x:v>1831715.9476028115</x:v>
      </x:c>
      <x:c r="S28" s="35" t="n">
        <x:f>SUMPRODUCT($G$11:S11,$CM$150:$CY$150)</x:f>
        <x:v>1831715.9476028115</x:v>
      </x:c>
      <x:c r="T28" s="35" t="n">
        <x:f>SUMPRODUCT($G$11:T11,$CL$150:$CY$150)</x:f>
        <x:v>1831715.9476028115</x:v>
      </x:c>
      <x:c r="U28" s="35" t="n">
        <x:f>SUMPRODUCT($G$11:U11,$CK$150:$CY$150)</x:f>
        <x:v>1831715.9476028115</x:v>
      </x:c>
      <x:c r="V28" s="35" t="n">
        <x:f>SUMPRODUCT($G$11:V11,$CJ$150:$CY$150)</x:f>
        <x:v>1831715.9476028115</x:v>
      </x:c>
      <x:c r="W28" s="35" t="n">
        <x:f>SUMPRODUCT($G$11:W11,$CI$150:$CY$150)</x:f>
        <x:v>1831715.9476028115</x:v>
      </x:c>
      <x:c r="X28" s="35" t="n">
        <x:f>SUMPRODUCT($G$11:X11,$CH$150:$CY$150)</x:f>
        <x:v>1831715.9476028115</x:v>
      </x:c>
      <x:c r="Y28" s="35" t="n">
        <x:f>SUMPRODUCT($G$11:Y11,$CG$150:$CY$150)</x:f>
        <x:v>1831715.9476028115</x:v>
      </x:c>
      <x:c r="Z28" s="35" t="n">
        <x:f>SUMPRODUCT($G$11:Z11,$CF$150:$CY$150)</x:f>
        <x:v>1831715.9476028115</x:v>
      </x:c>
      <x:c r="AA28" s="35" t="n">
        <x:f>SUMPRODUCT($G$11:AA11,$CE$150:$CY$150)</x:f>
        <x:v>1831715.9476028115</x:v>
      </x:c>
      <x:c r="AB28" s="35" t="n">
        <x:f>SUMPRODUCT($G$11:AB11,$CD$150:$CY$150)</x:f>
        <x:v>1831715.9476028115</x:v>
      </x:c>
      <x:c r="AC28" s="35" t="n">
        <x:f>SUMPRODUCT($G$11:AC11,$CC$150:$CY$150)</x:f>
        <x:v>1831715.9476028115</x:v>
      </x:c>
      <x:c r="AD28" s="35" t="n">
        <x:f>SUMPRODUCT($G$11:AD11,$CB$150:$CY$150)</x:f>
        <x:v>1831715.9476028115</x:v>
      </x:c>
      <x:c r="AE28" s="35" t="n">
        <x:f>SUMPRODUCT($G$11:AE11,$CA$150:$CY$150)</x:f>
        <x:v>1831715.9476028115</x:v>
      </x:c>
      <x:c r="AF28" s="35" t="n">
        <x:f>SUMPRODUCT($G$11:AF11,$BZ$150:$CY$150)</x:f>
        <x:v>1831715.9476028115</x:v>
      </x:c>
      <x:c r="AG28" s="35" t="n">
        <x:f>SUMPRODUCT($G$11:AG11,$BY$150:$CY$150)</x:f>
        <x:v>1831715.9476028115</x:v>
      </x:c>
      <x:c r="AH28" s="35" t="n">
        <x:f>SUMPRODUCT($G$11:AH11,$BX$150:$CY$150)</x:f>
        <x:v>1831715.9476028115</x:v>
      </x:c>
      <x:c r="AI28" s="35" t="n">
        <x:f>SUMPRODUCT($G$11:AI11,$BW$150:$CY$150)</x:f>
        <x:v>1831715.9476028115</x:v>
      </x:c>
      <x:c r="AJ28" s="35" t="n">
        <x:f>SUMPRODUCT($G$11:AJ11,$BV$150:$CY$150)</x:f>
        <x:v>1831715.9476028115</x:v>
      </x:c>
      <x:c r="AK28" s="35" t="n">
        <x:f>SUMPRODUCT($G$11:AK11,$BU$150:$CY$150)</x:f>
        <x:v>1831715.9476028115</x:v>
      </x:c>
      <x:c r="AL28" s="35" t="n">
        <x:f>SUMPRODUCT($G$11:AL11,$BT$150:$CY$150)</x:f>
        <x:v>1831715.9476028115</x:v>
      </x:c>
      <x:c r="AM28" s="35" t="n">
        <x:f>SUMPRODUCT($G$11:AM11,$BS$150:$CY$150)</x:f>
        <x:v>1831715.9476028115</x:v>
      </x:c>
      <x:c r="AN28" s="35" t="n">
        <x:f>SUMPRODUCT($G$11:AN11,$BR$150:$CY$150)</x:f>
        <x:v>1831715.9476028115</x:v>
      </x:c>
      <x:c r="AO28" s="35" t="n">
        <x:f>SUMPRODUCT($G$11:AO11,$BQ$150:$CY$150)</x:f>
        <x:v>1831715.9476028115</x:v>
      </x:c>
      <x:c r="AP28" s="35" t="n">
        <x:f>SUMPRODUCT($G$11:AP11,$BP$150:$CY$150)</x:f>
        <x:v>1831715.9476028115</x:v>
      </x:c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</x:row>
    <x:row r="29" ht="19" customHeight="1">
      <x:c r="A29" s="1"/>
      <x:c r="B29" s="1"/>
      <x:c r="C29" s="2" t="str">
        <x:v>Opening-book repayments</x:v>
      </x:c>
      <x:c r="D29" s="2"/>
      <x:c r="E29" s="35" t="n">
        <x:f>SUMIFS(G29:AP29,$G$6:$AP$6,"&lt;="&amp;'Assumptions'!$E$7)</x:f>
        <x:v>165242045.1985262</x:v>
      </x:c>
      <x:c r="F29" s="2"/>
      <x:c r="G29" s="35" t="n">
        <x:f>SUMPRODUCT($E$160:$E$219,$F$52:$F$111)</x:f>
        <x:v>77806437.67298885</x:v>
      </x:c>
      <x:c r="H29" s="35" t="n">
        <x:f>SUMPRODUCT($E$160:$E$219,$F$53:$F$112)</x:f>
        <x:v>39803663.297924705</x:v>
      </x:c>
      <x:c r="I29" s="35" t="n">
        <x:f>SUMPRODUCT($E$160:$E$219,$F$54:$F$113)</x:f>
        <x:v>22082234.84808623</x:v>
      </x:c>
      <x:c r="J29" s="35" t="n">
        <x:f>SUMPRODUCT($E$160:$E$219,$F$55:$F$114)</x:f>
        <x:v>12360620.795097202</x:v>
      </x:c>
      <x:c r="K29" s="35" t="n">
        <x:f>SUMPRODUCT($E$160:$E$219,$F$56:$F$115)</x:f>
        <x:v>6807864.334246907</x:v>
      </x:c>
      <x:c r="L29" s="35" t="n">
        <x:f>SUMPRODUCT($E$160:$E$219,$F$57:$F$116)</x:f>
        <x:v>3614045.591682584</x:v>
      </x:c>
      <x:c r="M29" s="35" t="n">
        <x:f>SUMPRODUCT($E$160:$E$219,$F$58:$F$117)</x:f>
        <x:v>1773649.7774076082</x:v>
      </x:c>
      <x:c r="N29" s="35" t="n">
        <x:f>SUMPRODUCT($E$160:$E$219,$F$59:$F$118)</x:f>
        <x:v>758460.843682783</x:v>
      </x:c>
      <x:c r="O29" s="35" t="n">
        <x:f>SUMPRODUCT($E$160:$E$219,$F$60:$F$119)</x:f>
        <x:v>235068.03740931215</x:v>
      </x:c>
      <x:c r="P29" s="35" t="n">
        <x:f>SUMPRODUCT($E$160:$E$219,$F$61:$F$120)</x:f>
        <x:v>0</x:v>
      </x:c>
      <x:c r="Q29" s="35" t="n">
        <x:f>SUMPRODUCT($E$160:$E$219,$F$62:$F$121)</x:f>
        <x:v>0</x:v>
      </x:c>
      <x:c r="R29" s="35" t="n">
        <x:f>SUMPRODUCT($E$160:$E$219,$F$63:$F$122)</x:f>
        <x:v>0</x:v>
      </x:c>
      <x:c r="S29" s="35" t="n">
        <x:f>SUMPRODUCT($E$160:$E$219,$F$64:$F$123)</x:f>
        <x:v>0</x:v>
      </x:c>
      <x:c r="T29" s="35" t="n">
        <x:f>SUMPRODUCT($E$160:$E$219,$F$65:$F$124)</x:f>
        <x:v>0</x:v>
      </x:c>
      <x:c r="U29" s="35" t="n">
        <x:f>SUMPRODUCT($E$160:$E$219,$F$66:$F$125)</x:f>
        <x:v>0</x:v>
      </x:c>
      <x:c r="V29" s="35" t="n">
        <x:f>SUMPRODUCT($E$160:$E$219,$F$67:$F$126)</x:f>
        <x:v>0</x:v>
      </x:c>
      <x:c r="W29" s="35" t="n">
        <x:f>SUMPRODUCT($E$160:$E$219,$F$68:$F$127)</x:f>
        <x:v>0</x:v>
      </x:c>
      <x:c r="X29" s="35" t="n">
        <x:f>SUMPRODUCT($E$160:$E$219,$F$69:$F$128)</x:f>
        <x:v>0</x:v>
      </x:c>
      <x:c r="Y29" s="35" t="n">
        <x:f>SUMPRODUCT($E$160:$E$219,$F$70:$F$129)</x:f>
        <x:v>0</x:v>
      </x:c>
      <x:c r="Z29" s="35" t="n">
        <x:f>SUMPRODUCT($E$160:$E$219,$F$71:$F$130)</x:f>
        <x:v>0</x:v>
      </x:c>
      <x:c r="AA29" s="35" t="n">
        <x:f>SUMPRODUCT($E$160:$E$219,$F$72:$F$131)</x:f>
        <x:v>0</x:v>
      </x:c>
      <x:c r="AB29" s="35" t="n">
        <x:f>SUMPRODUCT($E$160:$E$219,$F$73:$F$132)</x:f>
        <x:v>0</x:v>
      </x:c>
      <x:c r="AC29" s="35" t="n">
        <x:f>SUMPRODUCT($E$160:$E$219,$F$74:$F$133)</x:f>
        <x:v>0</x:v>
      </x:c>
      <x:c r="AD29" s="35" t="n">
        <x:f>SUMPRODUCT($E$160:$E$219,$F$75:$F$134)</x:f>
        <x:v>0</x:v>
      </x:c>
      <x:c r="AE29" s="35" t="n">
        <x:f>SUMPRODUCT($E$160:$E$219,$F$76:$F$135)</x:f>
        <x:v>0</x:v>
      </x:c>
      <x:c r="AF29" s="35" t="n">
        <x:f>SUMPRODUCT($E$160:$E$219,$F$77:$F$136)</x:f>
        <x:v>0</x:v>
      </x:c>
      <x:c r="AG29" s="35" t="n">
        <x:f>SUMPRODUCT($E$160:$E$219,$F$78:$F$137)</x:f>
        <x:v>0</x:v>
      </x:c>
      <x:c r="AH29" s="35" t="n">
        <x:f>SUMPRODUCT($E$160:$E$219,$F$79:$F$138)</x:f>
        <x:v>0</x:v>
      </x:c>
      <x:c r="AI29" s="35" t="n">
        <x:f>SUMPRODUCT($E$160:$E$219,$F$80:$F$139)</x:f>
        <x:v>0</x:v>
      </x:c>
      <x:c r="AJ29" s="35" t="n">
        <x:f>SUMPRODUCT($E$160:$E$219,$F$81:$F$140)</x:f>
        <x:v>0</x:v>
      </x:c>
      <x:c r="AK29" s="35" t="n">
        <x:f>SUMPRODUCT($E$160:$E$219,$F$82:$F$141)</x:f>
        <x:v>0</x:v>
      </x:c>
      <x:c r="AL29" s="35" t="n">
        <x:f>SUMPRODUCT($E$160:$E$219,$F$83:$F$142)</x:f>
        <x:v>0</x:v>
      </x:c>
      <x:c r="AM29" s="35" t="n">
        <x:f>SUMPRODUCT($E$160:$E$219,$F$84:$F$143)</x:f>
        <x:v>0</x:v>
      </x:c>
      <x:c r="AN29" s="35" t="n">
        <x:f>SUMPRODUCT($E$160:$E$219,$F$85:$F$144)</x:f>
        <x:v>0</x:v>
      </x:c>
      <x:c r="AO29" s="35" t="n">
        <x:f>SUMPRODUCT($E$160:$E$219,$F$86:$F$145)</x:f>
        <x:v>0</x:v>
      </x:c>
      <x:c r="AP29" s="35" t="n">
        <x:f>SUMPRODUCT($E$160:$E$219,$F$87:$F$146)</x:f>
        <x:v>0</x:v>
      </x:c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</x:row>
    <x:row r="30" ht="19" customHeight="1">
      <x:c r="A30" s="1"/>
      <x:c r="B30" s="1"/>
      <x:c r="C30" s="2" t="str">
        <x:v>New-book repayments</x:v>
      </x:c>
      <x:c r="D30" s="2"/>
      <x:c r="E30" s="35" t="n">
        <x:f>SUMIFS(G30:AP30,$G$6:$AP$6,"&lt;="&amp;'Assumptions'!$E$7)</x:f>
        <x:v>188790206.44340393</x:v>
      </x:c>
      <x:c r="F30" s="2"/>
      <x:c r="G30" s="35" t="n">
        <x:f>SUMPRODUCT($G$11:G11,$CY$151:$CY$151)</x:f>
        <x:v>0</x:v>
      </x:c>
      <x:c r="H30" s="35" t="n">
        <x:f>SUMPRODUCT($G$11:H11,$CX$151:$CY$151)</x:f>
        <x:v>2693293.245646554</x:v>
      </x:c>
      <x:c r="I30" s="35" t="n">
        <x:f>SUMPRODUCT($G$11:I11,$CW$151:$CY$151)</x:f>
        <x:v>4665336.317864733</x:v>
      </x:c>
      <x:c r="J30" s="35" t="n">
        <x:f>SUMPRODUCT($G$11:J11,$CV$151:$CY$151)</x:f>
        <x:v>6104136.969619145</x:v>
      </x:c>
      <x:c r="K30" s="35" t="n">
        <x:f>SUMPRODUCT($G$11:K11,$CU$151:$CY$151)</x:f>
        <x:v>7127135.596007787</x:v>
      </x:c>
      <x:c r="L30" s="35" t="n">
        <x:f>SUMPRODUCT($G$11:L11,$CT$151:$CY$151)</x:f>
        <x:v>7835003.389915968</x:v>
      </x:c>
      <x:c r="M30" s="35" t="n">
        <x:f>SUMPRODUCT($G$11:M11,$CS$151:$CY$151)</x:f>
        <x:v>8329501.575752245</x:v>
      </x:c>
      <x:c r="N30" s="35" t="n">
        <x:f>SUMPRODUCT($G$11:N11,$CR$151:$CY$151)</x:f>
        <x:v>8654994.598447558</x:v>
      </x:c>
      <x:c r="O30" s="35" t="n">
        <x:f>SUMPRODUCT($G$11:O11,$CQ$151:$CY$151)</x:f>
        <x:v>8856543.964192059</x:v>
      </x:c>
      <x:c r="P30" s="35" t="n">
        <x:f>SUMPRODUCT($G$11:P11,$CP$151:$CY$151)</x:f>
        <x:v>8968284.052397188</x:v>
      </x:c>
      <x:c r="Q30" s="35" t="n">
        <x:f>SUMPRODUCT($G$11:Q11,$CO$151:$CY$151)</x:f>
        <x:v>8968284.052397188</x:v>
      </x:c>
      <x:c r="R30" s="35" t="n">
        <x:f>SUMPRODUCT($G$11:R11,$CN$151:$CY$151)</x:f>
        <x:v>8968284.052397188</x:v>
      </x:c>
      <x:c r="S30" s="35" t="n">
        <x:f>SUMPRODUCT($G$11:S11,$CM$151:$CY$151)</x:f>
        <x:v>8968284.052397188</x:v>
      </x:c>
      <x:c r="T30" s="35" t="n">
        <x:f>SUMPRODUCT($G$11:T11,$CL$151:$CY$151)</x:f>
        <x:v>8968284.052397188</x:v>
      </x:c>
      <x:c r="U30" s="35" t="n">
        <x:f>SUMPRODUCT($G$11:U11,$CK$151:$CY$151)</x:f>
        <x:v>8968284.052397188</x:v>
      </x:c>
      <x:c r="V30" s="35" t="n">
        <x:f>SUMPRODUCT($G$11:V11,$CJ$151:$CY$151)</x:f>
        <x:v>8968284.052397188</x:v>
      </x:c>
      <x:c r="W30" s="35" t="n">
        <x:f>SUMPRODUCT($G$11:W11,$CI$151:$CY$151)</x:f>
        <x:v>8968284.052397188</x:v>
      </x:c>
      <x:c r="X30" s="35" t="n">
        <x:f>SUMPRODUCT($G$11:X11,$CH$151:$CY$151)</x:f>
        <x:v>8968284.052397188</x:v>
      </x:c>
      <x:c r="Y30" s="35" t="n">
        <x:f>SUMPRODUCT($G$11:Y11,$CG$151:$CY$151)</x:f>
        <x:v>8968284.052397188</x:v>
      </x:c>
      <x:c r="Z30" s="35" t="n">
        <x:f>SUMPRODUCT($G$11:Z11,$CF$151:$CY$151)</x:f>
        <x:v>8968284.052397188</x:v>
      </x:c>
      <x:c r="AA30" s="35" t="n">
        <x:f>SUMPRODUCT($G$11:AA11,$CE$151:$CY$151)</x:f>
        <x:v>8968284.052397188</x:v>
      </x:c>
      <x:c r="AB30" s="35" t="n">
        <x:f>SUMPRODUCT($G$11:AB11,$CD$151:$CY$151)</x:f>
        <x:v>8968284.052397188</x:v>
      </x:c>
      <x:c r="AC30" s="35" t="n">
        <x:f>SUMPRODUCT($G$11:AC11,$CC$151:$CY$151)</x:f>
        <x:v>8968284.052397188</x:v>
      </x:c>
      <x:c r="AD30" s="35" t="n">
        <x:f>SUMPRODUCT($G$11:AD11,$CB$151:$CY$151)</x:f>
        <x:v>8968284.052397188</x:v>
      </x:c>
      <x:c r="AE30" s="35" t="n">
        <x:f>SUMPRODUCT($G$11:AE11,$CA$151:$CY$151)</x:f>
        <x:v>8968284.052397188</x:v>
      </x:c>
      <x:c r="AF30" s="35" t="n">
        <x:f>SUMPRODUCT($G$11:AF11,$BZ$151:$CY$151)</x:f>
        <x:v>8968284.052397188</x:v>
      </x:c>
      <x:c r="AG30" s="35" t="n">
        <x:f>SUMPRODUCT($G$11:AG11,$BY$151:$CY$151)</x:f>
        <x:v>8968284.052397188</x:v>
      </x:c>
      <x:c r="AH30" s="35" t="n">
        <x:f>SUMPRODUCT($G$11:AH11,$BX$151:$CY$151)</x:f>
        <x:v>8968284.052397188</x:v>
      </x:c>
      <x:c r="AI30" s="35" t="n">
        <x:f>SUMPRODUCT($G$11:AI11,$BW$151:$CY$151)</x:f>
        <x:v>8968284.052397188</x:v>
      </x:c>
      <x:c r="AJ30" s="35" t="n">
        <x:f>SUMPRODUCT($G$11:AJ11,$BV$151:$CY$151)</x:f>
        <x:v>8968284.052397188</x:v>
      </x:c>
      <x:c r="AK30" s="35" t="n">
        <x:f>SUMPRODUCT($G$11:AK11,$BU$151:$CY$151)</x:f>
        <x:v>8968284.052397188</x:v>
      </x:c>
      <x:c r="AL30" s="35" t="n">
        <x:f>SUMPRODUCT($G$11:AL11,$BT$151:$CY$151)</x:f>
        <x:v>8968284.052397188</x:v>
      </x:c>
      <x:c r="AM30" s="35" t="n">
        <x:f>SUMPRODUCT($G$11:AM11,$BS$151:$CY$151)</x:f>
        <x:v>8968284.052397188</x:v>
      </x:c>
      <x:c r="AN30" s="35" t="n">
        <x:f>SUMPRODUCT($G$11:AN11,$BR$151:$CY$151)</x:f>
        <x:v>8968284.052397188</x:v>
      </x:c>
      <x:c r="AO30" s="35" t="n">
        <x:f>SUMPRODUCT($G$11:AO11,$BQ$151:$CY$151)</x:f>
        <x:v>8968284.052397188</x:v>
      </x:c>
      <x:c r="AP30" s="35" t="n">
        <x:f>SUMPRODUCT($G$11:AP11,$BP$151:$CY$151)</x:f>
        <x:v>8968284.052397188</x:v>
      </x:c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</x:row>
    <x:row r="31" ht="19" customHeight="1">
      <x:c r="A31" s="1"/>
      <x:c r="B31" s="1"/>
      <x:c r="C31" s="2"/>
      <x:c r="D31" s="2"/>
      <x:c r="E31" s="35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</x:row>
    <x:row r="32" ht="19" customHeight="1">
      <x:c r="A32" s="1"/>
      <x:c r="B32" s="1"/>
      <x:c r="C32" s="2" t="str">
        <x:v>Opening-book revenue</x:v>
      </x:c>
      <x:c r="D32" s="2"/>
      <x:c r="E32" s="35" t="n">
        <x:f>SUMIFS(G32:AP32,$G$6:$AP$6,"&lt;="&amp;'Assumptions'!$E$7)</x:f>
        <x:v>32813339.124251705</x:v>
      </x:c>
      <x:c r="F32" s="2"/>
      <x:c r="G32" s="35" t="n">
        <x:f>($E$44-G27)*G23/12</x:f>
        <x:v>15495576.69184173</x:v>
      </x:c>
      <x:c r="H32" s="35" t="n">
        <x:f>(G34-H27)*H23/12</x:f>
        <x:v>8236454.954497353</x:v>
      </x:c>
      <x:c r="I32" s="35" t="n">
        <x:f>(H34-I27)*I23/12</x:f>
        <x:v>4488441.889667267</x:v>
      </x:c>
      <x:c r="J32" s="35" t="n">
        <x:f>(I34-J27)*J23/12</x:f>
        <x:v>2402558.5392070017</x:v>
      </x:c>
      <x:c r="K32" s="35" t="n">
        <x:f>(J34-K27)*K23/12</x:f>
        <x:v>1234689.0371833148</x:v>
      </x:c>
      <x:c r="L32" s="35" t="n">
        <x:f>(K34-L27)*L23/12</x:f>
        <x:v>593332.7394359601</x:v>
      </x:c>
      <x:c r="M32" s="35" t="n">
        <x:f>(L34-M27)*M23/12</x:f>
        <x:v>254108.59908418905</x:v>
      </x:c>
      <x:c r="N32" s="35" t="n">
        <x:f>(M34-N27)*N23/12</x:f>
        <x:v>88587.67021756728</x:v>
      </x:c>
      <x:c r="O32" s="35" t="n">
        <x:f>(N34-O27)*O23/12</x:f>
        <x:v>19589.003117436125</x:v>
      </x:c>
      <x:c r="P32" s="35" t="n">
        <x:f>(O34-P27)*P23/12</x:f>
        <x:v>-6.553212491174539e-9</x:v>
      </x:c>
      <x:c r="Q32" s="35" t="n">
        <x:f>(P34-Q27)*Q23/12</x:f>
        <x:v>-6.553212491174539e-9</x:v>
      </x:c>
      <x:c r="R32" s="35" t="n">
        <x:f>(Q34-R27)*R23/12</x:f>
        <x:v>-6.553212491174539e-9</x:v>
      </x:c>
      <x:c r="S32" s="35" t="n">
        <x:f>(R34-S27)*S23/12</x:f>
        <x:v>-6.553212491174539e-9</x:v>
      </x:c>
      <x:c r="T32" s="35" t="n">
        <x:f>(S34-T27)*T23/12</x:f>
        <x:v>-6.553212491174539e-9</x:v>
      </x:c>
      <x:c r="U32" s="35" t="n">
        <x:f>(T34-U27)*U23/12</x:f>
        <x:v>-6.553212491174539e-9</x:v>
      </x:c>
      <x:c r="V32" s="35" t="n">
        <x:f>(U34-V27)*V23/12</x:f>
        <x:v>-6.553212491174539e-9</x:v>
      </x:c>
      <x:c r="W32" s="35" t="n">
        <x:f>(V34-W27)*W23/12</x:f>
        <x:v>-6.553212491174539e-9</x:v>
      </x:c>
      <x:c r="X32" s="35" t="n">
        <x:f>(W34-X27)*X23/12</x:f>
        <x:v>-6.553212491174539e-9</x:v>
      </x:c>
      <x:c r="Y32" s="35" t="n">
        <x:f>(X34-Y27)*Y23/12</x:f>
        <x:v>-6.553212491174539e-9</x:v>
      </x:c>
      <x:c r="Z32" s="35" t="n">
        <x:f>(Y34-Z27)*Z23/12</x:f>
        <x:v>-6.553212491174539e-9</x:v>
      </x:c>
      <x:c r="AA32" s="35" t="n">
        <x:f>(Z34-AA27)*AA23/12</x:f>
        <x:v>-6.553212491174539e-9</x:v>
      </x:c>
      <x:c r="AB32" s="35" t="n">
        <x:f>(AA34-AB27)*AB23/12</x:f>
        <x:v>-6.553212491174539e-9</x:v>
      </x:c>
      <x:c r="AC32" s="35" t="n">
        <x:f>(AB34-AC27)*AC23/12</x:f>
        <x:v>-6.553212491174539e-9</x:v>
      </x:c>
      <x:c r="AD32" s="35" t="n">
        <x:f>(AC34-AD27)*AD23/12</x:f>
        <x:v>-6.553212491174539e-9</x:v>
      </x:c>
      <x:c r="AE32" s="35" t="n">
        <x:f>(AD34-AE27)*AE23/12</x:f>
        <x:v>-6.553212491174539e-9</x:v>
      </x:c>
      <x:c r="AF32" s="35" t="n">
        <x:f>(AE34-AF27)*AF23/12</x:f>
        <x:v>-6.553212491174539e-9</x:v>
      </x:c>
      <x:c r="AG32" s="35" t="n">
        <x:f>(AF34-AG27)*AG23/12</x:f>
        <x:v>-6.553212491174539e-9</x:v>
      </x:c>
      <x:c r="AH32" s="35" t="n">
        <x:f>(AG34-AH27)*AH23/12</x:f>
        <x:v>-6.553212491174539e-9</x:v>
      </x:c>
      <x:c r="AI32" s="35" t="n">
        <x:f>(AH34-AI27)*AI23/12</x:f>
        <x:v>-6.553212491174539e-9</x:v>
      </x:c>
      <x:c r="AJ32" s="35" t="n">
        <x:f>(AI34-AJ27)*AJ23/12</x:f>
        <x:v>-6.553212491174539e-9</x:v>
      </x:c>
      <x:c r="AK32" s="35" t="n">
        <x:f>(AJ34-AK27)*AK23/12</x:f>
        <x:v>-6.553212491174539e-9</x:v>
      </x:c>
      <x:c r="AL32" s="35" t="n">
        <x:f>(AK34-AL27)*AL23/12</x:f>
        <x:v>-6.553212491174539e-9</x:v>
      </x:c>
      <x:c r="AM32" s="35" t="n">
        <x:f>(AL34-AM27)*AM23/12</x:f>
        <x:v>-6.553212491174539e-9</x:v>
      </x:c>
      <x:c r="AN32" s="35" t="n">
        <x:f>(AM34-AN27)*AN23/12</x:f>
        <x:v>-6.553212491174539e-9</x:v>
      </x:c>
      <x:c r="AO32" s="35" t="n">
        <x:f>(AN34-AO27)*AO23/12</x:f>
        <x:v>-6.553212491174539e-9</x:v>
      </x:c>
      <x:c r="AP32" s="35" t="n">
        <x:f>(AO34-AP27)*AP23/12</x:f>
        <x:v>-6.553212491174539e-9</x:v>
      </x:c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</x:row>
    <x:row r="33" ht="19" customHeight="1">
      <x:c r="A33" s="1"/>
      <x:c r="B33" s="1"/>
      <x:c r="C33" s="2" t="str">
        <x:v>New-book revenue</x:v>
      </x:c>
      <x:c r="D33" s="2"/>
      <x:c r="E33" s="35" t="n">
        <x:f>SUMIFS(G33:AP33,$G$6:$AP$6,"&lt;="&amp;'Assumptions'!$E$7)</x:f>
        <x:v>53958935.777084105</x:v>
      </x:c>
      <x:c r="F33" s="2"/>
      <x:c r="G33" s="35" t="n">
        <x:f>G24-G32</x:f>
        <x:v>0</x:v>
      </x:c>
      <x:c r="H33" s="35" t="n">
        <x:f>H24-H32</x:f>
        <x:v>856985.4831301952</x:v>
      </x:c>
      <x:c r="I33" s="35" t="n">
        <x:f>I24-I32</x:f>
        <x:v>1456964.4756704737</x:v>
      </x:c>
      <x:c r="J33" s="35" t="n">
        <x:f>J24-J32</x:f>
        <x:v>1869256.8330756552</x:v>
      </x:c>
      <x:c r="K33" s="35" t="n">
        <x:f>K24-K32</x:f>
        <x:v>2143590.8636601344</x:v>
      </x:c>
      <x:c r="L33" s="35" t="n">
        <x:f>L24-L32</x:f>
        <x:v>2319155.6171570215</x:v>
      </x:c>
      <x:c r="M33" s="35" t="n">
        <x:f>M24-M32</x:f>
        <x:v>2426844.947893644</x:v>
      </x:c>
      <x:c r="N33" s="35" t="n">
        <x:f>N24-N32</x:f>
        <x:v>2487334.0705116014</x:v>
      </x:c>
      <x:c r="O33" s="35" t="n">
        <x:f>O24-O32</x:f>
        <x:v>2516195.5234830603</x:v>
      </x:c>
      <x:c r="P33" s="35" t="n">
        <x:f>P24-P32</x:f>
        <x:v>2525507.197500155</x:v>
      </x:c>
      <x:c r="Q33" s="35" t="n">
        <x:f>Q24-Q32</x:f>
        <x:v>2525507.1975001553</x:v>
      </x:c>
      <x:c r="R33" s="35" t="n">
        <x:f>R24-R32</x:f>
        <x:v>2525507.1975001553</x:v>
      </x:c>
      <x:c r="S33" s="35" t="n">
        <x:f>S24-S32</x:f>
        <x:v>2525507.1975001553</x:v>
      </x:c>
      <x:c r="T33" s="35" t="n">
        <x:f>T24-T32</x:f>
        <x:v>2525507.1975001553</x:v>
      </x:c>
      <x:c r="U33" s="35" t="n">
        <x:f>U24-U32</x:f>
        <x:v>2525507.1975001553</x:v>
      </x:c>
      <x:c r="V33" s="35" t="n">
        <x:f>V24-V32</x:f>
        <x:v>2525507.1975001553</x:v>
      </x:c>
      <x:c r="W33" s="35" t="n">
        <x:f>W24-W32</x:f>
        <x:v>2525507.1975001553</x:v>
      </x:c>
      <x:c r="X33" s="35" t="n">
        <x:f>X24-X32</x:f>
        <x:v>2525507.1975001553</x:v>
      </x:c>
      <x:c r="Y33" s="35" t="n">
        <x:f>Y24-Y32</x:f>
        <x:v>2525507.1975001553</x:v>
      </x:c>
      <x:c r="Z33" s="35" t="n">
        <x:f>Z24-Z32</x:f>
        <x:v>2525507.1975001553</x:v>
      </x:c>
      <x:c r="AA33" s="35" t="n">
        <x:f>AA24-AA32</x:f>
        <x:v>2525507.1975001553</x:v>
      </x:c>
      <x:c r="AB33" s="35" t="n">
        <x:f>AB24-AB32</x:f>
        <x:v>2525507.1975001553</x:v>
      </x:c>
      <x:c r="AC33" s="35" t="n">
        <x:f>AC24-AC32</x:f>
        <x:v>2525507.1975001553</x:v>
      </x:c>
      <x:c r="AD33" s="35" t="n">
        <x:f>AD24-AD32</x:f>
        <x:v>2525507.1975001553</x:v>
      </x:c>
      <x:c r="AE33" s="35" t="n">
        <x:f>AE24-AE32</x:f>
        <x:v>2525507.1975001553</x:v>
      </x:c>
      <x:c r="AF33" s="35" t="n">
        <x:f>AF24-AF32</x:f>
        <x:v>2525507.1975001553</x:v>
      </x:c>
      <x:c r="AG33" s="35" t="n">
        <x:f>AG24-AG32</x:f>
        <x:v>2525507.1975001553</x:v>
      </x:c>
      <x:c r="AH33" s="35" t="n">
        <x:f>AH24-AH32</x:f>
        <x:v>2525507.1975001553</x:v>
      </x:c>
      <x:c r="AI33" s="35" t="n">
        <x:f>AI24-AI32</x:f>
        <x:v>2525507.1975001553</x:v>
      </x:c>
      <x:c r="AJ33" s="35" t="n">
        <x:f>AJ24-AJ32</x:f>
        <x:v>2525507.1975001553</x:v>
      </x:c>
      <x:c r="AK33" s="35" t="n">
        <x:f>AK24-AK32</x:f>
        <x:v>2525507.1975001553</x:v>
      </x:c>
      <x:c r="AL33" s="35" t="n">
        <x:f>AL24-AL32</x:f>
        <x:v>2525507.1975001553</x:v>
      </x:c>
      <x:c r="AM33" s="35" t="n">
        <x:f>AM24-AM32</x:f>
        <x:v>2525507.1975001553</x:v>
      </x:c>
      <x:c r="AN33" s="35" t="n">
        <x:f>AN24-AN32</x:f>
        <x:v>2525507.1975001553</x:v>
      </x:c>
      <x:c r="AO33" s="35" t="n">
        <x:f>AO24-AO32</x:f>
        <x:v>2525507.1975001553</x:v>
      </x:c>
      <x:c r="AP33" s="35" t="n">
        <x:f>AP24-AP32</x:f>
        <x:v>2525507.1975001553</x:v>
      </x:c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</x:row>
    <x:row r="34" ht="19" customHeight="1">
      <x:c r="A34" s="1"/>
      <x:c r="B34" s="1"/>
      <x:c r="C34" s="2" t="str">
        <x:v>Opening-book ending CLAB</x:v>
      </x:c>
      <x:c r="D34" s="2"/>
      <x:c r="E34" s="35" t="n">
        <x:f>INDEX(G34:AP34,1,'Assumptions'!$E$7)</x:f>
        <x:v>-7.863854989409447e-8</x:v>
      </x:c>
      <x:c r="F34" s="2"/>
      <x:c r="G34" s="35" t="n">
        <x:f>$E$44-G27-G29</x:f>
        <x:v>108140482.62911193</x:v>
      </x:c>
      <x:c r="H34" s="35" t="n">
        <x:f>G34-H27-H29</x:f>
        <x:v>59033796.15604354</x:v>
      </x:c>
      <x:c r="I34" s="35" t="n">
        <x:f>H34-I27-I29</x:f>
        <x:v>31779067.827920973</x:v>
      </x:c>
      <x:c r="J34" s="35" t="n">
        <x:f>I34-J27-J29</x:f>
        <x:v>16470081.67538682</x:v>
      </x:c>
      <x:c r="K34" s="35" t="n">
        <x:f>J34-K27-K29</x:f>
        <x:v>8008404.111952869</x:v>
      </x:c>
      <x:c r="L34" s="35" t="n">
        <x:f>K34-L27-L29</x:f>
        <x:v>3505947.281548937</x:v>
      </x:c>
      <x:c r="M34" s="35" t="n">
        <x:f>L34-M27-M29</x:f>
        <x:v>1275653.4116026603</x:v>
      </x:c>
      <x:c r="N34" s="35" t="n">
        <x:f>M34-N27-N29</x:f>
        <x:v>304591.1989280244</x:v>
      </x:c>
      <x:c r="O34" s="35" t="n">
        <x:f>N34-O27-O29</x:f>
        <x:v>-7.863854989409447e-8</x:v>
      </x:c>
      <x:c r="P34" s="35" t="n">
        <x:f>O34-P27-P29</x:f>
        <x:v>-7.863854989409447e-8</x:v>
      </x:c>
      <x:c r="Q34" s="35" t="n">
        <x:f>P34-Q27-Q29</x:f>
        <x:v>-7.863854989409447e-8</x:v>
      </x:c>
      <x:c r="R34" s="35" t="n">
        <x:f>Q34-R27-R29</x:f>
        <x:v>-7.863854989409447e-8</x:v>
      </x:c>
      <x:c r="S34" s="35" t="n">
        <x:f>R34-S27-S29</x:f>
        <x:v>-7.863854989409447e-8</x:v>
      </x:c>
      <x:c r="T34" s="35" t="n">
        <x:f>S34-T27-T29</x:f>
        <x:v>-7.863854989409447e-8</x:v>
      </x:c>
      <x:c r="U34" s="35" t="n">
        <x:f>T34-U27-U29</x:f>
        <x:v>-7.863854989409447e-8</x:v>
      </x:c>
      <x:c r="V34" s="35" t="n">
        <x:f>U34-V27-V29</x:f>
        <x:v>-7.863854989409447e-8</x:v>
      </x:c>
      <x:c r="W34" s="35" t="n">
        <x:f>V34-W27-W29</x:f>
        <x:v>-7.863854989409447e-8</x:v>
      </x:c>
      <x:c r="X34" s="35" t="n">
        <x:f>W34-X27-X29</x:f>
        <x:v>-7.863854989409447e-8</x:v>
      </x:c>
      <x:c r="Y34" s="35" t="n">
        <x:f>X34-Y27-Y29</x:f>
        <x:v>-7.863854989409447e-8</x:v>
      </x:c>
      <x:c r="Z34" s="35" t="n">
        <x:f>Y34-Z27-Z29</x:f>
        <x:v>-7.863854989409447e-8</x:v>
      </x:c>
      <x:c r="AA34" s="35" t="n">
        <x:f>Z34-AA27-AA29</x:f>
        <x:v>-7.863854989409447e-8</x:v>
      </x:c>
      <x:c r="AB34" s="35" t="n">
        <x:f>AA34-AB27-AB29</x:f>
        <x:v>-7.863854989409447e-8</x:v>
      </x:c>
      <x:c r="AC34" s="35" t="n">
        <x:f>AB34-AC27-AC29</x:f>
        <x:v>-7.863854989409447e-8</x:v>
      </x:c>
      <x:c r="AD34" s="35" t="n">
        <x:f>AC34-AD27-AD29</x:f>
        <x:v>-7.863854989409447e-8</x:v>
      </x:c>
      <x:c r="AE34" s="35" t="n">
        <x:f>AD34-AE27-AE29</x:f>
        <x:v>-7.863854989409447e-8</x:v>
      </x:c>
      <x:c r="AF34" s="35" t="n">
        <x:f>AE34-AF27-AF29</x:f>
        <x:v>-7.863854989409447e-8</x:v>
      </x:c>
      <x:c r="AG34" s="35" t="n">
        <x:f>AF34-AG27-AG29</x:f>
        <x:v>-7.863854989409447e-8</x:v>
      </x:c>
      <x:c r="AH34" s="35" t="n">
        <x:f>AG34-AH27-AH29</x:f>
        <x:v>-7.863854989409447e-8</x:v>
      </x:c>
      <x:c r="AI34" s="35" t="n">
        <x:f>AH34-AI27-AI29</x:f>
        <x:v>-7.863854989409447e-8</x:v>
      </x:c>
      <x:c r="AJ34" s="35" t="n">
        <x:f>AI34-AJ27-AJ29</x:f>
        <x:v>-7.863854989409447e-8</x:v>
      </x:c>
      <x:c r="AK34" s="35" t="n">
        <x:f>AJ34-AK27-AK29</x:f>
        <x:v>-7.863854989409447e-8</x:v>
      </x:c>
      <x:c r="AL34" s="35" t="n">
        <x:f>AK34-AL27-AL29</x:f>
        <x:v>-7.863854989409447e-8</x:v>
      </x:c>
      <x:c r="AM34" s="35" t="n">
        <x:f>AL34-AM27-AM29</x:f>
        <x:v>-7.863854989409447e-8</x:v>
      </x:c>
      <x:c r="AN34" s="35" t="n">
        <x:f>AM34-AN27-AN29</x:f>
        <x:v>-7.863854989409447e-8</x:v>
      </x:c>
      <x:c r="AO34" s="35" t="n">
        <x:f>AN34-AO27-AO29</x:f>
        <x:v>-7.863854989409447e-8</x:v>
      </x:c>
      <x:c r="AP34" s="35" t="n">
        <x:f>AO34-AP27-AP29</x:f>
        <x:v>-7.863854989409447e-8</x:v>
      </x:c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</x:row>
    <x:row r="35" ht="19" customHeight="1">
      <x:c r="A35" s="1"/>
      <x:c r="B35" s="1"/>
      <x:c r="C35" s="2" t="str">
        <x:v>Gross CLAB check ($)</x:v>
      </x:c>
      <x:c r="D35" s="2"/>
      <x:c r="E35" s="35"/>
      <x:c r="F35" s="2"/>
      <x:c r="G35" s="36" t="n">
        <x:f>G13+G11-G14-G15-G16</x:f>
        <x:v>0</x:v>
      </x:c>
      <x:c r="H35" s="36" t="n">
        <x:f>H13+H11-H14-H15-H16</x:f>
        <x:v>0</x:v>
      </x:c>
      <x:c r="I35" s="36" t="n">
        <x:f>I13+I11-I14-I15-I16</x:f>
        <x:v>0</x:v>
      </x:c>
      <x:c r="J35" s="36" t="n">
        <x:f>J13+J11-J14-J15-J16</x:f>
        <x:v>0</x:v>
      </x:c>
      <x:c r="K35" s="36" t="n">
        <x:f>K13+K11-K14-K15-K16</x:f>
        <x:v>0</x:v>
      </x:c>
      <x:c r="L35" s="36" t="n">
        <x:f>L13+L11-L14-L15-L16</x:f>
        <x:v>0</x:v>
      </x:c>
      <x:c r="M35" s="36" t="n">
        <x:f>M13+M11-M14-M15-M16</x:f>
        <x:v>0</x:v>
      </x:c>
      <x:c r="N35" s="36" t="n">
        <x:f>N13+N11-N14-N15-N16</x:f>
        <x:v>0</x:v>
      </x:c>
      <x:c r="O35" s="36" t="n">
        <x:f>O13+O11-O14-O15-O16</x:f>
        <x:v>0</x:v>
      </x:c>
      <x:c r="P35" s="36" t="n">
        <x:f>P13+P11-P14-P15-P16</x:f>
        <x:v>0</x:v>
      </x:c>
      <x:c r="Q35" s="36" t="n">
        <x:f>Q13+Q11-Q14-Q15-Q16</x:f>
        <x:v>0</x:v>
      </x:c>
      <x:c r="R35" s="36" t="n">
        <x:f>R13+R11-R14-R15-R16</x:f>
        <x:v>0</x:v>
      </x:c>
      <x:c r="S35" s="36" t="n">
        <x:f>S13+S11-S14-S15-S16</x:f>
        <x:v>0</x:v>
      </x:c>
      <x:c r="T35" s="36" t="n">
        <x:f>T13+T11-T14-T15-T16</x:f>
        <x:v>0</x:v>
      </x:c>
      <x:c r="U35" s="36" t="n">
        <x:f>U13+U11-U14-U15-U16</x:f>
        <x:v>0</x:v>
      </x:c>
      <x:c r="V35" s="36" t="n">
        <x:f>V13+V11-V14-V15-V16</x:f>
        <x:v>0</x:v>
      </x:c>
      <x:c r="W35" s="36" t="n">
        <x:f>W13+W11-W14-W15-W16</x:f>
        <x:v>0</x:v>
      </x:c>
      <x:c r="X35" s="36" t="n">
        <x:f>X13+X11-X14-X15-X16</x:f>
        <x:v>0</x:v>
      </x:c>
      <x:c r="Y35" s="36" t="n">
        <x:f>Y13+Y11-Y14-Y15-Y16</x:f>
        <x:v>0</x:v>
      </x:c>
      <x:c r="Z35" s="36" t="n">
        <x:f>Z13+Z11-Z14-Z15-Z16</x:f>
        <x:v>0</x:v>
      </x:c>
      <x:c r="AA35" s="36" t="n">
        <x:f>AA13+AA11-AA14-AA15-AA16</x:f>
        <x:v>0</x:v>
      </x:c>
      <x:c r="AB35" s="36" t="n">
        <x:f>AB13+AB11-AB14-AB15-AB16</x:f>
        <x:v>0</x:v>
      </x:c>
      <x:c r="AC35" s="36" t="n">
        <x:f>AC13+AC11-AC14-AC15-AC16</x:f>
        <x:v>0</x:v>
      </x:c>
      <x:c r="AD35" s="36" t="n">
        <x:f>AD13+AD11-AD14-AD15-AD16</x:f>
        <x:v>0</x:v>
      </x:c>
      <x:c r="AE35" s="36" t="n">
        <x:f>AE13+AE11-AE14-AE15-AE16</x:f>
        <x:v>0</x:v>
      </x:c>
      <x:c r="AF35" s="36" t="n">
        <x:f>AF13+AF11-AF14-AF15-AF16</x:f>
        <x:v>0</x:v>
      </x:c>
      <x:c r="AG35" s="36" t="n">
        <x:f>AG13+AG11-AG14-AG15-AG16</x:f>
        <x:v>0</x:v>
      </x:c>
      <x:c r="AH35" s="36" t="n">
        <x:f>AH13+AH11-AH14-AH15-AH16</x:f>
        <x:v>0</x:v>
      </x:c>
      <x:c r="AI35" s="36" t="n">
        <x:f>AI13+AI11-AI14-AI15-AI16</x:f>
        <x:v>0</x:v>
      </x:c>
      <x:c r="AJ35" s="36" t="n">
        <x:f>AJ13+AJ11-AJ14-AJ15-AJ16</x:f>
        <x:v>0</x:v>
      </x:c>
      <x:c r="AK35" s="36" t="n">
        <x:f>AK13+AK11-AK14-AK15-AK16</x:f>
        <x:v>0</x:v>
      </x:c>
      <x:c r="AL35" s="36" t="n">
        <x:f>AL13+AL11-AL14-AL15-AL16</x:f>
        <x:v>0</x:v>
      </x:c>
      <x:c r="AM35" s="36" t="n">
        <x:f>AM13+AM11-AM14-AM15-AM16</x:f>
        <x:v>0</x:v>
      </x:c>
      <x:c r="AN35" s="36" t="n">
        <x:f>AN13+AN11-AN14-AN15-AN16</x:f>
        <x:v>0</x:v>
      </x:c>
      <x:c r="AO35" s="36" t="n">
        <x:f>AO13+AO11-AO14-AO15-AO16</x:f>
        <x:v>0</x:v>
      </x:c>
      <x:c r="AP35" s="36" t="n">
        <x:f>AP13+AP11-AP14-AP15-AP16</x:f>
        <x:v>0</x:v>
      </x:c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</x:row>
    <x:row r="36" ht="19" customHeight="1">
      <x:c r="A36" s="1"/>
      <x:c r="B36" s="1"/>
      <x:c r="C36" s="2" t="str">
        <x:v>Reserve check ($)</x:v>
      </x:c>
      <x:c r="D36" s="2"/>
      <x:c r="E36" s="35"/>
      <x:c r="F36" s="2"/>
      <x:c r="G36" s="36" t="n">
        <x:f>G18+G19-G15-G20</x:f>
        <x:v>0</x:v>
      </x:c>
      <x:c r="H36" s="36" t="n">
        <x:f>H18+H19-H15-H20</x:f>
        <x:v>0</x:v>
      </x:c>
      <x:c r="I36" s="36" t="n">
        <x:f>I18+I19-I15-I20</x:f>
        <x:v>0</x:v>
      </x:c>
      <x:c r="J36" s="36" t="n">
        <x:f>J18+J19-J15-J20</x:f>
        <x:v>0</x:v>
      </x:c>
      <x:c r="K36" s="36" t="n">
        <x:f>K18+K19-K15-K20</x:f>
        <x:v>0</x:v>
      </x:c>
      <x:c r="L36" s="36" t="n">
        <x:f>L18+L19-L15-L20</x:f>
        <x:v>0</x:v>
      </x:c>
      <x:c r="M36" s="36" t="n">
        <x:f>M18+M19-M15-M20</x:f>
        <x:v>0</x:v>
      </x:c>
      <x:c r="N36" s="36" t="n">
        <x:f>N18+N19-N15-N20</x:f>
        <x:v>0</x:v>
      </x:c>
      <x:c r="O36" s="36" t="n">
        <x:f>O18+O19-O15-O20</x:f>
        <x:v>0</x:v>
      </x:c>
      <x:c r="P36" s="36" t="n">
        <x:f>P18+P19-P15-P20</x:f>
        <x:v>0</x:v>
      </x:c>
      <x:c r="Q36" s="36" t="n">
        <x:f>Q18+Q19-Q15-Q20</x:f>
        <x:v>0</x:v>
      </x:c>
      <x:c r="R36" s="36" t="n">
        <x:f>R18+R19-R15-R20</x:f>
        <x:v>0</x:v>
      </x:c>
      <x:c r="S36" s="36" t="n">
        <x:f>S18+S19-S15-S20</x:f>
        <x:v>0</x:v>
      </x:c>
      <x:c r="T36" s="36" t="n">
        <x:f>T18+T19-T15-T20</x:f>
        <x:v>0</x:v>
      </x:c>
      <x:c r="U36" s="36" t="n">
        <x:f>U18+U19-U15-U20</x:f>
        <x:v>0</x:v>
      </x:c>
      <x:c r="V36" s="36" t="n">
        <x:f>V18+V19-V15-V20</x:f>
        <x:v>0</x:v>
      </x:c>
      <x:c r="W36" s="36" t="n">
        <x:f>W18+W19-W15-W20</x:f>
        <x:v>0</x:v>
      </x:c>
      <x:c r="X36" s="36" t="n">
        <x:f>X18+X19-X15-X20</x:f>
        <x:v>0</x:v>
      </x:c>
      <x:c r="Y36" s="36" t="n">
        <x:f>Y18+Y19-Y15-Y20</x:f>
        <x:v>0</x:v>
      </x:c>
      <x:c r="Z36" s="36" t="n">
        <x:f>Z18+Z19-Z15-Z20</x:f>
        <x:v>0</x:v>
      </x:c>
      <x:c r="AA36" s="36" t="n">
        <x:f>AA18+AA19-AA15-AA20</x:f>
        <x:v>0</x:v>
      </x:c>
      <x:c r="AB36" s="36" t="n">
        <x:f>AB18+AB19-AB15-AB20</x:f>
        <x:v>0</x:v>
      </x:c>
      <x:c r="AC36" s="36" t="n">
        <x:f>AC18+AC19-AC15-AC20</x:f>
        <x:v>0</x:v>
      </x:c>
      <x:c r="AD36" s="36" t="n">
        <x:f>AD18+AD19-AD15-AD20</x:f>
        <x:v>0</x:v>
      </x:c>
      <x:c r="AE36" s="36" t="n">
        <x:f>AE18+AE19-AE15-AE20</x:f>
        <x:v>0</x:v>
      </x:c>
      <x:c r="AF36" s="36" t="n">
        <x:f>AF18+AF19-AF15-AF20</x:f>
        <x:v>0</x:v>
      </x:c>
      <x:c r="AG36" s="36" t="n">
        <x:f>AG18+AG19-AG15-AG20</x:f>
        <x:v>0</x:v>
      </x:c>
      <x:c r="AH36" s="36" t="n">
        <x:f>AH18+AH19-AH15-AH20</x:f>
        <x:v>0</x:v>
      </x:c>
      <x:c r="AI36" s="36" t="n">
        <x:f>AI18+AI19-AI15-AI20</x:f>
        <x:v>0</x:v>
      </x:c>
      <x:c r="AJ36" s="36" t="n">
        <x:f>AJ18+AJ19-AJ15-AJ20</x:f>
        <x:v>0</x:v>
      </x:c>
      <x:c r="AK36" s="36" t="n">
        <x:f>AK18+AK19-AK15-AK20</x:f>
        <x:v>0</x:v>
      </x:c>
      <x:c r="AL36" s="36" t="n">
        <x:f>AL18+AL19-AL15-AL20</x:f>
        <x:v>0</x:v>
      </x:c>
      <x:c r="AM36" s="36" t="n">
        <x:f>AM18+AM19-AM15-AM20</x:f>
        <x:v>0</x:v>
      </x:c>
      <x:c r="AN36" s="36" t="n">
        <x:f>AN18+AN19-AN15-AN20</x:f>
        <x:v>0</x:v>
      </x:c>
      <x:c r="AO36" s="36" t="n">
        <x:f>AO18+AO19-AO15-AO20</x:f>
        <x:v>0</x:v>
      </x:c>
      <x:c r="AP36" s="36" t="n">
        <x:f>AP18+AP19-AP15-AP20</x:f>
        <x:v>0</x:v>
      </x:c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</x:row>
    <x:row r="37" ht="19" customHeight="1">
      <x:c r="A37" s="1"/>
      <x:c r="B37" s="1"/>
      <x:c r="C37" s="2" t="str">
        <x:v>Net revenue check ($)</x:v>
      </x:c>
      <x:c r="D37" s="2"/>
      <x:c r="E37" s="35"/>
      <x:c r="F37" s="2"/>
      <x:c r="G37" s="36" t="n">
        <x:f>G24-G19-G25</x:f>
        <x:v>0</x:v>
      </x:c>
      <x:c r="H37" s="36" t="n">
        <x:f>H24-H19-H25</x:f>
        <x:v>0</x:v>
      </x:c>
      <x:c r="I37" s="36" t="n">
        <x:f>I24-I19-I25</x:f>
        <x:v>0</x:v>
      </x:c>
      <x:c r="J37" s="36" t="n">
        <x:f>J24-J19-J25</x:f>
        <x:v>0</x:v>
      </x:c>
      <x:c r="K37" s="36" t="n">
        <x:f>K24-K19-K25</x:f>
        <x:v>0</x:v>
      </x:c>
      <x:c r="L37" s="36" t="n">
        <x:f>L24-L19-L25</x:f>
        <x:v>0</x:v>
      </x:c>
      <x:c r="M37" s="36" t="n">
        <x:f>M24-M19-M25</x:f>
        <x:v>0</x:v>
      </x:c>
      <x:c r="N37" s="36" t="n">
        <x:f>N24-N19-N25</x:f>
        <x:v>0</x:v>
      </x:c>
      <x:c r="O37" s="36" t="n">
        <x:f>O24-O19-O25</x:f>
        <x:v>0</x:v>
      </x:c>
      <x:c r="P37" s="36" t="n">
        <x:f>P24-P19-P25</x:f>
        <x:v>0</x:v>
      </x:c>
      <x:c r="Q37" s="36" t="n">
        <x:f>Q24-Q19-Q25</x:f>
        <x:v>0</x:v>
      </x:c>
      <x:c r="R37" s="36" t="n">
        <x:f>R24-R19-R25</x:f>
        <x:v>0</x:v>
      </x:c>
      <x:c r="S37" s="36" t="n">
        <x:f>S24-S19-S25</x:f>
        <x:v>0</x:v>
      </x:c>
      <x:c r="T37" s="36" t="n">
        <x:f>T24-T19-T25</x:f>
        <x:v>0</x:v>
      </x:c>
      <x:c r="U37" s="36" t="n">
        <x:f>U24-U19-U25</x:f>
        <x:v>0</x:v>
      </x:c>
      <x:c r="V37" s="36" t="n">
        <x:f>V24-V19-V25</x:f>
        <x:v>0</x:v>
      </x:c>
      <x:c r="W37" s="36" t="n">
        <x:f>W24-W19-W25</x:f>
        <x:v>0</x:v>
      </x:c>
      <x:c r="X37" s="36" t="n">
        <x:f>X24-X19-X25</x:f>
        <x:v>0</x:v>
      </x:c>
      <x:c r="Y37" s="36" t="n">
        <x:f>Y24-Y19-Y25</x:f>
        <x:v>0</x:v>
      </x:c>
      <x:c r="Z37" s="36" t="n">
        <x:f>Z24-Z19-Z25</x:f>
        <x:v>0</x:v>
      </x:c>
      <x:c r="AA37" s="36" t="n">
        <x:f>AA24-AA19-AA25</x:f>
        <x:v>0</x:v>
      </x:c>
      <x:c r="AB37" s="36" t="n">
        <x:f>AB24-AB19-AB25</x:f>
        <x:v>0</x:v>
      </x:c>
      <x:c r="AC37" s="36" t="n">
        <x:f>AC24-AC19-AC25</x:f>
        <x:v>0</x:v>
      </x:c>
      <x:c r="AD37" s="36" t="n">
        <x:f>AD24-AD19-AD25</x:f>
        <x:v>0</x:v>
      </x:c>
      <x:c r="AE37" s="36" t="n">
        <x:f>AE24-AE19-AE25</x:f>
        <x:v>0</x:v>
      </x:c>
      <x:c r="AF37" s="36" t="n">
        <x:f>AF24-AF19-AF25</x:f>
        <x:v>0</x:v>
      </x:c>
      <x:c r="AG37" s="36" t="n">
        <x:f>AG24-AG19-AG25</x:f>
        <x:v>0</x:v>
      </x:c>
      <x:c r="AH37" s="36" t="n">
        <x:f>AH24-AH19-AH25</x:f>
        <x:v>0</x:v>
      </x:c>
      <x:c r="AI37" s="36" t="n">
        <x:f>AI24-AI19-AI25</x:f>
        <x:v>0</x:v>
      </x:c>
      <x:c r="AJ37" s="36" t="n">
        <x:f>AJ24-AJ19-AJ25</x:f>
        <x:v>0</x:v>
      </x:c>
      <x:c r="AK37" s="36" t="n">
        <x:f>AK24-AK19-AK25</x:f>
        <x:v>0</x:v>
      </x:c>
      <x:c r="AL37" s="36" t="n">
        <x:f>AL24-AL19-AL25</x:f>
        <x:v>0</x:v>
      </x:c>
      <x:c r="AM37" s="36" t="n">
        <x:f>AM24-AM19-AM25</x:f>
        <x:v>0</x:v>
      </x:c>
      <x:c r="AN37" s="36" t="n">
        <x:f>AN24-AN19-AN25</x:f>
        <x:v>0</x:v>
      </x:c>
      <x:c r="AO37" s="36" t="n">
        <x:f>AO24-AO19-AO25</x:f>
        <x:v>0</x:v>
      </x:c>
      <x:c r="AP37" s="36" t="n">
        <x:f>AP24-AP19-AP25</x:f>
        <x:v>0</x:v>
      </x:c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</x:row>
    <x:row r="38" ht="19" customHeight="1">
      <x:c r="A38" s="1"/>
      <x:c r="B38" s="1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</x:row>
    <x:row r="39" ht="19" customHeight="1">
      <x:c r="A39" s="1"/>
      <x:c r="B39" s="1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</x:row>
    <x:row r="40" ht="19" customHeight="1">
      <x:c r="A40" s="1"/>
      <x:c r="B40" s="1"/>
      <x:c r="C40" s="2" t="str">
        <x:v>Applied default rate</x:v>
      </x:c>
      <x:c r="D40" s="2"/>
      <x:c r="E40" s="22" t="n">
        <x:f>'Assumptions'!E58</x:f>
        <x:v>0.2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</x:row>
    <x:row r="41" ht="19" customHeight="1">
      <x:c r="A41" s="1"/>
      <x:c r="B41" s="1"/>
      <x:c r="C41" s="2" t="str">
        <x:v>Applied midpoint</x:v>
      </x:c>
      <x:c r="D41" s="2"/>
      <x:c r="E41" s="24" t="n">
        <x:f>'Assumptions'!E59</x:f>
        <x:v>3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</x:row>
    <x:row r="42" ht="19" customHeight="1">
      <x:c r="A42" s="1"/>
      <x:c r="B42" s="1"/>
      <x:c r="C42" s="2" t="str">
        <x:v>Monthly contractual rate</x:v>
      </x:c>
      <x:c r="D42" s="2"/>
      <x:c r="E42" s="22" t="n">
        <x:f>'Assumptions'!E15/12</x:f>
        <x:v>0.08333333333333333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</x:row>
    <x:row r="43" ht="19" customHeight="1">
      <x:c r="A43" s="1"/>
      <x:c r="B43" s="1"/>
      <x:c r="C43" s="2" t="str">
        <x:v>Term</x:v>
      </x:c>
      <x:c r="D43" s="2"/>
      <x:c r="E43" s="4" t="n">
        <x:f>'Assumptions'!E16</x:f>
        <x:v>12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</x:row>
    <x:row r="44" ht="19" customHeight="1">
      <x:c r="A44" s="1"/>
      <x:c r="B44" s="1"/>
      <x:c r="C44" s="2" t="str">
        <x:v>Opening gross CLAB</x:v>
      </x:c>
      <x:c r="D44" s="2"/>
      <x:c r="E44" s="25" t="n">
        <x:f>'Assumptions'!E17*'Assumptions'!$E$29</x:f>
        <x:v>204480000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</x:row>
    <x:row r="45" ht="19" customHeight="1">
      <x:c r="A45" s="1"/>
      <x:c r="B45" s="1"/>
      <x:c r="C45" s="2" t="str">
        <x:v>Single cohort age</x:v>
      </x:c>
      <x:c r="D45" s="2"/>
      <x:c r="E45" s="4" t="n">
        <x:f>'Assumptions'!E19</x:f>
        <x:v>3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</x:row>
    <x:row r="46" ht="19" customHeight="1">
      <x:c r="A46" s="1"/>
      <x:c r="B46" s="1"/>
      <x:c r="C46" s="2" t="str">
        <x:v>Age mix</x:v>
      </x:c>
      <x:c r="D46" s="2"/>
      <x:c r="E46" s="4" t="n">
        <x:f>'Assumptions'!E18</x:f>
        <x:v>0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</x:row>
    <x:row r="47" ht="19" customHeight="1">
      <x:c r="A47" s="1"/>
      <x:c r="B47" s="1"/>
      <x:c r="C47" s="2" t="str">
        <x:v>Steepness</x:v>
      </x:c>
      <x:c r="D47" s="2"/>
      <x:c r="E47" s="24" t="n">
        <x:f>'Assumptions'!E27</x:f>
        <x:v>0.55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</x:row>
    <x:row r="48" ht="19" customHeight="1">
      <x:c r="A48" s="1"/>
      <x:c r="B48" s="1"/>
      <x:c r="C48" s="2" t="str">
        <x:v>Opening expected-loss reserve</x:v>
      </x:c>
      <x:c r="D48" s="2"/>
      <x:c r="E48" s="26" t="n">
        <x:f>SUM(F160:F219)</x:f>
        <x:v>39237954.80147392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</x:row>
    <x:row r="49" ht="19" customHeight="1">
      <x:c r="A49" s="1"/>
      <x:c r="B49" s="1"/>
      <x:c r="C49" s="2" t="str">
        <x:v>New-loan lifetime loss per $1</x:v>
      </x:c>
      <x:c r="D49" s="2"/>
      <x:c r="E49" s="23" t="n">
        <x:f>SUM(E51:E147)</x:f>
        <x:v>0.16960332848174178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</x:row>
    <x:row r="50" ht="32" customHeight="1">
      <x:c r="A50" s="1"/>
      <x:c r="B50" s="1"/>
      <x:c r="C50" s="29" t="str">
        <x:v>MOB</x:v>
      </x:c>
      <x:c r="D50" s="29" t="str">
        <x:v>Cumulative default</x:v>
      </x:c>
      <x:c r="E50" s="29" t="str">
        <x:v>Charge-off / $1</x:v>
      </x:c>
      <x:c r="F50" s="29" t="str">
        <x:v>Repayment / $1</x:v>
      </x:c>
      <x:c r="G50" s="29" t="str">
        <x:v>Future loss / $1</x:v>
      </x:c>
      <x:c r="H50" s="29" t="str">
        <x:v>Scheduled balance / $1</x:v>
      </x:c>
      <x:c r="I50" s="29" t="str">
        <x:v>Survival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</x:row>
    <x:row r="51" ht="19" customHeight="1">
      <x:c r="A51" s="1"/>
      <x:c r="B51" s="1"/>
      <x:c r="C51" s="2" t="n">
        <x:v>0</x:v>
      </x:c>
      <x:c r="D51" s="30" t="n">
        <x:f>$E$40*INDEX('Assumptions'!$E$65:$E$101,MIN(C51,36)+1)</x:f>
        <x:v>0</x:v>
      </x:c>
      <x:c r="E51" s="30" t="n">
        <x:f>0</x:f>
        <x:v>0</x:v>
      </x:c>
      <x:c r="F51" s="30" t="n">
        <x:f>0</x:f>
        <x:v>0</x:v>
      </x:c>
      <x:c r="G51" s="30" t="n">
        <x:f>SUM(E52:E147)</x:f>
        <x:v>0.16960332848174178</x:v>
      </x:c>
      <x:c r="H51" s="30" t="n">
        <x:f>IF($E$42=0,1-MIN(C51,$E$43)/$E$43,((1+$E$42)^$E$43-(1+$E$42)^MIN(C51,$E$43))/((1+$E$42)^$E$43-1))</x:f>
        <x:v>1</x:v>
      </x:c>
      <x:c r="I51" s="30" t="n">
        <x:f>MAX(0,1-D51-J51)</x:f>
        <x:v>1</x:v>
      </x:c>
      <x:c r="J51" s="2" t="n">
        <x:f>(1-$E$40)*INDEX('Assumptions'!$H$65:$H$101,MIN(C51,36)+1)</x:f>
        <x:v>0</x:v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</x:row>
    <x:row r="52" ht="19" customHeight="1">
      <x:c r="A52" s="1"/>
      <x:c r="B52" s="1"/>
      <x:c r="C52" s="2" t="n">
        <x:v>1</x:v>
      </x:c>
      <x:c r="D52" s="30" t="n">
        <x:f>$E$40*INDEX('Assumptions'!$E$65:$E$101,MIN(C52,36)+1)</x:f>
        <x:v>0.047793907633118346</x:v>
      </x:c>
      <x:c r="E52" s="30" t="n">
        <x:f>(D52-D51)*H51</x:f>
        <x:v>0.047793907633118346</x:v>
      </x:c>
      <x:c r="F52" s="30" t="n">
        <x:f>(1-D52-J51)*(H51-H52)+(J52-J51)*H52</x:f>
        <x:v>0.24937900422653278</x:v>
      </x:c>
      <x:c r="G52" s="30" t="n">
        <x:f>SUM(E53:E147)</x:f>
        <x:v>0.12180942084862346</x:v>
      </x:c>
      <x:c r="H52" s="30" t="n">
        <x:f>IF($E$42=0,1-MIN(C52,$E$43)/$E$43,((1+$E$42)^$E$43-(1+$E$42)^MIN(C52,$E$43))/((1+$E$42)^$E$43-1))</x:f>
        <x:v>0.9483375634505021</x:v>
      </x:c>
      <x:c r="I52" s="30" t="n">
        <x:f>MAX(0,1-D52-J52)</x:f>
        <x:v>0.7411148890729693</x:v>
      </x:c>
      <x:c r="J52" s="2" t="n">
        <x:f>(1-$E$40)*INDEX('Assumptions'!$H$65:$H$101,MIN(C52,36)+1)</x:f>
        <x:v>0.21109120329391234</x:v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</x:row>
    <x:row r="53" ht="19" customHeight="1">
      <x:c r="A53" s="1"/>
      <x:c r="B53" s="1"/>
      <x:c r="C53" s="2" t="n">
        <x:v>2</x:v>
      </x:c>
      <x:c r="D53" s="30" t="n">
        <x:f>$E$40*INDEX('Assumptions'!$E$65:$E$101,MIN(C53,36)+1)</x:f>
        <x:v>0.0859488479098054</x:v>
      </x:c>
      <x:c r="E53" s="30" t="n">
        <x:f>(D53-D52)*H52</x:f>
        <x:v>0.03618376309559283</x:v>
      </x:c>
      <x:c r="F53" s="30" t="n">
        <x:f>(1-D53-J52)*(H52-H53)+(J53-J52)*H53</x:f>
        <x:v>0.18259658076094243</x:v>
      </x:c>
      <x:c r="G53" s="30" t="n">
        <x:f>SUM(E54:E147)</x:f>
        <x:v>0.08562565775303065</x:v>
      </x:c>
      <x:c r="H53" s="30" t="n">
        <x:f>IF($E$42=0,1-MIN(C53,$E$43)/$E$43,((1+$E$42)^$E$43-(1+$E$42)^MIN(C53,$E$43))/((1+$E$42)^$E$43-1))</x:f>
        <x:v>0.8923699238552127</x:v>
      </x:c>
      <x:c r="I53" s="30" t="n">
        <x:f>MAX(0,1-D53-J53)</x:f>
        <x:v>0.5424283487644193</x:v>
      </x:c>
      <x:c r="J53" s="2" t="n">
        <x:f>(1-$E$40)*INDEX('Assumptions'!$H$65:$H$101,MIN(C53,36)+1)</x:f>
        <x:v>0.3716228033257753</x:v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</x:row>
    <x:row r="54" ht="19" customHeight="1">
      <x:c r="A54" s="1"/>
      <x:c r="B54" s="1"/>
      <x:c r="C54" s="2" t="n">
        <x:v>3</x:v>
      </x:c>
      <x:c r="D54" s="30" t="n">
        <x:f>$E$40*INDEX('Assumptions'!$E$65:$E$101,MIN(C54,36)+1)</x:f>
        <x:v>0.11502213271151718</x:v>
      </x:c>
      <x:c r="E54" s="30" t="n">
        <x:f>(D54-D53)*H53</x:f>
        <x:v>0.025944124944724447</x:v>
      </x:c>
      <x:c r="F54" s="30" t="n">
        <x:f>(1-D54-J53)*(H53-H54)+(J54-J53)*H54</x:f>
        <x:v>0.133222282569853</x:v>
      </x:c>
      <x:c r="G54" s="30" t="n">
        <x:f>SUM(E55:E147)</x:f>
        <x:v>0.05968153280830618</x:v>
      </x:c>
      <x:c r="H54" s="30" t="n">
        <x:f>IF($E$42=0,1-MIN(C54,$E$43)/$E$43,((1+$E$42)^$E$43-(1+$E$42)^MIN(C54,$E$43))/((1+$E$42)^$E$43-1))</x:f>
        <x:v>0.8317383142936492</x:v>
      </x:c>
      <x:c r="I54" s="30" t="n">
        <x:f>MAX(0,1-D54-J54)</x:f>
        <x:v>0.39060402915926706</x:v>
      </x:c>
      <x:c r="J54" s="2" t="n">
        <x:f>(1-$E$40)*INDEX('Assumptions'!$H$65:$H$101,MIN(C54,36)+1)</x:f>
        <x:v>0.49437383812921576</x:v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</x:row>
    <x:row r="55" ht="19" customHeight="1">
      <x:c r="A55" s="1"/>
      <x:c r="B55" s="1"/>
      <x:c r="C55" s="2" t="n">
        <x:v>4</x:v>
      </x:c>
      <x:c r="D55" s="30" t="n">
        <x:f>$E$40*INDEX('Assumptions'!$E$65:$E$101,MIN(C55,36)+1)</x:f>
        <x:v>0.139146003027586</x:v>
      </x:c>
      <x:c r="E55" s="30" t="n">
        <x:f>(D55-D54)*H54</x:f>
        <x:v>0.02006474723092569</x:v>
      </x:c>
      <x:c r="F55" s="30" t="n">
        <x:f>(1-D55-J54)*(H54-H55)+(J55-J54)*H55</x:f>
        <x:v>0.09472209503598536</x:v>
      </x:c>
      <x:c r="G55" s="30" t="n">
        <x:f>SUM(E56:E147)</x:f>
        <x:v>0.03961678557738049</x:v>
      </x:c>
      <x:c r="H55" s="30" t="n">
        <x:f>IF($E$42=0,1-MIN(C55,$E$43)/$E$43,((1+$E$42)^$E$43-(1+$E$42)^MIN(C55,$E$43))/((1+$E$42)^$E$43-1))</x:f>
        <x:v>0.7660540706019554</x:v>
      </x:c>
      <x:c r="I55" s="30" t="n">
        <x:f>MAX(0,1-D55-J55)</x:f>
        <x:v>0.2742541323972555</x:v>
      </x:c>
      <x:c r="J55" s="2" t="n">
        <x:f>(1-$E$40)*INDEX('Assumptions'!$H$65:$H$101,MIN(C55,36)+1)</x:f>
        <x:v>0.5865998645751586</x:v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</x:row>
    <x:row r="56" ht="19" customHeight="1">
      <x:c r="A56" s="1"/>
      <x:c r="B56" s="1"/>
      <x:c r="C56" s="2" t="n">
        <x:v>5</x:v>
      </x:c>
      <x:c r="D56" s="30" t="n">
        <x:f>$E$40*INDEX('Assumptions'!$E$65:$E$101,MIN(C56,36)+1)</x:f>
        <x:v>0.15875499245655234</x:v>
      </x:c>
      <x:c r="E56" s="30" t="n">
        <x:f>(D56-D55)*H55</x:f>
        <x:v>0.015021546172450368</x:v>
      </x:c>
      <x:c r="F56" s="30" t="n">
        <x:f>(1-D56-J55)*(H55-H56)+(J56-J55)*H56</x:f>
        <x:v>0.06554331425075753</x:v>
      </x:c>
      <x:c r="G56" s="30" t="n">
        <x:f>SUM(E57:E147)</x:f>
        <x:v>0.024595239404930126</x:v>
      </x:c>
      <x:c r="H56" s="30" t="n">
        <x:f>IF($E$42=0,1-MIN(C56,$E$43)/$E$43,((1+$E$42)^$E$43-(1+$E$42)^MIN(C56,$E$43))/((1+$E$42)^$E$43-1))</x:f>
        <x:v>0.6948961399359538</x:v>
      </x:c>
      <x:c r="I56" s="30" t="n">
        <x:f>MAX(0,1-D56-J56)</x:f>
        <x:v>0.18639999078287506</x:v>
      </x:c>
      <x:c r="J56" s="2" t="n">
        <x:f>(1-$E$40)*INDEX('Assumptions'!$H$65:$H$101,MIN(C56,36)+1)</x:f>
        <x:v>0.6548450167605726</x:v>
      </x:c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</x:row>
    <x:row r="57" ht="19" customHeight="1">
      <x:c r="A57" s="1"/>
      <x:c r="B57" s="1"/>
      <x:c r="C57" s="2" t="n">
        <x:v>6</x:v>
      </x:c>
      <x:c r="D57" s="30" t="n">
        <x:f>$E$40*INDEX('Assumptions'!$E$65:$E$101,MIN(C57,36)+1)</x:f>
        <x:v>0.1729640541883488</x:v>
      </x:c>
      <x:c r="E57" s="30" t="n">
        <x:f>(D57-D56)*H56</x:f>
        <x:v>0.009873822149537033</x:v>
      </x:c>
      <x:c r="F57" s="30" t="n">
        <x:f>(1-D57-J56)*(H56-H57)+(J57-J56)*H57</x:f>
        <x:v>0.04578686905891455</x:v>
      </x:c>
      <x:c r="G57" s="30" t="n">
        <x:f>SUM(E58:E147)</x:f>
        <x:v>0.014721417255393093</x:v>
      </x:c>
      <x:c r="H57" s="30" t="n">
        <x:f>IF($E$42=0,1-MIN(C57,$E$43)/$E$43,((1+$E$42)^$E$43-(1+$E$42)^MIN(C57,$E$43))/((1+$E$42)^$E$43-1))</x:f>
        <x:v>0.617808381714452</x:v>
      </x:c>
      <x:c r="I57" s="30" t="n">
        <x:f>MAX(0,1-D57-J57)</x:f>
        <x:v>0.11956448804672748</x:v>
      </x:c>
      <x:c r="J57" s="2" t="n">
        <x:f>(1-$E$40)*INDEX('Assumptions'!$H$65:$H$101,MIN(C57,36)+1)</x:f>
        <x:v>0.7074714577649237</x:v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</x:row>
    <x:row r="58" ht="19" customHeight="1">
      <x:c r="A58" s="1"/>
      <x:c r="B58" s="1"/>
      <x:c r="C58" s="2" t="n">
        <x:v>7</x:v>
      </x:c>
      <x:c r="D58" s="30" t="n">
        <x:f>$E$40*INDEX('Assumptions'!$E$65:$E$101,MIN(C58,36)+1)</x:f>
        <x:v>0.1837405454525418</x:v>
      </x:c>
      <x:c r="E58" s="30" t="n">
        <x:f>(D58-D57)*H57</x:f>
        <x:v>0.006657806628491006</x:v>
      </x:c>
      <x:c r="F58" s="30" t="n">
        <x:f>(1-D58-J57)*(H57-H58)+(J58-J57)*H58</x:f>
        <x:v>0.03013824284215856</x:v>
      </x:c>
      <x:c r="G58" s="30" t="n">
        <x:f>SUM(E59:E147)</x:f>
        <x:v>0.008063610626902086</x:v>
      </x:c>
      <x:c r="H58" s="30" t="n">
        <x:f>IF($E$42=0,1-MIN(C58,$E$43)/$E$43,((1+$E$42)^$E$43-(1+$E$42)^MIN(C58,$E$43))/((1+$E$42)^$E$43-1))</x:f>
        <x:v>0.5342966436411585</x:v>
      </x:c>
      <x:c r="I58" s="30" t="n">
        <x:f>MAX(0,1-D58-J58)</x:f>
        <x:v>0.06938447740823561</x:v>
      </x:c>
      <x:c r="J58" s="2" t="n">
        <x:f>(1-$E$40)*INDEX('Assumptions'!$H$65:$H$101,MIN(C58,36)+1)</x:f>
        <x:v>0.7468749771392226</x:v>
      </x:c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</x:row>
    <x:row r="59" ht="19" customHeight="1">
      <x:c r="A59" s="1"/>
      <x:c r="B59" s="1"/>
      <x:c r="C59" s="2" t="n">
        <x:v>8</x:v>
      </x:c>
      <x:c r="D59" s="30" t="n">
        <x:f>$E$40*INDEX('Assumptions'!$E$65:$E$101,MIN(C59,36)+1)</x:f>
        <x:v>0.19310540368282814</x:v>
      </x:c>
      <x:c r="E59" s="30" t="n">
        <x:f>(D59-D58)*H58</x:f>
        <x:v>0.005003612320617276</x:v>
      </x:c>
      <x:c r="F59" s="30" t="n">
        <x:f>(1-D59-J58)*(H58-H59)+(J59-J58)*H59</x:f>
        <x:v>0.018661978309675996</x:v>
      </x:c>
      <x:c r="G59" s="30" t="n">
        <x:f>SUM(E60:E147)</x:f>
        <x:v>0.0030599983062848104</x:v>
      </x:c>
      <x:c r="H59" s="30" t="n">
        <x:f>IF($E$42=0,1-MIN(C59,$E$43)/$E$43,((1+$E$42)^$E$43-(1+$E$42)^MIN(C59,$E$43))/((1+$E$42)^$E$43-1))</x:f>
        <x:v>0.44382559406175714</x:v>
      </x:c>
      <x:c r="I59" s="30" t="n">
        <x:f>MAX(0,1-D59-J59)</x:f>
        <x:v>0.030206240805160434</x:v>
      </x:c>
      <x:c r="J59" s="2" t="n">
        <x:f>(1-$E$40)*INDEX('Assumptions'!$H$65:$H$101,MIN(C59,36)+1)</x:f>
        <x:v>0.7766883555120114</x:v>
      </x:c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</x:row>
    <x:row r="60" ht="19" customHeight="1">
      <x:c r="A60" s="1"/>
      <x:c r="B60" s="1"/>
      <x:c r="C60" s="2" t="n">
        <x:v>9</x:v>
      </x:c>
      <x:c r="D60" s="30" t="n">
        <x:f>$E$40*INDEX('Assumptions'!$E$65:$E$101,MIN(C60,36)+1)</x:f>
        <x:v>0.2</x:v>
      </x:c>
      <x:c r="E60" s="30" t="n">
        <x:f>(D60-D59)*H59</x:f>
        <x:v>0.0030599983062848104</x:v>
      </x:c>
      <x:c r="F60" s="30" t="n">
        <x:f>(1-D60-J59)*(H59-H60)+(J60-J59)*H60</x:f>
        <x:v>0.010346304463438035</x:v>
      </x:c>
      <x:c r="G60" s="30" t="n">
        <x:f>SUM(E61:E147)</x:f>
        <x:v>0</x:v>
      </x:c>
      <x:c r="H60" s="30" t="n">
        <x:f>IF($E$42=0,1-MIN(C60,$E$43)/$E$43,((1+$E$42)^$E$43-(1+$E$42)^MIN(C60,$E$43))/((1+$E$42)^$E$43-1))</x:f>
        <x:v>0.34581529035073894</x:v>
      </x:c>
      <x:c r="I60" s="30" t="n">
        <x:f>MAX(0,1-D60-J60)</x:f>
        <x:v>0</x:v>
      </x:c>
      <x:c r="J60" s="2" t="n">
        <x:f>(1-$E$40)*INDEX('Assumptions'!$H$65:$H$101,MIN(C60,36)+1)</x:f>
        <x:v>0.8</x:v>
      </x:c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</x:row>
    <x:row r="61" ht="19" customHeight="1">
      <x:c r="A61" s="1"/>
      <x:c r="B61" s="1"/>
      <x:c r="C61" s="2" t="n">
        <x:v>10</x:v>
      </x:c>
      <x:c r="D61" s="30" t="n">
        <x:f>$E$40*INDEX('Assumptions'!$E$65:$E$101,MIN(C61,36)+1)</x:f>
        <x:v>0.2</x:v>
      </x:c>
      <x:c r="E61" s="30" t="n">
        <x:f>(D61-D60)*H60</x:f>
        <x:v>0</x:v>
      </x:c>
      <x:c r="F61" s="30" t="n">
        <x:f>(1-D61-J60)*(H60-H61)+(J61-J60)*H61</x:f>
        <x:v>0</x:v>
      </x:c>
      <x:c r="G61" s="30" t="n">
        <x:f>SUM(E62:E147)</x:f>
        <x:v>0</x:v>
      </x:c>
      <x:c r="H61" s="30" t="n">
        <x:f>IF($E$42=0,1-MIN(C61,$E$43)/$E$43,((1+$E$42)^$E$43-(1+$E$42)^MIN(C61,$E$43))/((1+$E$42)^$E$43-1))</x:f>
        <x:v>0.23963746133046956</x:v>
      </x:c>
      <x:c r="I61" s="30" t="n">
        <x:f>MAX(0,1-D61-J61)</x:f>
        <x:v>0</x:v>
      </x:c>
      <x:c r="J61" s="2" t="n">
        <x:f>(1-$E$40)*INDEX('Assumptions'!$H$65:$H$101,MIN(C61,36)+1)</x:f>
        <x:v>0.8</x:v>
      </x:c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</x:row>
    <x:row r="62" ht="19" customHeight="1">
      <x:c r="A62" s="1"/>
      <x:c r="B62" s="1"/>
      <x:c r="C62" s="2" t="n">
        <x:v>11</x:v>
      </x:c>
      <x:c r="D62" s="30" t="n">
        <x:f>$E$40*INDEX('Assumptions'!$E$65:$E$101,MIN(C62,36)+1)</x:f>
        <x:v>0.2</x:v>
      </x:c>
      <x:c r="E62" s="30" t="n">
        <x:f>(D62-D61)*H61</x:f>
        <x:v>0</x:v>
      </x:c>
      <x:c r="F62" s="30" t="n">
        <x:f>(1-D62-J61)*(H61-H62)+(J62-J61)*H62</x:f>
        <x:v>0</x:v>
      </x:c>
      <x:c r="G62" s="30" t="n">
        <x:f>SUM(E63:E147)</x:f>
        <x:v>0</x:v>
      </x:c>
      <x:c r="H62" s="30" t="n">
        <x:f>IF($E$42=0,1-MIN(C62,$E$43)/$E$43,((1+$E$42)^$E$43-(1+$E$42)^MIN(C62,$E$43))/((1+$E$42)^$E$43-1))</x:f>
        <x:v>0.12461147989184414</x:v>
      </x:c>
      <x:c r="I62" s="30" t="n">
        <x:f>MAX(0,1-D62-J62)</x:f>
        <x:v>0</x:v>
      </x:c>
      <x:c r="J62" s="2" t="n">
        <x:f>(1-$E$40)*INDEX('Assumptions'!$H$65:$H$101,MIN(C62,36)+1)</x:f>
        <x:v>0.8</x:v>
      </x:c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</x:row>
    <x:row r="63" ht="19" customHeight="1">
      <x:c r="A63" s="1"/>
      <x:c r="B63" s="1"/>
      <x:c r="C63" s="2" t="n">
        <x:v>12</x:v>
      </x:c>
      <x:c r="D63" s="30" t="n">
        <x:f>$E$40*INDEX('Assumptions'!$E$65:$E$101,MIN(C63,36)+1)</x:f>
        <x:v>0.2</x:v>
      </x:c>
      <x:c r="E63" s="30" t="n">
        <x:f>(D63-D62)*H62</x:f>
        <x:v>0</x:v>
      </x:c>
      <x:c r="F63" s="30" t="n">
        <x:f>(1-D63-J62)*(H62-H63)+(J63-J62)*H63</x:f>
        <x:v>0</x:v>
      </x:c>
      <x:c r="G63" s="30" t="n">
        <x:f>SUM(E64:E147)</x:f>
        <x:v>0</x:v>
      </x:c>
      <x:c r="H63" s="30" t="n">
        <x:f>IF($E$42=0,1-MIN(C63,$E$43)/$E$43,((1+$E$42)^$E$43-(1+$E$42)^MIN(C63,$E$43))/((1+$E$42)^$E$43-1))</x:f>
        <x:v>0</x:v>
      </x:c>
      <x:c r="I63" s="30" t="n">
        <x:f>MAX(0,1-D63-J63)</x:f>
        <x:v>0</x:v>
      </x:c>
      <x:c r="J63" s="2" t="n">
        <x:f>(1-$E$40)*INDEX('Assumptions'!$H$65:$H$101,MIN(C63,36)+1)</x:f>
        <x:v>0.8</x:v>
      </x:c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</x:row>
    <x:row r="64" ht="19" customHeight="1">
      <x:c r="A64" s="1"/>
      <x:c r="B64" s="1"/>
      <x:c r="C64" s="2" t="n">
        <x:v>13</x:v>
      </x:c>
      <x:c r="D64" s="30" t="n">
        <x:f>$E$40*INDEX('Assumptions'!$E$65:$E$101,MIN(C64,36)+1)</x:f>
        <x:v>0.2</x:v>
      </x:c>
      <x:c r="E64" s="30" t="n">
        <x:f>(D64-D63)*H63</x:f>
        <x:v>0</x:v>
      </x:c>
      <x:c r="F64" s="30" t="n">
        <x:f>(1-D64-J63)*(H63-H64)+(J64-J63)*H64</x:f>
        <x:v>0</x:v>
      </x:c>
      <x:c r="G64" s="30" t="n">
        <x:f>SUM(E65:E147)</x:f>
        <x:v>0</x:v>
      </x:c>
      <x:c r="H64" s="30" t="n">
        <x:f>IF($E$42=0,1-MIN(C64,$E$43)/$E$43,((1+$E$42)^$E$43-(1+$E$42)^MIN(C64,$E$43))/((1+$E$42)^$E$43-1))</x:f>
        <x:v>0</x:v>
      </x:c>
      <x:c r="I64" s="30" t="n">
        <x:f>MAX(0,1-D64-J64)</x:f>
        <x:v>0</x:v>
      </x:c>
      <x:c r="J64" s="2" t="n">
        <x:f>(1-$E$40)*INDEX('Assumptions'!$H$65:$H$101,MIN(C64,36)+1)</x:f>
        <x:v>0.8</x:v>
      </x:c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</x:row>
    <x:row r="65" ht="19" customHeight="1">
      <x:c r="A65" s="1"/>
      <x:c r="B65" s="1"/>
      <x:c r="C65" s="2" t="n">
        <x:v>14</x:v>
      </x:c>
      <x:c r="D65" s="30" t="n">
        <x:f>$E$40*INDEX('Assumptions'!$E$65:$E$101,MIN(C65,36)+1)</x:f>
        <x:v>0.2</x:v>
      </x:c>
      <x:c r="E65" s="30" t="n">
        <x:f>(D65-D64)*H64</x:f>
        <x:v>0</x:v>
      </x:c>
      <x:c r="F65" s="30" t="n">
        <x:f>(1-D65-J64)*(H64-H65)+(J65-J64)*H65</x:f>
        <x:v>0</x:v>
      </x:c>
      <x:c r="G65" s="30" t="n">
        <x:f>SUM(E66:E147)</x:f>
        <x:v>0</x:v>
      </x:c>
      <x:c r="H65" s="30" t="n">
        <x:f>IF($E$42=0,1-MIN(C65,$E$43)/$E$43,((1+$E$42)^$E$43-(1+$E$42)^MIN(C65,$E$43))/((1+$E$42)^$E$43-1))</x:f>
        <x:v>0</x:v>
      </x:c>
      <x:c r="I65" s="30" t="n">
        <x:f>MAX(0,1-D65-J65)</x:f>
        <x:v>0</x:v>
      </x:c>
      <x:c r="J65" s="2" t="n">
        <x:f>(1-$E$40)*INDEX('Assumptions'!$H$65:$H$101,MIN(C65,36)+1)</x:f>
        <x:v>0.8</x:v>
      </x:c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</x:row>
    <x:row r="66" ht="19" customHeight="1">
      <x:c r="A66" s="1"/>
      <x:c r="B66" s="1"/>
      <x:c r="C66" s="2" t="n">
        <x:v>15</x:v>
      </x:c>
      <x:c r="D66" s="30" t="n">
        <x:f>$E$40*INDEX('Assumptions'!$E$65:$E$101,MIN(C66,36)+1)</x:f>
        <x:v>0.2</x:v>
      </x:c>
      <x:c r="E66" s="30" t="n">
        <x:f>(D66-D65)*H65</x:f>
        <x:v>0</x:v>
      </x:c>
      <x:c r="F66" s="30" t="n">
        <x:f>(1-D66-J65)*(H65-H66)+(J66-J65)*H66</x:f>
        <x:v>0</x:v>
      </x:c>
      <x:c r="G66" s="30" t="n">
        <x:f>SUM(E67:E147)</x:f>
        <x:v>0</x:v>
      </x:c>
      <x:c r="H66" s="30" t="n">
        <x:f>IF($E$42=0,1-MIN(C66,$E$43)/$E$43,((1+$E$42)^$E$43-(1+$E$42)^MIN(C66,$E$43))/((1+$E$42)^$E$43-1))</x:f>
        <x:v>0</x:v>
      </x:c>
      <x:c r="I66" s="30" t="n">
        <x:f>MAX(0,1-D66-J66)</x:f>
        <x:v>0</x:v>
      </x:c>
      <x:c r="J66" s="2" t="n">
        <x:f>(1-$E$40)*INDEX('Assumptions'!$H$65:$H$101,MIN(C66,36)+1)</x:f>
        <x:v>0.8</x:v>
      </x:c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</x:row>
    <x:row r="67" ht="19" customHeight="1">
      <x:c r="A67" s="1"/>
      <x:c r="B67" s="1"/>
      <x:c r="C67" s="2" t="n">
        <x:v>16</x:v>
      </x:c>
      <x:c r="D67" s="30" t="n">
        <x:f>$E$40*INDEX('Assumptions'!$E$65:$E$101,MIN(C67,36)+1)</x:f>
        <x:v>0.2</x:v>
      </x:c>
      <x:c r="E67" s="30" t="n">
        <x:f>(D67-D66)*H66</x:f>
        <x:v>0</x:v>
      </x:c>
      <x:c r="F67" s="30" t="n">
        <x:f>(1-D67-J66)*(H66-H67)+(J67-J66)*H67</x:f>
        <x:v>0</x:v>
      </x:c>
      <x:c r="G67" s="30" t="n">
        <x:f>SUM(E68:E147)</x:f>
        <x:v>0</x:v>
      </x:c>
      <x:c r="H67" s="30" t="n">
        <x:f>IF($E$42=0,1-MIN(C67,$E$43)/$E$43,((1+$E$42)^$E$43-(1+$E$42)^MIN(C67,$E$43))/((1+$E$42)^$E$43-1))</x:f>
        <x:v>0</x:v>
      </x:c>
      <x:c r="I67" s="30" t="n">
        <x:f>MAX(0,1-D67-J67)</x:f>
        <x:v>0</x:v>
      </x:c>
      <x:c r="J67" s="2" t="n">
        <x:f>(1-$E$40)*INDEX('Assumptions'!$H$65:$H$101,MIN(C67,36)+1)</x:f>
        <x:v>0.8</x:v>
      </x:c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</x:row>
    <x:row r="68" ht="19" customHeight="1">
      <x:c r="A68" s="1"/>
      <x:c r="B68" s="1"/>
      <x:c r="C68" s="2" t="n">
        <x:v>17</x:v>
      </x:c>
      <x:c r="D68" s="30" t="n">
        <x:f>$E$40*INDEX('Assumptions'!$E$65:$E$101,MIN(C68,36)+1)</x:f>
        <x:v>0.2</x:v>
      </x:c>
      <x:c r="E68" s="30" t="n">
        <x:f>(D68-D67)*H67</x:f>
        <x:v>0</x:v>
      </x:c>
      <x:c r="F68" s="30" t="n">
        <x:f>(1-D68-J67)*(H67-H68)+(J68-J67)*H68</x:f>
        <x:v>0</x:v>
      </x:c>
      <x:c r="G68" s="30" t="n">
        <x:f>SUM(E69:E147)</x:f>
        <x:v>0</x:v>
      </x:c>
      <x:c r="H68" s="30" t="n">
        <x:f>IF($E$42=0,1-MIN(C68,$E$43)/$E$43,((1+$E$42)^$E$43-(1+$E$42)^MIN(C68,$E$43))/((1+$E$42)^$E$43-1))</x:f>
        <x:v>0</x:v>
      </x:c>
      <x:c r="I68" s="30" t="n">
        <x:f>MAX(0,1-D68-J68)</x:f>
        <x:v>0</x:v>
      </x:c>
      <x:c r="J68" s="2" t="n">
        <x:f>(1-$E$40)*INDEX('Assumptions'!$H$65:$H$101,MIN(C68,36)+1)</x:f>
        <x:v>0.8</x:v>
      </x:c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</x:row>
    <x:row r="69" ht="19" customHeight="1">
      <x:c r="A69" s="1"/>
      <x:c r="B69" s="1"/>
      <x:c r="C69" s="2" t="n">
        <x:v>18</x:v>
      </x:c>
      <x:c r="D69" s="30" t="n">
        <x:f>$E$40*INDEX('Assumptions'!$E$65:$E$101,MIN(C69,36)+1)</x:f>
        <x:v>0.2</x:v>
      </x:c>
      <x:c r="E69" s="30" t="n">
        <x:f>(D69-D68)*H68</x:f>
        <x:v>0</x:v>
      </x:c>
      <x:c r="F69" s="30" t="n">
        <x:f>(1-D69-J68)*(H68-H69)+(J69-J68)*H69</x:f>
        <x:v>0</x:v>
      </x:c>
      <x:c r="G69" s="30" t="n">
        <x:f>SUM(E70:E147)</x:f>
        <x:v>0</x:v>
      </x:c>
      <x:c r="H69" s="30" t="n">
        <x:f>IF($E$42=0,1-MIN(C69,$E$43)/$E$43,((1+$E$42)^$E$43-(1+$E$42)^MIN(C69,$E$43))/((1+$E$42)^$E$43-1))</x:f>
        <x:v>0</x:v>
      </x:c>
      <x:c r="I69" s="30" t="n">
        <x:f>MAX(0,1-D69-J69)</x:f>
        <x:v>0</x:v>
      </x:c>
      <x:c r="J69" s="2" t="n">
        <x:f>(1-$E$40)*INDEX('Assumptions'!$H$65:$H$101,MIN(C69,36)+1)</x:f>
        <x:v>0.8</x:v>
      </x:c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</x:row>
    <x:row r="70" ht="19" customHeight="1">
      <x:c r="A70" s="1"/>
      <x:c r="B70" s="1"/>
      <x:c r="C70" s="2" t="n">
        <x:v>19</x:v>
      </x:c>
      <x:c r="D70" s="30" t="n">
        <x:f>$E$40*INDEX('Assumptions'!$E$65:$E$101,MIN(C70,36)+1)</x:f>
        <x:v>0.2</x:v>
      </x:c>
      <x:c r="E70" s="30" t="n">
        <x:f>(D70-D69)*H69</x:f>
        <x:v>0</x:v>
      </x:c>
      <x:c r="F70" s="30" t="n">
        <x:f>(1-D70-J69)*(H69-H70)+(J70-J69)*H70</x:f>
        <x:v>0</x:v>
      </x:c>
      <x:c r="G70" s="30" t="n">
        <x:f>SUM(E71:E147)</x:f>
        <x:v>0</x:v>
      </x:c>
      <x:c r="H70" s="30" t="n">
        <x:f>IF($E$42=0,1-MIN(C70,$E$43)/$E$43,((1+$E$42)^$E$43-(1+$E$42)^MIN(C70,$E$43))/((1+$E$42)^$E$43-1))</x:f>
        <x:v>0</x:v>
      </x:c>
      <x:c r="I70" s="30" t="n">
        <x:f>MAX(0,1-D70-J70)</x:f>
        <x:v>0</x:v>
      </x:c>
      <x:c r="J70" s="2" t="n">
        <x:f>(1-$E$40)*INDEX('Assumptions'!$H$65:$H$101,MIN(C70,36)+1)</x:f>
        <x:v>0.8</x:v>
      </x:c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</x:row>
    <x:row r="71" ht="19" customHeight="1">
      <x:c r="A71" s="1"/>
      <x:c r="B71" s="1"/>
      <x:c r="C71" s="2" t="n">
        <x:v>20</x:v>
      </x:c>
      <x:c r="D71" s="30" t="n">
        <x:f>$E$40*INDEX('Assumptions'!$E$65:$E$101,MIN(C71,36)+1)</x:f>
        <x:v>0.2</x:v>
      </x:c>
      <x:c r="E71" s="30" t="n">
        <x:f>(D71-D70)*H70</x:f>
        <x:v>0</x:v>
      </x:c>
      <x:c r="F71" s="30" t="n">
        <x:f>(1-D71-J70)*(H70-H71)+(J71-J70)*H71</x:f>
        <x:v>0</x:v>
      </x:c>
      <x:c r="G71" s="30" t="n">
        <x:f>SUM(E72:E147)</x:f>
        <x:v>0</x:v>
      </x:c>
      <x:c r="H71" s="30" t="n">
        <x:f>IF($E$42=0,1-MIN(C71,$E$43)/$E$43,((1+$E$42)^$E$43-(1+$E$42)^MIN(C71,$E$43))/((1+$E$42)^$E$43-1))</x:f>
        <x:v>0</x:v>
      </x:c>
      <x:c r="I71" s="30" t="n">
        <x:f>MAX(0,1-D71-J71)</x:f>
        <x:v>0</x:v>
      </x:c>
      <x:c r="J71" s="2" t="n">
        <x:f>(1-$E$40)*INDEX('Assumptions'!$H$65:$H$101,MIN(C71,36)+1)</x:f>
        <x:v>0.8</x:v>
      </x:c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</x:row>
    <x:row r="72" ht="19" customHeight="1">
      <x:c r="A72" s="1"/>
      <x:c r="B72" s="1"/>
      <x:c r="C72" s="2" t="n">
        <x:v>21</x:v>
      </x:c>
      <x:c r="D72" s="30" t="n">
        <x:f>$E$40*INDEX('Assumptions'!$E$65:$E$101,MIN(C72,36)+1)</x:f>
        <x:v>0.2</x:v>
      </x:c>
      <x:c r="E72" s="30" t="n">
        <x:f>(D72-D71)*H71</x:f>
        <x:v>0</x:v>
      </x:c>
      <x:c r="F72" s="30" t="n">
        <x:f>(1-D72-J71)*(H71-H72)+(J72-J71)*H72</x:f>
        <x:v>0</x:v>
      </x:c>
      <x:c r="G72" s="30" t="n">
        <x:f>SUM(E73:E147)</x:f>
        <x:v>0</x:v>
      </x:c>
      <x:c r="H72" s="30" t="n">
        <x:f>IF($E$42=0,1-MIN(C72,$E$43)/$E$43,((1+$E$42)^$E$43-(1+$E$42)^MIN(C72,$E$43))/((1+$E$42)^$E$43-1))</x:f>
        <x:v>0</x:v>
      </x:c>
      <x:c r="I72" s="30" t="n">
        <x:f>MAX(0,1-D72-J72)</x:f>
        <x:v>0</x:v>
      </x:c>
      <x:c r="J72" s="2" t="n">
        <x:f>(1-$E$40)*INDEX('Assumptions'!$H$65:$H$101,MIN(C72,36)+1)</x:f>
        <x:v>0.8</x:v>
      </x:c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</x:row>
    <x:row r="73" ht="19" customHeight="1">
      <x:c r="A73" s="1"/>
      <x:c r="B73" s="1"/>
      <x:c r="C73" s="2" t="n">
        <x:v>22</x:v>
      </x:c>
      <x:c r="D73" s="30" t="n">
        <x:f>$E$40*INDEX('Assumptions'!$E$65:$E$101,MIN(C73,36)+1)</x:f>
        <x:v>0.2</x:v>
      </x:c>
      <x:c r="E73" s="30" t="n">
        <x:f>(D73-D72)*H72</x:f>
        <x:v>0</x:v>
      </x:c>
      <x:c r="F73" s="30" t="n">
        <x:f>(1-D73-J72)*(H72-H73)+(J73-J72)*H73</x:f>
        <x:v>0</x:v>
      </x:c>
      <x:c r="G73" s="30" t="n">
        <x:f>SUM(E74:E147)</x:f>
        <x:v>0</x:v>
      </x:c>
      <x:c r="H73" s="30" t="n">
        <x:f>IF($E$42=0,1-MIN(C73,$E$43)/$E$43,((1+$E$42)^$E$43-(1+$E$42)^MIN(C73,$E$43))/((1+$E$42)^$E$43-1))</x:f>
        <x:v>0</x:v>
      </x:c>
      <x:c r="I73" s="30" t="n">
        <x:f>MAX(0,1-D73-J73)</x:f>
        <x:v>0</x:v>
      </x:c>
      <x:c r="J73" s="2" t="n">
        <x:f>(1-$E$40)*INDEX('Assumptions'!$H$65:$H$101,MIN(C73,36)+1)</x:f>
        <x:v>0.8</x:v>
      </x:c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</x:row>
    <x:row r="74" ht="19" customHeight="1">
      <x:c r="A74" s="1"/>
      <x:c r="B74" s="1"/>
      <x:c r="C74" s="2" t="n">
        <x:v>23</x:v>
      </x:c>
      <x:c r="D74" s="30" t="n">
        <x:f>$E$40*INDEX('Assumptions'!$E$65:$E$101,MIN(C74,36)+1)</x:f>
        <x:v>0.2</x:v>
      </x:c>
      <x:c r="E74" s="30" t="n">
        <x:f>(D74-D73)*H73</x:f>
        <x:v>0</x:v>
      </x:c>
      <x:c r="F74" s="30" t="n">
        <x:f>(1-D74-J73)*(H73-H74)+(J74-J73)*H74</x:f>
        <x:v>0</x:v>
      </x:c>
      <x:c r="G74" s="30" t="n">
        <x:f>SUM(E75:E147)</x:f>
        <x:v>0</x:v>
      </x:c>
      <x:c r="H74" s="30" t="n">
        <x:f>IF($E$42=0,1-MIN(C74,$E$43)/$E$43,((1+$E$42)^$E$43-(1+$E$42)^MIN(C74,$E$43))/((1+$E$42)^$E$43-1))</x:f>
        <x:v>0</x:v>
      </x:c>
      <x:c r="I74" s="30" t="n">
        <x:f>MAX(0,1-D74-J74)</x:f>
        <x:v>0</x:v>
      </x:c>
      <x:c r="J74" s="2" t="n">
        <x:f>(1-$E$40)*INDEX('Assumptions'!$H$65:$H$101,MIN(C74,36)+1)</x:f>
        <x:v>0.8</x:v>
      </x:c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</x:row>
    <x:row r="75" ht="19" customHeight="1">
      <x:c r="A75" s="1"/>
      <x:c r="B75" s="1"/>
      <x:c r="C75" s="2" t="n">
        <x:v>24</x:v>
      </x:c>
      <x:c r="D75" s="30" t="n">
        <x:f>$E$40*INDEX('Assumptions'!$E$65:$E$101,MIN(C75,36)+1)</x:f>
        <x:v>0.2</x:v>
      </x:c>
      <x:c r="E75" s="30" t="n">
        <x:f>(D75-D74)*H74</x:f>
        <x:v>0</x:v>
      </x:c>
      <x:c r="F75" s="30" t="n">
        <x:f>(1-D75-J74)*(H74-H75)+(J75-J74)*H75</x:f>
        <x:v>0</x:v>
      </x:c>
      <x:c r="G75" s="30" t="n">
        <x:f>SUM(E76:E147)</x:f>
        <x:v>0</x:v>
      </x:c>
      <x:c r="H75" s="30" t="n">
        <x:f>IF($E$42=0,1-MIN(C75,$E$43)/$E$43,((1+$E$42)^$E$43-(1+$E$42)^MIN(C75,$E$43))/((1+$E$42)^$E$43-1))</x:f>
        <x:v>0</x:v>
      </x:c>
      <x:c r="I75" s="30" t="n">
        <x:f>MAX(0,1-D75-J75)</x:f>
        <x:v>0</x:v>
      </x:c>
      <x:c r="J75" s="2" t="n">
        <x:f>(1-$E$40)*INDEX('Assumptions'!$H$65:$H$101,MIN(C75,36)+1)</x:f>
        <x:v>0.8</x:v>
      </x:c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</x:row>
    <x:row r="76" ht="19" customHeight="1">
      <x:c r="A76" s="1"/>
      <x:c r="B76" s="1"/>
      <x:c r="C76" s="2" t="n">
        <x:v>25</x:v>
      </x:c>
      <x:c r="D76" s="30" t="n">
        <x:f>$E$40*INDEX('Assumptions'!$E$65:$E$101,MIN(C76,36)+1)</x:f>
        <x:v>0.2</x:v>
      </x:c>
      <x:c r="E76" s="30" t="n">
        <x:f>(D76-D75)*H75</x:f>
        <x:v>0</x:v>
      </x:c>
      <x:c r="F76" s="30" t="n">
        <x:f>(1-D76-J75)*(H75-H76)+(J76-J75)*H76</x:f>
        <x:v>0</x:v>
      </x:c>
      <x:c r="G76" s="30" t="n">
        <x:f>SUM(E77:E147)</x:f>
        <x:v>0</x:v>
      </x:c>
      <x:c r="H76" s="30" t="n">
        <x:f>IF($E$42=0,1-MIN(C76,$E$43)/$E$43,((1+$E$42)^$E$43-(1+$E$42)^MIN(C76,$E$43))/((1+$E$42)^$E$43-1))</x:f>
        <x:v>0</x:v>
      </x:c>
      <x:c r="I76" s="30" t="n">
        <x:f>MAX(0,1-D76-J76)</x:f>
        <x:v>0</x:v>
      </x:c>
      <x:c r="J76" s="2" t="n">
        <x:f>(1-$E$40)*INDEX('Assumptions'!$H$65:$H$101,MIN(C76,36)+1)</x:f>
        <x:v>0.8</x:v>
      </x:c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</x:row>
    <x:row r="77" ht="19" customHeight="1">
      <x:c r="A77" s="1"/>
      <x:c r="B77" s="1"/>
      <x:c r="C77" s="2" t="n">
        <x:v>26</x:v>
      </x:c>
      <x:c r="D77" s="30" t="n">
        <x:f>$E$40*INDEX('Assumptions'!$E$65:$E$101,MIN(C77,36)+1)</x:f>
        <x:v>0.2</x:v>
      </x:c>
      <x:c r="E77" s="30" t="n">
        <x:f>(D77-D76)*H76</x:f>
        <x:v>0</x:v>
      </x:c>
      <x:c r="F77" s="30" t="n">
        <x:f>(1-D77-J76)*(H76-H77)+(J77-J76)*H77</x:f>
        <x:v>0</x:v>
      </x:c>
      <x:c r="G77" s="30" t="n">
        <x:f>SUM(E78:E147)</x:f>
        <x:v>0</x:v>
      </x:c>
      <x:c r="H77" s="30" t="n">
        <x:f>IF($E$42=0,1-MIN(C77,$E$43)/$E$43,((1+$E$42)^$E$43-(1+$E$42)^MIN(C77,$E$43))/((1+$E$42)^$E$43-1))</x:f>
        <x:v>0</x:v>
      </x:c>
      <x:c r="I77" s="30" t="n">
        <x:f>MAX(0,1-D77-J77)</x:f>
        <x:v>0</x:v>
      </x:c>
      <x:c r="J77" s="2" t="n">
        <x:f>(1-$E$40)*INDEX('Assumptions'!$H$65:$H$101,MIN(C77,36)+1)</x:f>
        <x:v>0.8</x:v>
      </x:c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</x:row>
    <x:row r="78" ht="19" customHeight="1">
      <x:c r="A78" s="1"/>
      <x:c r="B78" s="1"/>
      <x:c r="C78" s="2" t="n">
        <x:v>27</x:v>
      </x:c>
      <x:c r="D78" s="30" t="n">
        <x:f>$E$40*INDEX('Assumptions'!$E$65:$E$101,MIN(C78,36)+1)</x:f>
        <x:v>0.2</x:v>
      </x:c>
      <x:c r="E78" s="30" t="n">
        <x:f>(D78-D77)*H77</x:f>
        <x:v>0</x:v>
      </x:c>
      <x:c r="F78" s="30" t="n">
        <x:f>(1-D78-J77)*(H77-H78)+(J78-J77)*H78</x:f>
        <x:v>0</x:v>
      </x:c>
      <x:c r="G78" s="30" t="n">
        <x:f>SUM(E79:E147)</x:f>
        <x:v>0</x:v>
      </x:c>
      <x:c r="H78" s="30" t="n">
        <x:f>IF($E$42=0,1-MIN(C78,$E$43)/$E$43,((1+$E$42)^$E$43-(1+$E$42)^MIN(C78,$E$43))/((1+$E$42)^$E$43-1))</x:f>
        <x:v>0</x:v>
      </x:c>
      <x:c r="I78" s="30" t="n">
        <x:f>MAX(0,1-D78-J78)</x:f>
        <x:v>0</x:v>
      </x:c>
      <x:c r="J78" s="2" t="n">
        <x:f>(1-$E$40)*INDEX('Assumptions'!$H$65:$H$101,MIN(C78,36)+1)</x:f>
        <x:v>0.8</x:v>
      </x:c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</x:row>
    <x:row r="79" ht="19" customHeight="1">
      <x:c r="A79" s="1"/>
      <x:c r="B79" s="1"/>
      <x:c r="C79" s="2" t="n">
        <x:v>28</x:v>
      </x:c>
      <x:c r="D79" s="30" t="n">
        <x:f>$E$40*INDEX('Assumptions'!$E$65:$E$101,MIN(C79,36)+1)</x:f>
        <x:v>0.2</x:v>
      </x:c>
      <x:c r="E79" s="30" t="n">
        <x:f>(D79-D78)*H78</x:f>
        <x:v>0</x:v>
      </x:c>
      <x:c r="F79" s="30" t="n">
        <x:f>(1-D79-J78)*(H78-H79)+(J79-J78)*H79</x:f>
        <x:v>0</x:v>
      </x:c>
      <x:c r="G79" s="30" t="n">
        <x:f>SUM(E80:E147)</x:f>
        <x:v>0</x:v>
      </x:c>
      <x:c r="H79" s="30" t="n">
        <x:f>IF($E$42=0,1-MIN(C79,$E$43)/$E$43,((1+$E$42)^$E$43-(1+$E$42)^MIN(C79,$E$43))/((1+$E$42)^$E$43-1))</x:f>
        <x:v>0</x:v>
      </x:c>
      <x:c r="I79" s="30" t="n">
        <x:f>MAX(0,1-D79-J79)</x:f>
        <x:v>0</x:v>
      </x:c>
      <x:c r="J79" s="2" t="n">
        <x:f>(1-$E$40)*INDEX('Assumptions'!$H$65:$H$101,MIN(C79,36)+1)</x:f>
        <x:v>0.8</x:v>
      </x:c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</x:row>
    <x:row r="80" ht="19" customHeight="1">
      <x:c r="A80" s="1"/>
      <x:c r="B80" s="1"/>
      <x:c r="C80" s="2" t="n">
        <x:v>29</x:v>
      </x:c>
      <x:c r="D80" s="30" t="n">
        <x:f>$E$40*INDEX('Assumptions'!$E$65:$E$101,MIN(C80,36)+1)</x:f>
        <x:v>0.2</x:v>
      </x:c>
      <x:c r="E80" s="30" t="n">
        <x:f>(D80-D79)*H79</x:f>
        <x:v>0</x:v>
      </x:c>
      <x:c r="F80" s="30" t="n">
        <x:f>(1-D80-J79)*(H79-H80)+(J80-J79)*H80</x:f>
        <x:v>0</x:v>
      </x:c>
      <x:c r="G80" s="30" t="n">
        <x:f>SUM(E81:E147)</x:f>
        <x:v>0</x:v>
      </x:c>
      <x:c r="H80" s="30" t="n">
        <x:f>IF($E$42=0,1-MIN(C80,$E$43)/$E$43,((1+$E$42)^$E$43-(1+$E$42)^MIN(C80,$E$43))/((1+$E$42)^$E$43-1))</x:f>
        <x:v>0</x:v>
      </x:c>
      <x:c r="I80" s="30" t="n">
        <x:f>MAX(0,1-D80-J80)</x:f>
        <x:v>0</x:v>
      </x:c>
      <x:c r="J80" s="2" t="n">
        <x:f>(1-$E$40)*INDEX('Assumptions'!$H$65:$H$101,MIN(C80,36)+1)</x:f>
        <x:v>0.8</x:v>
      </x:c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</x:row>
    <x:row r="81" ht="19" customHeight="1">
      <x:c r="A81" s="1"/>
      <x:c r="B81" s="1"/>
      <x:c r="C81" s="2" t="n">
        <x:v>30</x:v>
      </x:c>
      <x:c r="D81" s="30" t="n">
        <x:f>$E$40*INDEX('Assumptions'!$E$65:$E$101,MIN(C81,36)+1)</x:f>
        <x:v>0.2</x:v>
      </x:c>
      <x:c r="E81" s="30" t="n">
        <x:f>(D81-D80)*H80</x:f>
        <x:v>0</x:v>
      </x:c>
      <x:c r="F81" s="30" t="n">
        <x:f>(1-D81-J80)*(H80-H81)+(J81-J80)*H81</x:f>
        <x:v>0</x:v>
      </x:c>
      <x:c r="G81" s="30" t="n">
        <x:f>SUM(E82:E147)</x:f>
        <x:v>0</x:v>
      </x:c>
      <x:c r="H81" s="30" t="n">
        <x:f>IF($E$42=0,1-MIN(C81,$E$43)/$E$43,((1+$E$42)^$E$43-(1+$E$42)^MIN(C81,$E$43))/((1+$E$42)^$E$43-1))</x:f>
        <x:v>0</x:v>
      </x:c>
      <x:c r="I81" s="30" t="n">
        <x:f>MAX(0,1-D81-J81)</x:f>
        <x:v>0</x:v>
      </x:c>
      <x:c r="J81" s="2" t="n">
        <x:f>(1-$E$40)*INDEX('Assumptions'!$H$65:$H$101,MIN(C81,36)+1)</x:f>
        <x:v>0.8</x:v>
      </x:c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</x:row>
    <x:row r="82" ht="19" customHeight="1">
      <x:c r="A82" s="1"/>
      <x:c r="B82" s="1"/>
      <x:c r="C82" s="2" t="n">
        <x:v>31</x:v>
      </x:c>
      <x:c r="D82" s="30" t="n">
        <x:f>$E$40*INDEX('Assumptions'!$E$65:$E$101,MIN(C82,36)+1)</x:f>
        <x:v>0.2</x:v>
      </x:c>
      <x:c r="E82" s="30" t="n">
        <x:f>(D82-D81)*H81</x:f>
        <x:v>0</x:v>
      </x:c>
      <x:c r="F82" s="30" t="n">
        <x:f>(1-D82-J81)*(H81-H82)+(J82-J81)*H82</x:f>
        <x:v>0</x:v>
      </x:c>
      <x:c r="G82" s="30" t="n">
        <x:f>SUM(E83:E147)</x:f>
        <x:v>0</x:v>
      </x:c>
      <x:c r="H82" s="30" t="n">
        <x:f>IF($E$42=0,1-MIN(C82,$E$43)/$E$43,((1+$E$42)^$E$43-(1+$E$42)^MIN(C82,$E$43))/((1+$E$42)^$E$43-1))</x:f>
        <x:v>0</x:v>
      </x:c>
      <x:c r="I82" s="30" t="n">
        <x:f>MAX(0,1-D82-J82)</x:f>
        <x:v>0</x:v>
      </x:c>
      <x:c r="J82" s="2" t="n">
        <x:f>(1-$E$40)*INDEX('Assumptions'!$H$65:$H$101,MIN(C82,36)+1)</x:f>
        <x:v>0.8</x:v>
      </x:c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</x:row>
    <x:row r="83" ht="19" customHeight="1">
      <x:c r="A83" s="1"/>
      <x:c r="B83" s="1"/>
      <x:c r="C83" s="2" t="n">
        <x:v>32</x:v>
      </x:c>
      <x:c r="D83" s="30" t="n">
        <x:f>$E$40*INDEX('Assumptions'!$E$65:$E$101,MIN(C83,36)+1)</x:f>
        <x:v>0.2</x:v>
      </x:c>
      <x:c r="E83" s="30" t="n">
        <x:f>(D83-D82)*H82</x:f>
        <x:v>0</x:v>
      </x:c>
      <x:c r="F83" s="30" t="n">
        <x:f>(1-D83-J82)*(H82-H83)+(J83-J82)*H83</x:f>
        <x:v>0</x:v>
      </x:c>
      <x:c r="G83" s="30" t="n">
        <x:f>SUM(E84:E147)</x:f>
        <x:v>0</x:v>
      </x:c>
      <x:c r="H83" s="30" t="n">
        <x:f>IF($E$42=0,1-MIN(C83,$E$43)/$E$43,((1+$E$42)^$E$43-(1+$E$42)^MIN(C83,$E$43))/((1+$E$42)^$E$43-1))</x:f>
        <x:v>0</x:v>
      </x:c>
      <x:c r="I83" s="30" t="n">
        <x:f>MAX(0,1-D83-J83)</x:f>
        <x:v>0</x:v>
      </x:c>
      <x:c r="J83" s="2" t="n">
        <x:f>(1-$E$40)*INDEX('Assumptions'!$H$65:$H$101,MIN(C83,36)+1)</x:f>
        <x:v>0.8</x:v>
      </x:c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</x:row>
    <x:row r="84" ht="19" customHeight="1">
      <x:c r="A84" s="1"/>
      <x:c r="B84" s="1"/>
      <x:c r="C84" s="2" t="n">
        <x:v>33</x:v>
      </x:c>
      <x:c r="D84" s="30" t="n">
        <x:f>$E$40*INDEX('Assumptions'!$E$65:$E$101,MIN(C84,36)+1)</x:f>
        <x:v>0.2</x:v>
      </x:c>
      <x:c r="E84" s="30" t="n">
        <x:f>(D84-D83)*H83</x:f>
        <x:v>0</x:v>
      </x:c>
      <x:c r="F84" s="30" t="n">
        <x:f>(1-D84-J83)*(H83-H84)+(J84-J83)*H84</x:f>
        <x:v>0</x:v>
      </x:c>
      <x:c r="G84" s="30" t="n">
        <x:f>SUM(E85:E147)</x:f>
        <x:v>0</x:v>
      </x:c>
      <x:c r="H84" s="30" t="n">
        <x:f>IF($E$42=0,1-MIN(C84,$E$43)/$E$43,((1+$E$42)^$E$43-(1+$E$42)^MIN(C84,$E$43))/((1+$E$42)^$E$43-1))</x:f>
        <x:v>0</x:v>
      </x:c>
      <x:c r="I84" s="30" t="n">
        <x:f>MAX(0,1-D84-J84)</x:f>
        <x:v>0</x:v>
      </x:c>
      <x:c r="J84" s="2" t="n">
        <x:f>(1-$E$40)*INDEX('Assumptions'!$H$65:$H$101,MIN(C84,36)+1)</x:f>
        <x:v>0.8</x:v>
      </x:c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</x:row>
    <x:row r="85" ht="19" customHeight="1">
      <x:c r="A85" s="1"/>
      <x:c r="B85" s="1"/>
      <x:c r="C85" s="2" t="n">
        <x:v>34</x:v>
      </x:c>
      <x:c r="D85" s="30" t="n">
        <x:f>$E$40*INDEX('Assumptions'!$E$65:$E$101,MIN(C85,36)+1)</x:f>
        <x:v>0.2</x:v>
      </x:c>
      <x:c r="E85" s="30" t="n">
        <x:f>(D85-D84)*H84</x:f>
        <x:v>0</x:v>
      </x:c>
      <x:c r="F85" s="30" t="n">
        <x:f>(1-D85-J84)*(H84-H85)+(J85-J84)*H85</x:f>
        <x:v>0</x:v>
      </x:c>
      <x:c r="G85" s="30" t="n">
        <x:f>SUM(E86:E147)</x:f>
        <x:v>0</x:v>
      </x:c>
      <x:c r="H85" s="30" t="n">
        <x:f>IF($E$42=0,1-MIN(C85,$E$43)/$E$43,((1+$E$42)^$E$43-(1+$E$42)^MIN(C85,$E$43))/((1+$E$42)^$E$43-1))</x:f>
        <x:v>0</x:v>
      </x:c>
      <x:c r="I85" s="30" t="n">
        <x:f>MAX(0,1-D85-J85)</x:f>
        <x:v>0</x:v>
      </x:c>
      <x:c r="J85" s="2" t="n">
        <x:f>(1-$E$40)*INDEX('Assumptions'!$H$65:$H$101,MIN(C85,36)+1)</x:f>
        <x:v>0.8</x:v>
      </x:c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</x:row>
    <x:row r="86" ht="19" customHeight="1">
      <x:c r="A86" s="1"/>
      <x:c r="B86" s="1"/>
      <x:c r="C86" s="2" t="n">
        <x:v>35</x:v>
      </x:c>
      <x:c r="D86" s="30" t="n">
        <x:f>$E$40*INDEX('Assumptions'!$E$65:$E$101,MIN(C86,36)+1)</x:f>
        <x:v>0.2</x:v>
      </x:c>
      <x:c r="E86" s="30" t="n">
        <x:f>(D86-D85)*H85</x:f>
        <x:v>0</x:v>
      </x:c>
      <x:c r="F86" s="30" t="n">
        <x:f>(1-D86-J85)*(H85-H86)+(J86-J85)*H86</x:f>
        <x:v>0</x:v>
      </x:c>
      <x:c r="G86" s="30" t="n">
        <x:f>SUM(E87:E147)</x:f>
        <x:v>0</x:v>
      </x:c>
      <x:c r="H86" s="30" t="n">
        <x:f>IF($E$42=0,1-MIN(C86,$E$43)/$E$43,((1+$E$42)^$E$43-(1+$E$42)^MIN(C86,$E$43))/((1+$E$42)^$E$43-1))</x:f>
        <x:v>0</x:v>
      </x:c>
      <x:c r="I86" s="30" t="n">
        <x:f>MAX(0,1-D86-J86)</x:f>
        <x:v>0</x:v>
      </x:c>
      <x:c r="J86" s="2" t="n">
        <x:f>(1-$E$40)*INDEX('Assumptions'!$H$65:$H$101,MIN(C86,36)+1)</x:f>
        <x:v>0.8</x:v>
      </x:c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</x:row>
    <x:row r="87" ht="19" customHeight="1">
      <x:c r="A87" s="1"/>
      <x:c r="B87" s="1"/>
      <x:c r="C87" s="2" t="n">
        <x:v>36</x:v>
      </x:c>
      <x:c r="D87" s="30" t="n">
        <x:f>$E$40*INDEX('Assumptions'!$E$65:$E$101,MIN(C87,36)+1)</x:f>
        <x:v>0.2</x:v>
      </x:c>
      <x:c r="E87" s="30" t="n">
        <x:f>(D87-D86)*H86</x:f>
        <x:v>0</x:v>
      </x:c>
      <x:c r="F87" s="30" t="n">
        <x:f>(1-D87-J86)*(H86-H87)+(J87-J86)*H87</x:f>
        <x:v>0</x:v>
      </x:c>
      <x:c r="G87" s="30" t="n">
        <x:f>SUM(E88:E147)</x:f>
        <x:v>0</x:v>
      </x:c>
      <x:c r="H87" s="30" t="n">
        <x:f>IF($E$42=0,1-MIN(C87,$E$43)/$E$43,((1+$E$42)^$E$43-(1+$E$42)^MIN(C87,$E$43))/((1+$E$42)^$E$43-1))</x:f>
        <x:v>0</x:v>
      </x:c>
      <x:c r="I87" s="30" t="n">
        <x:f>MAX(0,1-D87-J87)</x:f>
        <x:v>0</x:v>
      </x:c>
      <x:c r="J87" s="2" t="n">
        <x:f>(1-$E$40)*INDEX('Assumptions'!$H$65:$H$101,MIN(C87,36)+1)</x:f>
        <x:v>0.8</x:v>
      </x:c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</x:row>
    <x:row r="88" ht="19" customHeight="1">
      <x:c r="A88" s="1"/>
      <x:c r="B88" s="1"/>
      <x:c r="C88" s="2" t="n">
        <x:v>37</x:v>
      </x:c>
      <x:c r="D88" s="30" t="n">
        <x:f>$E$40*INDEX('Assumptions'!$E$65:$E$101,MIN(C88,36)+1)</x:f>
        <x:v>0.2</x:v>
      </x:c>
      <x:c r="E88" s="30" t="n">
        <x:f>(D88-D87)*H87</x:f>
        <x:v>0</x:v>
      </x:c>
      <x:c r="F88" s="30" t="n">
        <x:f>(1-D88-J87)*(H87-H88)+(J88-J87)*H88</x:f>
        <x:v>0</x:v>
      </x:c>
      <x:c r="G88" s="30" t="n">
        <x:f>SUM(E89:E147)</x:f>
        <x:v>0</x:v>
      </x:c>
      <x:c r="H88" s="30" t="n">
        <x:f>IF($E$42=0,1-MIN(C88,$E$43)/$E$43,((1+$E$42)^$E$43-(1+$E$42)^MIN(C88,$E$43))/((1+$E$42)^$E$43-1))</x:f>
        <x:v>0</x:v>
      </x:c>
      <x:c r="I88" s="30" t="n">
        <x:f>MAX(0,1-D88-J88)</x:f>
        <x:v>0</x:v>
      </x:c>
      <x:c r="J88" s="2" t="n">
        <x:f>(1-$E$40)*INDEX('Assumptions'!$H$65:$H$101,MIN(C88,36)+1)</x:f>
        <x:v>0.8</x:v>
      </x:c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</x:row>
    <x:row r="89" ht="19" customHeight="1">
      <x:c r="A89" s="1"/>
      <x:c r="B89" s="1"/>
      <x:c r="C89" s="2" t="n">
        <x:v>38</x:v>
      </x:c>
      <x:c r="D89" s="30" t="n">
        <x:f>$E$40*INDEX('Assumptions'!$E$65:$E$101,MIN(C89,36)+1)</x:f>
        <x:v>0.2</x:v>
      </x:c>
      <x:c r="E89" s="30" t="n">
        <x:f>(D89-D88)*H88</x:f>
        <x:v>0</x:v>
      </x:c>
      <x:c r="F89" s="30" t="n">
        <x:f>(1-D89-J88)*(H88-H89)+(J89-J88)*H89</x:f>
        <x:v>0</x:v>
      </x:c>
      <x:c r="G89" s="30" t="n">
        <x:f>SUM(E90:E147)</x:f>
        <x:v>0</x:v>
      </x:c>
      <x:c r="H89" s="30" t="n">
        <x:f>IF($E$42=0,1-MIN(C89,$E$43)/$E$43,((1+$E$42)^$E$43-(1+$E$42)^MIN(C89,$E$43))/((1+$E$42)^$E$43-1))</x:f>
        <x:v>0</x:v>
      </x:c>
      <x:c r="I89" s="30" t="n">
        <x:f>MAX(0,1-D89-J89)</x:f>
        <x:v>0</x:v>
      </x:c>
      <x:c r="J89" s="2" t="n">
        <x:f>(1-$E$40)*INDEX('Assumptions'!$H$65:$H$101,MIN(C89,36)+1)</x:f>
        <x:v>0.8</x:v>
      </x:c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</x:row>
    <x:row r="90" ht="19" customHeight="1">
      <x:c r="A90" s="1"/>
      <x:c r="B90" s="1"/>
      <x:c r="C90" s="2" t="n">
        <x:v>39</x:v>
      </x:c>
      <x:c r="D90" s="30" t="n">
        <x:f>$E$40*INDEX('Assumptions'!$E$65:$E$101,MIN(C90,36)+1)</x:f>
        <x:v>0.2</x:v>
      </x:c>
      <x:c r="E90" s="30" t="n">
        <x:f>(D90-D89)*H89</x:f>
        <x:v>0</x:v>
      </x:c>
      <x:c r="F90" s="30" t="n">
        <x:f>(1-D90-J89)*(H89-H90)+(J90-J89)*H90</x:f>
        <x:v>0</x:v>
      </x:c>
      <x:c r="G90" s="30" t="n">
        <x:f>SUM(E91:E147)</x:f>
        <x:v>0</x:v>
      </x:c>
      <x:c r="H90" s="30" t="n">
        <x:f>IF($E$42=0,1-MIN(C90,$E$43)/$E$43,((1+$E$42)^$E$43-(1+$E$42)^MIN(C90,$E$43))/((1+$E$42)^$E$43-1))</x:f>
        <x:v>0</x:v>
      </x:c>
      <x:c r="I90" s="30" t="n">
        <x:f>MAX(0,1-D90-J90)</x:f>
        <x:v>0</x:v>
      </x:c>
      <x:c r="J90" s="2" t="n">
        <x:f>(1-$E$40)*INDEX('Assumptions'!$H$65:$H$101,MIN(C90,36)+1)</x:f>
        <x:v>0.8</x:v>
      </x:c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</x:row>
    <x:row r="91" ht="19" customHeight="1">
      <x:c r="A91" s="1"/>
      <x:c r="B91" s="1"/>
      <x:c r="C91" s="2" t="n">
        <x:v>40</x:v>
      </x:c>
      <x:c r="D91" s="30" t="n">
        <x:f>$E$40*INDEX('Assumptions'!$E$65:$E$101,MIN(C91,36)+1)</x:f>
        <x:v>0.2</x:v>
      </x:c>
      <x:c r="E91" s="30" t="n">
        <x:f>(D91-D90)*H90</x:f>
        <x:v>0</x:v>
      </x:c>
      <x:c r="F91" s="30" t="n">
        <x:f>(1-D91-J90)*(H90-H91)+(J91-J90)*H91</x:f>
        <x:v>0</x:v>
      </x:c>
      <x:c r="G91" s="30" t="n">
        <x:f>SUM(E92:E147)</x:f>
        <x:v>0</x:v>
      </x:c>
      <x:c r="H91" s="30" t="n">
        <x:f>IF($E$42=0,1-MIN(C91,$E$43)/$E$43,((1+$E$42)^$E$43-(1+$E$42)^MIN(C91,$E$43))/((1+$E$42)^$E$43-1))</x:f>
        <x:v>0</x:v>
      </x:c>
      <x:c r="I91" s="30" t="n">
        <x:f>MAX(0,1-D91-J91)</x:f>
        <x:v>0</x:v>
      </x:c>
      <x:c r="J91" s="2" t="n">
        <x:f>(1-$E$40)*INDEX('Assumptions'!$H$65:$H$101,MIN(C91,36)+1)</x:f>
        <x:v>0.8</x:v>
      </x:c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</x:row>
    <x:row r="92" ht="19" customHeight="1">
      <x:c r="A92" s="1"/>
      <x:c r="B92" s="1"/>
      <x:c r="C92" s="2" t="n">
        <x:v>41</x:v>
      </x:c>
      <x:c r="D92" s="30" t="n">
        <x:f>$E$40*INDEX('Assumptions'!$E$65:$E$101,MIN(C92,36)+1)</x:f>
        <x:v>0.2</x:v>
      </x:c>
      <x:c r="E92" s="30" t="n">
        <x:f>(D92-D91)*H91</x:f>
        <x:v>0</x:v>
      </x:c>
      <x:c r="F92" s="30" t="n">
        <x:f>(1-D92-J91)*(H91-H92)+(J92-J91)*H92</x:f>
        <x:v>0</x:v>
      </x:c>
      <x:c r="G92" s="30" t="n">
        <x:f>SUM(E93:E147)</x:f>
        <x:v>0</x:v>
      </x:c>
      <x:c r="H92" s="30" t="n">
        <x:f>IF($E$42=0,1-MIN(C92,$E$43)/$E$43,((1+$E$42)^$E$43-(1+$E$42)^MIN(C92,$E$43))/((1+$E$42)^$E$43-1))</x:f>
        <x:v>0</x:v>
      </x:c>
      <x:c r="I92" s="30" t="n">
        <x:f>MAX(0,1-D92-J92)</x:f>
        <x:v>0</x:v>
      </x:c>
      <x:c r="J92" s="2" t="n">
        <x:f>(1-$E$40)*INDEX('Assumptions'!$H$65:$H$101,MIN(C92,36)+1)</x:f>
        <x:v>0.8</x:v>
      </x:c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</x:row>
    <x:row r="93" ht="19" customHeight="1">
      <x:c r="A93" s="1"/>
      <x:c r="B93" s="1"/>
      <x:c r="C93" s="2" t="n">
        <x:v>42</x:v>
      </x:c>
      <x:c r="D93" s="30" t="n">
        <x:f>$E$40*INDEX('Assumptions'!$E$65:$E$101,MIN(C93,36)+1)</x:f>
        <x:v>0.2</x:v>
      </x:c>
      <x:c r="E93" s="30" t="n">
        <x:f>(D93-D92)*H92</x:f>
        <x:v>0</x:v>
      </x:c>
      <x:c r="F93" s="30" t="n">
        <x:f>(1-D93-J92)*(H92-H93)+(J93-J92)*H93</x:f>
        <x:v>0</x:v>
      </x:c>
      <x:c r="G93" s="30" t="n">
        <x:f>SUM(E94:E147)</x:f>
        <x:v>0</x:v>
      </x:c>
      <x:c r="H93" s="30" t="n">
        <x:f>IF($E$42=0,1-MIN(C93,$E$43)/$E$43,((1+$E$42)^$E$43-(1+$E$42)^MIN(C93,$E$43))/((1+$E$42)^$E$43-1))</x:f>
        <x:v>0</x:v>
      </x:c>
      <x:c r="I93" s="30" t="n">
        <x:f>MAX(0,1-D93-J93)</x:f>
        <x:v>0</x:v>
      </x:c>
      <x:c r="J93" s="2" t="n">
        <x:f>(1-$E$40)*INDEX('Assumptions'!$H$65:$H$101,MIN(C93,36)+1)</x:f>
        <x:v>0.8</x:v>
      </x:c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</x:row>
    <x:row r="94" ht="19" customHeight="1">
      <x:c r="A94" s="1"/>
      <x:c r="B94" s="1"/>
      <x:c r="C94" s="2" t="n">
        <x:v>43</x:v>
      </x:c>
      <x:c r="D94" s="30" t="n">
        <x:f>$E$40*INDEX('Assumptions'!$E$65:$E$101,MIN(C94,36)+1)</x:f>
        <x:v>0.2</x:v>
      </x:c>
      <x:c r="E94" s="30" t="n">
        <x:f>(D94-D93)*H93</x:f>
        <x:v>0</x:v>
      </x:c>
      <x:c r="F94" s="30" t="n">
        <x:f>(1-D94-J93)*(H93-H94)+(J94-J93)*H94</x:f>
        <x:v>0</x:v>
      </x:c>
      <x:c r="G94" s="30" t="n">
        <x:f>SUM(E95:E147)</x:f>
        <x:v>0</x:v>
      </x:c>
      <x:c r="H94" s="30" t="n">
        <x:f>IF($E$42=0,1-MIN(C94,$E$43)/$E$43,((1+$E$42)^$E$43-(1+$E$42)^MIN(C94,$E$43))/((1+$E$42)^$E$43-1))</x:f>
        <x:v>0</x:v>
      </x:c>
      <x:c r="I94" s="30" t="n">
        <x:f>MAX(0,1-D94-J94)</x:f>
        <x:v>0</x:v>
      </x:c>
      <x:c r="J94" s="2" t="n">
        <x:f>(1-$E$40)*INDEX('Assumptions'!$H$65:$H$101,MIN(C94,36)+1)</x:f>
        <x:v>0.8</x:v>
      </x:c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</x:row>
    <x:row r="95" ht="19" customHeight="1">
      <x:c r="A95" s="1"/>
      <x:c r="B95" s="1"/>
      <x:c r="C95" s="2" t="n">
        <x:v>44</x:v>
      </x:c>
      <x:c r="D95" s="30" t="n">
        <x:f>$E$40*INDEX('Assumptions'!$E$65:$E$101,MIN(C95,36)+1)</x:f>
        <x:v>0.2</x:v>
      </x:c>
      <x:c r="E95" s="30" t="n">
        <x:f>(D95-D94)*H94</x:f>
        <x:v>0</x:v>
      </x:c>
      <x:c r="F95" s="30" t="n">
        <x:f>(1-D95-J94)*(H94-H95)+(J95-J94)*H95</x:f>
        <x:v>0</x:v>
      </x:c>
      <x:c r="G95" s="30" t="n">
        <x:f>SUM(E96:E147)</x:f>
        <x:v>0</x:v>
      </x:c>
      <x:c r="H95" s="30" t="n">
        <x:f>IF($E$42=0,1-MIN(C95,$E$43)/$E$43,((1+$E$42)^$E$43-(1+$E$42)^MIN(C95,$E$43))/((1+$E$42)^$E$43-1))</x:f>
        <x:v>0</x:v>
      </x:c>
      <x:c r="I95" s="30" t="n">
        <x:f>MAX(0,1-D95-J95)</x:f>
        <x:v>0</x:v>
      </x:c>
      <x:c r="J95" s="2" t="n">
        <x:f>(1-$E$40)*INDEX('Assumptions'!$H$65:$H$101,MIN(C95,36)+1)</x:f>
        <x:v>0.8</x:v>
      </x:c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</x:row>
    <x:row r="96" ht="19" customHeight="1">
      <x:c r="A96" s="1"/>
      <x:c r="B96" s="1"/>
      <x:c r="C96" s="2" t="n">
        <x:v>45</x:v>
      </x:c>
      <x:c r="D96" s="30" t="n">
        <x:f>$E$40*INDEX('Assumptions'!$E$65:$E$101,MIN(C96,36)+1)</x:f>
        <x:v>0.2</x:v>
      </x:c>
      <x:c r="E96" s="30" t="n">
        <x:f>(D96-D95)*H95</x:f>
        <x:v>0</x:v>
      </x:c>
      <x:c r="F96" s="30" t="n">
        <x:f>(1-D96-J95)*(H95-H96)+(J96-J95)*H96</x:f>
        <x:v>0</x:v>
      </x:c>
      <x:c r="G96" s="30" t="n">
        <x:f>SUM(E97:E147)</x:f>
        <x:v>0</x:v>
      </x:c>
      <x:c r="H96" s="30" t="n">
        <x:f>IF($E$42=0,1-MIN(C96,$E$43)/$E$43,((1+$E$42)^$E$43-(1+$E$42)^MIN(C96,$E$43))/((1+$E$42)^$E$43-1))</x:f>
        <x:v>0</x:v>
      </x:c>
      <x:c r="I96" s="30" t="n">
        <x:f>MAX(0,1-D96-J96)</x:f>
        <x:v>0</x:v>
      </x:c>
      <x:c r="J96" s="2" t="n">
        <x:f>(1-$E$40)*INDEX('Assumptions'!$H$65:$H$101,MIN(C96,36)+1)</x:f>
        <x:v>0.8</x:v>
      </x:c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</x:row>
    <x:row r="97" ht="19" customHeight="1">
      <x:c r="A97" s="1"/>
      <x:c r="B97" s="1"/>
      <x:c r="C97" s="2" t="n">
        <x:v>46</x:v>
      </x:c>
      <x:c r="D97" s="30" t="n">
        <x:f>$E$40*INDEX('Assumptions'!$E$65:$E$101,MIN(C97,36)+1)</x:f>
        <x:v>0.2</x:v>
      </x:c>
      <x:c r="E97" s="30" t="n">
        <x:f>(D97-D96)*H96</x:f>
        <x:v>0</x:v>
      </x:c>
      <x:c r="F97" s="30" t="n">
        <x:f>(1-D97-J96)*(H96-H97)+(J97-J96)*H97</x:f>
        <x:v>0</x:v>
      </x:c>
      <x:c r="G97" s="30" t="n">
        <x:f>SUM(E98:E147)</x:f>
        <x:v>0</x:v>
      </x:c>
      <x:c r="H97" s="30" t="n">
        <x:f>IF($E$42=0,1-MIN(C97,$E$43)/$E$43,((1+$E$42)^$E$43-(1+$E$42)^MIN(C97,$E$43))/((1+$E$42)^$E$43-1))</x:f>
        <x:v>0</x:v>
      </x:c>
      <x:c r="I97" s="30" t="n">
        <x:f>MAX(0,1-D97-J97)</x:f>
        <x:v>0</x:v>
      </x:c>
      <x:c r="J97" s="2" t="n">
        <x:f>(1-$E$40)*INDEX('Assumptions'!$H$65:$H$101,MIN(C97,36)+1)</x:f>
        <x:v>0.8</x:v>
      </x:c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</x:row>
    <x:row r="98" ht="19" customHeight="1">
      <x:c r="A98" s="1"/>
      <x:c r="B98" s="1"/>
      <x:c r="C98" s="2" t="n">
        <x:v>47</x:v>
      </x:c>
      <x:c r="D98" s="30" t="n">
        <x:f>$E$40*INDEX('Assumptions'!$E$65:$E$101,MIN(C98,36)+1)</x:f>
        <x:v>0.2</x:v>
      </x:c>
      <x:c r="E98" s="30" t="n">
        <x:f>(D98-D97)*H97</x:f>
        <x:v>0</x:v>
      </x:c>
      <x:c r="F98" s="30" t="n">
        <x:f>(1-D98-J97)*(H97-H98)+(J98-J97)*H98</x:f>
        <x:v>0</x:v>
      </x:c>
      <x:c r="G98" s="30" t="n">
        <x:f>SUM(E99:E147)</x:f>
        <x:v>0</x:v>
      </x:c>
      <x:c r="H98" s="30" t="n">
        <x:f>IF($E$42=0,1-MIN(C98,$E$43)/$E$43,((1+$E$42)^$E$43-(1+$E$42)^MIN(C98,$E$43))/((1+$E$42)^$E$43-1))</x:f>
        <x:v>0</x:v>
      </x:c>
      <x:c r="I98" s="30" t="n">
        <x:f>MAX(0,1-D98-J98)</x:f>
        <x:v>0</x:v>
      </x:c>
      <x:c r="J98" s="2" t="n">
        <x:f>(1-$E$40)*INDEX('Assumptions'!$H$65:$H$101,MIN(C98,36)+1)</x:f>
        <x:v>0.8</x:v>
      </x:c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</x:row>
    <x:row r="99" ht="19" customHeight="1">
      <x:c r="A99" s="1"/>
      <x:c r="B99" s="1"/>
      <x:c r="C99" s="2" t="n">
        <x:v>48</x:v>
      </x:c>
      <x:c r="D99" s="30" t="n">
        <x:f>$E$40*INDEX('Assumptions'!$E$65:$E$101,MIN(C99,36)+1)</x:f>
        <x:v>0.2</x:v>
      </x:c>
      <x:c r="E99" s="30" t="n">
        <x:f>(D99-D98)*H98</x:f>
        <x:v>0</x:v>
      </x:c>
      <x:c r="F99" s="30" t="n">
        <x:f>(1-D99-J98)*(H98-H99)+(J99-J98)*H99</x:f>
        <x:v>0</x:v>
      </x:c>
      <x:c r="G99" s="30" t="n">
        <x:f>SUM(E100:E147)</x:f>
        <x:v>0</x:v>
      </x:c>
      <x:c r="H99" s="30" t="n">
        <x:f>IF($E$42=0,1-MIN(C99,$E$43)/$E$43,((1+$E$42)^$E$43-(1+$E$42)^MIN(C99,$E$43))/((1+$E$42)^$E$43-1))</x:f>
        <x:v>0</x:v>
      </x:c>
      <x:c r="I99" s="30" t="n">
        <x:f>MAX(0,1-D99-J99)</x:f>
        <x:v>0</x:v>
      </x:c>
      <x:c r="J99" s="2" t="n">
        <x:f>(1-$E$40)*INDEX('Assumptions'!$H$65:$H$101,MIN(C99,36)+1)</x:f>
        <x:v>0.8</x:v>
      </x:c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</x:row>
    <x:row r="100" ht="19" customHeight="1">
      <x:c r="A100" s="1"/>
      <x:c r="B100" s="1"/>
      <x:c r="C100" s="2" t="n">
        <x:v>49</x:v>
      </x:c>
      <x:c r="D100" s="30" t="n">
        <x:f>$E$40*INDEX('Assumptions'!$E$65:$E$101,MIN(C100,36)+1)</x:f>
        <x:v>0.2</x:v>
      </x:c>
      <x:c r="E100" s="30" t="n">
        <x:f>(D100-D99)*H99</x:f>
        <x:v>0</x:v>
      </x:c>
      <x:c r="F100" s="30" t="n">
        <x:f>(1-D100-J99)*(H99-H100)+(J100-J99)*H100</x:f>
        <x:v>0</x:v>
      </x:c>
      <x:c r="G100" s="30" t="n">
        <x:f>SUM(E101:E147)</x:f>
        <x:v>0</x:v>
      </x:c>
      <x:c r="H100" s="30" t="n">
        <x:f>IF($E$42=0,1-MIN(C100,$E$43)/$E$43,((1+$E$42)^$E$43-(1+$E$42)^MIN(C100,$E$43))/((1+$E$42)^$E$43-1))</x:f>
        <x:v>0</x:v>
      </x:c>
      <x:c r="I100" s="30" t="n">
        <x:f>MAX(0,1-D100-J100)</x:f>
        <x:v>0</x:v>
      </x:c>
      <x:c r="J100" s="2" t="n">
        <x:f>(1-$E$40)*INDEX('Assumptions'!$H$65:$H$101,MIN(C100,36)+1)</x:f>
        <x:v>0.8</x:v>
      </x:c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</x:row>
    <x:row r="101" ht="19" customHeight="1">
      <x:c r="A101" s="1"/>
      <x:c r="B101" s="1"/>
      <x:c r="C101" s="2" t="n">
        <x:v>50</x:v>
      </x:c>
      <x:c r="D101" s="30" t="n">
        <x:f>$E$40*INDEX('Assumptions'!$E$65:$E$101,MIN(C101,36)+1)</x:f>
        <x:v>0.2</x:v>
      </x:c>
      <x:c r="E101" s="30" t="n">
        <x:f>(D101-D100)*H100</x:f>
        <x:v>0</x:v>
      </x:c>
      <x:c r="F101" s="30" t="n">
        <x:f>(1-D101-J100)*(H100-H101)+(J101-J100)*H101</x:f>
        <x:v>0</x:v>
      </x:c>
      <x:c r="G101" s="30" t="n">
        <x:f>SUM(E102:E147)</x:f>
        <x:v>0</x:v>
      </x:c>
      <x:c r="H101" s="30" t="n">
        <x:f>IF($E$42=0,1-MIN(C101,$E$43)/$E$43,((1+$E$42)^$E$43-(1+$E$42)^MIN(C101,$E$43))/((1+$E$42)^$E$43-1))</x:f>
        <x:v>0</x:v>
      </x:c>
      <x:c r="I101" s="30" t="n">
        <x:f>MAX(0,1-D101-J101)</x:f>
        <x:v>0</x:v>
      </x:c>
      <x:c r="J101" s="2" t="n">
        <x:f>(1-$E$40)*INDEX('Assumptions'!$H$65:$H$101,MIN(C101,36)+1)</x:f>
        <x:v>0.8</x:v>
      </x:c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</x:row>
    <x:row r="102" ht="19" customHeight="1">
      <x:c r="A102" s="1"/>
      <x:c r="B102" s="1"/>
      <x:c r="C102" s="2" t="n">
        <x:v>51</x:v>
      </x:c>
      <x:c r="D102" s="30" t="n">
        <x:f>$E$40*INDEX('Assumptions'!$E$65:$E$101,MIN(C102,36)+1)</x:f>
        <x:v>0.2</x:v>
      </x:c>
      <x:c r="E102" s="30" t="n">
        <x:f>(D102-D101)*H101</x:f>
        <x:v>0</x:v>
      </x:c>
      <x:c r="F102" s="30" t="n">
        <x:f>(1-D102-J101)*(H101-H102)+(J102-J101)*H102</x:f>
        <x:v>0</x:v>
      </x:c>
      <x:c r="G102" s="30" t="n">
        <x:f>SUM(E103:E147)</x:f>
        <x:v>0</x:v>
      </x:c>
      <x:c r="H102" s="30" t="n">
        <x:f>IF($E$42=0,1-MIN(C102,$E$43)/$E$43,((1+$E$42)^$E$43-(1+$E$42)^MIN(C102,$E$43))/((1+$E$42)^$E$43-1))</x:f>
        <x:v>0</x:v>
      </x:c>
      <x:c r="I102" s="30" t="n">
        <x:f>MAX(0,1-D102-J102)</x:f>
        <x:v>0</x:v>
      </x:c>
      <x:c r="J102" s="2" t="n">
        <x:f>(1-$E$40)*INDEX('Assumptions'!$H$65:$H$101,MIN(C102,36)+1)</x:f>
        <x:v>0.8</x:v>
      </x:c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</x:row>
    <x:row r="103" ht="19" customHeight="1">
      <x:c r="A103" s="1"/>
      <x:c r="B103" s="1"/>
      <x:c r="C103" s="2" t="n">
        <x:v>52</x:v>
      </x:c>
      <x:c r="D103" s="30" t="n">
        <x:f>$E$40*INDEX('Assumptions'!$E$65:$E$101,MIN(C103,36)+1)</x:f>
        <x:v>0.2</x:v>
      </x:c>
      <x:c r="E103" s="30" t="n">
        <x:f>(D103-D102)*H102</x:f>
        <x:v>0</x:v>
      </x:c>
      <x:c r="F103" s="30" t="n">
        <x:f>(1-D103-J102)*(H102-H103)+(J103-J102)*H103</x:f>
        <x:v>0</x:v>
      </x:c>
      <x:c r="G103" s="30" t="n">
        <x:f>SUM(E104:E147)</x:f>
        <x:v>0</x:v>
      </x:c>
      <x:c r="H103" s="30" t="n">
        <x:f>IF($E$42=0,1-MIN(C103,$E$43)/$E$43,((1+$E$42)^$E$43-(1+$E$42)^MIN(C103,$E$43))/((1+$E$42)^$E$43-1))</x:f>
        <x:v>0</x:v>
      </x:c>
      <x:c r="I103" s="30" t="n">
        <x:f>MAX(0,1-D103-J103)</x:f>
        <x:v>0</x:v>
      </x:c>
      <x:c r="J103" s="2" t="n">
        <x:f>(1-$E$40)*INDEX('Assumptions'!$H$65:$H$101,MIN(C103,36)+1)</x:f>
        <x:v>0.8</x:v>
      </x:c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</x:row>
    <x:row r="104" ht="19" customHeight="1">
      <x:c r="A104" s="1"/>
      <x:c r="B104" s="1"/>
      <x:c r="C104" s="2" t="n">
        <x:v>53</x:v>
      </x:c>
      <x:c r="D104" s="30" t="n">
        <x:f>$E$40*INDEX('Assumptions'!$E$65:$E$101,MIN(C104,36)+1)</x:f>
        <x:v>0.2</x:v>
      </x:c>
      <x:c r="E104" s="30" t="n">
        <x:f>(D104-D103)*H103</x:f>
        <x:v>0</x:v>
      </x:c>
      <x:c r="F104" s="30" t="n">
        <x:f>(1-D104-J103)*(H103-H104)+(J104-J103)*H104</x:f>
        <x:v>0</x:v>
      </x:c>
      <x:c r="G104" s="30" t="n">
        <x:f>SUM(E105:E147)</x:f>
        <x:v>0</x:v>
      </x:c>
      <x:c r="H104" s="30" t="n">
        <x:f>IF($E$42=0,1-MIN(C104,$E$43)/$E$43,((1+$E$42)^$E$43-(1+$E$42)^MIN(C104,$E$43))/((1+$E$42)^$E$43-1))</x:f>
        <x:v>0</x:v>
      </x:c>
      <x:c r="I104" s="30" t="n">
        <x:f>MAX(0,1-D104-J104)</x:f>
        <x:v>0</x:v>
      </x:c>
      <x:c r="J104" s="2" t="n">
        <x:f>(1-$E$40)*INDEX('Assumptions'!$H$65:$H$101,MIN(C104,36)+1)</x:f>
        <x:v>0.8</x:v>
      </x:c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</x:row>
    <x:row r="105" ht="19" customHeight="1">
      <x:c r="A105" s="1"/>
      <x:c r="B105" s="1"/>
      <x:c r="C105" s="2" t="n">
        <x:v>54</x:v>
      </x:c>
      <x:c r="D105" s="30" t="n">
        <x:f>$E$40*INDEX('Assumptions'!$E$65:$E$101,MIN(C105,36)+1)</x:f>
        <x:v>0.2</x:v>
      </x:c>
      <x:c r="E105" s="30" t="n">
        <x:f>(D105-D104)*H104</x:f>
        <x:v>0</x:v>
      </x:c>
      <x:c r="F105" s="30" t="n">
        <x:f>(1-D105-J104)*(H104-H105)+(J105-J104)*H105</x:f>
        <x:v>0</x:v>
      </x:c>
      <x:c r="G105" s="30" t="n">
        <x:f>SUM(E106:E147)</x:f>
        <x:v>0</x:v>
      </x:c>
      <x:c r="H105" s="30" t="n">
        <x:f>IF($E$42=0,1-MIN(C105,$E$43)/$E$43,((1+$E$42)^$E$43-(1+$E$42)^MIN(C105,$E$43))/((1+$E$42)^$E$43-1))</x:f>
        <x:v>0</x:v>
      </x:c>
      <x:c r="I105" s="30" t="n">
        <x:f>MAX(0,1-D105-J105)</x:f>
        <x:v>0</x:v>
      </x:c>
      <x:c r="J105" s="2" t="n">
        <x:f>(1-$E$40)*INDEX('Assumptions'!$H$65:$H$101,MIN(C105,36)+1)</x:f>
        <x:v>0.8</x:v>
      </x:c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</x:row>
    <x:row r="106" ht="19" customHeight="1">
      <x:c r="A106" s="1"/>
      <x:c r="B106" s="1"/>
      <x:c r="C106" s="2" t="n">
        <x:v>55</x:v>
      </x:c>
      <x:c r="D106" s="30" t="n">
        <x:f>$E$40*INDEX('Assumptions'!$E$65:$E$101,MIN(C106,36)+1)</x:f>
        <x:v>0.2</x:v>
      </x:c>
      <x:c r="E106" s="30" t="n">
        <x:f>(D106-D105)*H105</x:f>
        <x:v>0</x:v>
      </x:c>
      <x:c r="F106" s="30" t="n">
        <x:f>(1-D106-J105)*(H105-H106)+(J106-J105)*H106</x:f>
        <x:v>0</x:v>
      </x:c>
      <x:c r="G106" s="30" t="n">
        <x:f>SUM(E107:E147)</x:f>
        <x:v>0</x:v>
      </x:c>
      <x:c r="H106" s="30" t="n">
        <x:f>IF($E$42=0,1-MIN(C106,$E$43)/$E$43,((1+$E$42)^$E$43-(1+$E$42)^MIN(C106,$E$43))/((1+$E$42)^$E$43-1))</x:f>
        <x:v>0</x:v>
      </x:c>
      <x:c r="I106" s="30" t="n">
        <x:f>MAX(0,1-D106-J106)</x:f>
        <x:v>0</x:v>
      </x:c>
      <x:c r="J106" s="2" t="n">
        <x:f>(1-$E$40)*INDEX('Assumptions'!$H$65:$H$101,MIN(C106,36)+1)</x:f>
        <x:v>0.8</x:v>
      </x:c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</x:row>
    <x:row r="107" ht="19" customHeight="1">
      <x:c r="A107" s="1"/>
      <x:c r="B107" s="1"/>
      <x:c r="C107" s="2" t="n">
        <x:v>56</x:v>
      </x:c>
      <x:c r="D107" s="30" t="n">
        <x:f>$E$40*INDEX('Assumptions'!$E$65:$E$101,MIN(C107,36)+1)</x:f>
        <x:v>0.2</x:v>
      </x:c>
      <x:c r="E107" s="30" t="n">
        <x:f>(D107-D106)*H106</x:f>
        <x:v>0</x:v>
      </x:c>
      <x:c r="F107" s="30" t="n">
        <x:f>(1-D107-J106)*(H106-H107)+(J107-J106)*H107</x:f>
        <x:v>0</x:v>
      </x:c>
      <x:c r="G107" s="30" t="n">
        <x:f>SUM(E108:E147)</x:f>
        <x:v>0</x:v>
      </x:c>
      <x:c r="H107" s="30" t="n">
        <x:f>IF($E$42=0,1-MIN(C107,$E$43)/$E$43,((1+$E$42)^$E$43-(1+$E$42)^MIN(C107,$E$43))/((1+$E$42)^$E$43-1))</x:f>
        <x:v>0</x:v>
      </x:c>
      <x:c r="I107" s="30" t="n">
        <x:f>MAX(0,1-D107-J107)</x:f>
        <x:v>0</x:v>
      </x:c>
      <x:c r="J107" s="2" t="n">
        <x:f>(1-$E$40)*INDEX('Assumptions'!$H$65:$H$101,MIN(C107,36)+1)</x:f>
        <x:v>0.8</x:v>
      </x:c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</x:row>
    <x:row r="108" ht="19" customHeight="1">
      <x:c r="A108" s="1"/>
      <x:c r="B108" s="1"/>
      <x:c r="C108" s="2" t="n">
        <x:v>57</x:v>
      </x:c>
      <x:c r="D108" s="30" t="n">
        <x:f>$E$40*INDEX('Assumptions'!$E$65:$E$101,MIN(C108,36)+1)</x:f>
        <x:v>0.2</x:v>
      </x:c>
      <x:c r="E108" s="30" t="n">
        <x:f>(D108-D107)*H107</x:f>
        <x:v>0</x:v>
      </x:c>
      <x:c r="F108" s="30" t="n">
        <x:f>(1-D108-J107)*(H107-H108)+(J108-J107)*H108</x:f>
        <x:v>0</x:v>
      </x:c>
      <x:c r="G108" s="30" t="n">
        <x:f>SUM(E109:E147)</x:f>
        <x:v>0</x:v>
      </x:c>
      <x:c r="H108" s="30" t="n">
        <x:f>IF($E$42=0,1-MIN(C108,$E$43)/$E$43,((1+$E$42)^$E$43-(1+$E$42)^MIN(C108,$E$43))/((1+$E$42)^$E$43-1))</x:f>
        <x:v>0</x:v>
      </x:c>
      <x:c r="I108" s="30" t="n">
        <x:f>MAX(0,1-D108-J108)</x:f>
        <x:v>0</x:v>
      </x:c>
      <x:c r="J108" s="2" t="n">
        <x:f>(1-$E$40)*INDEX('Assumptions'!$H$65:$H$101,MIN(C108,36)+1)</x:f>
        <x:v>0.8</x:v>
      </x:c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</x:row>
    <x:row r="109" ht="19" customHeight="1">
      <x:c r="A109" s="1"/>
      <x:c r="B109" s="1"/>
      <x:c r="C109" s="2" t="n">
        <x:v>58</x:v>
      </x:c>
      <x:c r="D109" s="30" t="n">
        <x:f>$E$40*INDEX('Assumptions'!$E$65:$E$101,MIN(C109,36)+1)</x:f>
        <x:v>0.2</x:v>
      </x:c>
      <x:c r="E109" s="30" t="n">
        <x:f>(D109-D108)*H108</x:f>
        <x:v>0</x:v>
      </x:c>
      <x:c r="F109" s="30" t="n">
        <x:f>(1-D109-J108)*(H108-H109)+(J109-J108)*H109</x:f>
        <x:v>0</x:v>
      </x:c>
      <x:c r="G109" s="30" t="n">
        <x:f>SUM(E110:E147)</x:f>
        <x:v>0</x:v>
      </x:c>
      <x:c r="H109" s="30" t="n">
        <x:f>IF($E$42=0,1-MIN(C109,$E$43)/$E$43,((1+$E$42)^$E$43-(1+$E$42)^MIN(C109,$E$43))/((1+$E$42)^$E$43-1))</x:f>
        <x:v>0</x:v>
      </x:c>
      <x:c r="I109" s="30" t="n">
        <x:f>MAX(0,1-D109-J109)</x:f>
        <x:v>0</x:v>
      </x:c>
      <x:c r="J109" s="2" t="n">
        <x:f>(1-$E$40)*INDEX('Assumptions'!$H$65:$H$101,MIN(C109,36)+1)</x:f>
        <x:v>0.8</x:v>
      </x:c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</x:row>
    <x:row r="110" ht="19" customHeight="1">
      <x:c r="A110" s="1"/>
      <x:c r="B110" s="1"/>
      <x:c r="C110" s="2" t="n">
        <x:v>59</x:v>
      </x:c>
      <x:c r="D110" s="30" t="n">
        <x:f>$E$40*INDEX('Assumptions'!$E$65:$E$101,MIN(C110,36)+1)</x:f>
        <x:v>0.2</x:v>
      </x:c>
      <x:c r="E110" s="30" t="n">
        <x:f>(D110-D109)*H109</x:f>
        <x:v>0</x:v>
      </x:c>
      <x:c r="F110" s="30" t="n">
        <x:f>(1-D110-J109)*(H109-H110)+(J110-J109)*H110</x:f>
        <x:v>0</x:v>
      </x:c>
      <x:c r="G110" s="30" t="n">
        <x:f>SUM(E111:E147)</x:f>
        <x:v>0</x:v>
      </x:c>
      <x:c r="H110" s="30" t="n">
        <x:f>IF($E$42=0,1-MIN(C110,$E$43)/$E$43,((1+$E$42)^$E$43-(1+$E$42)^MIN(C110,$E$43))/((1+$E$42)^$E$43-1))</x:f>
        <x:v>0</x:v>
      </x:c>
      <x:c r="I110" s="30" t="n">
        <x:f>MAX(0,1-D110-J110)</x:f>
        <x:v>0</x:v>
      </x:c>
      <x:c r="J110" s="2" t="n">
        <x:f>(1-$E$40)*INDEX('Assumptions'!$H$65:$H$101,MIN(C110,36)+1)</x:f>
        <x:v>0.8</x:v>
      </x:c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</x:row>
    <x:row r="111" ht="19" customHeight="1">
      <x:c r="A111" s="1"/>
      <x:c r="B111" s="1"/>
      <x:c r="C111" s="2" t="n">
        <x:v>60</x:v>
      </x:c>
      <x:c r="D111" s="30" t="n">
        <x:f>$E$40*INDEX('Assumptions'!$E$65:$E$101,MIN(C111,36)+1)</x:f>
        <x:v>0.2</x:v>
      </x:c>
      <x:c r="E111" s="30" t="n">
        <x:f>(D111-D110)*H110</x:f>
        <x:v>0</x:v>
      </x:c>
      <x:c r="F111" s="30" t="n">
        <x:f>(1-D111-J110)*(H110-H111)+(J111-J110)*H111</x:f>
        <x:v>0</x:v>
      </x:c>
      <x:c r="G111" s="30" t="n">
        <x:f>SUM(E112:E147)</x:f>
        <x:v>0</x:v>
      </x:c>
      <x:c r="H111" s="30" t="n">
        <x:f>IF($E$42=0,1-MIN(C111,$E$43)/$E$43,((1+$E$42)^$E$43-(1+$E$42)^MIN(C111,$E$43))/((1+$E$42)^$E$43-1))</x:f>
        <x:v>0</x:v>
      </x:c>
      <x:c r="I111" s="30" t="n">
        <x:f>MAX(0,1-D111-J111)</x:f>
        <x:v>0</x:v>
      </x:c>
      <x:c r="J111" s="2" t="n">
        <x:f>(1-$E$40)*INDEX('Assumptions'!$H$65:$H$101,MIN(C111,36)+1)</x:f>
        <x:v>0.8</x:v>
      </x:c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</x:row>
    <x:row r="112" ht="19" customHeight="1">
      <x:c r="A112" s="1"/>
      <x:c r="B112" s="1"/>
      <x:c r="C112" s="2" t="n">
        <x:v>61</x:v>
      </x:c>
      <x:c r="D112" s="30" t="n">
        <x:f>$E$40*INDEX('Assumptions'!$E$65:$E$101,MIN(C112,36)+1)</x:f>
        <x:v>0.2</x:v>
      </x:c>
      <x:c r="E112" s="30" t="n">
        <x:f>(D112-D111)*H111</x:f>
        <x:v>0</x:v>
      </x:c>
      <x:c r="F112" s="30" t="n">
        <x:f>(1-D112-J111)*(H111-H112)+(J112-J111)*H112</x:f>
        <x:v>0</x:v>
      </x:c>
      <x:c r="G112" s="30" t="n">
        <x:f>SUM(E113:E147)</x:f>
        <x:v>0</x:v>
      </x:c>
      <x:c r="H112" s="30" t="n">
        <x:f>IF($E$42=0,1-MIN(C112,$E$43)/$E$43,((1+$E$42)^$E$43-(1+$E$42)^MIN(C112,$E$43))/((1+$E$42)^$E$43-1))</x:f>
        <x:v>0</x:v>
      </x:c>
      <x:c r="I112" s="30" t="n">
        <x:f>MAX(0,1-D112-J112)</x:f>
        <x:v>0</x:v>
      </x:c>
      <x:c r="J112" s="2" t="n">
        <x:f>(1-$E$40)*INDEX('Assumptions'!$H$65:$H$101,MIN(C112,36)+1)</x:f>
        <x:v>0.8</x:v>
      </x:c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</x:row>
    <x:row r="113" ht="19" customHeight="1">
      <x:c r="A113" s="1"/>
      <x:c r="B113" s="1"/>
      <x:c r="C113" s="2" t="n">
        <x:v>62</x:v>
      </x:c>
      <x:c r="D113" s="30" t="n">
        <x:f>$E$40*INDEX('Assumptions'!$E$65:$E$101,MIN(C113,36)+1)</x:f>
        <x:v>0.2</x:v>
      </x:c>
      <x:c r="E113" s="30" t="n">
        <x:f>(D113-D112)*H112</x:f>
        <x:v>0</x:v>
      </x:c>
      <x:c r="F113" s="30" t="n">
        <x:f>(1-D113-J112)*(H112-H113)+(J113-J112)*H113</x:f>
        <x:v>0</x:v>
      </x:c>
      <x:c r="G113" s="30" t="n">
        <x:f>SUM(E114:E147)</x:f>
        <x:v>0</x:v>
      </x:c>
      <x:c r="H113" s="30" t="n">
        <x:f>IF($E$42=0,1-MIN(C113,$E$43)/$E$43,((1+$E$42)^$E$43-(1+$E$42)^MIN(C113,$E$43))/((1+$E$42)^$E$43-1))</x:f>
        <x:v>0</x:v>
      </x:c>
      <x:c r="I113" s="30" t="n">
        <x:f>MAX(0,1-D113-J113)</x:f>
        <x:v>0</x:v>
      </x:c>
      <x:c r="J113" s="2" t="n">
        <x:f>(1-$E$40)*INDEX('Assumptions'!$H$65:$H$101,MIN(C113,36)+1)</x:f>
        <x:v>0.8</x:v>
      </x:c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</x:row>
    <x:row r="114" ht="19" customHeight="1">
      <x:c r="A114" s="1"/>
      <x:c r="B114" s="1"/>
      <x:c r="C114" s="2" t="n">
        <x:v>63</x:v>
      </x:c>
      <x:c r="D114" s="30" t="n">
        <x:f>$E$40*INDEX('Assumptions'!$E$65:$E$101,MIN(C114,36)+1)</x:f>
        <x:v>0.2</x:v>
      </x:c>
      <x:c r="E114" s="30" t="n">
        <x:f>(D114-D113)*H113</x:f>
        <x:v>0</x:v>
      </x:c>
      <x:c r="F114" s="30" t="n">
        <x:f>(1-D114-J113)*(H113-H114)+(J114-J113)*H114</x:f>
        <x:v>0</x:v>
      </x:c>
      <x:c r="G114" s="30" t="n">
        <x:f>SUM(E115:E147)</x:f>
        <x:v>0</x:v>
      </x:c>
      <x:c r="H114" s="30" t="n">
        <x:f>IF($E$42=0,1-MIN(C114,$E$43)/$E$43,((1+$E$42)^$E$43-(1+$E$42)^MIN(C114,$E$43))/((1+$E$42)^$E$43-1))</x:f>
        <x:v>0</x:v>
      </x:c>
      <x:c r="I114" s="30" t="n">
        <x:f>MAX(0,1-D114-J114)</x:f>
        <x:v>0</x:v>
      </x:c>
      <x:c r="J114" s="2" t="n">
        <x:f>(1-$E$40)*INDEX('Assumptions'!$H$65:$H$101,MIN(C114,36)+1)</x:f>
        <x:v>0.8</x:v>
      </x:c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</x:row>
    <x:row r="115" ht="19" customHeight="1">
      <x:c r="A115" s="1"/>
      <x:c r="B115" s="1"/>
      <x:c r="C115" s="2" t="n">
        <x:v>64</x:v>
      </x:c>
      <x:c r="D115" s="30" t="n">
        <x:f>$E$40*INDEX('Assumptions'!$E$65:$E$101,MIN(C115,36)+1)</x:f>
        <x:v>0.2</x:v>
      </x:c>
      <x:c r="E115" s="30" t="n">
        <x:f>(D115-D114)*H114</x:f>
        <x:v>0</x:v>
      </x:c>
      <x:c r="F115" s="30" t="n">
        <x:f>(1-D115-J114)*(H114-H115)+(J115-J114)*H115</x:f>
        <x:v>0</x:v>
      </x:c>
      <x:c r="G115" s="30" t="n">
        <x:f>SUM(E116:E147)</x:f>
        <x:v>0</x:v>
      </x:c>
      <x:c r="H115" s="30" t="n">
        <x:f>IF($E$42=0,1-MIN(C115,$E$43)/$E$43,((1+$E$42)^$E$43-(1+$E$42)^MIN(C115,$E$43))/((1+$E$42)^$E$43-1))</x:f>
        <x:v>0</x:v>
      </x:c>
      <x:c r="I115" s="30" t="n">
        <x:f>MAX(0,1-D115-J115)</x:f>
        <x:v>0</x:v>
      </x:c>
      <x:c r="J115" s="2" t="n">
        <x:f>(1-$E$40)*INDEX('Assumptions'!$H$65:$H$101,MIN(C115,36)+1)</x:f>
        <x:v>0.8</x:v>
      </x:c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</x:row>
    <x:row r="116" ht="19" customHeight="1">
      <x:c r="A116" s="1"/>
      <x:c r="B116" s="1"/>
      <x:c r="C116" s="2" t="n">
        <x:v>65</x:v>
      </x:c>
      <x:c r="D116" s="30" t="n">
        <x:f>$E$40*INDEX('Assumptions'!$E$65:$E$101,MIN(C116,36)+1)</x:f>
        <x:v>0.2</x:v>
      </x:c>
      <x:c r="E116" s="30" t="n">
        <x:f>(D116-D115)*H115</x:f>
        <x:v>0</x:v>
      </x:c>
      <x:c r="F116" s="30" t="n">
        <x:f>(1-D116-J115)*(H115-H116)+(J116-J115)*H116</x:f>
        <x:v>0</x:v>
      </x:c>
      <x:c r="G116" s="30" t="n">
        <x:f>SUM(E117:E147)</x:f>
        <x:v>0</x:v>
      </x:c>
      <x:c r="H116" s="30" t="n">
        <x:f>IF($E$42=0,1-MIN(C116,$E$43)/$E$43,((1+$E$42)^$E$43-(1+$E$42)^MIN(C116,$E$43))/((1+$E$42)^$E$43-1))</x:f>
        <x:v>0</x:v>
      </x:c>
      <x:c r="I116" s="30" t="n">
        <x:f>MAX(0,1-D116-J116)</x:f>
        <x:v>0</x:v>
      </x:c>
      <x:c r="J116" s="2" t="n">
        <x:f>(1-$E$40)*INDEX('Assumptions'!$H$65:$H$101,MIN(C116,36)+1)</x:f>
        <x:v>0.8</x:v>
      </x:c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</x:row>
    <x:row r="117" ht="19" customHeight="1">
      <x:c r="A117" s="1"/>
      <x:c r="B117" s="1"/>
      <x:c r="C117" s="2" t="n">
        <x:v>66</x:v>
      </x:c>
      <x:c r="D117" s="30" t="n">
        <x:f>$E$40*INDEX('Assumptions'!$E$65:$E$101,MIN(C117,36)+1)</x:f>
        <x:v>0.2</x:v>
      </x:c>
      <x:c r="E117" s="30" t="n">
        <x:f>(D117-D116)*H116</x:f>
        <x:v>0</x:v>
      </x:c>
      <x:c r="F117" s="30" t="n">
        <x:f>(1-D117-J116)*(H116-H117)+(J117-J116)*H117</x:f>
        <x:v>0</x:v>
      </x:c>
      <x:c r="G117" s="30" t="n">
        <x:f>SUM(E118:E147)</x:f>
        <x:v>0</x:v>
      </x:c>
      <x:c r="H117" s="30" t="n">
        <x:f>IF($E$42=0,1-MIN(C117,$E$43)/$E$43,((1+$E$42)^$E$43-(1+$E$42)^MIN(C117,$E$43))/((1+$E$42)^$E$43-1))</x:f>
        <x:v>0</x:v>
      </x:c>
      <x:c r="I117" s="30" t="n">
        <x:f>MAX(0,1-D117-J117)</x:f>
        <x:v>0</x:v>
      </x:c>
      <x:c r="J117" s="2" t="n">
        <x:f>(1-$E$40)*INDEX('Assumptions'!$H$65:$H$101,MIN(C117,36)+1)</x:f>
        <x:v>0.8</x:v>
      </x:c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</x:row>
    <x:row r="118" ht="19" customHeight="1">
      <x:c r="A118" s="1"/>
      <x:c r="B118" s="1"/>
      <x:c r="C118" s="2" t="n">
        <x:v>67</x:v>
      </x:c>
      <x:c r="D118" s="30" t="n">
        <x:f>$E$40*INDEX('Assumptions'!$E$65:$E$101,MIN(C118,36)+1)</x:f>
        <x:v>0.2</x:v>
      </x:c>
      <x:c r="E118" s="30" t="n">
        <x:f>(D118-D117)*H117</x:f>
        <x:v>0</x:v>
      </x:c>
      <x:c r="F118" s="30" t="n">
        <x:f>(1-D118-J117)*(H117-H118)+(J118-J117)*H118</x:f>
        <x:v>0</x:v>
      </x:c>
      <x:c r="G118" s="30" t="n">
        <x:f>SUM(E119:E147)</x:f>
        <x:v>0</x:v>
      </x:c>
      <x:c r="H118" s="30" t="n">
        <x:f>IF($E$42=0,1-MIN(C118,$E$43)/$E$43,((1+$E$42)^$E$43-(1+$E$42)^MIN(C118,$E$43))/((1+$E$42)^$E$43-1))</x:f>
        <x:v>0</x:v>
      </x:c>
      <x:c r="I118" s="30" t="n">
        <x:f>MAX(0,1-D118-J118)</x:f>
        <x:v>0</x:v>
      </x:c>
      <x:c r="J118" s="2" t="n">
        <x:f>(1-$E$40)*INDEX('Assumptions'!$H$65:$H$101,MIN(C118,36)+1)</x:f>
        <x:v>0.8</x:v>
      </x:c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</x:row>
    <x:row r="119" ht="19" customHeight="1">
      <x:c r="A119" s="1"/>
      <x:c r="B119" s="1"/>
      <x:c r="C119" s="2" t="n">
        <x:v>68</x:v>
      </x:c>
      <x:c r="D119" s="30" t="n">
        <x:f>$E$40*INDEX('Assumptions'!$E$65:$E$101,MIN(C119,36)+1)</x:f>
        <x:v>0.2</x:v>
      </x:c>
      <x:c r="E119" s="30" t="n">
        <x:f>(D119-D118)*H118</x:f>
        <x:v>0</x:v>
      </x:c>
      <x:c r="F119" s="30" t="n">
        <x:f>(1-D119-J118)*(H118-H119)+(J119-J118)*H119</x:f>
        <x:v>0</x:v>
      </x:c>
      <x:c r="G119" s="30" t="n">
        <x:f>SUM(E120:E147)</x:f>
        <x:v>0</x:v>
      </x:c>
      <x:c r="H119" s="30" t="n">
        <x:f>IF($E$42=0,1-MIN(C119,$E$43)/$E$43,((1+$E$42)^$E$43-(1+$E$42)^MIN(C119,$E$43))/((1+$E$42)^$E$43-1))</x:f>
        <x:v>0</x:v>
      </x:c>
      <x:c r="I119" s="30" t="n">
        <x:f>MAX(0,1-D119-J119)</x:f>
        <x:v>0</x:v>
      </x:c>
      <x:c r="J119" s="2" t="n">
        <x:f>(1-$E$40)*INDEX('Assumptions'!$H$65:$H$101,MIN(C119,36)+1)</x:f>
        <x:v>0.8</x:v>
      </x:c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</x:row>
    <x:row r="120" ht="19" customHeight="1">
      <x:c r="A120" s="1"/>
      <x:c r="B120" s="1"/>
      <x:c r="C120" s="2" t="n">
        <x:v>69</x:v>
      </x:c>
      <x:c r="D120" s="30" t="n">
        <x:f>$E$40*INDEX('Assumptions'!$E$65:$E$101,MIN(C120,36)+1)</x:f>
        <x:v>0.2</x:v>
      </x:c>
      <x:c r="E120" s="30" t="n">
        <x:f>(D120-D119)*H119</x:f>
        <x:v>0</x:v>
      </x:c>
      <x:c r="F120" s="30" t="n">
        <x:f>(1-D120-J119)*(H119-H120)+(J120-J119)*H120</x:f>
        <x:v>0</x:v>
      </x:c>
      <x:c r="G120" s="30" t="n">
        <x:f>SUM(E121:E147)</x:f>
        <x:v>0</x:v>
      </x:c>
      <x:c r="H120" s="30" t="n">
        <x:f>IF($E$42=0,1-MIN(C120,$E$43)/$E$43,((1+$E$42)^$E$43-(1+$E$42)^MIN(C120,$E$43))/((1+$E$42)^$E$43-1))</x:f>
        <x:v>0</x:v>
      </x:c>
      <x:c r="I120" s="30" t="n">
        <x:f>MAX(0,1-D120-J120)</x:f>
        <x:v>0</x:v>
      </x:c>
      <x:c r="J120" s="2" t="n">
        <x:f>(1-$E$40)*INDEX('Assumptions'!$H$65:$H$101,MIN(C120,36)+1)</x:f>
        <x:v>0.8</x:v>
      </x:c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</x:row>
    <x:row r="121" ht="19" customHeight="1">
      <x:c r="A121" s="1"/>
      <x:c r="B121" s="1"/>
      <x:c r="C121" s="2" t="n">
        <x:v>70</x:v>
      </x:c>
      <x:c r="D121" s="30" t="n">
        <x:f>$E$40*INDEX('Assumptions'!$E$65:$E$101,MIN(C121,36)+1)</x:f>
        <x:v>0.2</x:v>
      </x:c>
      <x:c r="E121" s="30" t="n">
        <x:f>(D121-D120)*H120</x:f>
        <x:v>0</x:v>
      </x:c>
      <x:c r="F121" s="30" t="n">
        <x:f>(1-D121-J120)*(H120-H121)+(J121-J120)*H121</x:f>
        <x:v>0</x:v>
      </x:c>
      <x:c r="G121" s="30" t="n">
        <x:f>SUM(E122:E147)</x:f>
        <x:v>0</x:v>
      </x:c>
      <x:c r="H121" s="30" t="n">
        <x:f>IF($E$42=0,1-MIN(C121,$E$43)/$E$43,((1+$E$42)^$E$43-(1+$E$42)^MIN(C121,$E$43))/((1+$E$42)^$E$43-1))</x:f>
        <x:v>0</x:v>
      </x:c>
      <x:c r="I121" s="30" t="n">
        <x:f>MAX(0,1-D121-J121)</x:f>
        <x:v>0</x:v>
      </x:c>
      <x:c r="J121" s="2" t="n">
        <x:f>(1-$E$40)*INDEX('Assumptions'!$H$65:$H$101,MIN(C121,36)+1)</x:f>
        <x:v>0.8</x:v>
      </x:c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</x:row>
    <x:row r="122" ht="19" customHeight="1">
      <x:c r="A122" s="1"/>
      <x:c r="B122" s="1"/>
      <x:c r="C122" s="2" t="n">
        <x:v>71</x:v>
      </x:c>
      <x:c r="D122" s="30" t="n">
        <x:f>$E$40*INDEX('Assumptions'!$E$65:$E$101,MIN(C122,36)+1)</x:f>
        <x:v>0.2</x:v>
      </x:c>
      <x:c r="E122" s="30" t="n">
        <x:f>(D122-D121)*H121</x:f>
        <x:v>0</x:v>
      </x:c>
      <x:c r="F122" s="30" t="n">
        <x:f>(1-D122-J121)*(H121-H122)+(J122-J121)*H122</x:f>
        <x:v>0</x:v>
      </x:c>
      <x:c r="G122" s="30" t="n">
        <x:f>SUM(E123:E147)</x:f>
        <x:v>0</x:v>
      </x:c>
      <x:c r="H122" s="30" t="n">
        <x:f>IF($E$42=0,1-MIN(C122,$E$43)/$E$43,((1+$E$42)^$E$43-(1+$E$42)^MIN(C122,$E$43))/((1+$E$42)^$E$43-1))</x:f>
        <x:v>0</x:v>
      </x:c>
      <x:c r="I122" s="30" t="n">
        <x:f>MAX(0,1-D122-J122)</x:f>
        <x:v>0</x:v>
      </x:c>
      <x:c r="J122" s="2" t="n">
        <x:f>(1-$E$40)*INDEX('Assumptions'!$H$65:$H$101,MIN(C122,36)+1)</x:f>
        <x:v>0.8</x:v>
      </x:c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</x:row>
    <x:row r="123" ht="19" customHeight="1">
      <x:c r="A123" s="1"/>
      <x:c r="B123" s="1"/>
      <x:c r="C123" s="2" t="n">
        <x:v>72</x:v>
      </x:c>
      <x:c r="D123" s="30" t="n">
        <x:f>$E$40*INDEX('Assumptions'!$E$65:$E$101,MIN(C123,36)+1)</x:f>
        <x:v>0.2</x:v>
      </x:c>
      <x:c r="E123" s="30" t="n">
        <x:f>(D123-D122)*H122</x:f>
        <x:v>0</x:v>
      </x:c>
      <x:c r="F123" s="30" t="n">
        <x:f>(1-D123-J122)*(H122-H123)+(J123-J122)*H123</x:f>
        <x:v>0</x:v>
      </x:c>
      <x:c r="G123" s="30" t="n">
        <x:f>SUM(E124:E147)</x:f>
        <x:v>0</x:v>
      </x:c>
      <x:c r="H123" s="30" t="n">
        <x:f>IF($E$42=0,1-MIN(C123,$E$43)/$E$43,((1+$E$42)^$E$43-(1+$E$42)^MIN(C123,$E$43))/((1+$E$42)^$E$43-1))</x:f>
        <x:v>0</x:v>
      </x:c>
      <x:c r="I123" s="30" t="n">
        <x:f>MAX(0,1-D123-J123)</x:f>
        <x:v>0</x:v>
      </x:c>
      <x:c r="J123" s="2" t="n">
        <x:f>(1-$E$40)*INDEX('Assumptions'!$H$65:$H$101,MIN(C123,36)+1)</x:f>
        <x:v>0.8</x:v>
      </x:c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</x:row>
    <x:row r="124" ht="19" customHeight="1">
      <x:c r="A124" s="1"/>
      <x:c r="B124" s="1"/>
      <x:c r="C124" s="2" t="n">
        <x:v>73</x:v>
      </x:c>
      <x:c r="D124" s="30" t="n">
        <x:f>$E$40*INDEX('Assumptions'!$E$65:$E$101,MIN(C124,36)+1)</x:f>
        <x:v>0.2</x:v>
      </x:c>
      <x:c r="E124" s="30" t="n">
        <x:f>(D124-D123)*H123</x:f>
        <x:v>0</x:v>
      </x:c>
      <x:c r="F124" s="30" t="n">
        <x:f>(1-D124-J123)*(H123-H124)+(J124-J123)*H124</x:f>
        <x:v>0</x:v>
      </x:c>
      <x:c r="G124" s="30" t="n">
        <x:f>SUM(E125:E147)</x:f>
        <x:v>0</x:v>
      </x:c>
      <x:c r="H124" s="30" t="n">
        <x:f>IF($E$42=0,1-MIN(C124,$E$43)/$E$43,((1+$E$42)^$E$43-(1+$E$42)^MIN(C124,$E$43))/((1+$E$42)^$E$43-1))</x:f>
        <x:v>0</x:v>
      </x:c>
      <x:c r="I124" s="30" t="n">
        <x:f>MAX(0,1-D124-J124)</x:f>
        <x:v>0</x:v>
      </x:c>
      <x:c r="J124" s="2" t="n">
        <x:f>(1-$E$40)*INDEX('Assumptions'!$H$65:$H$101,MIN(C124,36)+1)</x:f>
        <x:v>0.8</x:v>
      </x:c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</x:row>
    <x:row r="125" ht="19" customHeight="1">
      <x:c r="A125" s="1"/>
      <x:c r="B125" s="1"/>
      <x:c r="C125" s="2" t="n">
        <x:v>74</x:v>
      </x:c>
      <x:c r="D125" s="30" t="n">
        <x:f>$E$40*INDEX('Assumptions'!$E$65:$E$101,MIN(C125,36)+1)</x:f>
        <x:v>0.2</x:v>
      </x:c>
      <x:c r="E125" s="30" t="n">
        <x:f>(D125-D124)*H124</x:f>
        <x:v>0</x:v>
      </x:c>
      <x:c r="F125" s="30" t="n">
        <x:f>(1-D125-J124)*(H124-H125)+(J125-J124)*H125</x:f>
        <x:v>0</x:v>
      </x:c>
      <x:c r="G125" s="30" t="n">
        <x:f>SUM(E126:E147)</x:f>
        <x:v>0</x:v>
      </x:c>
      <x:c r="H125" s="30" t="n">
        <x:f>IF($E$42=0,1-MIN(C125,$E$43)/$E$43,((1+$E$42)^$E$43-(1+$E$42)^MIN(C125,$E$43))/((1+$E$42)^$E$43-1))</x:f>
        <x:v>0</x:v>
      </x:c>
      <x:c r="I125" s="30" t="n">
        <x:f>MAX(0,1-D125-J125)</x:f>
        <x:v>0</x:v>
      </x:c>
      <x:c r="J125" s="2" t="n">
        <x:f>(1-$E$40)*INDEX('Assumptions'!$H$65:$H$101,MIN(C125,36)+1)</x:f>
        <x:v>0.8</x:v>
      </x:c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</x:row>
    <x:row r="126" ht="19" customHeight="1">
      <x:c r="A126" s="1"/>
      <x:c r="B126" s="1"/>
      <x:c r="C126" s="2" t="n">
        <x:v>75</x:v>
      </x:c>
      <x:c r="D126" s="30" t="n">
        <x:f>$E$40*INDEX('Assumptions'!$E$65:$E$101,MIN(C126,36)+1)</x:f>
        <x:v>0.2</x:v>
      </x:c>
      <x:c r="E126" s="30" t="n">
        <x:f>(D126-D125)*H125</x:f>
        <x:v>0</x:v>
      </x:c>
      <x:c r="F126" s="30" t="n">
        <x:f>(1-D126-J125)*(H125-H126)+(J126-J125)*H126</x:f>
        <x:v>0</x:v>
      </x:c>
      <x:c r="G126" s="30" t="n">
        <x:f>SUM(E127:E147)</x:f>
        <x:v>0</x:v>
      </x:c>
      <x:c r="H126" s="30" t="n">
        <x:f>IF($E$42=0,1-MIN(C126,$E$43)/$E$43,((1+$E$42)^$E$43-(1+$E$42)^MIN(C126,$E$43))/((1+$E$42)^$E$43-1))</x:f>
        <x:v>0</x:v>
      </x:c>
      <x:c r="I126" s="30" t="n">
        <x:f>MAX(0,1-D126-J126)</x:f>
        <x:v>0</x:v>
      </x:c>
      <x:c r="J126" s="2" t="n">
        <x:f>(1-$E$40)*INDEX('Assumptions'!$H$65:$H$101,MIN(C126,36)+1)</x:f>
        <x:v>0.8</x:v>
      </x:c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</x:row>
    <x:row r="127" ht="19" customHeight="1">
      <x:c r="A127" s="1"/>
      <x:c r="B127" s="1"/>
      <x:c r="C127" s="2" t="n">
        <x:v>76</x:v>
      </x:c>
      <x:c r="D127" s="30" t="n">
        <x:f>$E$40*INDEX('Assumptions'!$E$65:$E$101,MIN(C127,36)+1)</x:f>
        <x:v>0.2</x:v>
      </x:c>
      <x:c r="E127" s="30" t="n">
        <x:f>(D127-D126)*H126</x:f>
        <x:v>0</x:v>
      </x:c>
      <x:c r="F127" s="30" t="n">
        <x:f>(1-D127-J126)*(H126-H127)+(J127-J126)*H127</x:f>
        <x:v>0</x:v>
      </x:c>
      <x:c r="G127" s="30" t="n">
        <x:f>SUM(E128:E147)</x:f>
        <x:v>0</x:v>
      </x:c>
      <x:c r="H127" s="30" t="n">
        <x:f>IF($E$42=0,1-MIN(C127,$E$43)/$E$43,((1+$E$42)^$E$43-(1+$E$42)^MIN(C127,$E$43))/((1+$E$42)^$E$43-1))</x:f>
        <x:v>0</x:v>
      </x:c>
      <x:c r="I127" s="30" t="n">
        <x:f>MAX(0,1-D127-J127)</x:f>
        <x:v>0</x:v>
      </x:c>
      <x:c r="J127" s="2" t="n">
        <x:f>(1-$E$40)*INDEX('Assumptions'!$H$65:$H$101,MIN(C127,36)+1)</x:f>
        <x:v>0.8</x:v>
      </x:c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</x:row>
    <x:row r="128" ht="19" customHeight="1">
      <x:c r="A128" s="1"/>
      <x:c r="B128" s="1"/>
      <x:c r="C128" s="2" t="n">
        <x:v>77</x:v>
      </x:c>
      <x:c r="D128" s="30" t="n">
        <x:f>$E$40*INDEX('Assumptions'!$E$65:$E$101,MIN(C128,36)+1)</x:f>
        <x:v>0.2</x:v>
      </x:c>
      <x:c r="E128" s="30" t="n">
        <x:f>(D128-D127)*H127</x:f>
        <x:v>0</x:v>
      </x:c>
      <x:c r="F128" s="30" t="n">
        <x:f>(1-D128-J127)*(H127-H128)+(J128-J127)*H128</x:f>
        <x:v>0</x:v>
      </x:c>
      <x:c r="G128" s="30" t="n">
        <x:f>SUM(E129:E147)</x:f>
        <x:v>0</x:v>
      </x:c>
      <x:c r="H128" s="30" t="n">
        <x:f>IF($E$42=0,1-MIN(C128,$E$43)/$E$43,((1+$E$42)^$E$43-(1+$E$42)^MIN(C128,$E$43))/((1+$E$42)^$E$43-1))</x:f>
        <x:v>0</x:v>
      </x:c>
      <x:c r="I128" s="30" t="n">
        <x:f>MAX(0,1-D128-J128)</x:f>
        <x:v>0</x:v>
      </x:c>
      <x:c r="J128" s="2" t="n">
        <x:f>(1-$E$40)*INDEX('Assumptions'!$H$65:$H$101,MIN(C128,36)+1)</x:f>
        <x:v>0.8</x:v>
      </x:c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</x:row>
    <x:row r="129" ht="19" customHeight="1">
      <x:c r="A129" s="1"/>
      <x:c r="B129" s="1"/>
      <x:c r="C129" s="2" t="n">
        <x:v>78</x:v>
      </x:c>
      <x:c r="D129" s="30" t="n">
        <x:f>$E$40*INDEX('Assumptions'!$E$65:$E$101,MIN(C129,36)+1)</x:f>
        <x:v>0.2</x:v>
      </x:c>
      <x:c r="E129" s="30" t="n">
        <x:f>(D129-D128)*H128</x:f>
        <x:v>0</x:v>
      </x:c>
      <x:c r="F129" s="30" t="n">
        <x:f>(1-D129-J128)*(H128-H129)+(J129-J128)*H129</x:f>
        <x:v>0</x:v>
      </x:c>
      <x:c r="G129" s="30" t="n">
        <x:f>SUM(E130:E147)</x:f>
        <x:v>0</x:v>
      </x:c>
      <x:c r="H129" s="30" t="n">
        <x:f>IF($E$42=0,1-MIN(C129,$E$43)/$E$43,((1+$E$42)^$E$43-(1+$E$42)^MIN(C129,$E$43))/((1+$E$42)^$E$43-1))</x:f>
        <x:v>0</x:v>
      </x:c>
      <x:c r="I129" s="30" t="n">
        <x:f>MAX(0,1-D129-J129)</x:f>
        <x:v>0</x:v>
      </x:c>
      <x:c r="J129" s="2" t="n">
        <x:f>(1-$E$40)*INDEX('Assumptions'!$H$65:$H$101,MIN(C129,36)+1)</x:f>
        <x:v>0.8</x:v>
      </x:c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</x:row>
    <x:row r="130" ht="19" customHeight="1">
      <x:c r="A130" s="1"/>
      <x:c r="B130" s="1"/>
      <x:c r="C130" s="2" t="n">
        <x:v>79</x:v>
      </x:c>
      <x:c r="D130" s="30" t="n">
        <x:f>$E$40*INDEX('Assumptions'!$E$65:$E$101,MIN(C130,36)+1)</x:f>
        <x:v>0.2</x:v>
      </x:c>
      <x:c r="E130" s="30" t="n">
        <x:f>(D130-D129)*H129</x:f>
        <x:v>0</x:v>
      </x:c>
      <x:c r="F130" s="30" t="n">
        <x:f>(1-D130-J129)*(H129-H130)+(J130-J129)*H130</x:f>
        <x:v>0</x:v>
      </x:c>
      <x:c r="G130" s="30" t="n">
        <x:f>SUM(E131:E147)</x:f>
        <x:v>0</x:v>
      </x:c>
      <x:c r="H130" s="30" t="n">
        <x:f>IF($E$42=0,1-MIN(C130,$E$43)/$E$43,((1+$E$42)^$E$43-(1+$E$42)^MIN(C130,$E$43))/((1+$E$42)^$E$43-1))</x:f>
        <x:v>0</x:v>
      </x:c>
      <x:c r="I130" s="30" t="n">
        <x:f>MAX(0,1-D130-J130)</x:f>
        <x:v>0</x:v>
      </x:c>
      <x:c r="J130" s="2" t="n">
        <x:f>(1-$E$40)*INDEX('Assumptions'!$H$65:$H$101,MIN(C130,36)+1)</x:f>
        <x:v>0.8</x:v>
      </x:c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</x:row>
    <x:row r="131" ht="19" customHeight="1">
      <x:c r="A131" s="1"/>
      <x:c r="B131" s="1"/>
      <x:c r="C131" s="2" t="n">
        <x:v>80</x:v>
      </x:c>
      <x:c r="D131" s="30" t="n">
        <x:f>$E$40*INDEX('Assumptions'!$E$65:$E$101,MIN(C131,36)+1)</x:f>
        <x:v>0.2</x:v>
      </x:c>
      <x:c r="E131" s="30" t="n">
        <x:f>(D131-D130)*H130</x:f>
        <x:v>0</x:v>
      </x:c>
      <x:c r="F131" s="30" t="n">
        <x:f>(1-D131-J130)*(H130-H131)+(J131-J130)*H131</x:f>
        <x:v>0</x:v>
      </x:c>
      <x:c r="G131" s="30" t="n">
        <x:f>SUM(E132:E147)</x:f>
        <x:v>0</x:v>
      </x:c>
      <x:c r="H131" s="30" t="n">
        <x:f>IF($E$42=0,1-MIN(C131,$E$43)/$E$43,((1+$E$42)^$E$43-(1+$E$42)^MIN(C131,$E$43))/((1+$E$42)^$E$43-1))</x:f>
        <x:v>0</x:v>
      </x:c>
      <x:c r="I131" s="30" t="n">
        <x:f>MAX(0,1-D131-J131)</x:f>
        <x:v>0</x:v>
      </x:c>
      <x:c r="J131" s="2" t="n">
        <x:f>(1-$E$40)*INDEX('Assumptions'!$H$65:$H$101,MIN(C131,36)+1)</x:f>
        <x:v>0.8</x:v>
      </x:c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</x:row>
    <x:row r="132" ht="19" customHeight="1">
      <x:c r="A132" s="1"/>
      <x:c r="B132" s="1"/>
      <x:c r="C132" s="2" t="n">
        <x:v>81</x:v>
      </x:c>
      <x:c r="D132" s="30" t="n">
        <x:f>$E$40*INDEX('Assumptions'!$E$65:$E$101,MIN(C132,36)+1)</x:f>
        <x:v>0.2</x:v>
      </x:c>
      <x:c r="E132" s="30" t="n">
        <x:f>(D132-D131)*H131</x:f>
        <x:v>0</x:v>
      </x:c>
      <x:c r="F132" s="30" t="n">
        <x:f>(1-D132-J131)*(H131-H132)+(J132-J131)*H132</x:f>
        <x:v>0</x:v>
      </x:c>
      <x:c r="G132" s="30" t="n">
        <x:f>SUM(E133:E147)</x:f>
        <x:v>0</x:v>
      </x:c>
      <x:c r="H132" s="30" t="n">
        <x:f>IF($E$42=0,1-MIN(C132,$E$43)/$E$43,((1+$E$42)^$E$43-(1+$E$42)^MIN(C132,$E$43))/((1+$E$42)^$E$43-1))</x:f>
        <x:v>0</x:v>
      </x:c>
      <x:c r="I132" s="30" t="n">
        <x:f>MAX(0,1-D132-J132)</x:f>
        <x:v>0</x:v>
      </x:c>
      <x:c r="J132" s="2" t="n">
        <x:f>(1-$E$40)*INDEX('Assumptions'!$H$65:$H$101,MIN(C132,36)+1)</x:f>
        <x:v>0.8</x:v>
      </x:c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</x:row>
    <x:row r="133" ht="19" customHeight="1">
      <x:c r="A133" s="1"/>
      <x:c r="B133" s="1"/>
      <x:c r="C133" s="2" t="n">
        <x:v>82</x:v>
      </x:c>
      <x:c r="D133" s="30" t="n">
        <x:f>$E$40*INDEX('Assumptions'!$E$65:$E$101,MIN(C133,36)+1)</x:f>
        <x:v>0.2</x:v>
      </x:c>
      <x:c r="E133" s="30" t="n">
        <x:f>(D133-D132)*H132</x:f>
        <x:v>0</x:v>
      </x:c>
      <x:c r="F133" s="30" t="n">
        <x:f>(1-D133-J132)*(H132-H133)+(J133-J132)*H133</x:f>
        <x:v>0</x:v>
      </x:c>
      <x:c r="G133" s="30" t="n">
        <x:f>SUM(E134:E147)</x:f>
        <x:v>0</x:v>
      </x:c>
      <x:c r="H133" s="30" t="n">
        <x:f>IF($E$42=0,1-MIN(C133,$E$43)/$E$43,((1+$E$42)^$E$43-(1+$E$42)^MIN(C133,$E$43))/((1+$E$42)^$E$43-1))</x:f>
        <x:v>0</x:v>
      </x:c>
      <x:c r="I133" s="30" t="n">
        <x:f>MAX(0,1-D133-J133)</x:f>
        <x:v>0</x:v>
      </x:c>
      <x:c r="J133" s="2" t="n">
        <x:f>(1-$E$40)*INDEX('Assumptions'!$H$65:$H$101,MIN(C133,36)+1)</x:f>
        <x:v>0.8</x:v>
      </x:c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</x:row>
    <x:row r="134" ht="19" customHeight="1">
      <x:c r="A134" s="1"/>
      <x:c r="B134" s="1"/>
      <x:c r="C134" s="2" t="n">
        <x:v>83</x:v>
      </x:c>
      <x:c r="D134" s="30" t="n">
        <x:f>$E$40*INDEX('Assumptions'!$E$65:$E$101,MIN(C134,36)+1)</x:f>
        <x:v>0.2</x:v>
      </x:c>
      <x:c r="E134" s="30" t="n">
        <x:f>(D134-D133)*H133</x:f>
        <x:v>0</x:v>
      </x:c>
      <x:c r="F134" s="30" t="n">
        <x:f>(1-D134-J133)*(H133-H134)+(J134-J133)*H134</x:f>
        <x:v>0</x:v>
      </x:c>
      <x:c r="G134" s="30" t="n">
        <x:f>SUM(E135:E147)</x:f>
        <x:v>0</x:v>
      </x:c>
      <x:c r="H134" s="30" t="n">
        <x:f>IF($E$42=0,1-MIN(C134,$E$43)/$E$43,((1+$E$42)^$E$43-(1+$E$42)^MIN(C134,$E$43))/((1+$E$42)^$E$43-1))</x:f>
        <x:v>0</x:v>
      </x:c>
      <x:c r="I134" s="30" t="n">
        <x:f>MAX(0,1-D134-J134)</x:f>
        <x:v>0</x:v>
      </x:c>
      <x:c r="J134" s="2" t="n">
        <x:f>(1-$E$40)*INDEX('Assumptions'!$H$65:$H$101,MIN(C134,36)+1)</x:f>
        <x:v>0.8</x:v>
      </x:c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</x:row>
    <x:row r="135" ht="19" customHeight="1">
      <x:c r="A135" s="1"/>
      <x:c r="B135" s="1"/>
      <x:c r="C135" s="2" t="n">
        <x:v>84</x:v>
      </x:c>
      <x:c r="D135" s="30" t="n">
        <x:f>$E$40*INDEX('Assumptions'!$E$65:$E$101,MIN(C135,36)+1)</x:f>
        <x:v>0.2</x:v>
      </x:c>
      <x:c r="E135" s="30" t="n">
        <x:f>(D135-D134)*H134</x:f>
        <x:v>0</x:v>
      </x:c>
      <x:c r="F135" s="30" t="n">
        <x:f>(1-D135-J134)*(H134-H135)+(J135-J134)*H135</x:f>
        <x:v>0</x:v>
      </x:c>
      <x:c r="G135" s="30" t="n">
        <x:f>SUM(E136:E147)</x:f>
        <x:v>0</x:v>
      </x:c>
      <x:c r="H135" s="30" t="n">
        <x:f>IF($E$42=0,1-MIN(C135,$E$43)/$E$43,((1+$E$42)^$E$43-(1+$E$42)^MIN(C135,$E$43))/((1+$E$42)^$E$43-1))</x:f>
        <x:v>0</x:v>
      </x:c>
      <x:c r="I135" s="30" t="n">
        <x:f>MAX(0,1-D135-J135)</x:f>
        <x:v>0</x:v>
      </x:c>
      <x:c r="J135" s="2" t="n">
        <x:f>(1-$E$40)*INDEX('Assumptions'!$H$65:$H$101,MIN(C135,36)+1)</x:f>
        <x:v>0.8</x:v>
      </x:c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</x:row>
    <x:row r="136" ht="19" customHeight="1">
      <x:c r="A136" s="1"/>
      <x:c r="B136" s="1"/>
      <x:c r="C136" s="2" t="n">
        <x:v>85</x:v>
      </x:c>
      <x:c r="D136" s="30" t="n">
        <x:f>$E$40*INDEX('Assumptions'!$E$65:$E$101,MIN(C136,36)+1)</x:f>
        <x:v>0.2</x:v>
      </x:c>
      <x:c r="E136" s="30" t="n">
        <x:f>(D136-D135)*H135</x:f>
        <x:v>0</x:v>
      </x:c>
      <x:c r="F136" s="30" t="n">
        <x:f>(1-D136-J135)*(H135-H136)+(J136-J135)*H136</x:f>
        <x:v>0</x:v>
      </x:c>
      <x:c r="G136" s="30" t="n">
        <x:f>SUM(E137:E147)</x:f>
        <x:v>0</x:v>
      </x:c>
      <x:c r="H136" s="30" t="n">
        <x:f>IF($E$42=0,1-MIN(C136,$E$43)/$E$43,((1+$E$42)^$E$43-(1+$E$42)^MIN(C136,$E$43))/((1+$E$42)^$E$43-1))</x:f>
        <x:v>0</x:v>
      </x:c>
      <x:c r="I136" s="30" t="n">
        <x:f>MAX(0,1-D136-J136)</x:f>
        <x:v>0</x:v>
      </x:c>
      <x:c r="J136" s="2" t="n">
        <x:f>(1-$E$40)*INDEX('Assumptions'!$H$65:$H$101,MIN(C136,36)+1)</x:f>
        <x:v>0.8</x:v>
      </x:c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</x:row>
    <x:row r="137" ht="19" customHeight="1">
      <x:c r="A137" s="1"/>
      <x:c r="B137" s="1"/>
      <x:c r="C137" s="2" t="n">
        <x:v>86</x:v>
      </x:c>
      <x:c r="D137" s="30" t="n">
        <x:f>$E$40*INDEX('Assumptions'!$E$65:$E$101,MIN(C137,36)+1)</x:f>
        <x:v>0.2</x:v>
      </x:c>
      <x:c r="E137" s="30" t="n">
        <x:f>(D137-D136)*H136</x:f>
        <x:v>0</x:v>
      </x:c>
      <x:c r="F137" s="30" t="n">
        <x:f>(1-D137-J136)*(H136-H137)+(J137-J136)*H137</x:f>
        <x:v>0</x:v>
      </x:c>
      <x:c r="G137" s="30" t="n">
        <x:f>SUM(E138:E147)</x:f>
        <x:v>0</x:v>
      </x:c>
      <x:c r="H137" s="30" t="n">
        <x:f>IF($E$42=0,1-MIN(C137,$E$43)/$E$43,((1+$E$42)^$E$43-(1+$E$42)^MIN(C137,$E$43))/((1+$E$42)^$E$43-1))</x:f>
        <x:v>0</x:v>
      </x:c>
      <x:c r="I137" s="30" t="n">
        <x:f>MAX(0,1-D137-J137)</x:f>
        <x:v>0</x:v>
      </x:c>
      <x:c r="J137" s="2" t="n">
        <x:f>(1-$E$40)*INDEX('Assumptions'!$H$65:$H$101,MIN(C137,36)+1)</x:f>
        <x:v>0.8</x:v>
      </x:c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</x:row>
    <x:row r="138" ht="19" customHeight="1">
      <x:c r="A138" s="1"/>
      <x:c r="B138" s="1"/>
      <x:c r="C138" s="2" t="n">
        <x:v>87</x:v>
      </x:c>
      <x:c r="D138" s="30" t="n">
        <x:f>$E$40*INDEX('Assumptions'!$E$65:$E$101,MIN(C138,36)+1)</x:f>
        <x:v>0.2</x:v>
      </x:c>
      <x:c r="E138" s="30" t="n">
        <x:f>(D138-D137)*H137</x:f>
        <x:v>0</x:v>
      </x:c>
      <x:c r="F138" s="30" t="n">
        <x:f>(1-D138-J137)*(H137-H138)+(J138-J137)*H138</x:f>
        <x:v>0</x:v>
      </x:c>
      <x:c r="G138" s="30" t="n">
        <x:f>SUM(E139:E147)</x:f>
        <x:v>0</x:v>
      </x:c>
      <x:c r="H138" s="30" t="n">
        <x:f>IF($E$42=0,1-MIN(C138,$E$43)/$E$43,((1+$E$42)^$E$43-(1+$E$42)^MIN(C138,$E$43))/((1+$E$42)^$E$43-1))</x:f>
        <x:v>0</x:v>
      </x:c>
      <x:c r="I138" s="30" t="n">
        <x:f>MAX(0,1-D138-J138)</x:f>
        <x:v>0</x:v>
      </x:c>
      <x:c r="J138" s="2" t="n">
        <x:f>(1-$E$40)*INDEX('Assumptions'!$H$65:$H$101,MIN(C138,36)+1)</x:f>
        <x:v>0.8</x:v>
      </x:c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</x:row>
    <x:row r="139" ht="19" customHeight="1">
      <x:c r="A139" s="1"/>
      <x:c r="B139" s="1"/>
      <x:c r="C139" s="2" t="n">
        <x:v>88</x:v>
      </x:c>
      <x:c r="D139" s="30" t="n">
        <x:f>$E$40*INDEX('Assumptions'!$E$65:$E$101,MIN(C139,36)+1)</x:f>
        <x:v>0.2</x:v>
      </x:c>
      <x:c r="E139" s="30" t="n">
        <x:f>(D139-D138)*H138</x:f>
        <x:v>0</x:v>
      </x:c>
      <x:c r="F139" s="30" t="n">
        <x:f>(1-D139-J138)*(H138-H139)+(J139-J138)*H139</x:f>
        <x:v>0</x:v>
      </x:c>
      <x:c r="G139" s="30" t="n">
        <x:f>SUM(E140:E147)</x:f>
        <x:v>0</x:v>
      </x:c>
      <x:c r="H139" s="30" t="n">
        <x:f>IF($E$42=0,1-MIN(C139,$E$43)/$E$43,((1+$E$42)^$E$43-(1+$E$42)^MIN(C139,$E$43))/((1+$E$42)^$E$43-1))</x:f>
        <x:v>0</x:v>
      </x:c>
      <x:c r="I139" s="30" t="n">
        <x:f>MAX(0,1-D139-J139)</x:f>
        <x:v>0</x:v>
      </x:c>
      <x:c r="J139" s="2" t="n">
        <x:f>(1-$E$40)*INDEX('Assumptions'!$H$65:$H$101,MIN(C139,36)+1)</x:f>
        <x:v>0.8</x:v>
      </x:c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</x:row>
    <x:row r="140" ht="19" customHeight="1">
      <x:c r="A140" s="1"/>
      <x:c r="B140" s="1"/>
      <x:c r="C140" s="2" t="n">
        <x:v>89</x:v>
      </x:c>
      <x:c r="D140" s="30" t="n">
        <x:f>$E$40*INDEX('Assumptions'!$E$65:$E$101,MIN(C140,36)+1)</x:f>
        <x:v>0.2</x:v>
      </x:c>
      <x:c r="E140" s="30" t="n">
        <x:f>(D140-D139)*H139</x:f>
        <x:v>0</x:v>
      </x:c>
      <x:c r="F140" s="30" t="n">
        <x:f>(1-D140-J139)*(H139-H140)+(J140-J139)*H140</x:f>
        <x:v>0</x:v>
      </x:c>
      <x:c r="G140" s="30" t="n">
        <x:f>SUM(E141:E147)</x:f>
        <x:v>0</x:v>
      </x:c>
      <x:c r="H140" s="30" t="n">
        <x:f>IF($E$42=0,1-MIN(C140,$E$43)/$E$43,((1+$E$42)^$E$43-(1+$E$42)^MIN(C140,$E$43))/((1+$E$42)^$E$43-1))</x:f>
        <x:v>0</x:v>
      </x:c>
      <x:c r="I140" s="30" t="n">
        <x:f>MAX(0,1-D140-J140)</x:f>
        <x:v>0</x:v>
      </x:c>
      <x:c r="J140" s="2" t="n">
        <x:f>(1-$E$40)*INDEX('Assumptions'!$H$65:$H$101,MIN(C140,36)+1)</x:f>
        <x:v>0.8</x:v>
      </x:c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</x:row>
    <x:row r="141" ht="19" customHeight="1">
      <x:c r="A141" s="1"/>
      <x:c r="B141" s="1"/>
      <x:c r="C141" s="2" t="n">
        <x:v>90</x:v>
      </x:c>
      <x:c r="D141" s="30" t="n">
        <x:f>$E$40*INDEX('Assumptions'!$E$65:$E$101,MIN(C141,36)+1)</x:f>
        <x:v>0.2</x:v>
      </x:c>
      <x:c r="E141" s="30" t="n">
        <x:f>(D141-D140)*H140</x:f>
        <x:v>0</x:v>
      </x:c>
      <x:c r="F141" s="30" t="n">
        <x:f>(1-D141-J140)*(H140-H141)+(J141-J140)*H141</x:f>
        <x:v>0</x:v>
      </x:c>
      <x:c r="G141" s="30" t="n">
        <x:f>SUM(E142:E147)</x:f>
        <x:v>0</x:v>
      </x:c>
      <x:c r="H141" s="30" t="n">
        <x:f>IF($E$42=0,1-MIN(C141,$E$43)/$E$43,((1+$E$42)^$E$43-(1+$E$42)^MIN(C141,$E$43))/((1+$E$42)^$E$43-1))</x:f>
        <x:v>0</x:v>
      </x:c>
      <x:c r="I141" s="30" t="n">
        <x:f>MAX(0,1-D141-J141)</x:f>
        <x:v>0</x:v>
      </x:c>
      <x:c r="J141" s="2" t="n">
        <x:f>(1-$E$40)*INDEX('Assumptions'!$H$65:$H$101,MIN(C141,36)+1)</x:f>
        <x:v>0.8</x:v>
      </x:c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</x:row>
    <x:row r="142" ht="19" customHeight="1">
      <x:c r="A142" s="1"/>
      <x:c r="B142" s="1"/>
      <x:c r="C142" s="2" t="n">
        <x:v>91</x:v>
      </x:c>
      <x:c r="D142" s="30" t="n">
        <x:f>$E$40*INDEX('Assumptions'!$E$65:$E$101,MIN(C142,36)+1)</x:f>
        <x:v>0.2</x:v>
      </x:c>
      <x:c r="E142" s="30" t="n">
        <x:f>(D142-D141)*H141</x:f>
        <x:v>0</x:v>
      </x:c>
      <x:c r="F142" s="30" t="n">
        <x:f>(1-D142-J141)*(H141-H142)+(J142-J141)*H142</x:f>
        <x:v>0</x:v>
      </x:c>
      <x:c r="G142" s="30" t="n">
        <x:f>SUM(E143:E147)</x:f>
        <x:v>0</x:v>
      </x:c>
      <x:c r="H142" s="30" t="n">
        <x:f>IF($E$42=0,1-MIN(C142,$E$43)/$E$43,((1+$E$42)^$E$43-(1+$E$42)^MIN(C142,$E$43))/((1+$E$42)^$E$43-1))</x:f>
        <x:v>0</x:v>
      </x:c>
      <x:c r="I142" s="30" t="n">
        <x:f>MAX(0,1-D142-J142)</x:f>
        <x:v>0</x:v>
      </x:c>
      <x:c r="J142" s="2" t="n">
        <x:f>(1-$E$40)*INDEX('Assumptions'!$H$65:$H$101,MIN(C142,36)+1)</x:f>
        <x:v>0.8</x:v>
      </x:c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</x:row>
    <x:row r="143" ht="19" customHeight="1">
      <x:c r="A143" s="1"/>
      <x:c r="B143" s="1"/>
      <x:c r="C143" s="2" t="n">
        <x:v>92</x:v>
      </x:c>
      <x:c r="D143" s="30" t="n">
        <x:f>$E$40*INDEX('Assumptions'!$E$65:$E$101,MIN(C143,36)+1)</x:f>
        <x:v>0.2</x:v>
      </x:c>
      <x:c r="E143" s="30" t="n">
        <x:f>(D143-D142)*H142</x:f>
        <x:v>0</x:v>
      </x:c>
      <x:c r="F143" s="30" t="n">
        <x:f>(1-D143-J142)*(H142-H143)+(J143-J142)*H143</x:f>
        <x:v>0</x:v>
      </x:c>
      <x:c r="G143" s="30" t="n">
        <x:f>SUM(E144:E147)</x:f>
        <x:v>0</x:v>
      </x:c>
      <x:c r="H143" s="30" t="n">
        <x:f>IF($E$42=0,1-MIN(C143,$E$43)/$E$43,((1+$E$42)^$E$43-(1+$E$42)^MIN(C143,$E$43))/((1+$E$42)^$E$43-1))</x:f>
        <x:v>0</x:v>
      </x:c>
      <x:c r="I143" s="30" t="n">
        <x:f>MAX(0,1-D143-J143)</x:f>
        <x:v>0</x:v>
      </x:c>
      <x:c r="J143" s="2" t="n">
        <x:f>(1-$E$40)*INDEX('Assumptions'!$H$65:$H$101,MIN(C143,36)+1)</x:f>
        <x:v>0.8</x:v>
      </x:c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</x:row>
    <x:row r="144" ht="19" customHeight="1">
      <x:c r="A144" s="1"/>
      <x:c r="B144" s="1"/>
      <x:c r="C144" s="2" t="n">
        <x:v>93</x:v>
      </x:c>
      <x:c r="D144" s="30" t="n">
        <x:f>$E$40*INDEX('Assumptions'!$E$65:$E$101,MIN(C144,36)+1)</x:f>
        <x:v>0.2</x:v>
      </x:c>
      <x:c r="E144" s="30" t="n">
        <x:f>(D144-D143)*H143</x:f>
        <x:v>0</x:v>
      </x:c>
      <x:c r="F144" s="30" t="n">
        <x:f>(1-D144-J143)*(H143-H144)+(J144-J143)*H144</x:f>
        <x:v>0</x:v>
      </x:c>
      <x:c r="G144" s="30" t="n">
        <x:f>SUM(E145:E147)</x:f>
        <x:v>0</x:v>
      </x:c>
      <x:c r="H144" s="30" t="n">
        <x:f>IF($E$42=0,1-MIN(C144,$E$43)/$E$43,((1+$E$42)^$E$43-(1+$E$42)^MIN(C144,$E$43))/((1+$E$42)^$E$43-1))</x:f>
        <x:v>0</x:v>
      </x:c>
      <x:c r="I144" s="30" t="n">
        <x:f>MAX(0,1-D144-J144)</x:f>
        <x:v>0</x:v>
      </x:c>
      <x:c r="J144" s="2" t="n">
        <x:f>(1-$E$40)*INDEX('Assumptions'!$H$65:$H$101,MIN(C144,36)+1)</x:f>
        <x:v>0.8</x:v>
      </x:c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</x:row>
    <x:row r="145" ht="19" customHeight="1">
      <x:c r="A145" s="1"/>
      <x:c r="B145" s="1"/>
      <x:c r="C145" s="2" t="n">
        <x:v>94</x:v>
      </x:c>
      <x:c r="D145" s="30" t="n">
        <x:f>$E$40*INDEX('Assumptions'!$E$65:$E$101,MIN(C145,36)+1)</x:f>
        <x:v>0.2</x:v>
      </x:c>
      <x:c r="E145" s="30" t="n">
        <x:f>(D145-D144)*H144</x:f>
        <x:v>0</x:v>
      </x:c>
      <x:c r="F145" s="30" t="n">
        <x:f>(1-D145-J144)*(H144-H145)+(J145-J144)*H145</x:f>
        <x:v>0</x:v>
      </x:c>
      <x:c r="G145" s="30" t="n">
        <x:f>SUM(E146:E147)</x:f>
        <x:v>0</x:v>
      </x:c>
      <x:c r="H145" s="30" t="n">
        <x:f>IF($E$42=0,1-MIN(C145,$E$43)/$E$43,((1+$E$42)^$E$43-(1+$E$42)^MIN(C145,$E$43))/((1+$E$42)^$E$43-1))</x:f>
        <x:v>0</x:v>
      </x:c>
      <x:c r="I145" s="30" t="n">
        <x:f>MAX(0,1-D145-J145)</x:f>
        <x:v>0</x:v>
      </x:c>
      <x:c r="J145" s="2" t="n">
        <x:f>(1-$E$40)*INDEX('Assumptions'!$H$65:$H$101,MIN(C145,36)+1)</x:f>
        <x:v>0.8</x:v>
      </x:c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</x:row>
    <x:row r="146" ht="19" customHeight="1">
      <x:c r="A146" s="1"/>
      <x:c r="B146" s="1"/>
      <x:c r="C146" s="2" t="n">
        <x:v>95</x:v>
      </x:c>
      <x:c r="D146" s="30" t="n">
        <x:f>$E$40*INDEX('Assumptions'!$E$65:$E$101,MIN(C146,36)+1)</x:f>
        <x:v>0.2</x:v>
      </x:c>
      <x:c r="E146" s="30" t="n">
        <x:f>(D146-D145)*H145</x:f>
        <x:v>0</x:v>
      </x:c>
      <x:c r="F146" s="30" t="n">
        <x:f>(1-D146-J145)*(H145-H146)+(J146-J145)*H146</x:f>
        <x:v>0</x:v>
      </x:c>
      <x:c r="G146" s="30" t="n">
        <x:f>SUM(E147:E147)</x:f>
        <x:v>0</x:v>
      </x:c>
      <x:c r="H146" s="30" t="n">
        <x:f>IF($E$42=0,1-MIN(C146,$E$43)/$E$43,((1+$E$42)^$E$43-(1+$E$42)^MIN(C146,$E$43))/((1+$E$42)^$E$43-1))</x:f>
        <x:v>0</x:v>
      </x:c>
      <x:c r="I146" s="30" t="n">
        <x:f>MAX(0,1-D146-J146)</x:f>
        <x:v>0</x:v>
      </x:c>
      <x:c r="J146" s="2" t="n">
        <x:f>(1-$E$40)*INDEX('Assumptions'!$H$65:$H$101,MIN(C146,36)+1)</x:f>
        <x:v>0.8</x:v>
      </x:c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</x:row>
    <x:row r="147" ht="19" customHeight="1">
      <x:c r="A147" s="1"/>
      <x:c r="B147" s="1"/>
      <x:c r="C147" s="2" t="n">
        <x:v>96</x:v>
      </x:c>
      <x:c r="D147" s="30" t="n">
        <x:f>$E$40*INDEX('Assumptions'!$E$65:$E$101,MIN(C147,36)+1)</x:f>
        <x:v>0.2</x:v>
      </x:c>
      <x:c r="E147" s="30" t="n">
        <x:f>(D147-D146)*H146</x:f>
        <x:v>0</x:v>
      </x:c>
      <x:c r="F147" s="30" t="n">
        <x:f>(1-D147-J146)*(H146-H147)+(J147-J146)*H147</x:f>
        <x:v>0</x:v>
      </x:c>
      <x:c r="G147" s="30" t="n">
        <x:f>0</x:f>
        <x:v>0</x:v>
      </x:c>
      <x:c r="H147" s="30" t="n">
        <x:f>IF($E$42=0,1-MIN(C147,$E$43)/$E$43,((1+$E$42)^$E$43-(1+$E$42)^MIN(C147,$E$43))/((1+$E$42)^$E$43-1))</x:f>
        <x:v>0</x:v>
      </x:c>
      <x:c r="I147" s="30" t="n">
        <x:f>MAX(0,1-D147-J147)</x:f>
        <x:v>0</x:v>
      </x:c>
      <x:c r="J147" s="2" t="n">
        <x:f>(1-$E$40)*INDEX('Assumptions'!$H$65:$H$101,MIN(C147,36)+1)</x:f>
        <x:v>0.8</x:v>
      </x:c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</x:row>
    <x:row r="148" ht="19" customHeight="1">
      <x:c r="A148" s="1"/>
      <x:c r="B148" s="1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</x:row>
    <x:row r="149" ht="19" customHeight="1">
      <x:c r="A149" s="1"/>
      <x:c r="B149" s="1"/>
      <x:c r="C149" s="2" t="str">
        <x:v>Reversed age weights</x:v>
      </x:c>
      <x:c r="D149" s="2"/>
      <x:c r="E149" s="2"/>
      <x:c r="F149" s="2"/>
      <x:c r="G149" s="2" t="n">
        <x:v>96</x:v>
      </x:c>
      <x:c r="H149" s="2" t="n">
        <x:v>95</x:v>
      </x:c>
      <x:c r="I149" s="2" t="n">
        <x:v>94</x:v>
      </x:c>
      <x:c r="J149" s="2" t="n">
        <x:v>93</x:v>
      </x:c>
      <x:c r="K149" s="2" t="n">
        <x:v>92</x:v>
      </x:c>
      <x:c r="L149" s="2" t="n">
        <x:v>91</x:v>
      </x:c>
      <x:c r="M149" s="2" t="n">
        <x:v>90</x:v>
      </x:c>
      <x:c r="N149" s="2" t="n">
        <x:v>89</x:v>
      </x:c>
      <x:c r="O149" s="2" t="n">
        <x:v>88</x:v>
      </x:c>
      <x:c r="P149" s="2" t="n">
        <x:v>87</x:v>
      </x:c>
      <x:c r="Q149" s="2" t="n">
        <x:v>86</x:v>
      </x:c>
      <x:c r="R149" s="2" t="n">
        <x:v>85</x:v>
      </x:c>
      <x:c r="S149" s="2" t="n">
        <x:v>84</x:v>
      </x:c>
      <x:c r="T149" s="2" t="n">
        <x:v>83</x:v>
      </x:c>
      <x:c r="U149" s="2" t="n">
        <x:v>82</x:v>
      </x:c>
      <x:c r="V149" s="2" t="n">
        <x:v>81</x:v>
      </x:c>
      <x:c r="W149" s="2" t="n">
        <x:v>80</x:v>
      </x:c>
      <x:c r="X149" s="2" t="n">
        <x:v>79</x:v>
      </x:c>
      <x:c r="Y149" s="2" t="n">
        <x:v>78</x:v>
      </x:c>
      <x:c r="Z149" s="2" t="n">
        <x:v>77</x:v>
      </x:c>
      <x:c r="AA149" s="2" t="n">
        <x:v>76</x:v>
      </x:c>
      <x:c r="AB149" s="2" t="n">
        <x:v>75</x:v>
      </x:c>
      <x:c r="AC149" s="2" t="n">
        <x:v>74</x:v>
      </x:c>
      <x:c r="AD149" s="2" t="n">
        <x:v>73</x:v>
      </x:c>
      <x:c r="AE149" s="2" t="n">
        <x:v>72</x:v>
      </x:c>
      <x:c r="AF149" s="2" t="n">
        <x:v>71</x:v>
      </x:c>
      <x:c r="AG149" s="2" t="n">
        <x:v>70</x:v>
      </x:c>
      <x:c r="AH149" s="2" t="n">
        <x:v>69</x:v>
      </x:c>
      <x:c r="AI149" s="2" t="n">
        <x:v>68</x:v>
      </x:c>
      <x:c r="AJ149" s="2" t="n">
        <x:v>67</x:v>
      </x:c>
      <x:c r="AK149" s="2" t="n">
        <x:v>66</x:v>
      </x:c>
      <x:c r="AL149" s="2" t="n">
        <x:v>65</x:v>
      </x:c>
      <x:c r="AM149" s="2" t="n">
        <x:v>64</x:v>
      </x:c>
      <x:c r="AN149" s="2" t="n">
        <x:v>63</x:v>
      </x:c>
      <x:c r="AO149" s="2" t="n">
        <x:v>62</x:v>
      </x:c>
      <x:c r="AP149" s="2" t="n">
        <x:v>61</x:v>
      </x:c>
      <x:c r="AQ149" s="2" t="n">
        <x:v>60</x:v>
      </x:c>
      <x:c r="AR149" s="2" t="n">
        <x:v>59</x:v>
      </x:c>
      <x:c r="AS149" s="2" t="n">
        <x:v>58</x:v>
      </x:c>
      <x:c r="AT149" s="2" t="n">
        <x:v>57</x:v>
      </x:c>
      <x:c r="AU149" s="2" t="n">
        <x:v>56</x:v>
      </x:c>
      <x:c r="AV149" s="2" t="n">
        <x:v>55</x:v>
      </x:c>
      <x:c r="AW149" s="2" t="n">
        <x:v>54</x:v>
      </x:c>
      <x:c r="AX149" s="2" t="n">
        <x:v>53</x:v>
      </x:c>
      <x:c r="AY149" s="2" t="n">
        <x:v>52</x:v>
      </x:c>
      <x:c r="AZ149" s="2" t="n">
        <x:v>51</x:v>
      </x:c>
      <x:c r="BA149" s="2" t="n">
        <x:v>50</x:v>
      </x:c>
      <x:c r="BB149" s="2" t="n">
        <x:v>49</x:v>
      </x:c>
      <x:c r="BC149" s="2" t="n">
        <x:v>48</x:v>
      </x:c>
      <x:c r="BD149" s="2" t="n">
        <x:v>47</x:v>
      </x:c>
      <x:c r="BE149" s="2" t="n">
        <x:v>46</x:v>
      </x:c>
      <x:c r="BF149" s="2" t="n">
        <x:v>45</x:v>
      </x:c>
      <x:c r="BG149" s="2" t="n">
        <x:v>44</x:v>
      </x:c>
      <x:c r="BH149" s="2" t="n">
        <x:v>43</x:v>
      </x:c>
      <x:c r="BI149" s="2" t="n">
        <x:v>42</x:v>
      </x:c>
      <x:c r="BJ149" s="2" t="n">
        <x:v>41</x:v>
      </x:c>
      <x:c r="BK149" s="2" t="n">
        <x:v>40</x:v>
      </x:c>
      <x:c r="BL149" s="2" t="n">
        <x:v>39</x:v>
      </x:c>
      <x:c r="BM149" s="2" t="n">
        <x:v>38</x:v>
      </x:c>
      <x:c r="BN149" s="2" t="n">
        <x:v>37</x:v>
      </x:c>
      <x:c r="BO149" s="2" t="n">
        <x:v>36</x:v>
      </x:c>
      <x:c r="BP149" s="2" t="n">
        <x:v>35</x:v>
      </x:c>
      <x:c r="BQ149" s="2" t="n">
        <x:v>34</x:v>
      </x:c>
      <x:c r="BR149" s="2" t="n">
        <x:v>33</x:v>
      </x:c>
      <x:c r="BS149" s="2" t="n">
        <x:v>32</x:v>
      </x:c>
      <x:c r="BT149" s="2" t="n">
        <x:v>31</x:v>
      </x:c>
      <x:c r="BU149" s="2" t="n">
        <x:v>30</x:v>
      </x:c>
      <x:c r="BV149" s="2" t="n">
        <x:v>29</x:v>
      </x:c>
      <x:c r="BW149" s="2" t="n">
        <x:v>28</x:v>
      </x:c>
      <x:c r="BX149" s="2" t="n">
        <x:v>27</x:v>
      </x:c>
      <x:c r="BY149" s="2" t="n">
        <x:v>26</x:v>
      </x:c>
      <x:c r="BZ149" s="2" t="n">
        <x:v>25</x:v>
      </x:c>
      <x:c r="CA149" s="2" t="n">
        <x:v>24</x:v>
      </x:c>
      <x:c r="CB149" s="2" t="n">
        <x:v>23</x:v>
      </x:c>
      <x:c r="CC149" s="2" t="n">
        <x:v>22</x:v>
      </x:c>
      <x:c r="CD149" s="2" t="n">
        <x:v>21</x:v>
      </x:c>
      <x:c r="CE149" s="2" t="n">
        <x:v>20</x:v>
      </x:c>
      <x:c r="CF149" s="2" t="n">
        <x:v>19</x:v>
      </x:c>
      <x:c r="CG149" s="2" t="n">
        <x:v>18</x:v>
      </x:c>
      <x:c r="CH149" s="2" t="n">
        <x:v>17</x:v>
      </x:c>
      <x:c r="CI149" s="2" t="n">
        <x:v>16</x:v>
      </x:c>
      <x:c r="CJ149" s="2" t="n">
        <x:v>15</x:v>
      </x:c>
      <x:c r="CK149" s="2" t="n">
        <x:v>14</x:v>
      </x:c>
      <x:c r="CL149" s="2" t="n">
        <x:v>13</x:v>
      </x:c>
      <x:c r="CM149" s="2" t="n">
        <x:v>12</x:v>
      </x:c>
      <x:c r="CN149" s="2" t="n">
        <x:v>11</x:v>
      </x:c>
      <x:c r="CO149" s="2" t="n">
        <x:v>10</x:v>
      </x:c>
      <x:c r="CP149" s="2" t="n">
        <x:v>9</x:v>
      </x:c>
      <x:c r="CQ149" s="2" t="n">
        <x:v>8</x:v>
      </x:c>
      <x:c r="CR149" s="2" t="n">
        <x:v>7</x:v>
      </x:c>
      <x:c r="CS149" s="2" t="n">
        <x:v>6</x:v>
      </x:c>
      <x:c r="CT149" s="2" t="n">
        <x:v>5</x:v>
      </x:c>
      <x:c r="CU149" s="2" t="n">
        <x:v>4</x:v>
      </x:c>
      <x:c r="CV149" s="2" t="n">
        <x:v>3</x:v>
      </x:c>
      <x:c r="CW149" s="2" t="n">
        <x:v>2</x:v>
      </x:c>
      <x:c r="CX149" s="2" t="n">
        <x:v>1</x:v>
      </x:c>
      <x:c r="CY149" s="2" t="n">
        <x:v>0</x:v>
      </x:c>
    </x:row>
    <x:row r="150" ht="19" customHeight="1">
      <x:c r="A150" s="1"/>
      <x:c r="B150" s="1"/>
      <x:c r="C150" s="2" t="str">
        <x:v>Charge-off weights</x:v>
      </x:c>
      <x:c r="D150" s="2"/>
      <x:c r="E150" s="2"/>
      <x:c r="F150" s="2"/>
      <x:c r="G150" s="30" t="n">
        <x:f>E147</x:f>
        <x:v>0</x:v>
      </x:c>
      <x:c r="H150" s="30" t="n">
        <x:f>E146</x:f>
        <x:v>0</x:v>
      </x:c>
      <x:c r="I150" s="30" t="n">
        <x:f>E145</x:f>
        <x:v>0</x:v>
      </x:c>
      <x:c r="J150" s="30" t="n">
        <x:f>E144</x:f>
        <x:v>0</x:v>
      </x:c>
      <x:c r="K150" s="30" t="n">
        <x:f>E143</x:f>
        <x:v>0</x:v>
      </x:c>
      <x:c r="L150" s="30" t="n">
        <x:f>E142</x:f>
        <x:v>0</x:v>
      </x:c>
      <x:c r="M150" s="30" t="n">
        <x:f>E141</x:f>
        <x:v>0</x:v>
      </x:c>
      <x:c r="N150" s="30" t="n">
        <x:f>E140</x:f>
        <x:v>0</x:v>
      </x:c>
      <x:c r="O150" s="30" t="n">
        <x:f>E139</x:f>
        <x:v>0</x:v>
      </x:c>
      <x:c r="P150" s="30" t="n">
        <x:f>E138</x:f>
        <x:v>0</x:v>
      </x:c>
      <x:c r="Q150" s="30" t="n">
        <x:f>E137</x:f>
        <x:v>0</x:v>
      </x:c>
      <x:c r="R150" s="30" t="n">
        <x:f>E136</x:f>
        <x:v>0</x:v>
      </x:c>
      <x:c r="S150" s="30" t="n">
        <x:f>E135</x:f>
        <x:v>0</x:v>
      </x:c>
      <x:c r="T150" s="30" t="n">
        <x:f>E134</x:f>
        <x:v>0</x:v>
      </x:c>
      <x:c r="U150" s="30" t="n">
        <x:f>E133</x:f>
        <x:v>0</x:v>
      </x:c>
      <x:c r="V150" s="30" t="n">
        <x:f>E132</x:f>
        <x:v>0</x:v>
      </x:c>
      <x:c r="W150" s="30" t="n">
        <x:f>E131</x:f>
        <x:v>0</x:v>
      </x:c>
      <x:c r="X150" s="30" t="n">
        <x:f>E130</x:f>
        <x:v>0</x:v>
      </x:c>
      <x:c r="Y150" s="30" t="n">
        <x:f>E129</x:f>
        <x:v>0</x:v>
      </x:c>
      <x:c r="Z150" s="30" t="n">
        <x:f>E128</x:f>
        <x:v>0</x:v>
      </x:c>
      <x:c r="AA150" s="30" t="n">
        <x:f>E127</x:f>
        <x:v>0</x:v>
      </x:c>
      <x:c r="AB150" s="30" t="n">
        <x:f>E126</x:f>
        <x:v>0</x:v>
      </x:c>
      <x:c r="AC150" s="30" t="n">
        <x:f>E125</x:f>
        <x:v>0</x:v>
      </x:c>
      <x:c r="AD150" s="30" t="n">
        <x:f>E124</x:f>
        <x:v>0</x:v>
      </x:c>
      <x:c r="AE150" s="30" t="n">
        <x:f>E123</x:f>
        <x:v>0</x:v>
      </x:c>
      <x:c r="AF150" s="30" t="n">
        <x:f>E122</x:f>
        <x:v>0</x:v>
      </x:c>
      <x:c r="AG150" s="30" t="n">
        <x:f>E121</x:f>
        <x:v>0</x:v>
      </x:c>
      <x:c r="AH150" s="30" t="n">
        <x:f>E120</x:f>
        <x:v>0</x:v>
      </x:c>
      <x:c r="AI150" s="30" t="n">
        <x:f>E119</x:f>
        <x:v>0</x:v>
      </x:c>
      <x:c r="AJ150" s="30" t="n">
        <x:f>E118</x:f>
        <x:v>0</x:v>
      </x:c>
      <x:c r="AK150" s="30" t="n">
        <x:f>E117</x:f>
        <x:v>0</x:v>
      </x:c>
      <x:c r="AL150" s="30" t="n">
        <x:f>E116</x:f>
        <x:v>0</x:v>
      </x:c>
      <x:c r="AM150" s="30" t="n">
        <x:f>E115</x:f>
        <x:v>0</x:v>
      </x:c>
      <x:c r="AN150" s="30" t="n">
        <x:f>E114</x:f>
        <x:v>0</x:v>
      </x:c>
      <x:c r="AO150" s="30" t="n">
        <x:f>E113</x:f>
        <x:v>0</x:v>
      </x:c>
      <x:c r="AP150" s="30" t="n">
        <x:f>E112</x:f>
        <x:v>0</x:v>
      </x:c>
      <x:c r="AQ150" s="30" t="n">
        <x:f>E111</x:f>
        <x:v>0</x:v>
      </x:c>
      <x:c r="AR150" s="30" t="n">
        <x:f>E110</x:f>
        <x:v>0</x:v>
      </x:c>
      <x:c r="AS150" s="30" t="n">
        <x:f>E109</x:f>
        <x:v>0</x:v>
      </x:c>
      <x:c r="AT150" s="30" t="n">
        <x:f>E108</x:f>
        <x:v>0</x:v>
      </x:c>
      <x:c r="AU150" s="30" t="n">
        <x:f>E107</x:f>
        <x:v>0</x:v>
      </x:c>
      <x:c r="AV150" s="30" t="n">
        <x:f>E106</x:f>
        <x:v>0</x:v>
      </x:c>
      <x:c r="AW150" s="30" t="n">
        <x:f>E105</x:f>
        <x:v>0</x:v>
      </x:c>
      <x:c r="AX150" s="30" t="n">
        <x:f>E104</x:f>
        <x:v>0</x:v>
      </x:c>
      <x:c r="AY150" s="30" t="n">
        <x:f>E103</x:f>
        <x:v>0</x:v>
      </x:c>
      <x:c r="AZ150" s="30" t="n">
        <x:f>E102</x:f>
        <x:v>0</x:v>
      </x:c>
      <x:c r="BA150" s="30" t="n">
        <x:f>E101</x:f>
        <x:v>0</x:v>
      </x:c>
      <x:c r="BB150" s="30" t="n">
        <x:f>E100</x:f>
        <x:v>0</x:v>
      </x:c>
      <x:c r="BC150" s="30" t="n">
        <x:f>E99</x:f>
        <x:v>0</x:v>
      </x:c>
      <x:c r="BD150" s="30" t="n">
        <x:f>E98</x:f>
        <x:v>0</x:v>
      </x:c>
      <x:c r="BE150" s="30" t="n">
        <x:f>E97</x:f>
        <x:v>0</x:v>
      </x:c>
      <x:c r="BF150" s="30" t="n">
        <x:f>E96</x:f>
        <x:v>0</x:v>
      </x:c>
      <x:c r="BG150" s="30" t="n">
        <x:f>E95</x:f>
        <x:v>0</x:v>
      </x:c>
      <x:c r="BH150" s="30" t="n">
        <x:f>E94</x:f>
        <x:v>0</x:v>
      </x:c>
      <x:c r="BI150" s="30" t="n">
        <x:f>E93</x:f>
        <x:v>0</x:v>
      </x:c>
      <x:c r="BJ150" s="30" t="n">
        <x:f>E92</x:f>
        <x:v>0</x:v>
      </x:c>
      <x:c r="BK150" s="30" t="n">
        <x:f>E91</x:f>
        <x:v>0</x:v>
      </x:c>
      <x:c r="BL150" s="30" t="n">
        <x:f>E90</x:f>
        <x:v>0</x:v>
      </x:c>
      <x:c r="BM150" s="30" t="n">
        <x:f>E89</x:f>
        <x:v>0</x:v>
      </x:c>
      <x:c r="BN150" s="30" t="n">
        <x:f>E88</x:f>
        <x:v>0</x:v>
      </x:c>
      <x:c r="BO150" s="30" t="n">
        <x:f>E87</x:f>
        <x:v>0</x:v>
      </x:c>
      <x:c r="BP150" s="30" t="n">
        <x:f>E86</x:f>
        <x:v>0</x:v>
      </x:c>
      <x:c r="BQ150" s="30" t="n">
        <x:f>E85</x:f>
        <x:v>0</x:v>
      </x:c>
      <x:c r="BR150" s="30" t="n">
        <x:f>E84</x:f>
        <x:v>0</x:v>
      </x:c>
      <x:c r="BS150" s="30" t="n">
        <x:f>E83</x:f>
        <x:v>0</x:v>
      </x:c>
      <x:c r="BT150" s="30" t="n">
        <x:f>E82</x:f>
        <x:v>0</x:v>
      </x:c>
      <x:c r="BU150" s="30" t="n">
        <x:f>E81</x:f>
        <x:v>0</x:v>
      </x:c>
      <x:c r="BV150" s="30" t="n">
        <x:f>E80</x:f>
        <x:v>0</x:v>
      </x:c>
      <x:c r="BW150" s="30" t="n">
        <x:f>E79</x:f>
        <x:v>0</x:v>
      </x:c>
      <x:c r="BX150" s="30" t="n">
        <x:f>E78</x:f>
        <x:v>0</x:v>
      </x:c>
      <x:c r="BY150" s="30" t="n">
        <x:f>E77</x:f>
        <x:v>0</x:v>
      </x:c>
      <x:c r="BZ150" s="30" t="n">
        <x:f>E76</x:f>
        <x:v>0</x:v>
      </x:c>
      <x:c r="CA150" s="30" t="n">
        <x:f>E75</x:f>
        <x:v>0</x:v>
      </x:c>
      <x:c r="CB150" s="30" t="n">
        <x:f>E74</x:f>
        <x:v>0</x:v>
      </x:c>
      <x:c r="CC150" s="30" t="n">
        <x:f>E73</x:f>
        <x:v>0</x:v>
      </x:c>
      <x:c r="CD150" s="30" t="n">
        <x:f>E72</x:f>
        <x:v>0</x:v>
      </x:c>
      <x:c r="CE150" s="30" t="n">
        <x:f>E71</x:f>
        <x:v>0</x:v>
      </x:c>
      <x:c r="CF150" s="30" t="n">
        <x:f>E70</x:f>
        <x:v>0</x:v>
      </x:c>
      <x:c r="CG150" s="30" t="n">
        <x:f>E69</x:f>
        <x:v>0</x:v>
      </x:c>
      <x:c r="CH150" s="30" t="n">
        <x:f>E68</x:f>
        <x:v>0</x:v>
      </x:c>
      <x:c r="CI150" s="30" t="n">
        <x:f>E67</x:f>
        <x:v>0</x:v>
      </x:c>
      <x:c r="CJ150" s="30" t="n">
        <x:f>E66</x:f>
        <x:v>0</x:v>
      </x:c>
      <x:c r="CK150" s="30" t="n">
        <x:f>E65</x:f>
        <x:v>0</x:v>
      </x:c>
      <x:c r="CL150" s="30" t="n">
        <x:f>E64</x:f>
        <x:v>0</x:v>
      </x:c>
      <x:c r="CM150" s="30" t="n">
        <x:f>E63</x:f>
        <x:v>0</x:v>
      </x:c>
      <x:c r="CN150" s="30" t="n">
        <x:f>E62</x:f>
        <x:v>0</x:v>
      </x:c>
      <x:c r="CO150" s="30" t="n">
        <x:f>E61</x:f>
        <x:v>0</x:v>
      </x:c>
      <x:c r="CP150" s="30" t="n">
        <x:f>E60</x:f>
        <x:v>0.0030599983062848104</x:v>
      </x:c>
      <x:c r="CQ150" s="30" t="n">
        <x:f>E59</x:f>
        <x:v>0.005003612320617276</x:v>
      </x:c>
      <x:c r="CR150" s="30" t="n">
        <x:f>E58</x:f>
        <x:v>0.006657806628491006</x:v>
      </x:c>
      <x:c r="CS150" s="30" t="n">
        <x:f>E57</x:f>
        <x:v>0.009873822149537033</x:v>
      </x:c>
      <x:c r="CT150" s="30" t="n">
        <x:f>E56</x:f>
        <x:v>0.015021546172450368</x:v>
      </x:c>
      <x:c r="CU150" s="30" t="n">
        <x:f>E55</x:f>
        <x:v>0.02006474723092569</x:v>
      </x:c>
      <x:c r="CV150" s="30" t="n">
        <x:f>E54</x:f>
        <x:v>0.025944124944724447</x:v>
      </x:c>
      <x:c r="CW150" s="30" t="n">
        <x:f>E53</x:f>
        <x:v>0.03618376309559283</x:v>
      </x:c>
      <x:c r="CX150" s="30" t="n">
        <x:f>E52</x:f>
        <x:v>0.047793907633118346</x:v>
      </x:c>
      <x:c r="CY150" s="30" t="n">
        <x:f>E51</x:f>
        <x:v>0</x:v>
      </x:c>
    </x:row>
    <x:row r="151" ht="19" customHeight="1">
      <x:c r="A151" s="1"/>
      <x:c r="B151" s="1"/>
      <x:c r="C151" s="2" t="str">
        <x:v>Repayment weights</x:v>
      </x:c>
      <x:c r="D151" s="2"/>
      <x:c r="E151" s="2"/>
      <x:c r="F151" s="2"/>
      <x:c r="G151" s="30" t="n">
        <x:f>F147</x:f>
        <x:v>0</x:v>
      </x:c>
      <x:c r="H151" s="30" t="n">
        <x:f>F146</x:f>
        <x:v>0</x:v>
      </x:c>
      <x:c r="I151" s="30" t="n">
        <x:f>F145</x:f>
        <x:v>0</x:v>
      </x:c>
      <x:c r="J151" s="30" t="n">
        <x:f>F144</x:f>
        <x:v>0</x:v>
      </x:c>
      <x:c r="K151" s="30" t="n">
        <x:f>F143</x:f>
        <x:v>0</x:v>
      </x:c>
      <x:c r="L151" s="30" t="n">
        <x:f>F142</x:f>
        <x:v>0</x:v>
      </x:c>
      <x:c r="M151" s="30" t="n">
        <x:f>F141</x:f>
        <x:v>0</x:v>
      </x:c>
      <x:c r="N151" s="30" t="n">
        <x:f>F140</x:f>
        <x:v>0</x:v>
      </x:c>
      <x:c r="O151" s="30" t="n">
        <x:f>F139</x:f>
        <x:v>0</x:v>
      </x:c>
      <x:c r="P151" s="30" t="n">
        <x:f>F138</x:f>
        <x:v>0</x:v>
      </x:c>
      <x:c r="Q151" s="30" t="n">
        <x:f>F137</x:f>
        <x:v>0</x:v>
      </x:c>
      <x:c r="R151" s="30" t="n">
        <x:f>F136</x:f>
        <x:v>0</x:v>
      </x:c>
      <x:c r="S151" s="30" t="n">
        <x:f>F135</x:f>
        <x:v>0</x:v>
      </x:c>
      <x:c r="T151" s="30" t="n">
        <x:f>F134</x:f>
        <x:v>0</x:v>
      </x:c>
      <x:c r="U151" s="30" t="n">
        <x:f>F133</x:f>
        <x:v>0</x:v>
      </x:c>
      <x:c r="V151" s="30" t="n">
        <x:f>F132</x:f>
        <x:v>0</x:v>
      </x:c>
      <x:c r="W151" s="30" t="n">
        <x:f>F131</x:f>
        <x:v>0</x:v>
      </x:c>
      <x:c r="X151" s="30" t="n">
        <x:f>F130</x:f>
        <x:v>0</x:v>
      </x:c>
      <x:c r="Y151" s="30" t="n">
        <x:f>F129</x:f>
        <x:v>0</x:v>
      </x:c>
      <x:c r="Z151" s="30" t="n">
        <x:f>F128</x:f>
        <x:v>0</x:v>
      </x:c>
      <x:c r="AA151" s="30" t="n">
        <x:f>F127</x:f>
        <x:v>0</x:v>
      </x:c>
      <x:c r="AB151" s="30" t="n">
        <x:f>F126</x:f>
        <x:v>0</x:v>
      </x:c>
      <x:c r="AC151" s="30" t="n">
        <x:f>F125</x:f>
        <x:v>0</x:v>
      </x:c>
      <x:c r="AD151" s="30" t="n">
        <x:f>F124</x:f>
        <x:v>0</x:v>
      </x:c>
      <x:c r="AE151" s="30" t="n">
        <x:f>F123</x:f>
        <x:v>0</x:v>
      </x:c>
      <x:c r="AF151" s="30" t="n">
        <x:f>F122</x:f>
        <x:v>0</x:v>
      </x:c>
      <x:c r="AG151" s="30" t="n">
        <x:f>F121</x:f>
        <x:v>0</x:v>
      </x:c>
      <x:c r="AH151" s="30" t="n">
        <x:f>F120</x:f>
        <x:v>0</x:v>
      </x:c>
      <x:c r="AI151" s="30" t="n">
        <x:f>F119</x:f>
        <x:v>0</x:v>
      </x:c>
      <x:c r="AJ151" s="30" t="n">
        <x:f>F118</x:f>
        <x:v>0</x:v>
      </x:c>
      <x:c r="AK151" s="30" t="n">
        <x:f>F117</x:f>
        <x:v>0</x:v>
      </x:c>
      <x:c r="AL151" s="30" t="n">
        <x:f>F116</x:f>
        <x:v>0</x:v>
      </x:c>
      <x:c r="AM151" s="30" t="n">
        <x:f>F115</x:f>
        <x:v>0</x:v>
      </x:c>
      <x:c r="AN151" s="30" t="n">
        <x:f>F114</x:f>
        <x:v>0</x:v>
      </x:c>
      <x:c r="AO151" s="30" t="n">
        <x:f>F113</x:f>
        <x:v>0</x:v>
      </x:c>
      <x:c r="AP151" s="30" t="n">
        <x:f>F112</x:f>
        <x:v>0</x:v>
      </x:c>
      <x:c r="AQ151" s="30" t="n">
        <x:f>F111</x:f>
        <x:v>0</x:v>
      </x:c>
      <x:c r="AR151" s="30" t="n">
        <x:f>F110</x:f>
        <x:v>0</x:v>
      </x:c>
      <x:c r="AS151" s="30" t="n">
        <x:f>F109</x:f>
        <x:v>0</x:v>
      </x:c>
      <x:c r="AT151" s="30" t="n">
        <x:f>F108</x:f>
        <x:v>0</x:v>
      </x:c>
      <x:c r="AU151" s="30" t="n">
        <x:f>F107</x:f>
        <x:v>0</x:v>
      </x:c>
      <x:c r="AV151" s="30" t="n">
        <x:f>F106</x:f>
        <x:v>0</x:v>
      </x:c>
      <x:c r="AW151" s="30" t="n">
        <x:f>F105</x:f>
        <x:v>0</x:v>
      </x:c>
      <x:c r="AX151" s="30" t="n">
        <x:f>F104</x:f>
        <x:v>0</x:v>
      </x:c>
      <x:c r="AY151" s="30" t="n">
        <x:f>F103</x:f>
        <x:v>0</x:v>
      </x:c>
      <x:c r="AZ151" s="30" t="n">
        <x:f>F102</x:f>
        <x:v>0</x:v>
      </x:c>
      <x:c r="BA151" s="30" t="n">
        <x:f>F101</x:f>
        <x:v>0</x:v>
      </x:c>
      <x:c r="BB151" s="30" t="n">
        <x:f>F100</x:f>
        <x:v>0</x:v>
      </x:c>
      <x:c r="BC151" s="30" t="n">
        <x:f>F99</x:f>
        <x:v>0</x:v>
      </x:c>
      <x:c r="BD151" s="30" t="n">
        <x:f>F98</x:f>
        <x:v>0</x:v>
      </x:c>
      <x:c r="BE151" s="30" t="n">
        <x:f>F97</x:f>
        <x:v>0</x:v>
      </x:c>
      <x:c r="BF151" s="30" t="n">
        <x:f>F96</x:f>
        <x:v>0</x:v>
      </x:c>
      <x:c r="BG151" s="30" t="n">
        <x:f>F95</x:f>
        <x:v>0</x:v>
      </x:c>
      <x:c r="BH151" s="30" t="n">
        <x:f>F94</x:f>
        <x:v>0</x:v>
      </x:c>
      <x:c r="BI151" s="30" t="n">
        <x:f>F93</x:f>
        <x:v>0</x:v>
      </x:c>
      <x:c r="BJ151" s="30" t="n">
        <x:f>F92</x:f>
        <x:v>0</x:v>
      </x:c>
      <x:c r="BK151" s="30" t="n">
        <x:f>F91</x:f>
        <x:v>0</x:v>
      </x:c>
      <x:c r="BL151" s="30" t="n">
        <x:f>F90</x:f>
        <x:v>0</x:v>
      </x:c>
      <x:c r="BM151" s="30" t="n">
        <x:f>F89</x:f>
        <x:v>0</x:v>
      </x:c>
      <x:c r="BN151" s="30" t="n">
        <x:f>F88</x:f>
        <x:v>0</x:v>
      </x:c>
      <x:c r="BO151" s="30" t="n">
        <x:f>F87</x:f>
        <x:v>0</x:v>
      </x:c>
      <x:c r="BP151" s="30" t="n">
        <x:f>F86</x:f>
        <x:v>0</x:v>
      </x:c>
      <x:c r="BQ151" s="30" t="n">
        <x:f>F85</x:f>
        <x:v>0</x:v>
      </x:c>
      <x:c r="BR151" s="30" t="n">
        <x:f>F84</x:f>
        <x:v>0</x:v>
      </x:c>
      <x:c r="BS151" s="30" t="n">
        <x:f>F83</x:f>
        <x:v>0</x:v>
      </x:c>
      <x:c r="BT151" s="30" t="n">
        <x:f>F82</x:f>
        <x:v>0</x:v>
      </x:c>
      <x:c r="BU151" s="30" t="n">
        <x:f>F81</x:f>
        <x:v>0</x:v>
      </x:c>
      <x:c r="BV151" s="30" t="n">
        <x:f>F80</x:f>
        <x:v>0</x:v>
      </x:c>
      <x:c r="BW151" s="30" t="n">
        <x:f>F79</x:f>
        <x:v>0</x:v>
      </x:c>
      <x:c r="BX151" s="30" t="n">
        <x:f>F78</x:f>
        <x:v>0</x:v>
      </x:c>
      <x:c r="BY151" s="30" t="n">
        <x:f>F77</x:f>
        <x:v>0</x:v>
      </x:c>
      <x:c r="BZ151" s="30" t="n">
        <x:f>F76</x:f>
        <x:v>0</x:v>
      </x:c>
      <x:c r="CA151" s="30" t="n">
        <x:f>F75</x:f>
        <x:v>0</x:v>
      </x:c>
      <x:c r="CB151" s="30" t="n">
        <x:f>F74</x:f>
        <x:v>0</x:v>
      </x:c>
      <x:c r="CC151" s="30" t="n">
        <x:f>F73</x:f>
        <x:v>0</x:v>
      </x:c>
      <x:c r="CD151" s="30" t="n">
        <x:f>F72</x:f>
        <x:v>0</x:v>
      </x:c>
      <x:c r="CE151" s="30" t="n">
        <x:f>F71</x:f>
        <x:v>0</x:v>
      </x:c>
      <x:c r="CF151" s="30" t="n">
        <x:f>F70</x:f>
        <x:v>0</x:v>
      </x:c>
      <x:c r="CG151" s="30" t="n">
        <x:f>F69</x:f>
        <x:v>0</x:v>
      </x:c>
      <x:c r="CH151" s="30" t="n">
        <x:f>F68</x:f>
        <x:v>0</x:v>
      </x:c>
      <x:c r="CI151" s="30" t="n">
        <x:f>F67</x:f>
        <x:v>0</x:v>
      </x:c>
      <x:c r="CJ151" s="30" t="n">
        <x:f>F66</x:f>
        <x:v>0</x:v>
      </x:c>
      <x:c r="CK151" s="30" t="n">
        <x:f>F65</x:f>
        <x:v>0</x:v>
      </x:c>
      <x:c r="CL151" s="30" t="n">
        <x:f>F64</x:f>
        <x:v>0</x:v>
      </x:c>
      <x:c r="CM151" s="30" t="n">
        <x:f>F63</x:f>
        <x:v>0</x:v>
      </x:c>
      <x:c r="CN151" s="30" t="n">
        <x:f>F62</x:f>
        <x:v>0</x:v>
      </x:c>
      <x:c r="CO151" s="30" t="n">
        <x:f>F61</x:f>
        <x:v>0</x:v>
      </x:c>
      <x:c r="CP151" s="30" t="n">
        <x:f>F60</x:f>
        <x:v>0.010346304463438035</x:v>
      </x:c>
      <x:c r="CQ151" s="30" t="n">
        <x:f>F59</x:f>
        <x:v>0.018661978309675996</x:v>
      </x:c>
      <x:c r="CR151" s="30" t="n">
        <x:f>F58</x:f>
        <x:v>0.03013824284215856</x:v>
      </x:c>
      <x:c r="CS151" s="30" t="n">
        <x:f>F57</x:f>
        <x:v>0.04578686905891455</x:v>
      </x:c>
      <x:c r="CT151" s="30" t="n">
        <x:f>F56</x:f>
        <x:v>0.06554331425075753</x:v>
      </x:c>
      <x:c r="CU151" s="30" t="n">
        <x:f>F55</x:f>
        <x:v>0.09472209503598536</x:v>
      </x:c>
      <x:c r="CV151" s="30" t="n">
        <x:f>F54</x:f>
        <x:v>0.133222282569853</x:v>
      </x:c>
      <x:c r="CW151" s="30" t="n">
        <x:f>F53</x:f>
        <x:v>0.18259658076094243</x:v>
      </x:c>
      <x:c r="CX151" s="30" t="n">
        <x:f>F52</x:f>
        <x:v>0.24937900422653278</x:v>
      </x:c>
      <x:c r="CY151" s="30" t="n">
        <x:f>F51</x:f>
        <x:v>0</x:v>
      </x:c>
    </x:row>
    <x:row r="152" ht="19" customHeight="1">
      <x:c r="A152" s="1"/>
      <x:c r="B152" s="1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</x:row>
    <x:row r="153" ht="19" customHeight="1">
      <x:c r="A153" s="1"/>
      <x:c r="B153" s="1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</x:row>
    <x:row r="154" ht="19" customHeight="1">
      <x:c r="A154" s="1"/>
      <x:c r="B154" s="1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</x:row>
    <x:row r="155" ht="19" customHeight="1">
      <x:c r="A155" s="1"/>
      <x:c r="B155" s="1"/>
      <x:c r="C155" s="2" t="str">
        <x:v>Each original-equivalent exposure is conditional on survival to its opening age.</x:v>
      </x:c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</x:row>
    <x:row r="156" ht="19" customHeight="1">
      <x:c r="A156" s="1"/>
      <x:c r="B156" s="1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</x:row>
    <x:row r="157" ht="19" customHeight="1">
      <x:c r="A157" s="1"/>
      <x:c r="B157" s="1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</x:row>
    <x:row r="158" ht="19" customHeight="1">
      <x:c r="A158" s="1"/>
      <x:c r="B158" s="1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</x:row>
    <x:row r="159" ht="32" customHeight="1">
      <x:c r="A159" s="1"/>
      <x:c r="B159" s="1"/>
      <x:c r="C159" s="29" t="str">
        <x:v>Opening MOB</x:v>
      </x:c>
      <x:c r="D159" s="29" t="str">
        <x:v>Current balance ($)</x:v>
      </x:c>
      <x:c r="E159" s="29" t="str">
        <x:v>Original-equivalent ($)</x:v>
      </x:c>
      <x:c r="F159" s="29" t="str">
        <x:v>Remaining reserve ($)</x:v>
      </x:c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</x:row>
    <x:row r="160" ht="19" customHeight="1">
      <x:c r="A160" s="1"/>
      <x:c r="B160" s="1"/>
      <x:c r="C160" s="2" t="n">
        <x:v>0</x:v>
      </x:c>
      <x:c r="D160" s="31" t="n">
        <x:f>IF(OR(C160&gt;=$E$43,INDEX($I$51:$I$147,C160+1)&lt;=0.0000000001),0,IF($E$46=0,$E$44/MIN($E$43,COUNTIF($I$51:$I$110,"&gt;0.0000000001")),IF(C160=$E$45,$E$44,0)))</x:f>
        <x:v>22720000</x:v>
      </x:c>
      <x:c r="E160" s="31" t="n">
        <x:f>IF(D160=0,0,D160/(INDEX($I$51:$I$147,C160+1)*INDEX($H$51:$H$147,C160+1)))</x:f>
        <x:v>22720000</x:v>
      </x:c>
      <x:c r="F160" s="31" t="n">
        <x:f>E160*INDEX($G$51:$G$147,C160+1)</x:f>
        <x:v>3853387.6231051735</x:v>
      </x:c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</x:row>
    <x:row r="161" ht="19" customHeight="1">
      <x:c r="A161" s="1"/>
      <x:c r="B161" s="1"/>
      <x:c r="C161" s="2" t="n">
        <x:v>1</x:v>
      </x:c>
      <x:c r="D161" s="31" t="n">
        <x:f>IF(OR(C161&gt;=$E$43,INDEX($I$51:$I$147,C161+1)&lt;=0.0000000001),0,IF($E$46=0,$E$44/MIN($E$43,COUNTIF($I$51:$I$110,"&gt;0.0000000001")),IF(C161=$E$45,$E$44,0)))</x:f>
        <x:v>22720000</x:v>
      </x:c>
      <x:c r="E161" s="31" t="n">
        <x:f>IF(D161=0,0,D161/(INDEX($I$51:$I$147,C161+1)*INDEX($H$51:$H$147,C161+1)))</x:f>
        <x:v>32326585.561914198</x:v>
      </x:c>
      <x:c r="F161" s="31" t="n">
        <x:f>E161*INDEX($G$51:$G$147,C161+1)</x:f>
        <x:v>3937682.6653102417</x:v>
      </x:c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</x:row>
    <x:row r="162" ht="19" customHeight="1">
      <x:c r="A162" s="1"/>
      <x:c r="B162" s="1"/>
      <x:c r="C162" s="2" t="n">
        <x:v>2</x:v>
      </x:c>
      <x:c r="D162" s="31" t="n">
        <x:f>IF(OR(C162&gt;=$E$43,INDEX($I$51:$I$147,C162+1)&lt;=0.0000000001),0,IF($E$46=0,$E$44/MIN($E$43,COUNTIF($I$51:$I$110,"&gt;0.0000000001")),IF(C162=$E$45,$E$44,0)))</x:f>
        <x:v>22720000</x:v>
      </x:c>
      <x:c r="E162" s="31" t="n">
        <x:f>IF(D162=0,0,D162/(INDEX($I$51:$I$147,C162+1)*INDEX($H$51:$H$147,C162+1)))</x:f>
        <x:v>46937615.56771977</x:v>
      </x:c>
      <x:c r="F162" s="31" t="n">
        <x:f>E162*INDEX($G$51:$G$147,C162+1)</x:f>
        <x:v>4019064.2063448965</x:v>
      </x:c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</x:row>
    <x:row r="163" ht="19" customHeight="1">
      <x:c r="A163" s="1"/>
      <x:c r="B163" s="1"/>
      <x:c r="C163" s="2" t="n">
        <x:v>3</x:v>
      </x:c>
      <x:c r="D163" s="31" t="n">
        <x:f>IF(OR(C163&gt;=$E$43,INDEX($I$51:$I$147,C163+1)&lt;=0.0000000001),0,IF($E$46=0,$E$44/MIN($E$43,COUNTIF($I$51:$I$110,"&gt;0.0000000001")),IF(C163=$E$45,$E$44,0)))</x:f>
        <x:v>22720000</x:v>
      </x:c>
      <x:c r="E163" s="31" t="n">
        <x:f>IF(D163=0,0,D163/(INDEX($I$51:$I$147,C163+1)*INDEX($H$51:$H$147,C163+1)))</x:f>
        <x:v>69933441.42011927</x:v>
      </x:c>
      <x:c r="F163" s="31" t="n">
        <x:f>E163*INDEX($G$51:$G$147,C163+1)</x:f>
        <x:v>4173734.9785126066</x:v>
      </x:c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</x:row>
    <x:row r="164" ht="19" customHeight="1">
      <x:c r="A164" s="1"/>
      <x:c r="B164" s="1"/>
      <x:c r="C164" s="2" t="n">
        <x:v>4</x:v>
      </x:c>
      <x:c r="D164" s="31" t="n">
        <x:f>IF(OR(C164&gt;=$E$43,INDEX($I$51:$I$147,C164+1)&lt;=0.0000000001),0,IF($E$46=0,$E$44/MIN($E$43,COUNTIF($I$51:$I$110,"&gt;0.0000000001")),IF(C164=$E$45,$E$44,0)))</x:f>
        <x:v>22720000</x:v>
      </x:c>
      <x:c r="E164" s="31" t="n">
        <x:f>IF(D164=0,0,D164/(INDEX($I$51:$I$147,C164+1)*INDEX($H$51:$H$147,C164+1)))</x:f>
        <x:v>108142329.93658236</x:v>
      </x:c>
      <x:c r="F164" s="31" t="n">
        <x:f>E164*INDEX($G$51:$G$147,C164+1)</x:f>
        <x:v>4284251.496935919</x:v>
      </x:c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</x:row>
    <x:row r="165" ht="19" customHeight="1">
      <x:c r="A165" s="1"/>
      <x:c r="B165" s="1"/>
      <x:c r="C165" s="2" t="n">
        <x:v>5</x:v>
      </x:c>
      <x:c r="D165" s="31" t="n">
        <x:f>IF(OR(C165&gt;=$E$43,INDEX($I$51:$I$147,C165+1)&lt;=0.0000000001),0,IF($E$46=0,$E$44/MIN($E$43,COUNTIF($I$51:$I$110,"&gt;0.0000000001")),IF(C165=$E$45,$E$44,0)))</x:f>
        <x:v>22720000</x:v>
      </x:c>
      <x:c r="E165" s="31" t="n">
        <x:f>IF(D165=0,0,D165/(INDEX($I$51:$I$147,C165+1)*INDEX($H$51:$H$147,C165+1)))</x:f>
        <x:v>175405231.1408026</x:v>
      </x:c>
      <x:c r="F165" s="31" t="n">
        <x:f>E165*INDEX($G$51:$G$147,C165+1)</x:f>
        <x:v>4314133.652785145</x:v>
      </x:c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</x:row>
    <x:row r="166" ht="19" customHeight="1">
      <x:c r="A166" s="1"/>
      <x:c r="B166" s="1"/>
      <x:c r="C166" s="2" t="n">
        <x:v>6</x:v>
      </x:c>
      <x:c r="D166" s="31" t="n">
        <x:f>IF(OR(C166&gt;=$E$43,INDEX($I$51:$I$147,C166+1)&lt;=0.0000000001),0,IF($E$46=0,$E$44/MIN($E$43,COUNTIF($I$51:$I$110,"&gt;0.0000000001")),IF(C166=$E$45,$E$44,0)))</x:f>
        <x:v>22720000</x:v>
      </x:c>
      <x:c r="E166" s="31" t="n">
        <x:f>IF(D166=0,0,D166/(INDEX($I$51:$I$147,C166+1)*INDEX($H$51:$H$147,C166+1)))</x:f>
        <x:v>307575913.40779763</x:v>
      </x:c>
      <x:c r="F166" s="31" t="n">
        <x:f>E166*INDEX($G$51:$G$147,C166+1)</x:f>
        <x:v>4527953.358984844</x:v>
      </x:c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</x:row>
    <x:row r="167" ht="19" customHeight="1">
      <x:c r="A167" s="1"/>
      <x:c r="B167" s="1"/>
      <x:c r="C167" s="2" t="n">
        <x:v>7</x:v>
      </x:c>
      <x:c r="D167" s="31" t="n">
        <x:f>IF(OR(C167&gt;=$E$43,INDEX($I$51:$I$147,C167+1)&lt;=0.0000000001),0,IF($E$46=0,$E$44/MIN($E$43,COUNTIF($I$51:$I$110,"&gt;0.0000000001")),IF(C167=$E$45,$E$44,0)))</x:f>
        <x:v>22720000</x:v>
      </x:c>
      <x:c r="E167" s="31" t="n">
        <x:f>IF(D167=0,0,D167/(INDEX($I$51:$I$147,C167+1)*INDEX($H$51:$H$147,C167+1)))</x:f>
        <x:v>612863221.0619744</x:v>
      </x:c>
      <x:c r="F167" s="31" t="n">
        <x:f>E167*INDEX($G$51:$G$147,C167+1)</x:f>
        <x:v>4941890.382192779</x:v>
      </x:c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</x:row>
    <x:row r="168" ht="19" customHeight="1">
      <x:c r="A168" s="1"/>
      <x:c r="B168" s="1"/>
      <x:c r="C168" s="2" t="n">
        <x:v>8</x:v>
      </x:c>
      <x:c r="D168" s="31" t="n">
        <x:f>IF(OR(C168&gt;=$E$43,INDEX($I$51:$I$147,C168+1)&lt;=0.0000000001),0,IF($E$46=0,$E$44/MIN($E$43,COUNTIF($I$51:$I$110,"&gt;0.0000000001")),IF(C168=$E$45,$E$44,0)))</x:f>
        <x:v>22720000</x:v>
      </x:c>
      <x:c r="E168" s="31" t="n">
        <x:f>IF(D168=0,0,D168/(INDEX($I$51:$I$147,C168+1)*INDEX($H$51:$H$147,C168+1)))</x:f>
        <x:v>1694725263.949096</x:v>
      </x:c>
      <x:c r="F168" s="31" t="n">
        <x:f>E168*INDEX($G$51:$G$147,C168+1)</x:f>
        <x:v>5185856.437302312</x:v>
      </x:c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</x:row>
    <x:row r="169" ht="19" customHeight="1">
      <x:c r="A169" s="1"/>
      <x:c r="B169" s="1"/>
      <x:c r="C169" s="2" t="n">
        <x:v>9</x:v>
      </x:c>
      <x:c r="D169" s="31" t="n">
        <x:f>IF(OR(C169&gt;=$E$43,INDEX($I$51:$I$147,C169+1)&lt;=0.0000000001),0,IF($E$46=0,$E$44/MIN($E$43,COUNTIF($I$51:$I$110,"&gt;0.0000000001")),IF(C169=$E$45,$E$44,0)))</x:f>
        <x:v>0</x:v>
      </x:c>
      <x:c r="E169" s="31" t="n">
        <x:f>IF(D169=0,0,D169/(INDEX($I$51:$I$147,C169+1)*INDEX($H$51:$H$147,C169+1)))</x:f>
        <x:v>0</x:v>
      </x:c>
      <x:c r="F169" s="31" t="n">
        <x:f>E169*INDEX($G$51:$G$147,C169+1)</x:f>
        <x:v>0</x:v>
      </x:c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</x:row>
    <x:row r="170" ht="19" customHeight="1">
      <x:c r="A170" s="1"/>
      <x:c r="B170" s="1"/>
      <x:c r="C170" s="2" t="n">
        <x:v>10</x:v>
      </x:c>
      <x:c r="D170" s="31" t="n">
        <x:f>IF(OR(C170&gt;=$E$43,INDEX($I$51:$I$147,C170+1)&lt;=0.0000000001),0,IF($E$46=0,$E$44/MIN($E$43,COUNTIF($I$51:$I$110,"&gt;0.0000000001")),IF(C170=$E$45,$E$44,0)))</x:f>
        <x:v>0</x:v>
      </x:c>
      <x:c r="E170" s="31" t="n">
        <x:f>IF(D170=0,0,D170/(INDEX($I$51:$I$147,C170+1)*INDEX($H$51:$H$147,C170+1)))</x:f>
        <x:v>0</x:v>
      </x:c>
      <x:c r="F170" s="31" t="n">
        <x:f>E170*INDEX($G$51:$G$147,C170+1)</x:f>
        <x:v>0</x:v>
      </x:c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</x:row>
    <x:row r="171" ht="19" customHeight="1">
      <x:c r="A171" s="1"/>
      <x:c r="B171" s="1"/>
      <x:c r="C171" s="2" t="n">
        <x:v>11</x:v>
      </x:c>
      <x:c r="D171" s="31" t="n">
        <x:f>IF(OR(C171&gt;=$E$43,INDEX($I$51:$I$147,C171+1)&lt;=0.0000000001),0,IF($E$46=0,$E$44/MIN($E$43,COUNTIF($I$51:$I$110,"&gt;0.0000000001")),IF(C171=$E$45,$E$44,0)))</x:f>
        <x:v>0</x:v>
      </x:c>
      <x:c r="E171" s="31" t="n">
        <x:f>IF(D171=0,0,D171/(INDEX($I$51:$I$147,C171+1)*INDEX($H$51:$H$147,C171+1)))</x:f>
        <x:v>0</x:v>
      </x:c>
      <x:c r="F171" s="31" t="n">
        <x:f>E171*INDEX($G$51:$G$147,C171+1)</x:f>
        <x:v>0</x:v>
      </x:c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</x:row>
    <x:row r="172" ht="19" customHeight="1">
      <x:c r="A172" s="1"/>
      <x:c r="B172" s="1"/>
      <x:c r="C172" s="2" t="n">
        <x:v>12</x:v>
      </x:c>
      <x:c r="D172" s="31" t="n">
        <x:f>IF(OR(C172&gt;=$E$43,INDEX($I$51:$I$147,C172+1)&lt;=0.0000000001),0,IF($E$46=0,$E$44/MIN($E$43,COUNTIF($I$51:$I$110,"&gt;0.0000000001")),IF(C172=$E$45,$E$44,0)))</x:f>
        <x:v>0</x:v>
      </x:c>
      <x:c r="E172" s="31" t="n">
        <x:f>IF(D172=0,0,D172/(INDEX($I$51:$I$147,C172+1)*INDEX($H$51:$H$147,C172+1)))</x:f>
        <x:v>0</x:v>
      </x:c>
      <x:c r="F172" s="31" t="n">
        <x:f>E172*INDEX($G$51:$G$147,C172+1)</x:f>
        <x:v>0</x:v>
      </x:c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</x:row>
    <x:row r="173" ht="19" customHeight="1">
      <x:c r="A173" s="1"/>
      <x:c r="B173" s="1"/>
      <x:c r="C173" s="2" t="n">
        <x:v>13</x:v>
      </x:c>
      <x:c r="D173" s="31" t="n">
        <x:f>IF(OR(C173&gt;=$E$43,INDEX($I$51:$I$147,C173+1)&lt;=0.0000000001),0,IF($E$46=0,$E$44/MIN($E$43,COUNTIF($I$51:$I$110,"&gt;0.0000000001")),IF(C173=$E$45,$E$44,0)))</x:f>
        <x:v>0</x:v>
      </x:c>
      <x:c r="E173" s="31" t="n">
        <x:f>IF(D173=0,0,D173/(INDEX($I$51:$I$147,C173+1)*INDEX($H$51:$H$147,C173+1)))</x:f>
        <x:v>0</x:v>
      </x:c>
      <x:c r="F173" s="31" t="n">
        <x:f>E173*INDEX($G$51:$G$147,C173+1)</x:f>
        <x:v>0</x:v>
      </x:c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</x:row>
    <x:row r="174" ht="19" customHeight="1">
      <x:c r="A174" s="1"/>
      <x:c r="B174" s="1"/>
      <x:c r="C174" s="2" t="n">
        <x:v>14</x:v>
      </x:c>
      <x:c r="D174" s="31" t="n">
        <x:f>IF(OR(C174&gt;=$E$43,INDEX($I$51:$I$147,C174+1)&lt;=0.0000000001),0,IF($E$46=0,$E$44/MIN($E$43,COUNTIF($I$51:$I$110,"&gt;0.0000000001")),IF(C174=$E$45,$E$44,0)))</x:f>
        <x:v>0</x:v>
      </x:c>
      <x:c r="E174" s="31" t="n">
        <x:f>IF(D174=0,0,D174/(INDEX($I$51:$I$147,C174+1)*INDEX($H$51:$H$147,C174+1)))</x:f>
        <x:v>0</x:v>
      </x:c>
      <x:c r="F174" s="31" t="n">
        <x:f>E174*INDEX($G$51:$G$147,C174+1)</x:f>
        <x:v>0</x:v>
      </x:c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</x:row>
    <x:row r="175" ht="19" customHeight="1">
      <x:c r="A175" s="1"/>
      <x:c r="B175" s="1"/>
      <x:c r="C175" s="2" t="n">
        <x:v>15</x:v>
      </x:c>
      <x:c r="D175" s="31" t="n">
        <x:f>IF(OR(C175&gt;=$E$43,INDEX($I$51:$I$147,C175+1)&lt;=0.0000000001),0,IF($E$46=0,$E$44/MIN($E$43,COUNTIF($I$51:$I$110,"&gt;0.0000000001")),IF(C175=$E$45,$E$44,0)))</x:f>
        <x:v>0</x:v>
      </x:c>
      <x:c r="E175" s="31" t="n">
        <x:f>IF(D175=0,0,D175/(INDEX($I$51:$I$147,C175+1)*INDEX($H$51:$H$147,C175+1)))</x:f>
        <x:v>0</x:v>
      </x:c>
      <x:c r="F175" s="31" t="n">
        <x:f>E175*INDEX($G$51:$G$147,C175+1)</x:f>
        <x:v>0</x:v>
      </x:c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</x:row>
    <x:row r="176" ht="19" customHeight="1">
      <x:c r="A176" s="1"/>
      <x:c r="B176" s="1"/>
      <x:c r="C176" s="2" t="n">
        <x:v>16</x:v>
      </x:c>
      <x:c r="D176" s="31" t="n">
        <x:f>IF(OR(C176&gt;=$E$43,INDEX($I$51:$I$147,C176+1)&lt;=0.0000000001),0,IF($E$46=0,$E$44/MIN($E$43,COUNTIF($I$51:$I$110,"&gt;0.0000000001")),IF(C176=$E$45,$E$44,0)))</x:f>
        <x:v>0</x:v>
      </x:c>
      <x:c r="E176" s="31" t="n">
        <x:f>IF(D176=0,0,D176/(INDEX($I$51:$I$147,C176+1)*INDEX($H$51:$H$147,C176+1)))</x:f>
        <x:v>0</x:v>
      </x:c>
      <x:c r="F176" s="31" t="n">
        <x:f>E176*INDEX($G$51:$G$147,C176+1)</x:f>
        <x:v>0</x:v>
      </x:c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</x:row>
    <x:row r="177" ht="19" customHeight="1">
      <x:c r="A177" s="1"/>
      <x:c r="B177" s="1"/>
      <x:c r="C177" s="2" t="n">
        <x:v>17</x:v>
      </x:c>
      <x:c r="D177" s="31" t="n">
        <x:f>IF(OR(C177&gt;=$E$43,INDEX($I$51:$I$147,C177+1)&lt;=0.0000000001),0,IF($E$46=0,$E$44/MIN($E$43,COUNTIF($I$51:$I$110,"&gt;0.0000000001")),IF(C177=$E$45,$E$44,0)))</x:f>
        <x:v>0</x:v>
      </x:c>
      <x:c r="E177" s="31" t="n">
        <x:f>IF(D177=0,0,D177/(INDEX($I$51:$I$147,C177+1)*INDEX($H$51:$H$147,C177+1)))</x:f>
        <x:v>0</x:v>
      </x:c>
      <x:c r="F177" s="31" t="n">
        <x:f>E177*INDEX($G$51:$G$147,C177+1)</x:f>
        <x:v>0</x:v>
      </x:c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</x:row>
    <x:row r="178" ht="19" customHeight="1">
      <x:c r="A178" s="1"/>
      <x:c r="B178" s="1"/>
      <x:c r="C178" s="2" t="n">
        <x:v>18</x:v>
      </x:c>
      <x:c r="D178" s="31" t="n">
        <x:f>IF(OR(C178&gt;=$E$43,INDEX($I$51:$I$147,C178+1)&lt;=0.0000000001),0,IF($E$46=0,$E$44/MIN($E$43,COUNTIF($I$51:$I$110,"&gt;0.0000000001")),IF(C178=$E$45,$E$44,0)))</x:f>
        <x:v>0</x:v>
      </x:c>
      <x:c r="E178" s="31" t="n">
        <x:f>IF(D178=0,0,D178/(INDEX($I$51:$I$147,C178+1)*INDEX($H$51:$H$147,C178+1)))</x:f>
        <x:v>0</x:v>
      </x:c>
      <x:c r="F178" s="31" t="n">
        <x:f>E178*INDEX($G$51:$G$147,C178+1)</x:f>
        <x:v>0</x:v>
      </x:c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</x:row>
    <x:row r="179" ht="19" customHeight="1">
      <x:c r="A179" s="1"/>
      <x:c r="B179" s="1"/>
      <x:c r="C179" s="2" t="n">
        <x:v>19</x:v>
      </x:c>
      <x:c r="D179" s="31" t="n">
        <x:f>IF(OR(C179&gt;=$E$43,INDEX($I$51:$I$147,C179+1)&lt;=0.0000000001),0,IF($E$46=0,$E$44/MIN($E$43,COUNTIF($I$51:$I$110,"&gt;0.0000000001")),IF(C179=$E$45,$E$44,0)))</x:f>
        <x:v>0</x:v>
      </x:c>
      <x:c r="E179" s="31" t="n">
        <x:f>IF(D179=0,0,D179/(INDEX($I$51:$I$147,C179+1)*INDEX($H$51:$H$147,C179+1)))</x:f>
        <x:v>0</x:v>
      </x:c>
      <x:c r="F179" s="31" t="n">
        <x:f>E179*INDEX($G$51:$G$147,C179+1)</x:f>
        <x:v>0</x:v>
      </x:c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</x:row>
    <x:row r="180" ht="19" customHeight="1">
      <x:c r="A180" s="1"/>
      <x:c r="B180" s="1"/>
      <x:c r="C180" s="2" t="n">
        <x:v>20</x:v>
      </x:c>
      <x:c r="D180" s="31" t="n">
        <x:f>IF(OR(C180&gt;=$E$43,INDEX($I$51:$I$147,C180+1)&lt;=0.0000000001),0,IF($E$46=0,$E$44/MIN($E$43,COUNTIF($I$51:$I$110,"&gt;0.0000000001")),IF(C180=$E$45,$E$44,0)))</x:f>
        <x:v>0</x:v>
      </x:c>
      <x:c r="E180" s="31" t="n">
        <x:f>IF(D180=0,0,D180/(INDEX($I$51:$I$147,C180+1)*INDEX($H$51:$H$147,C180+1)))</x:f>
        <x:v>0</x:v>
      </x:c>
      <x:c r="F180" s="31" t="n">
        <x:f>E180*INDEX($G$51:$G$147,C180+1)</x:f>
        <x:v>0</x:v>
      </x:c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</x:row>
    <x:row r="181" ht="19" customHeight="1">
      <x:c r="A181" s="1"/>
      <x:c r="B181" s="1"/>
      <x:c r="C181" s="2" t="n">
        <x:v>21</x:v>
      </x:c>
      <x:c r="D181" s="31" t="n">
        <x:f>IF(OR(C181&gt;=$E$43,INDEX($I$51:$I$147,C181+1)&lt;=0.0000000001),0,IF($E$46=0,$E$44/MIN($E$43,COUNTIF($I$51:$I$110,"&gt;0.0000000001")),IF(C181=$E$45,$E$44,0)))</x:f>
        <x:v>0</x:v>
      </x:c>
      <x:c r="E181" s="31" t="n">
        <x:f>IF(D181=0,0,D181/(INDEX($I$51:$I$147,C181+1)*INDEX($H$51:$H$147,C181+1)))</x:f>
        <x:v>0</x:v>
      </x:c>
      <x:c r="F181" s="31" t="n">
        <x:f>E181*INDEX($G$51:$G$147,C181+1)</x:f>
        <x:v>0</x:v>
      </x:c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</x:row>
    <x:row r="182" ht="19" customHeight="1">
      <x:c r="A182" s="1"/>
      <x:c r="B182" s="1"/>
      <x:c r="C182" s="2" t="n">
        <x:v>22</x:v>
      </x:c>
      <x:c r="D182" s="31" t="n">
        <x:f>IF(OR(C182&gt;=$E$43,INDEX($I$51:$I$147,C182+1)&lt;=0.0000000001),0,IF($E$46=0,$E$44/MIN($E$43,COUNTIF($I$51:$I$110,"&gt;0.0000000001")),IF(C182=$E$45,$E$44,0)))</x:f>
        <x:v>0</x:v>
      </x:c>
      <x:c r="E182" s="31" t="n">
        <x:f>IF(D182=0,0,D182/(INDEX($I$51:$I$147,C182+1)*INDEX($H$51:$H$147,C182+1)))</x:f>
        <x:v>0</x:v>
      </x:c>
      <x:c r="F182" s="31" t="n">
        <x:f>E182*INDEX($G$51:$G$147,C182+1)</x:f>
        <x:v>0</x:v>
      </x:c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</x:row>
    <x:row r="183" ht="19" customHeight="1">
      <x:c r="A183" s="1"/>
      <x:c r="B183" s="1"/>
      <x:c r="C183" s="2" t="n">
        <x:v>23</x:v>
      </x:c>
      <x:c r="D183" s="31" t="n">
        <x:f>IF(OR(C183&gt;=$E$43,INDEX($I$51:$I$147,C183+1)&lt;=0.0000000001),0,IF($E$46=0,$E$44/MIN($E$43,COUNTIF($I$51:$I$110,"&gt;0.0000000001")),IF(C183=$E$45,$E$44,0)))</x:f>
        <x:v>0</x:v>
      </x:c>
      <x:c r="E183" s="31" t="n">
        <x:f>IF(D183=0,0,D183/(INDEX($I$51:$I$147,C183+1)*INDEX($H$51:$H$147,C183+1)))</x:f>
        <x:v>0</x:v>
      </x:c>
      <x:c r="F183" s="31" t="n">
        <x:f>E183*INDEX($G$51:$G$147,C183+1)</x:f>
        <x:v>0</x:v>
      </x:c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</x:row>
    <x:row r="184" ht="19" customHeight="1">
      <x:c r="A184" s="1"/>
      <x:c r="B184" s="1"/>
      <x:c r="C184" s="2" t="n">
        <x:v>24</x:v>
      </x:c>
      <x:c r="D184" s="31" t="n">
        <x:f>IF(OR(C184&gt;=$E$43,INDEX($I$51:$I$147,C184+1)&lt;=0.0000000001),0,IF($E$46=0,$E$44/MIN($E$43,COUNTIF($I$51:$I$110,"&gt;0.0000000001")),IF(C184=$E$45,$E$44,0)))</x:f>
        <x:v>0</x:v>
      </x:c>
      <x:c r="E184" s="31" t="n">
        <x:f>IF(D184=0,0,D184/(INDEX($I$51:$I$147,C184+1)*INDEX($H$51:$H$147,C184+1)))</x:f>
        <x:v>0</x:v>
      </x:c>
      <x:c r="F184" s="31" t="n">
        <x:f>E184*INDEX($G$51:$G$147,C184+1)</x:f>
        <x:v>0</x:v>
      </x:c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</x:row>
    <x:row r="185" ht="19" customHeight="1">
      <x:c r="A185" s="1"/>
      <x:c r="B185" s="1"/>
      <x:c r="C185" s="2" t="n">
        <x:v>25</x:v>
      </x:c>
      <x:c r="D185" s="31" t="n">
        <x:f>IF(OR(C185&gt;=$E$43,INDEX($I$51:$I$147,C185+1)&lt;=0.0000000001),0,IF($E$46=0,$E$44/MIN($E$43,COUNTIF($I$51:$I$110,"&gt;0.0000000001")),IF(C185=$E$45,$E$44,0)))</x:f>
        <x:v>0</x:v>
      </x:c>
      <x:c r="E185" s="31" t="n">
        <x:f>IF(D185=0,0,D185/(INDEX($I$51:$I$147,C185+1)*INDEX($H$51:$H$147,C185+1)))</x:f>
        <x:v>0</x:v>
      </x:c>
      <x:c r="F185" s="31" t="n">
        <x:f>E185*INDEX($G$51:$G$147,C185+1)</x:f>
        <x:v>0</x:v>
      </x:c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</x:row>
    <x:row r="186" ht="19" customHeight="1">
      <x:c r="A186" s="1"/>
      <x:c r="B186" s="1"/>
      <x:c r="C186" s="2" t="n">
        <x:v>26</x:v>
      </x:c>
      <x:c r="D186" s="31" t="n">
        <x:f>IF(OR(C186&gt;=$E$43,INDEX($I$51:$I$147,C186+1)&lt;=0.0000000001),0,IF($E$46=0,$E$44/MIN($E$43,COUNTIF($I$51:$I$110,"&gt;0.0000000001")),IF(C186=$E$45,$E$44,0)))</x:f>
        <x:v>0</x:v>
      </x:c>
      <x:c r="E186" s="31" t="n">
        <x:f>IF(D186=0,0,D186/(INDEX($I$51:$I$147,C186+1)*INDEX($H$51:$H$147,C186+1)))</x:f>
        <x:v>0</x:v>
      </x:c>
      <x:c r="F186" s="31" t="n">
        <x:f>E186*INDEX($G$51:$G$147,C186+1)</x:f>
        <x:v>0</x:v>
      </x:c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</x:row>
    <x:row r="187" ht="19" customHeight="1">
      <x:c r="A187" s="1"/>
      <x:c r="B187" s="1"/>
      <x:c r="C187" s="2" t="n">
        <x:v>27</x:v>
      </x:c>
      <x:c r="D187" s="31" t="n">
        <x:f>IF(OR(C187&gt;=$E$43,INDEX($I$51:$I$147,C187+1)&lt;=0.0000000001),0,IF($E$46=0,$E$44/MIN($E$43,COUNTIF($I$51:$I$110,"&gt;0.0000000001")),IF(C187=$E$45,$E$44,0)))</x:f>
        <x:v>0</x:v>
      </x:c>
      <x:c r="E187" s="31" t="n">
        <x:f>IF(D187=0,0,D187/(INDEX($I$51:$I$147,C187+1)*INDEX($H$51:$H$147,C187+1)))</x:f>
        <x:v>0</x:v>
      </x:c>
      <x:c r="F187" s="31" t="n">
        <x:f>E187*INDEX($G$51:$G$147,C187+1)</x:f>
        <x:v>0</x:v>
      </x:c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</x:row>
    <x:row r="188" ht="19" customHeight="1">
      <x:c r="A188" s="1"/>
      <x:c r="B188" s="1"/>
      <x:c r="C188" s="2" t="n">
        <x:v>28</x:v>
      </x:c>
      <x:c r="D188" s="31" t="n">
        <x:f>IF(OR(C188&gt;=$E$43,INDEX($I$51:$I$147,C188+1)&lt;=0.0000000001),0,IF($E$46=0,$E$44/MIN($E$43,COUNTIF($I$51:$I$110,"&gt;0.0000000001")),IF(C188=$E$45,$E$44,0)))</x:f>
        <x:v>0</x:v>
      </x:c>
      <x:c r="E188" s="31" t="n">
        <x:f>IF(D188=0,0,D188/(INDEX($I$51:$I$147,C188+1)*INDEX($H$51:$H$147,C188+1)))</x:f>
        <x:v>0</x:v>
      </x:c>
      <x:c r="F188" s="31" t="n">
        <x:f>E188*INDEX($G$51:$G$147,C188+1)</x:f>
        <x:v>0</x:v>
      </x:c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</x:row>
    <x:row r="189" ht="19" customHeight="1">
      <x:c r="A189" s="1"/>
      <x:c r="B189" s="1"/>
      <x:c r="C189" s="2" t="n">
        <x:v>29</x:v>
      </x:c>
      <x:c r="D189" s="31" t="n">
        <x:f>IF(OR(C189&gt;=$E$43,INDEX($I$51:$I$147,C189+1)&lt;=0.0000000001),0,IF($E$46=0,$E$44/MIN($E$43,COUNTIF($I$51:$I$110,"&gt;0.0000000001")),IF(C189=$E$45,$E$44,0)))</x:f>
        <x:v>0</x:v>
      </x:c>
      <x:c r="E189" s="31" t="n">
        <x:f>IF(D189=0,0,D189/(INDEX($I$51:$I$147,C189+1)*INDEX($H$51:$H$147,C189+1)))</x:f>
        <x:v>0</x:v>
      </x:c>
      <x:c r="F189" s="31" t="n">
        <x:f>E189*INDEX($G$51:$G$147,C189+1)</x:f>
        <x:v>0</x:v>
      </x:c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</x:row>
    <x:row r="190" ht="19" customHeight="1">
      <x:c r="A190" s="1"/>
      <x:c r="B190" s="1"/>
      <x:c r="C190" s="2" t="n">
        <x:v>30</x:v>
      </x:c>
      <x:c r="D190" s="31" t="n">
        <x:f>IF(OR(C190&gt;=$E$43,INDEX($I$51:$I$147,C190+1)&lt;=0.0000000001),0,IF($E$46=0,$E$44/MIN($E$43,COUNTIF($I$51:$I$110,"&gt;0.0000000001")),IF(C190=$E$45,$E$44,0)))</x:f>
        <x:v>0</x:v>
      </x:c>
      <x:c r="E190" s="31" t="n">
        <x:f>IF(D190=0,0,D190/(INDEX($I$51:$I$147,C190+1)*INDEX($H$51:$H$147,C190+1)))</x:f>
        <x:v>0</x:v>
      </x:c>
      <x:c r="F190" s="31" t="n">
        <x:f>E190*INDEX($G$51:$G$147,C190+1)</x:f>
        <x:v>0</x:v>
      </x:c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</x:row>
    <x:row r="191" ht="19" customHeight="1">
      <x:c r="A191" s="1"/>
      <x:c r="B191" s="1"/>
      <x:c r="C191" s="2" t="n">
        <x:v>31</x:v>
      </x:c>
      <x:c r="D191" s="31" t="n">
        <x:f>IF(OR(C191&gt;=$E$43,INDEX($I$51:$I$147,C191+1)&lt;=0.0000000001),0,IF($E$46=0,$E$44/MIN($E$43,COUNTIF($I$51:$I$110,"&gt;0.0000000001")),IF(C191=$E$45,$E$44,0)))</x:f>
        <x:v>0</x:v>
      </x:c>
      <x:c r="E191" s="31" t="n">
        <x:f>IF(D191=0,0,D191/(INDEX($I$51:$I$147,C191+1)*INDEX($H$51:$H$147,C191+1)))</x:f>
        <x:v>0</x:v>
      </x:c>
      <x:c r="F191" s="31" t="n">
        <x:f>E191*INDEX($G$51:$G$147,C191+1)</x:f>
        <x:v>0</x:v>
      </x:c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</x:row>
    <x:row r="192" ht="19" customHeight="1">
      <x:c r="A192" s="1"/>
      <x:c r="B192" s="1"/>
      <x:c r="C192" s="2" t="n">
        <x:v>32</x:v>
      </x:c>
      <x:c r="D192" s="31" t="n">
        <x:f>IF(OR(C192&gt;=$E$43,INDEX($I$51:$I$147,C192+1)&lt;=0.0000000001),0,IF($E$46=0,$E$44/MIN($E$43,COUNTIF($I$51:$I$110,"&gt;0.0000000001")),IF(C192=$E$45,$E$44,0)))</x:f>
        <x:v>0</x:v>
      </x:c>
      <x:c r="E192" s="31" t="n">
        <x:f>IF(D192=0,0,D192/(INDEX($I$51:$I$147,C192+1)*INDEX($H$51:$H$147,C192+1)))</x:f>
        <x:v>0</x:v>
      </x:c>
      <x:c r="F192" s="31" t="n">
        <x:f>E192*INDEX($G$51:$G$147,C192+1)</x:f>
        <x:v>0</x:v>
      </x:c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</x:row>
    <x:row r="193" ht="19" customHeight="1">
      <x:c r="A193" s="1"/>
      <x:c r="B193" s="1"/>
      <x:c r="C193" s="2" t="n">
        <x:v>33</x:v>
      </x:c>
      <x:c r="D193" s="31" t="n">
        <x:f>IF(OR(C193&gt;=$E$43,INDEX($I$51:$I$147,C193+1)&lt;=0.0000000001),0,IF($E$46=0,$E$44/MIN($E$43,COUNTIF($I$51:$I$110,"&gt;0.0000000001")),IF(C193=$E$45,$E$44,0)))</x:f>
        <x:v>0</x:v>
      </x:c>
      <x:c r="E193" s="31" t="n">
        <x:f>IF(D193=0,0,D193/(INDEX($I$51:$I$147,C193+1)*INDEX($H$51:$H$147,C193+1)))</x:f>
        <x:v>0</x:v>
      </x:c>
      <x:c r="F193" s="31" t="n">
        <x:f>E193*INDEX($G$51:$G$147,C193+1)</x:f>
        <x:v>0</x:v>
      </x:c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</x:row>
    <x:row r="194" ht="19" customHeight="1">
      <x:c r="A194" s="1"/>
      <x:c r="B194" s="1"/>
      <x:c r="C194" s="2" t="n">
        <x:v>34</x:v>
      </x:c>
      <x:c r="D194" s="31" t="n">
        <x:f>IF(OR(C194&gt;=$E$43,INDEX($I$51:$I$147,C194+1)&lt;=0.0000000001),0,IF($E$46=0,$E$44/MIN($E$43,COUNTIF($I$51:$I$110,"&gt;0.0000000001")),IF(C194=$E$45,$E$44,0)))</x:f>
        <x:v>0</x:v>
      </x:c>
      <x:c r="E194" s="31" t="n">
        <x:f>IF(D194=0,0,D194/(INDEX($I$51:$I$147,C194+1)*INDEX($H$51:$H$147,C194+1)))</x:f>
        <x:v>0</x:v>
      </x:c>
      <x:c r="F194" s="31" t="n">
        <x:f>E194*INDEX($G$51:$G$147,C194+1)</x:f>
        <x:v>0</x:v>
      </x:c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</x:row>
    <x:row r="195" ht="19" customHeight="1">
      <x:c r="A195" s="1"/>
      <x:c r="B195" s="1"/>
      <x:c r="C195" s="2" t="n">
        <x:v>35</x:v>
      </x:c>
      <x:c r="D195" s="31" t="n">
        <x:f>IF(OR(C195&gt;=$E$43,INDEX($I$51:$I$147,C195+1)&lt;=0.0000000001),0,IF($E$46=0,$E$44/MIN($E$43,COUNTIF($I$51:$I$110,"&gt;0.0000000001")),IF(C195=$E$45,$E$44,0)))</x:f>
        <x:v>0</x:v>
      </x:c>
      <x:c r="E195" s="31" t="n">
        <x:f>IF(D195=0,0,D195/(INDEX($I$51:$I$147,C195+1)*INDEX($H$51:$H$147,C195+1)))</x:f>
        <x:v>0</x:v>
      </x:c>
      <x:c r="F195" s="31" t="n">
        <x:f>E195*INDEX($G$51:$G$147,C195+1)</x:f>
        <x:v>0</x:v>
      </x:c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</x:row>
    <x:row r="196" ht="19" customHeight="1">
      <x:c r="A196" s="1"/>
      <x:c r="B196" s="1"/>
      <x:c r="C196" s="2" t="n">
        <x:v>36</x:v>
      </x:c>
      <x:c r="D196" s="31" t="n">
        <x:f>IF(OR(C196&gt;=$E$43,INDEX($I$51:$I$147,C196+1)&lt;=0.0000000001),0,IF($E$46=0,$E$44/MIN($E$43,COUNTIF($I$51:$I$110,"&gt;0.0000000001")),IF(C196=$E$45,$E$44,0)))</x:f>
        <x:v>0</x:v>
      </x:c>
      <x:c r="E196" s="31" t="n">
        <x:f>IF(D196=0,0,D196/(INDEX($I$51:$I$147,C196+1)*INDEX($H$51:$H$147,C196+1)))</x:f>
        <x:v>0</x:v>
      </x:c>
      <x:c r="F196" s="31" t="n">
        <x:f>E196*INDEX($G$51:$G$147,C196+1)</x:f>
        <x:v>0</x:v>
      </x:c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</x:row>
    <x:row r="197" ht="19" customHeight="1">
      <x:c r="A197" s="1"/>
      <x:c r="B197" s="1"/>
      <x:c r="C197" s="2" t="n">
        <x:v>37</x:v>
      </x:c>
      <x:c r="D197" s="31" t="n">
        <x:f>IF(OR(C197&gt;=$E$43,INDEX($I$51:$I$147,C197+1)&lt;=0.0000000001),0,IF($E$46=0,$E$44/MIN($E$43,COUNTIF($I$51:$I$110,"&gt;0.0000000001")),IF(C197=$E$45,$E$44,0)))</x:f>
        <x:v>0</x:v>
      </x:c>
      <x:c r="E197" s="31" t="n">
        <x:f>IF(D197=0,0,D197/(INDEX($I$51:$I$147,C197+1)*INDEX($H$51:$H$147,C197+1)))</x:f>
        <x:v>0</x:v>
      </x:c>
      <x:c r="F197" s="31" t="n">
        <x:f>E197*INDEX($G$51:$G$147,C197+1)</x:f>
        <x:v>0</x:v>
      </x:c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</x:row>
    <x:row r="198" ht="19" customHeight="1">
      <x:c r="A198" s="1"/>
      <x:c r="B198" s="1"/>
      <x:c r="C198" s="2" t="n">
        <x:v>38</x:v>
      </x:c>
      <x:c r="D198" s="31" t="n">
        <x:f>IF(OR(C198&gt;=$E$43,INDEX($I$51:$I$147,C198+1)&lt;=0.0000000001),0,IF($E$46=0,$E$44/MIN($E$43,COUNTIF($I$51:$I$110,"&gt;0.0000000001")),IF(C198=$E$45,$E$44,0)))</x:f>
        <x:v>0</x:v>
      </x:c>
      <x:c r="E198" s="31" t="n">
        <x:f>IF(D198=0,0,D198/(INDEX($I$51:$I$147,C198+1)*INDEX($H$51:$H$147,C198+1)))</x:f>
        <x:v>0</x:v>
      </x:c>
      <x:c r="F198" s="31" t="n">
        <x:f>E198*INDEX($G$51:$G$147,C198+1)</x:f>
        <x:v>0</x:v>
      </x:c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</x:row>
    <x:row r="199" ht="19" customHeight="1">
      <x:c r="A199" s="1"/>
      <x:c r="B199" s="1"/>
      <x:c r="C199" s="2" t="n">
        <x:v>39</x:v>
      </x:c>
      <x:c r="D199" s="31" t="n">
        <x:f>IF(OR(C199&gt;=$E$43,INDEX($I$51:$I$147,C199+1)&lt;=0.0000000001),0,IF($E$46=0,$E$44/MIN($E$43,COUNTIF($I$51:$I$110,"&gt;0.0000000001")),IF(C199=$E$45,$E$44,0)))</x:f>
        <x:v>0</x:v>
      </x:c>
      <x:c r="E199" s="31" t="n">
        <x:f>IF(D199=0,0,D199/(INDEX($I$51:$I$147,C199+1)*INDEX($H$51:$H$147,C199+1)))</x:f>
        <x:v>0</x:v>
      </x:c>
      <x:c r="F199" s="31" t="n">
        <x:f>E199*INDEX($G$51:$G$147,C199+1)</x:f>
        <x:v>0</x:v>
      </x:c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</x:row>
    <x:row r="200" ht="19" customHeight="1">
      <x:c r="A200" s="1"/>
      <x:c r="B200" s="1"/>
      <x:c r="C200" s="2" t="n">
        <x:v>40</x:v>
      </x:c>
      <x:c r="D200" s="31" t="n">
        <x:f>IF(OR(C200&gt;=$E$43,INDEX($I$51:$I$147,C200+1)&lt;=0.0000000001),0,IF($E$46=0,$E$44/MIN($E$43,COUNTIF($I$51:$I$110,"&gt;0.0000000001")),IF(C200=$E$45,$E$44,0)))</x:f>
        <x:v>0</x:v>
      </x:c>
      <x:c r="E200" s="31" t="n">
        <x:f>IF(D200=0,0,D200/(INDEX($I$51:$I$147,C200+1)*INDEX($H$51:$H$147,C200+1)))</x:f>
        <x:v>0</x:v>
      </x:c>
      <x:c r="F200" s="31" t="n">
        <x:f>E200*INDEX($G$51:$G$147,C200+1)</x:f>
        <x:v>0</x:v>
      </x:c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</x:row>
    <x:row r="201" ht="19" customHeight="1">
      <x:c r="A201" s="1"/>
      <x:c r="B201" s="1"/>
      <x:c r="C201" s="2" t="n">
        <x:v>41</x:v>
      </x:c>
      <x:c r="D201" s="31" t="n">
        <x:f>IF(OR(C201&gt;=$E$43,INDEX($I$51:$I$147,C201+1)&lt;=0.0000000001),0,IF($E$46=0,$E$44/MIN($E$43,COUNTIF($I$51:$I$110,"&gt;0.0000000001")),IF(C201=$E$45,$E$44,0)))</x:f>
        <x:v>0</x:v>
      </x:c>
      <x:c r="E201" s="31" t="n">
        <x:f>IF(D201=0,0,D201/(INDEX($I$51:$I$147,C201+1)*INDEX($H$51:$H$147,C201+1)))</x:f>
        <x:v>0</x:v>
      </x:c>
      <x:c r="F201" s="31" t="n">
        <x:f>E201*INDEX($G$51:$G$147,C201+1)</x:f>
        <x:v>0</x:v>
      </x:c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</x:row>
    <x:row r="202" ht="19" customHeight="1">
      <x:c r="A202" s="1"/>
      <x:c r="B202" s="1"/>
      <x:c r="C202" s="2" t="n">
        <x:v>42</x:v>
      </x:c>
      <x:c r="D202" s="31" t="n">
        <x:f>IF(OR(C202&gt;=$E$43,INDEX($I$51:$I$147,C202+1)&lt;=0.0000000001),0,IF($E$46=0,$E$44/MIN($E$43,COUNTIF($I$51:$I$110,"&gt;0.0000000001")),IF(C202=$E$45,$E$44,0)))</x:f>
        <x:v>0</x:v>
      </x:c>
      <x:c r="E202" s="31" t="n">
        <x:f>IF(D202=0,0,D202/(INDEX($I$51:$I$147,C202+1)*INDEX($H$51:$H$147,C202+1)))</x:f>
        <x:v>0</x:v>
      </x:c>
      <x:c r="F202" s="31" t="n">
        <x:f>E202*INDEX($G$51:$G$147,C202+1)</x:f>
        <x:v>0</x:v>
      </x:c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</x:row>
    <x:row r="203" ht="19" customHeight="1">
      <x:c r="A203" s="1"/>
      <x:c r="B203" s="1"/>
      <x:c r="C203" s="2" t="n">
        <x:v>43</x:v>
      </x:c>
      <x:c r="D203" s="31" t="n">
        <x:f>IF(OR(C203&gt;=$E$43,INDEX($I$51:$I$147,C203+1)&lt;=0.0000000001),0,IF($E$46=0,$E$44/MIN($E$43,COUNTIF($I$51:$I$110,"&gt;0.0000000001")),IF(C203=$E$45,$E$44,0)))</x:f>
        <x:v>0</x:v>
      </x:c>
      <x:c r="E203" s="31" t="n">
        <x:f>IF(D203=0,0,D203/(INDEX($I$51:$I$147,C203+1)*INDEX($H$51:$H$147,C203+1)))</x:f>
        <x:v>0</x:v>
      </x:c>
      <x:c r="F203" s="31" t="n">
        <x:f>E203*INDEX($G$51:$G$147,C203+1)</x:f>
        <x:v>0</x:v>
      </x:c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</x:row>
    <x:row r="204" ht="19" customHeight="1">
      <x:c r="A204" s="1"/>
      <x:c r="B204" s="1"/>
      <x:c r="C204" s="2" t="n">
        <x:v>44</x:v>
      </x:c>
      <x:c r="D204" s="31" t="n">
        <x:f>IF(OR(C204&gt;=$E$43,INDEX($I$51:$I$147,C204+1)&lt;=0.0000000001),0,IF($E$46=0,$E$44/MIN($E$43,COUNTIF($I$51:$I$110,"&gt;0.0000000001")),IF(C204=$E$45,$E$44,0)))</x:f>
        <x:v>0</x:v>
      </x:c>
      <x:c r="E204" s="31" t="n">
        <x:f>IF(D204=0,0,D204/(INDEX($I$51:$I$147,C204+1)*INDEX($H$51:$H$147,C204+1)))</x:f>
        <x:v>0</x:v>
      </x:c>
      <x:c r="F204" s="31" t="n">
        <x:f>E204*INDEX($G$51:$G$147,C204+1)</x:f>
        <x:v>0</x:v>
      </x:c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</x:row>
    <x:row r="205" ht="19" customHeight="1">
      <x:c r="A205" s="1"/>
      <x:c r="B205" s="1"/>
      <x:c r="C205" s="2" t="n">
        <x:v>45</x:v>
      </x:c>
      <x:c r="D205" s="31" t="n">
        <x:f>IF(OR(C205&gt;=$E$43,INDEX($I$51:$I$147,C205+1)&lt;=0.0000000001),0,IF($E$46=0,$E$44/MIN($E$43,COUNTIF($I$51:$I$110,"&gt;0.0000000001")),IF(C205=$E$45,$E$44,0)))</x:f>
        <x:v>0</x:v>
      </x:c>
      <x:c r="E205" s="31" t="n">
        <x:f>IF(D205=0,0,D205/(INDEX($I$51:$I$147,C205+1)*INDEX($H$51:$H$147,C205+1)))</x:f>
        <x:v>0</x:v>
      </x:c>
      <x:c r="F205" s="31" t="n">
        <x:f>E205*INDEX($G$51:$G$147,C205+1)</x:f>
        <x:v>0</x:v>
      </x:c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</x:row>
    <x:row r="206" ht="19" customHeight="1">
      <x:c r="A206" s="1"/>
      <x:c r="B206" s="1"/>
      <x:c r="C206" s="2" t="n">
        <x:v>46</x:v>
      </x:c>
      <x:c r="D206" s="31" t="n">
        <x:f>IF(OR(C206&gt;=$E$43,INDEX($I$51:$I$147,C206+1)&lt;=0.0000000001),0,IF($E$46=0,$E$44/MIN($E$43,COUNTIF($I$51:$I$110,"&gt;0.0000000001")),IF(C206=$E$45,$E$44,0)))</x:f>
        <x:v>0</x:v>
      </x:c>
      <x:c r="E206" s="31" t="n">
        <x:f>IF(D206=0,0,D206/(INDEX($I$51:$I$147,C206+1)*INDEX($H$51:$H$147,C206+1)))</x:f>
        <x:v>0</x:v>
      </x:c>
      <x:c r="F206" s="31" t="n">
        <x:f>E206*INDEX($G$51:$G$147,C206+1)</x:f>
        <x:v>0</x:v>
      </x:c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</x:row>
    <x:row r="207" ht="19" customHeight="1">
      <x:c r="A207" s="1"/>
      <x:c r="B207" s="1"/>
      <x:c r="C207" s="2" t="n">
        <x:v>47</x:v>
      </x:c>
      <x:c r="D207" s="31" t="n">
        <x:f>IF(OR(C207&gt;=$E$43,INDEX($I$51:$I$147,C207+1)&lt;=0.0000000001),0,IF($E$46=0,$E$44/MIN($E$43,COUNTIF($I$51:$I$110,"&gt;0.0000000001")),IF(C207=$E$45,$E$44,0)))</x:f>
        <x:v>0</x:v>
      </x:c>
      <x:c r="E207" s="31" t="n">
        <x:f>IF(D207=0,0,D207/(INDEX($I$51:$I$147,C207+1)*INDEX($H$51:$H$147,C207+1)))</x:f>
        <x:v>0</x:v>
      </x:c>
      <x:c r="F207" s="31" t="n">
        <x:f>E207*INDEX($G$51:$G$147,C207+1)</x:f>
        <x:v>0</x:v>
      </x:c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</x:row>
    <x:row r="208" ht="19" customHeight="1">
      <x:c r="A208" s="1"/>
      <x:c r="B208" s="1"/>
      <x:c r="C208" s="2" t="n">
        <x:v>48</x:v>
      </x:c>
      <x:c r="D208" s="31" t="n">
        <x:f>IF(OR(C208&gt;=$E$43,INDEX($I$51:$I$147,C208+1)&lt;=0.0000000001),0,IF($E$46=0,$E$44/MIN($E$43,COUNTIF($I$51:$I$110,"&gt;0.0000000001")),IF(C208=$E$45,$E$44,0)))</x:f>
        <x:v>0</x:v>
      </x:c>
      <x:c r="E208" s="31" t="n">
        <x:f>IF(D208=0,0,D208/(INDEX($I$51:$I$147,C208+1)*INDEX($H$51:$H$147,C208+1)))</x:f>
        <x:v>0</x:v>
      </x:c>
      <x:c r="F208" s="31" t="n">
        <x:f>E208*INDEX($G$51:$G$147,C208+1)</x:f>
        <x:v>0</x:v>
      </x:c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</x:row>
    <x:row r="209" ht="19" customHeight="1">
      <x:c r="A209" s="1"/>
      <x:c r="B209" s="1"/>
      <x:c r="C209" s="2" t="n">
        <x:v>49</x:v>
      </x:c>
      <x:c r="D209" s="31" t="n">
        <x:f>IF(OR(C209&gt;=$E$43,INDEX($I$51:$I$147,C209+1)&lt;=0.0000000001),0,IF($E$46=0,$E$44/MIN($E$43,COUNTIF($I$51:$I$110,"&gt;0.0000000001")),IF(C209=$E$45,$E$44,0)))</x:f>
        <x:v>0</x:v>
      </x:c>
      <x:c r="E209" s="31" t="n">
        <x:f>IF(D209=0,0,D209/(INDEX($I$51:$I$147,C209+1)*INDEX($H$51:$H$147,C209+1)))</x:f>
        <x:v>0</x:v>
      </x:c>
      <x:c r="F209" s="31" t="n">
        <x:f>E209*INDEX($G$51:$G$147,C209+1)</x:f>
        <x:v>0</x:v>
      </x:c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</x:row>
    <x:row r="210" ht="19" customHeight="1">
      <x:c r="A210" s="1"/>
      <x:c r="B210" s="1"/>
      <x:c r="C210" s="2" t="n">
        <x:v>50</x:v>
      </x:c>
      <x:c r="D210" s="31" t="n">
        <x:f>IF(OR(C210&gt;=$E$43,INDEX($I$51:$I$147,C210+1)&lt;=0.0000000001),0,IF($E$46=0,$E$44/MIN($E$43,COUNTIF($I$51:$I$110,"&gt;0.0000000001")),IF(C210=$E$45,$E$44,0)))</x:f>
        <x:v>0</x:v>
      </x:c>
      <x:c r="E210" s="31" t="n">
        <x:f>IF(D210=0,0,D210/(INDEX($I$51:$I$147,C210+1)*INDEX($H$51:$H$147,C210+1)))</x:f>
        <x:v>0</x:v>
      </x:c>
      <x:c r="F210" s="31" t="n">
        <x:f>E210*INDEX($G$51:$G$147,C210+1)</x:f>
        <x:v>0</x:v>
      </x:c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</x:row>
    <x:row r="211" ht="19" customHeight="1">
      <x:c r="A211" s="1"/>
      <x:c r="B211" s="1"/>
      <x:c r="C211" s="2" t="n">
        <x:v>51</x:v>
      </x:c>
      <x:c r="D211" s="31" t="n">
        <x:f>IF(OR(C211&gt;=$E$43,INDEX($I$51:$I$147,C211+1)&lt;=0.0000000001),0,IF($E$46=0,$E$44/MIN($E$43,COUNTIF($I$51:$I$110,"&gt;0.0000000001")),IF(C211=$E$45,$E$44,0)))</x:f>
        <x:v>0</x:v>
      </x:c>
      <x:c r="E211" s="31" t="n">
        <x:f>IF(D211=0,0,D211/(INDEX($I$51:$I$147,C211+1)*INDEX($H$51:$H$147,C211+1)))</x:f>
        <x:v>0</x:v>
      </x:c>
      <x:c r="F211" s="31" t="n">
        <x:f>E211*INDEX($G$51:$G$147,C211+1)</x:f>
        <x:v>0</x:v>
      </x:c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</x:row>
    <x:row r="212" ht="19" customHeight="1">
      <x:c r="A212" s="1"/>
      <x:c r="B212" s="1"/>
      <x:c r="C212" s="2" t="n">
        <x:v>52</x:v>
      </x:c>
      <x:c r="D212" s="31" t="n">
        <x:f>IF(OR(C212&gt;=$E$43,INDEX($I$51:$I$147,C212+1)&lt;=0.0000000001),0,IF($E$46=0,$E$44/MIN($E$43,COUNTIF($I$51:$I$110,"&gt;0.0000000001")),IF(C212=$E$45,$E$44,0)))</x:f>
        <x:v>0</x:v>
      </x:c>
      <x:c r="E212" s="31" t="n">
        <x:f>IF(D212=0,0,D212/(INDEX($I$51:$I$147,C212+1)*INDEX($H$51:$H$147,C212+1)))</x:f>
        <x:v>0</x:v>
      </x:c>
      <x:c r="F212" s="31" t="n">
        <x:f>E212*INDEX($G$51:$G$147,C212+1)</x:f>
        <x:v>0</x:v>
      </x:c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</x:row>
    <x:row r="213" ht="19" customHeight="1">
      <x:c r="A213" s="1"/>
      <x:c r="B213" s="1"/>
      <x:c r="C213" s="2" t="n">
        <x:v>53</x:v>
      </x:c>
      <x:c r="D213" s="31" t="n">
        <x:f>IF(OR(C213&gt;=$E$43,INDEX($I$51:$I$147,C213+1)&lt;=0.0000000001),0,IF($E$46=0,$E$44/MIN($E$43,COUNTIF($I$51:$I$110,"&gt;0.0000000001")),IF(C213=$E$45,$E$44,0)))</x:f>
        <x:v>0</x:v>
      </x:c>
      <x:c r="E213" s="31" t="n">
        <x:f>IF(D213=0,0,D213/(INDEX($I$51:$I$147,C213+1)*INDEX($H$51:$H$147,C213+1)))</x:f>
        <x:v>0</x:v>
      </x:c>
      <x:c r="F213" s="31" t="n">
        <x:f>E213*INDEX($G$51:$G$147,C213+1)</x:f>
        <x:v>0</x:v>
      </x:c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</x:row>
    <x:row r="214" ht="19" customHeight="1">
      <x:c r="A214" s="1"/>
      <x:c r="B214" s="1"/>
      <x:c r="C214" s="2" t="n">
        <x:v>54</x:v>
      </x:c>
      <x:c r="D214" s="31" t="n">
        <x:f>IF(OR(C214&gt;=$E$43,INDEX($I$51:$I$147,C214+1)&lt;=0.0000000001),0,IF($E$46=0,$E$44/MIN($E$43,COUNTIF($I$51:$I$110,"&gt;0.0000000001")),IF(C214=$E$45,$E$44,0)))</x:f>
        <x:v>0</x:v>
      </x:c>
      <x:c r="E214" s="31" t="n">
        <x:f>IF(D214=0,0,D214/(INDEX($I$51:$I$147,C214+1)*INDEX($H$51:$H$147,C214+1)))</x:f>
        <x:v>0</x:v>
      </x:c>
      <x:c r="F214" s="31" t="n">
        <x:f>E214*INDEX($G$51:$G$147,C214+1)</x:f>
        <x:v>0</x:v>
      </x:c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</x:row>
    <x:row r="215" ht="19" customHeight="1">
      <x:c r="A215" s="1"/>
      <x:c r="B215" s="1"/>
      <x:c r="C215" s="2" t="n">
        <x:v>55</x:v>
      </x:c>
      <x:c r="D215" s="31" t="n">
        <x:f>IF(OR(C215&gt;=$E$43,INDEX($I$51:$I$147,C215+1)&lt;=0.0000000001),0,IF($E$46=0,$E$44/MIN($E$43,COUNTIF($I$51:$I$110,"&gt;0.0000000001")),IF(C215=$E$45,$E$44,0)))</x:f>
        <x:v>0</x:v>
      </x:c>
      <x:c r="E215" s="31" t="n">
        <x:f>IF(D215=0,0,D215/(INDEX($I$51:$I$147,C215+1)*INDEX($H$51:$H$147,C215+1)))</x:f>
        <x:v>0</x:v>
      </x:c>
      <x:c r="F215" s="31" t="n">
        <x:f>E215*INDEX($G$51:$G$147,C215+1)</x:f>
        <x:v>0</x:v>
      </x:c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</x:row>
    <x:row r="216" ht="19" customHeight="1">
      <x:c r="A216" s="1"/>
      <x:c r="B216" s="1"/>
      <x:c r="C216" s="2" t="n">
        <x:v>56</x:v>
      </x:c>
      <x:c r="D216" s="31" t="n">
        <x:f>IF(OR(C216&gt;=$E$43,INDEX($I$51:$I$147,C216+1)&lt;=0.0000000001),0,IF($E$46=0,$E$44/MIN($E$43,COUNTIF($I$51:$I$110,"&gt;0.0000000001")),IF(C216=$E$45,$E$44,0)))</x:f>
        <x:v>0</x:v>
      </x:c>
      <x:c r="E216" s="31" t="n">
        <x:f>IF(D216=0,0,D216/(INDEX($I$51:$I$147,C216+1)*INDEX($H$51:$H$147,C216+1)))</x:f>
        <x:v>0</x:v>
      </x:c>
      <x:c r="F216" s="31" t="n">
        <x:f>E216*INDEX($G$51:$G$147,C216+1)</x:f>
        <x:v>0</x:v>
      </x:c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</x:row>
    <x:row r="217" ht="19" customHeight="1">
      <x:c r="A217" s="1"/>
      <x:c r="B217" s="1"/>
      <x:c r="C217" s="2" t="n">
        <x:v>57</x:v>
      </x:c>
      <x:c r="D217" s="31" t="n">
        <x:f>IF(OR(C217&gt;=$E$43,INDEX($I$51:$I$147,C217+1)&lt;=0.0000000001),0,IF($E$46=0,$E$44/MIN($E$43,COUNTIF($I$51:$I$110,"&gt;0.0000000001")),IF(C217=$E$45,$E$44,0)))</x:f>
        <x:v>0</x:v>
      </x:c>
      <x:c r="E217" s="31" t="n">
        <x:f>IF(D217=0,0,D217/(INDEX($I$51:$I$147,C217+1)*INDEX($H$51:$H$147,C217+1)))</x:f>
        <x:v>0</x:v>
      </x:c>
      <x:c r="F217" s="31" t="n">
        <x:f>E217*INDEX($G$51:$G$147,C217+1)</x:f>
        <x:v>0</x:v>
      </x:c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</x:row>
    <x:row r="218" ht="19" customHeight="1">
      <x:c r="A218" s="1"/>
      <x:c r="B218" s="1"/>
      <x:c r="C218" s="2" t="n">
        <x:v>58</x:v>
      </x:c>
      <x:c r="D218" s="31" t="n">
        <x:f>IF(OR(C218&gt;=$E$43,INDEX($I$51:$I$147,C218+1)&lt;=0.0000000001),0,IF($E$46=0,$E$44/MIN($E$43,COUNTIF($I$51:$I$110,"&gt;0.0000000001")),IF(C218=$E$45,$E$44,0)))</x:f>
        <x:v>0</x:v>
      </x:c>
      <x:c r="E218" s="31" t="n">
        <x:f>IF(D218=0,0,D218/(INDEX($I$51:$I$147,C218+1)*INDEX($H$51:$H$147,C218+1)))</x:f>
        <x:v>0</x:v>
      </x:c>
      <x:c r="F218" s="31" t="n">
        <x:f>E218*INDEX($G$51:$G$147,C218+1)</x:f>
        <x:v>0</x:v>
      </x:c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</x:row>
    <x:row r="219" ht="19" customHeight="1">
      <x:c r="A219" s="1"/>
      <x:c r="B219" s="1"/>
      <x:c r="C219" s="2" t="n">
        <x:v>59</x:v>
      </x:c>
      <x:c r="D219" s="31" t="n">
        <x:f>IF(OR(C219&gt;=$E$43,INDEX($I$51:$I$147,C219+1)&lt;=0.0000000001),0,IF($E$46=0,$E$44/MIN($E$43,COUNTIF($I$51:$I$110,"&gt;0.0000000001")),IF(C219=$E$45,$E$44,0)))</x:f>
        <x:v>0</x:v>
      </x:c>
      <x:c r="E219" s="31" t="n">
        <x:f>IF(D219=0,0,D219/(INDEX($I$51:$I$147,C219+1)*INDEX($H$51:$H$147,C219+1)))</x:f>
        <x:v>0</x:v>
      </x:c>
      <x:c r="F219" s="31" t="n">
        <x:f>E219*INDEX($G$51:$G$147,C219+1)</x:f>
        <x:v>0</x:v>
      </x:c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</x:row>
  </x:sheetData>
  <x:conditionalFormatting sqref="G35:AP37">
    <x:cfRule type="expression" dxfId="0" priority="1">
      <x:formula>ABS(G35)&gt;0.01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</x:cols>
  <x:sheetData>
    <x:row r="1" ht="19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</x:row>
    <x:row r="2" ht="19" customHeight="1">
      <x:c r="A2" s="1"/>
      <x:c r="B2" s="1"/>
      <x:c r="C2" s="3" t="str">
        <x:v>CF Installment</x:v>
      </x:c>
      <x:c r="D2" s="3"/>
      <x:c r="E2" s="3"/>
      <x:c r="F2" s="3"/>
      <x:c r="G2" s="3"/>
      <x:c r="H2" s="3"/>
      <x:c r="I2" s="3"/>
      <x:c r="J2" s="3"/>
      <x:c r="K2" s="3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</x:row>
    <x:row r="3" ht="19" customHeight="1">
      <x:c r="A3" s="1"/>
      <x:c r="B3" s="1"/>
      <x:c r="C3" s="2" t="str">
        <x:v>Exported scenario</x:v>
      </x:c>
      <x:c r="D3" s="2"/>
      <x:c r="E3" s="4" t="str">
        <x:f>'Assumptions'!$E$8</x:f>
        <x:v>Base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</x:row>
    <x:row r="4" ht="19" customHeight="1">
      <x:c r="A4" s="1"/>
      <x:c r="B4" s="1"/>
      <x:c r="C4" s="2" t="str">
        <x:v>USD thousands unless noted. Months run left to right. Detailed curve and opening cohorts below.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</x:row>
    <x:row r="5" ht="19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</x:row>
    <x:row r="6" ht="19" customHeight="1">
      <x:c r="A6" s="1"/>
      <x:c r="B6" s="1"/>
      <x:c r="C6" s="6"/>
      <x:c r="D6" s="6"/>
      <x:c r="E6" s="6" t="str">
        <x:v>Horizon total / end</x:v>
      </x:c>
      <x:c r="F6" s="6"/>
      <x:c r="G6" s="21" t="n">
        <x:v>1</x:v>
      </x:c>
      <x:c r="H6" s="21" t="n">
        <x:v>2</x:v>
      </x:c>
      <x:c r="I6" s="21" t="n">
        <x:v>3</x:v>
      </x:c>
      <x:c r="J6" s="21" t="n">
        <x:v>4</x:v>
      </x:c>
      <x:c r="K6" s="21" t="n">
        <x:v>5</x:v>
      </x:c>
      <x:c r="L6" s="21" t="n">
        <x:v>6</x:v>
      </x:c>
      <x:c r="M6" s="21" t="n">
        <x:v>7</x:v>
      </x:c>
      <x:c r="N6" s="21" t="n">
        <x:v>8</x:v>
      </x:c>
      <x:c r="O6" s="21" t="n">
        <x:v>9</x:v>
      </x:c>
      <x:c r="P6" s="21" t="n">
        <x:v>10</x:v>
      </x:c>
      <x:c r="Q6" s="21" t="n">
        <x:v>11</x:v>
      </x:c>
      <x:c r="R6" s="21" t="n">
        <x:v>12</x:v>
      </x:c>
      <x:c r="S6" s="21" t="n">
        <x:v>13</x:v>
      </x:c>
      <x:c r="T6" s="21" t="n">
        <x:v>14</x:v>
      </x:c>
      <x:c r="U6" s="21" t="n">
        <x:v>15</x:v>
      </x:c>
      <x:c r="V6" s="21" t="n">
        <x:v>16</x:v>
      </x:c>
      <x:c r="W6" s="21" t="n">
        <x:v>17</x:v>
      </x:c>
      <x:c r="X6" s="21" t="n">
        <x:v>18</x:v>
      </x:c>
      <x:c r="Y6" s="21" t="n">
        <x:v>19</x:v>
      </x:c>
      <x:c r="Z6" s="21" t="n">
        <x:v>20</x:v>
      </x:c>
      <x:c r="AA6" s="21" t="n">
        <x:v>21</x:v>
      </x:c>
      <x:c r="AB6" s="21" t="n">
        <x:v>22</x:v>
      </x:c>
      <x:c r="AC6" s="21" t="n">
        <x:v>23</x:v>
      </x:c>
      <x:c r="AD6" s="21" t="n">
        <x:v>24</x:v>
      </x:c>
      <x:c r="AE6" s="21" t="n">
        <x:v>25</x:v>
      </x:c>
      <x:c r="AF6" s="21" t="n">
        <x:v>26</x:v>
      </x:c>
      <x:c r="AG6" s="21" t="n">
        <x:v>27</x:v>
      </x:c>
      <x:c r="AH6" s="21" t="n">
        <x:v>28</x:v>
      </x:c>
      <x:c r="AI6" s="21" t="n">
        <x:v>29</x:v>
      </x:c>
      <x:c r="AJ6" s="21" t="n">
        <x:v>30</x:v>
      </x:c>
      <x:c r="AK6" s="21" t="n">
        <x:v>31</x:v>
      </x:c>
      <x:c r="AL6" s="21" t="n">
        <x:v>32</x:v>
      </x:c>
      <x:c r="AM6" s="21" t="n">
        <x:v>33</x:v>
      </x:c>
      <x:c r="AN6" s="21" t="n">
        <x:v>34</x:v>
      </x:c>
      <x:c r="AO6" s="21" t="n">
        <x:v>35</x:v>
      </x:c>
      <x:c r="AP6" s="21" t="n">
        <x:v>36</x:v>
      </x:c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</x:row>
    <x:row r="7" ht="19" customHeight="1">
      <x:c r="A7" s="1"/>
      <x:c r="B7" s="1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</x:row>
    <x:row r="8" ht="19" customHeight="1">
      <x:c r="A8" s="1"/>
      <x:c r="B8" s="1"/>
      <x:c r="C8" s="2" t="str">
        <x:v>Applications</x:v>
      </x:c>
      <x:c r="D8" s="2"/>
      <x:c r="E8" s="37" t="n">
        <x:f>SUMIFS(G8:AP8,$G$6:$AP$6,"&lt;="&amp;'Assumptions'!$E$7)</x:f>
        <x:v>230400</x:v>
      </x:c>
      <x:c r="F8" s="2"/>
      <x:c r="G8" s="32" t="n">
        <x:f>'Assumptions'!$F$11*(1+'Assumptions'!$F$12)^(G$6-1)*INDEX('Assumptions'!$F$34:$F$45,MOD(G$6-1,12)+1)*'Assumptions'!$E$29</x:f>
        <x:v>9600</x:v>
      </x:c>
      <x:c r="H8" s="32" t="n">
        <x:f>'Assumptions'!$F$11*(1+'Assumptions'!$F$12)^(H$6-1)*INDEX('Assumptions'!$F$34:$F$45,MOD(H$6-1,12)+1)*'Assumptions'!$E$29</x:f>
        <x:v>9600</x:v>
      </x:c>
      <x:c r="I8" s="32" t="n">
        <x:f>'Assumptions'!$F$11*(1+'Assumptions'!$F$12)^(I$6-1)*INDEX('Assumptions'!$F$34:$F$45,MOD(I$6-1,12)+1)*'Assumptions'!$E$29</x:f>
        <x:v>9600</x:v>
      </x:c>
      <x:c r="J8" s="32" t="n">
        <x:f>'Assumptions'!$F$11*(1+'Assumptions'!$F$12)^(J$6-1)*INDEX('Assumptions'!$F$34:$F$45,MOD(J$6-1,12)+1)*'Assumptions'!$E$29</x:f>
        <x:v>9600</x:v>
      </x:c>
      <x:c r="K8" s="32" t="n">
        <x:f>'Assumptions'!$F$11*(1+'Assumptions'!$F$12)^(K$6-1)*INDEX('Assumptions'!$F$34:$F$45,MOD(K$6-1,12)+1)*'Assumptions'!$E$29</x:f>
        <x:v>9600</x:v>
      </x:c>
      <x:c r="L8" s="32" t="n">
        <x:f>'Assumptions'!$F$11*(1+'Assumptions'!$F$12)^(L$6-1)*INDEX('Assumptions'!$F$34:$F$45,MOD(L$6-1,12)+1)*'Assumptions'!$E$29</x:f>
        <x:v>9600</x:v>
      </x:c>
      <x:c r="M8" s="32" t="n">
        <x:f>'Assumptions'!$F$11*(1+'Assumptions'!$F$12)^(M$6-1)*INDEX('Assumptions'!$F$34:$F$45,MOD(M$6-1,12)+1)*'Assumptions'!$E$29</x:f>
        <x:v>9600</x:v>
      </x:c>
      <x:c r="N8" s="32" t="n">
        <x:f>'Assumptions'!$F$11*(1+'Assumptions'!$F$12)^(N$6-1)*INDEX('Assumptions'!$F$34:$F$45,MOD(N$6-1,12)+1)*'Assumptions'!$E$29</x:f>
        <x:v>9600</x:v>
      </x:c>
      <x:c r="O8" s="32" t="n">
        <x:f>'Assumptions'!$F$11*(1+'Assumptions'!$F$12)^(O$6-1)*INDEX('Assumptions'!$F$34:$F$45,MOD(O$6-1,12)+1)*'Assumptions'!$E$29</x:f>
        <x:v>9600</x:v>
      </x:c>
      <x:c r="P8" s="32" t="n">
        <x:f>'Assumptions'!$F$11*(1+'Assumptions'!$F$12)^(P$6-1)*INDEX('Assumptions'!$F$34:$F$45,MOD(P$6-1,12)+1)*'Assumptions'!$E$29</x:f>
        <x:v>9600</x:v>
      </x:c>
      <x:c r="Q8" s="32" t="n">
        <x:f>'Assumptions'!$F$11*(1+'Assumptions'!$F$12)^(Q$6-1)*INDEX('Assumptions'!$F$34:$F$45,MOD(Q$6-1,12)+1)*'Assumptions'!$E$29</x:f>
        <x:v>9600</x:v>
      </x:c>
      <x:c r="R8" s="32" t="n">
        <x:f>'Assumptions'!$F$11*(1+'Assumptions'!$F$12)^(R$6-1)*INDEX('Assumptions'!$F$34:$F$45,MOD(R$6-1,12)+1)*'Assumptions'!$E$29</x:f>
        <x:v>9600</x:v>
      </x:c>
      <x:c r="S8" s="32" t="n">
        <x:f>'Assumptions'!$F$11*(1+'Assumptions'!$F$12)^(S$6-1)*INDEX('Assumptions'!$F$34:$F$45,MOD(S$6-1,12)+1)*'Assumptions'!$E$29</x:f>
        <x:v>9600</x:v>
      </x:c>
      <x:c r="T8" s="32" t="n">
        <x:f>'Assumptions'!$F$11*(1+'Assumptions'!$F$12)^(T$6-1)*INDEX('Assumptions'!$F$34:$F$45,MOD(T$6-1,12)+1)*'Assumptions'!$E$29</x:f>
        <x:v>9600</x:v>
      </x:c>
      <x:c r="U8" s="32" t="n">
        <x:f>'Assumptions'!$F$11*(1+'Assumptions'!$F$12)^(U$6-1)*INDEX('Assumptions'!$F$34:$F$45,MOD(U$6-1,12)+1)*'Assumptions'!$E$29</x:f>
        <x:v>9600</x:v>
      </x:c>
      <x:c r="V8" s="32" t="n">
        <x:f>'Assumptions'!$F$11*(1+'Assumptions'!$F$12)^(V$6-1)*INDEX('Assumptions'!$F$34:$F$45,MOD(V$6-1,12)+1)*'Assumptions'!$E$29</x:f>
        <x:v>9600</x:v>
      </x:c>
      <x:c r="W8" s="32" t="n">
        <x:f>'Assumptions'!$F$11*(1+'Assumptions'!$F$12)^(W$6-1)*INDEX('Assumptions'!$F$34:$F$45,MOD(W$6-1,12)+1)*'Assumptions'!$E$29</x:f>
        <x:v>9600</x:v>
      </x:c>
      <x:c r="X8" s="32" t="n">
        <x:f>'Assumptions'!$F$11*(1+'Assumptions'!$F$12)^(X$6-1)*INDEX('Assumptions'!$F$34:$F$45,MOD(X$6-1,12)+1)*'Assumptions'!$E$29</x:f>
        <x:v>9600</x:v>
      </x:c>
      <x:c r="Y8" s="32" t="n">
        <x:f>'Assumptions'!$F$11*(1+'Assumptions'!$F$12)^(Y$6-1)*INDEX('Assumptions'!$F$34:$F$45,MOD(Y$6-1,12)+1)*'Assumptions'!$E$29</x:f>
        <x:v>9600</x:v>
      </x:c>
      <x:c r="Z8" s="32" t="n">
        <x:f>'Assumptions'!$F$11*(1+'Assumptions'!$F$12)^(Z$6-1)*INDEX('Assumptions'!$F$34:$F$45,MOD(Z$6-1,12)+1)*'Assumptions'!$E$29</x:f>
        <x:v>9600</x:v>
      </x:c>
      <x:c r="AA8" s="32" t="n">
        <x:f>'Assumptions'!$F$11*(1+'Assumptions'!$F$12)^(AA$6-1)*INDEX('Assumptions'!$F$34:$F$45,MOD(AA$6-1,12)+1)*'Assumptions'!$E$29</x:f>
        <x:v>9600</x:v>
      </x:c>
      <x:c r="AB8" s="32" t="n">
        <x:f>'Assumptions'!$F$11*(1+'Assumptions'!$F$12)^(AB$6-1)*INDEX('Assumptions'!$F$34:$F$45,MOD(AB$6-1,12)+1)*'Assumptions'!$E$29</x:f>
        <x:v>9600</x:v>
      </x:c>
      <x:c r="AC8" s="32" t="n">
        <x:f>'Assumptions'!$F$11*(1+'Assumptions'!$F$12)^(AC$6-1)*INDEX('Assumptions'!$F$34:$F$45,MOD(AC$6-1,12)+1)*'Assumptions'!$E$29</x:f>
        <x:v>9600</x:v>
      </x:c>
      <x:c r="AD8" s="32" t="n">
        <x:f>'Assumptions'!$F$11*(1+'Assumptions'!$F$12)^(AD$6-1)*INDEX('Assumptions'!$F$34:$F$45,MOD(AD$6-1,12)+1)*'Assumptions'!$E$29</x:f>
        <x:v>9600</x:v>
      </x:c>
      <x:c r="AE8" s="32" t="n">
        <x:f>'Assumptions'!$F$11*(1+'Assumptions'!$F$12)^(AE$6-1)*INDEX('Assumptions'!$F$34:$F$45,MOD(AE$6-1,12)+1)*'Assumptions'!$E$29</x:f>
        <x:v>9600</x:v>
      </x:c>
      <x:c r="AF8" s="32" t="n">
        <x:f>'Assumptions'!$F$11*(1+'Assumptions'!$F$12)^(AF$6-1)*INDEX('Assumptions'!$F$34:$F$45,MOD(AF$6-1,12)+1)*'Assumptions'!$E$29</x:f>
        <x:v>9600</x:v>
      </x:c>
      <x:c r="AG8" s="32" t="n">
        <x:f>'Assumptions'!$F$11*(1+'Assumptions'!$F$12)^(AG$6-1)*INDEX('Assumptions'!$F$34:$F$45,MOD(AG$6-1,12)+1)*'Assumptions'!$E$29</x:f>
        <x:v>9600</x:v>
      </x:c>
      <x:c r="AH8" s="32" t="n">
        <x:f>'Assumptions'!$F$11*(1+'Assumptions'!$F$12)^(AH$6-1)*INDEX('Assumptions'!$F$34:$F$45,MOD(AH$6-1,12)+1)*'Assumptions'!$E$29</x:f>
        <x:v>9600</x:v>
      </x:c>
      <x:c r="AI8" s="32" t="n">
        <x:f>'Assumptions'!$F$11*(1+'Assumptions'!$F$12)^(AI$6-1)*INDEX('Assumptions'!$F$34:$F$45,MOD(AI$6-1,12)+1)*'Assumptions'!$E$29</x:f>
        <x:v>9600</x:v>
      </x:c>
      <x:c r="AJ8" s="32" t="n">
        <x:f>'Assumptions'!$F$11*(1+'Assumptions'!$F$12)^(AJ$6-1)*INDEX('Assumptions'!$F$34:$F$45,MOD(AJ$6-1,12)+1)*'Assumptions'!$E$29</x:f>
        <x:v>9600</x:v>
      </x:c>
      <x:c r="AK8" s="32" t="n">
        <x:f>'Assumptions'!$F$11*(1+'Assumptions'!$F$12)^(AK$6-1)*INDEX('Assumptions'!$F$34:$F$45,MOD(AK$6-1,12)+1)*'Assumptions'!$E$29</x:f>
        <x:v>9600</x:v>
      </x:c>
      <x:c r="AL8" s="32" t="n">
        <x:f>'Assumptions'!$F$11*(1+'Assumptions'!$F$12)^(AL$6-1)*INDEX('Assumptions'!$F$34:$F$45,MOD(AL$6-1,12)+1)*'Assumptions'!$E$29</x:f>
        <x:v>9600</x:v>
      </x:c>
      <x:c r="AM8" s="32" t="n">
        <x:f>'Assumptions'!$F$11*(1+'Assumptions'!$F$12)^(AM$6-1)*INDEX('Assumptions'!$F$34:$F$45,MOD(AM$6-1,12)+1)*'Assumptions'!$E$29</x:f>
        <x:v>9600</x:v>
      </x:c>
      <x:c r="AN8" s="32" t="n">
        <x:f>'Assumptions'!$F$11*(1+'Assumptions'!$F$12)^(AN$6-1)*INDEX('Assumptions'!$F$34:$F$45,MOD(AN$6-1,12)+1)*'Assumptions'!$E$29</x:f>
        <x:v>9600</x:v>
      </x:c>
      <x:c r="AO8" s="32" t="n">
        <x:f>'Assumptions'!$F$11*(1+'Assumptions'!$F$12)^(AO$6-1)*INDEX('Assumptions'!$F$34:$F$45,MOD(AO$6-1,12)+1)*'Assumptions'!$E$29</x:f>
        <x:v>9600</x:v>
      </x:c>
      <x:c r="AP8" s="32" t="n">
        <x:f>'Assumptions'!$F$11*(1+'Assumptions'!$F$12)^(AP$6-1)*INDEX('Assumptions'!$F$34:$F$45,MOD(AP$6-1,12)+1)*'Assumptions'!$E$29</x:f>
        <x:v>9600</x:v>
      </x:c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</x:row>
    <x:row r="9" ht="19" customHeight="1">
      <x:c r="A9" s="1"/>
      <x:c r="B9" s="1"/>
      <x:c r="C9" s="2" t="str">
        <x:v>Approval rate</x:v>
      </x:c>
      <x:c r="D9" s="2"/>
      <x:c r="E9" s="35"/>
      <x:c r="F9" s="2"/>
      <x:c r="G9" s="33" t="n">
        <x:f>'Assumptions'!$F$13</x:f>
        <x:v>0.45</x:v>
      </x:c>
      <x:c r="H9" s="33" t="n">
        <x:f>'Assumptions'!$F$13</x:f>
        <x:v>0.45</x:v>
      </x:c>
      <x:c r="I9" s="33" t="n">
        <x:f>'Assumptions'!$F$13</x:f>
        <x:v>0.45</x:v>
      </x:c>
      <x:c r="J9" s="33" t="n">
        <x:f>'Assumptions'!$F$13</x:f>
        <x:v>0.45</x:v>
      </x:c>
      <x:c r="K9" s="33" t="n">
        <x:f>'Assumptions'!$F$13</x:f>
        <x:v>0.45</x:v>
      </x:c>
      <x:c r="L9" s="33" t="n">
        <x:f>'Assumptions'!$F$13</x:f>
        <x:v>0.45</x:v>
      </x:c>
      <x:c r="M9" s="33" t="n">
        <x:f>'Assumptions'!$F$13</x:f>
        <x:v>0.45</x:v>
      </x:c>
      <x:c r="N9" s="33" t="n">
        <x:f>'Assumptions'!$F$13</x:f>
        <x:v>0.45</x:v>
      </x:c>
      <x:c r="O9" s="33" t="n">
        <x:f>'Assumptions'!$F$13</x:f>
        <x:v>0.45</x:v>
      </x:c>
      <x:c r="P9" s="33" t="n">
        <x:f>'Assumptions'!$F$13</x:f>
        <x:v>0.45</x:v>
      </x:c>
      <x:c r="Q9" s="33" t="n">
        <x:f>'Assumptions'!$F$13</x:f>
        <x:v>0.45</x:v>
      </x:c>
      <x:c r="R9" s="33" t="n">
        <x:f>'Assumptions'!$F$13</x:f>
        <x:v>0.45</x:v>
      </x:c>
      <x:c r="S9" s="33" t="n">
        <x:f>'Assumptions'!$F$13</x:f>
        <x:v>0.45</x:v>
      </x:c>
      <x:c r="T9" s="33" t="n">
        <x:f>'Assumptions'!$F$13</x:f>
        <x:v>0.45</x:v>
      </x:c>
      <x:c r="U9" s="33" t="n">
        <x:f>'Assumptions'!$F$13</x:f>
        <x:v>0.45</x:v>
      </x:c>
      <x:c r="V9" s="33" t="n">
        <x:f>'Assumptions'!$F$13</x:f>
        <x:v>0.45</x:v>
      </x:c>
      <x:c r="W9" s="33" t="n">
        <x:f>'Assumptions'!$F$13</x:f>
        <x:v>0.45</x:v>
      </x:c>
      <x:c r="X9" s="33" t="n">
        <x:f>'Assumptions'!$F$13</x:f>
        <x:v>0.45</x:v>
      </x:c>
      <x:c r="Y9" s="33" t="n">
        <x:f>'Assumptions'!$F$13</x:f>
        <x:v>0.45</x:v>
      </x:c>
      <x:c r="Z9" s="33" t="n">
        <x:f>'Assumptions'!$F$13</x:f>
        <x:v>0.45</x:v>
      </x:c>
      <x:c r="AA9" s="33" t="n">
        <x:f>'Assumptions'!$F$13</x:f>
        <x:v>0.45</x:v>
      </x:c>
      <x:c r="AB9" s="33" t="n">
        <x:f>'Assumptions'!$F$13</x:f>
        <x:v>0.45</x:v>
      </x:c>
      <x:c r="AC9" s="33" t="n">
        <x:f>'Assumptions'!$F$13</x:f>
        <x:v>0.45</x:v>
      </x:c>
      <x:c r="AD9" s="33" t="n">
        <x:f>'Assumptions'!$F$13</x:f>
        <x:v>0.45</x:v>
      </x:c>
      <x:c r="AE9" s="33" t="n">
        <x:f>'Assumptions'!$F$13</x:f>
        <x:v>0.45</x:v>
      </x:c>
      <x:c r="AF9" s="33" t="n">
        <x:f>'Assumptions'!$F$13</x:f>
        <x:v>0.45</x:v>
      </x:c>
      <x:c r="AG9" s="33" t="n">
        <x:f>'Assumptions'!$F$13</x:f>
        <x:v>0.45</x:v>
      </x:c>
      <x:c r="AH9" s="33" t="n">
        <x:f>'Assumptions'!$F$13</x:f>
        <x:v>0.45</x:v>
      </x:c>
      <x:c r="AI9" s="33" t="n">
        <x:f>'Assumptions'!$F$13</x:f>
        <x:v>0.45</x:v>
      </x:c>
      <x:c r="AJ9" s="33" t="n">
        <x:f>'Assumptions'!$F$13</x:f>
        <x:v>0.45</x:v>
      </x:c>
      <x:c r="AK9" s="33" t="n">
        <x:f>'Assumptions'!$F$13</x:f>
        <x:v>0.45</x:v>
      </x:c>
      <x:c r="AL9" s="33" t="n">
        <x:f>'Assumptions'!$F$13</x:f>
        <x:v>0.45</x:v>
      </x:c>
      <x:c r="AM9" s="33" t="n">
        <x:f>'Assumptions'!$F$13</x:f>
        <x:v>0.45</x:v>
      </x:c>
      <x:c r="AN9" s="33" t="n">
        <x:f>'Assumptions'!$F$13</x:f>
        <x:v>0.45</x:v>
      </x:c>
      <x:c r="AO9" s="33" t="n">
        <x:f>'Assumptions'!$F$13</x:f>
        <x:v>0.45</x:v>
      </x:c>
      <x:c r="AP9" s="33" t="n">
        <x:f>'Assumptions'!$F$13</x:f>
        <x:v>0.45</x:v>
      </x:c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</x:row>
    <x:row r="10" ht="19" customHeight="1">
      <x:c r="A10" s="1"/>
      <x:c r="B10" s="1"/>
      <x:c r="C10" s="2" t="str">
        <x:v>Average loan size ($)</x:v>
      </x:c>
      <x:c r="D10" s="2"/>
      <x:c r="E10" s="35"/>
      <x:c r="F10" s="2"/>
      <x:c r="G10" s="34" t="n">
        <x:f>'Assumptions'!$F$14</x:f>
        <x:v>4000</x:v>
      </x:c>
      <x:c r="H10" s="34" t="n">
        <x:f>'Assumptions'!$F$14</x:f>
        <x:v>4000</x:v>
      </x:c>
      <x:c r="I10" s="34" t="n">
        <x:f>'Assumptions'!$F$14</x:f>
        <x:v>4000</x:v>
      </x:c>
      <x:c r="J10" s="34" t="n">
        <x:f>'Assumptions'!$F$14</x:f>
        <x:v>4000</x:v>
      </x:c>
      <x:c r="K10" s="34" t="n">
        <x:f>'Assumptions'!$F$14</x:f>
        <x:v>4000</x:v>
      </x:c>
      <x:c r="L10" s="34" t="n">
        <x:f>'Assumptions'!$F$14</x:f>
        <x:v>4000</x:v>
      </x:c>
      <x:c r="M10" s="34" t="n">
        <x:f>'Assumptions'!$F$14</x:f>
        <x:v>4000</x:v>
      </x:c>
      <x:c r="N10" s="34" t="n">
        <x:f>'Assumptions'!$F$14</x:f>
        <x:v>4000</x:v>
      </x:c>
      <x:c r="O10" s="34" t="n">
        <x:f>'Assumptions'!$F$14</x:f>
        <x:v>4000</x:v>
      </x:c>
      <x:c r="P10" s="34" t="n">
        <x:f>'Assumptions'!$F$14</x:f>
        <x:v>4000</x:v>
      </x:c>
      <x:c r="Q10" s="34" t="n">
        <x:f>'Assumptions'!$F$14</x:f>
        <x:v>4000</x:v>
      </x:c>
      <x:c r="R10" s="34" t="n">
        <x:f>'Assumptions'!$F$14</x:f>
        <x:v>4000</x:v>
      </x:c>
      <x:c r="S10" s="34" t="n">
        <x:f>'Assumptions'!$F$14</x:f>
        <x:v>4000</x:v>
      </x:c>
      <x:c r="T10" s="34" t="n">
        <x:f>'Assumptions'!$F$14</x:f>
        <x:v>4000</x:v>
      </x:c>
      <x:c r="U10" s="34" t="n">
        <x:f>'Assumptions'!$F$14</x:f>
        <x:v>4000</x:v>
      </x:c>
      <x:c r="V10" s="34" t="n">
        <x:f>'Assumptions'!$F$14</x:f>
        <x:v>4000</x:v>
      </x:c>
      <x:c r="W10" s="34" t="n">
        <x:f>'Assumptions'!$F$14</x:f>
        <x:v>4000</x:v>
      </x:c>
      <x:c r="X10" s="34" t="n">
        <x:f>'Assumptions'!$F$14</x:f>
        <x:v>4000</x:v>
      </x:c>
      <x:c r="Y10" s="34" t="n">
        <x:f>'Assumptions'!$F$14</x:f>
        <x:v>4000</x:v>
      </x:c>
      <x:c r="Z10" s="34" t="n">
        <x:f>'Assumptions'!$F$14</x:f>
        <x:v>4000</x:v>
      </x:c>
      <x:c r="AA10" s="34" t="n">
        <x:f>'Assumptions'!$F$14</x:f>
        <x:v>4000</x:v>
      </x:c>
      <x:c r="AB10" s="34" t="n">
        <x:f>'Assumptions'!$F$14</x:f>
        <x:v>4000</x:v>
      </x:c>
      <x:c r="AC10" s="34" t="n">
        <x:f>'Assumptions'!$F$14</x:f>
        <x:v>4000</x:v>
      </x:c>
      <x:c r="AD10" s="34" t="n">
        <x:f>'Assumptions'!$F$14</x:f>
        <x:v>4000</x:v>
      </x:c>
      <x:c r="AE10" s="34" t="n">
        <x:f>'Assumptions'!$F$14</x:f>
        <x:v>4000</x:v>
      </x:c>
      <x:c r="AF10" s="34" t="n">
        <x:f>'Assumptions'!$F$14</x:f>
        <x:v>4000</x:v>
      </x:c>
      <x:c r="AG10" s="34" t="n">
        <x:f>'Assumptions'!$F$14</x:f>
        <x:v>4000</x:v>
      </x:c>
      <x:c r="AH10" s="34" t="n">
        <x:f>'Assumptions'!$F$14</x:f>
        <x:v>4000</x:v>
      </x:c>
      <x:c r="AI10" s="34" t="n">
        <x:f>'Assumptions'!$F$14</x:f>
        <x:v>4000</x:v>
      </x:c>
      <x:c r="AJ10" s="34" t="n">
        <x:f>'Assumptions'!$F$14</x:f>
        <x:v>4000</x:v>
      </x:c>
      <x:c r="AK10" s="34" t="n">
        <x:f>'Assumptions'!$F$14</x:f>
        <x:v>4000</x:v>
      </x:c>
      <x:c r="AL10" s="34" t="n">
        <x:f>'Assumptions'!$F$14</x:f>
        <x:v>4000</x:v>
      </x:c>
      <x:c r="AM10" s="34" t="n">
        <x:f>'Assumptions'!$F$14</x:f>
        <x:v>4000</x:v>
      </x:c>
      <x:c r="AN10" s="34" t="n">
        <x:f>'Assumptions'!$F$14</x:f>
        <x:v>4000</x:v>
      </x:c>
      <x:c r="AO10" s="34" t="n">
        <x:f>'Assumptions'!$F$14</x:f>
        <x:v>4000</x:v>
      </x:c>
      <x:c r="AP10" s="34" t="n">
        <x:f>'Assumptions'!$F$14</x:f>
        <x:v>4000</x:v>
      </x:c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</x:row>
    <x:row r="11" ht="19" customHeight="1">
      <x:c r="A11" s="1"/>
      <x:c r="B11" s="1"/>
      <x:c r="C11" s="42" t="str">
        <x:v>Originations</x:v>
      </x:c>
      <x:c r="D11" s="42"/>
      <x:c r="E11" s="43" t="n">
        <x:f>SUMIFS(G11:AP11,$G$6:$AP$6,"&lt;="&amp;'Assumptions'!$E$7)</x:f>
        <x:v>414720000</x:v>
      </x:c>
      <x:c r="F11" s="42"/>
      <x:c r="G11" s="43" t="n">
        <x:f>G8*G9*G10</x:f>
        <x:v>17280000</x:v>
      </x:c>
      <x:c r="H11" s="43" t="n">
        <x:f>H8*H9*H10</x:f>
        <x:v>17280000</x:v>
      </x:c>
      <x:c r="I11" s="43" t="n">
        <x:f>I8*I9*I10</x:f>
        <x:v>17280000</x:v>
      </x:c>
      <x:c r="J11" s="43" t="n">
        <x:f>J8*J9*J10</x:f>
        <x:v>17280000</x:v>
      </x:c>
      <x:c r="K11" s="43" t="n">
        <x:f>K8*K9*K10</x:f>
        <x:v>17280000</x:v>
      </x:c>
      <x:c r="L11" s="43" t="n">
        <x:f>L8*L9*L10</x:f>
        <x:v>17280000</x:v>
      </x:c>
      <x:c r="M11" s="43" t="n">
        <x:f>M8*M9*M10</x:f>
        <x:v>17280000</x:v>
      </x:c>
      <x:c r="N11" s="43" t="n">
        <x:f>N8*N9*N10</x:f>
        <x:v>17280000</x:v>
      </x:c>
      <x:c r="O11" s="43" t="n">
        <x:f>O8*O9*O10</x:f>
        <x:v>17280000</x:v>
      </x:c>
      <x:c r="P11" s="43" t="n">
        <x:f>P8*P9*P10</x:f>
        <x:v>17280000</x:v>
      </x:c>
      <x:c r="Q11" s="43" t="n">
        <x:f>Q8*Q9*Q10</x:f>
        <x:v>17280000</x:v>
      </x:c>
      <x:c r="R11" s="43" t="n">
        <x:f>R8*R9*R10</x:f>
        <x:v>17280000</x:v>
      </x:c>
      <x:c r="S11" s="43" t="n">
        <x:f>S8*S9*S10</x:f>
        <x:v>17280000</x:v>
      </x:c>
      <x:c r="T11" s="43" t="n">
        <x:f>T8*T9*T10</x:f>
        <x:v>17280000</x:v>
      </x:c>
      <x:c r="U11" s="43" t="n">
        <x:f>U8*U9*U10</x:f>
        <x:v>17280000</x:v>
      </x:c>
      <x:c r="V11" s="43" t="n">
        <x:f>V8*V9*V10</x:f>
        <x:v>17280000</x:v>
      </x:c>
      <x:c r="W11" s="43" t="n">
        <x:f>W8*W9*W10</x:f>
        <x:v>17280000</x:v>
      </x:c>
      <x:c r="X11" s="43" t="n">
        <x:f>X8*X9*X10</x:f>
        <x:v>17280000</x:v>
      </x:c>
      <x:c r="Y11" s="43" t="n">
        <x:f>Y8*Y9*Y10</x:f>
        <x:v>17280000</x:v>
      </x:c>
      <x:c r="Z11" s="43" t="n">
        <x:f>Z8*Z9*Z10</x:f>
        <x:v>17280000</x:v>
      </x:c>
      <x:c r="AA11" s="43" t="n">
        <x:f>AA8*AA9*AA10</x:f>
        <x:v>17280000</x:v>
      </x:c>
      <x:c r="AB11" s="43" t="n">
        <x:f>AB8*AB9*AB10</x:f>
        <x:v>17280000</x:v>
      </x:c>
      <x:c r="AC11" s="43" t="n">
        <x:f>AC8*AC9*AC10</x:f>
        <x:v>17280000</x:v>
      </x:c>
      <x:c r="AD11" s="43" t="n">
        <x:f>AD8*AD9*AD10</x:f>
        <x:v>17280000</x:v>
      </x:c>
      <x:c r="AE11" s="43" t="n">
        <x:f>AE8*AE9*AE10</x:f>
        <x:v>17280000</x:v>
      </x:c>
      <x:c r="AF11" s="43" t="n">
        <x:f>AF8*AF9*AF10</x:f>
        <x:v>17280000</x:v>
      </x:c>
      <x:c r="AG11" s="43" t="n">
        <x:f>AG8*AG9*AG10</x:f>
        <x:v>17280000</x:v>
      </x:c>
      <x:c r="AH11" s="43" t="n">
        <x:f>AH8*AH9*AH10</x:f>
        <x:v>17280000</x:v>
      </x:c>
      <x:c r="AI11" s="43" t="n">
        <x:f>AI8*AI9*AI10</x:f>
        <x:v>17280000</x:v>
      </x:c>
      <x:c r="AJ11" s="43" t="n">
        <x:f>AJ8*AJ9*AJ10</x:f>
        <x:v>17280000</x:v>
      </x:c>
      <x:c r="AK11" s="43" t="n">
        <x:f>AK8*AK9*AK10</x:f>
        <x:v>17280000</x:v>
      </x:c>
      <x:c r="AL11" s="43" t="n">
        <x:f>AL8*AL9*AL10</x:f>
        <x:v>17280000</x:v>
      </x:c>
      <x:c r="AM11" s="43" t="n">
        <x:f>AM8*AM9*AM10</x:f>
        <x:v>17280000</x:v>
      </x:c>
      <x:c r="AN11" s="43" t="n">
        <x:f>AN8*AN9*AN10</x:f>
        <x:v>17280000</x:v>
      </x:c>
      <x:c r="AO11" s="43" t="n">
        <x:f>AO8*AO9*AO10</x:f>
        <x:v>17280000</x:v>
      </x:c>
      <x:c r="AP11" s="43" t="n">
        <x:f>AP8*AP9*AP10</x:f>
        <x:v>17280000</x:v>
      </x:c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</x:row>
    <x:row r="12" ht="19" customHeight="1">
      <x:c r="A12" s="1"/>
      <x:c r="B12" s="1"/>
      <x:c r="C12" s="2"/>
      <x:c r="D12" s="2"/>
      <x:c r="E12" s="35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</x:row>
    <x:row r="13" ht="19" customHeight="1">
      <x:c r="A13" s="1"/>
      <x:c r="B13" s="1"/>
      <x:c r="C13" s="2" t="str">
        <x:v>Beginning gross CLAB</x:v>
      </x:c>
      <x:c r="D13" s="2"/>
      <x:c r="E13" s="35" t="n">
        <x:f>G13</x:f>
        <x:v>306720000</x:v>
      </x:c>
      <x:c r="F13" s="2"/>
      <x:c r="G13" s="35" t="n">
        <x:f>$E$44</x:f>
        <x:v>306720000</x:v>
      </x:c>
      <x:c r="H13" s="35" t="n">
        <x:f>G16</x:f>
        <x:v>190178375.82838577</x:v>
      </x:c>
      <x:c r="I13" s="35" t="n">
        <x:f>H16</x:f>
        <x:v>129611975.48591882</x:v>
      </x:c>
      <x:c r="J13" s="35" t="n">
        <x:f>I16</x:f>
        <x:v>95503131.10325596</x:v>
      </x:c>
      <x:c r="K13" s="35" t="n">
        <x:f>J16</x:f>
        <x:v>76155440.46159048</x:v>
      </x:c>
      <x:c r="L13" s="35" t="n">
        <x:f>K16</x:f>
        <x:v>65383377.119966924</x:v>
      </x:c>
      <x:c r="M13" s="35" t="n">
        <x:f>L16</x:f>
        <x:v>59625159.34256113</x:v>
      </x:c>
      <x:c r="N13" s="35" t="n">
        <x:f>M16</x:f>
        <x:v>56761911.66516415</x:v>
      </x:c>
      <x:c r="O13" s="35" t="n">
        <x:f>N16</x:f>
        <x:v>55513073.823897794</x:v>
      </x:c>
      <x:c r="P13" s="35" t="n">
        <x:f>O16</x:f>
        <x:v>55118894.33677145</x:v>
      </x:c>
      <x:c r="Q13" s="35" t="n">
        <x:f>P16</x:f>
        <x:v>55118894.33677146</x:v>
      </x:c>
      <x:c r="R13" s="35" t="n">
        <x:f>Q16</x:f>
        <x:v>55118894.33677146</x:v>
      </x:c>
      <x:c r="S13" s="35" t="n">
        <x:f>R16</x:f>
        <x:v>55118894.33677146</x:v>
      </x:c>
      <x:c r="T13" s="35" t="n">
        <x:f>S16</x:f>
        <x:v>55118894.33677146</x:v>
      </x:c>
      <x:c r="U13" s="35" t="n">
        <x:f>T16</x:f>
        <x:v>55118894.33677146</x:v>
      </x:c>
      <x:c r="V13" s="35" t="n">
        <x:f>U16</x:f>
        <x:v>55118894.33677146</x:v>
      </x:c>
      <x:c r="W13" s="35" t="n">
        <x:f>V16</x:f>
        <x:v>55118894.33677146</x:v>
      </x:c>
      <x:c r="X13" s="35" t="n">
        <x:f>W16</x:f>
        <x:v>55118894.33677146</x:v>
      </x:c>
      <x:c r="Y13" s="35" t="n">
        <x:f>X16</x:f>
        <x:v>55118894.33677146</x:v>
      </x:c>
      <x:c r="Z13" s="35" t="n">
        <x:f>Y16</x:f>
        <x:v>55118894.33677146</x:v>
      </x:c>
      <x:c r="AA13" s="35" t="n">
        <x:f>Z16</x:f>
        <x:v>55118894.33677146</x:v>
      </x:c>
      <x:c r="AB13" s="35" t="n">
        <x:f>AA16</x:f>
        <x:v>55118894.33677146</x:v>
      </x:c>
      <x:c r="AC13" s="35" t="n">
        <x:f>AB16</x:f>
        <x:v>55118894.33677146</x:v>
      </x:c>
      <x:c r="AD13" s="35" t="n">
        <x:f>AC16</x:f>
        <x:v>55118894.33677146</x:v>
      </x:c>
      <x:c r="AE13" s="35" t="n">
        <x:f>AD16</x:f>
        <x:v>55118894.33677146</x:v>
      </x:c>
      <x:c r="AF13" s="35" t="n">
        <x:f>AE16</x:f>
        <x:v>55118894.33677146</x:v>
      </x:c>
      <x:c r="AG13" s="35" t="n">
        <x:f>AF16</x:f>
        <x:v>55118894.33677146</x:v>
      </x:c>
      <x:c r="AH13" s="35" t="n">
        <x:f>AG16</x:f>
        <x:v>55118894.33677146</x:v>
      </x:c>
      <x:c r="AI13" s="35" t="n">
        <x:f>AH16</x:f>
        <x:v>55118894.33677146</x:v>
      </x:c>
      <x:c r="AJ13" s="35" t="n">
        <x:f>AI16</x:f>
        <x:v>55118894.33677146</x:v>
      </x:c>
      <x:c r="AK13" s="35" t="n">
        <x:f>AJ16</x:f>
        <x:v>55118894.33677146</x:v>
      </x:c>
      <x:c r="AL13" s="35" t="n">
        <x:f>AK16</x:f>
        <x:v>55118894.33677146</x:v>
      </x:c>
      <x:c r="AM13" s="35" t="n">
        <x:f>AL16</x:f>
        <x:v>55118894.33677146</x:v>
      </x:c>
      <x:c r="AN13" s="35" t="n">
        <x:f>AM16</x:f>
        <x:v>55118894.33677146</x:v>
      </x:c>
      <x:c r="AO13" s="35" t="n">
        <x:f>AN16</x:f>
        <x:v>55118894.33677146</x:v>
      </x:c>
      <x:c r="AP13" s="35" t="n">
        <x:f>AO16</x:f>
        <x:v>55118894.33677146</x:v>
      </x:c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</x:row>
    <x:row r="14" ht="19" customHeight="1">
      <x:c r="A14" s="1"/>
      <x:c r="B14" s="1"/>
      <x:c r="C14" s="2" t="str">
        <x:v>Principal repayments</x:v>
      </x:c>
      <x:c r="D14" s="2"/>
      <x:c r="E14" s="35" t="n">
        <x:f>SUMIFS(G14:AP14,$G$6:$AP$6,"&lt;="&amp;'Assumptions'!$E$7)</x:f>
        <x:v>535477404.4436955</x:v>
      </x:c>
      <x:c r="F14" s="2"/>
      <x:c r="G14" s="35" t="n">
        <x:f>SUM(G29:G30)</x:f>
        <x:v>106022004.6247654</x:v>
      </x:c>
      <x:c r="H14" s="35" t="n">
        <x:f>SUM(H29:H30)</x:f>
        <x:v>61878898.8765796</x:v>
      </x:c>
      <x:c r="I14" s="35" t="n">
        <x:f>SUM(I29:I30)</x:f>
        <x:v>40934465.68192479</x:v>
      </x:c>
      <x:c r="J14" s="35" t="n">
        <x:f>SUM(J29:J30)</x:f>
        <x:v>29245780.216322284</x:v>
      </x:c>
      <x:c r="K14" s="35" t="n">
        <x:f>SUM(K29:K30)</x:f>
        <x:v>22482923.5058445</x:v>
      </x:c>
      <x:c r="L14" s="35" t="n">
        <x:f>SUM(L29:L30)</x:f>
        <x:v>18547349.650371965</x:v>
      </x:c>
      <x:c r="M14" s="35" t="n">
        <x:f>SUM(M29:M30)</x:f>
        <x:v>16272676.13523912</x:v>
      </x:c>
      <x:c r="N14" s="35" t="n">
        <x:f>SUM(N29:N30)</x:f>
        <x:v>15010472.45913178</x:v>
      </x:c>
      <x:c r="O14" s="35" t="n">
        <x:f>SUM(O29:O30)</x:f>
        <x:v>14352871.831480635</x:v>
      </x:c>
      <x:c r="P14" s="35" t="n">
        <x:f>SUM(P29:P30)</x:f>
        <x:v>14048664.097469024</x:v>
      </x:c>
      <x:c r="Q14" s="35" t="n">
        <x:f>SUM(Q29:Q30)</x:f>
        <x:v>14048664.097469024</x:v>
      </x:c>
      <x:c r="R14" s="35" t="n">
        <x:f>SUM(R29:R30)</x:f>
        <x:v>14048664.097469024</x:v>
      </x:c>
      <x:c r="S14" s="35" t="n">
        <x:f>SUM(S29:S30)</x:f>
        <x:v>14048664.097469024</x:v>
      </x:c>
      <x:c r="T14" s="35" t="n">
        <x:f>SUM(T29:T30)</x:f>
        <x:v>14048664.097469024</x:v>
      </x:c>
      <x:c r="U14" s="35" t="n">
        <x:f>SUM(U29:U30)</x:f>
        <x:v>14048664.097469024</x:v>
      </x:c>
      <x:c r="V14" s="35" t="n">
        <x:f>SUM(V29:V30)</x:f>
        <x:v>14048664.097469024</x:v>
      </x:c>
      <x:c r="W14" s="35" t="n">
        <x:f>SUM(W29:W30)</x:f>
        <x:v>14048664.097469024</x:v>
      </x:c>
      <x:c r="X14" s="35" t="n">
        <x:f>SUM(X29:X30)</x:f>
        <x:v>14048664.097469024</x:v>
      </x:c>
      <x:c r="Y14" s="35" t="n">
        <x:f>SUM(Y29:Y30)</x:f>
        <x:v>14048664.097469024</x:v>
      </x:c>
      <x:c r="Z14" s="35" t="n">
        <x:f>SUM(Z29:Z30)</x:f>
        <x:v>14048664.097469024</x:v>
      </x:c>
      <x:c r="AA14" s="35" t="n">
        <x:f>SUM(AA29:AA30)</x:f>
        <x:v>14048664.097469024</x:v>
      </x:c>
      <x:c r="AB14" s="35" t="n">
        <x:f>SUM(AB29:AB30)</x:f>
        <x:v>14048664.097469024</x:v>
      </x:c>
      <x:c r="AC14" s="35" t="n">
        <x:f>SUM(AC29:AC30)</x:f>
        <x:v>14048664.097469024</x:v>
      </x:c>
      <x:c r="AD14" s="35" t="n">
        <x:f>SUM(AD29:AD30)</x:f>
        <x:v>14048664.097469024</x:v>
      </x:c>
      <x:c r="AE14" s="35" t="n">
        <x:f>SUM(AE29:AE30)</x:f>
        <x:v>14048664.097469024</x:v>
      </x:c>
      <x:c r="AF14" s="35" t="n">
        <x:f>SUM(AF29:AF30)</x:f>
        <x:v>14048664.097469024</x:v>
      </x:c>
      <x:c r="AG14" s="35" t="n">
        <x:f>SUM(AG29:AG30)</x:f>
        <x:v>14048664.097469024</x:v>
      </x:c>
      <x:c r="AH14" s="35" t="n">
        <x:f>SUM(AH29:AH30)</x:f>
        <x:v>14048664.097469024</x:v>
      </x:c>
      <x:c r="AI14" s="35" t="n">
        <x:f>SUM(AI29:AI30)</x:f>
        <x:v>14048664.097469024</x:v>
      </x:c>
      <x:c r="AJ14" s="35" t="n">
        <x:f>SUM(AJ29:AJ30)</x:f>
        <x:v>14048664.097469024</x:v>
      </x:c>
      <x:c r="AK14" s="35" t="n">
        <x:f>SUM(AK29:AK30)</x:f>
        <x:v>14048664.097469024</x:v>
      </x:c>
      <x:c r="AL14" s="35" t="n">
        <x:f>SUM(AL29:AL30)</x:f>
        <x:v>14048664.097469024</x:v>
      </x:c>
      <x:c r="AM14" s="35" t="n">
        <x:f>SUM(AM29:AM30)</x:f>
        <x:v>14048664.097469024</x:v>
      </x:c>
      <x:c r="AN14" s="35" t="n">
        <x:f>SUM(AN29:AN30)</x:f>
        <x:v>14048664.097469024</x:v>
      </x:c>
      <x:c r="AO14" s="35" t="n">
        <x:f>SUM(AO29:AO30)</x:f>
        <x:v>14048664.097469024</x:v>
      </x:c>
      <x:c r="AP14" s="35" t="n">
        <x:f>SUM(AP29:AP30)</x:f>
        <x:v>14048664.097469024</x:v>
      </x:c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</x:row>
    <x:row r="15" ht="19" customHeight="1">
      <x:c r="A15" s="1"/>
      <x:c r="B15" s="1"/>
      <x:c r="C15" s="2" t="str">
        <x:v>Charge-offs</x:v>
      </x:c>
      <x:c r="D15" s="2"/>
      <x:c r="E15" s="35" t="n">
        <x:f>SUMIFS(G15:AP15,$G$6:$AP$6,"&lt;="&amp;'Assumptions'!$E$7)</x:f>
        <x:v>130843701.21953322</x:v>
      </x:c>
      <x:c r="F15" s="2"/>
      <x:c r="G15" s="35" t="n">
        <x:f>SUM(G27:G28)</x:f>
        <x:v>27799619.546848845</x:v>
      </x:c>
      <x:c r="H15" s="35" t="n">
        <x:f>SUM(H27:H28)</x:f>
        <x:v>15967501.465887371</x:v>
      </x:c>
      <x:c r="I15" s="35" t="n">
        <x:f>SUM(I27:I28)</x:f>
        <x:v>10454378.700738069</x:v>
      </x:c>
      <x:c r="J15" s="35" t="n">
        <x:f>SUM(J27:J28)</x:f>
        <x:v>7381910.42534318</x:v>
      </x:c>
      <x:c r="K15" s="35" t="n">
        <x:f>SUM(K27:K28)</x:f>
        <x:v>5569139.835779054</x:v>
      </x:c>
      <x:c r="L15" s="35" t="n">
        <x:f>SUM(L27:L28)</x:f>
        <x:v>4490868.12703382</x:v>
      </x:c>
      <x:c r="M15" s="35" t="n">
        <x:f>SUM(M27:M28)</x:f>
        <x:v>3870571.542157852</x:v>
      </x:c>
      <x:c r="N15" s="35" t="n">
        <x:f>SUM(N27:N28)</x:f>
        <x:v>3518365.3821345735</x:v>
      </x:c>
      <x:c r="O15" s="35" t="n">
        <x:f>SUM(O27:O28)</x:f>
        <x:v>3321307.655645707</x:v>
      </x:c>
      <x:c r="P15" s="35" t="n">
        <x:f>SUM(P27:P28)</x:f>
        <x:v>3231335.9025309775</x:v>
      </x:c>
      <x:c r="Q15" s="35" t="n">
        <x:f>SUM(Q27:Q28)</x:f>
        <x:v>3231335.9025309775</x:v>
      </x:c>
      <x:c r="R15" s="35" t="n">
        <x:f>SUM(R27:R28)</x:f>
        <x:v>3231335.9025309775</x:v>
      </x:c>
      <x:c r="S15" s="35" t="n">
        <x:f>SUM(S27:S28)</x:f>
        <x:v>3231335.9025309775</x:v>
      </x:c>
      <x:c r="T15" s="35" t="n">
        <x:f>SUM(T27:T28)</x:f>
        <x:v>3231335.9025309775</x:v>
      </x:c>
      <x:c r="U15" s="35" t="n">
        <x:f>SUM(U27:U28)</x:f>
        <x:v>3231335.9025309775</x:v>
      </x:c>
      <x:c r="V15" s="35" t="n">
        <x:f>SUM(V27:V28)</x:f>
        <x:v>3231335.9025309775</x:v>
      </x:c>
      <x:c r="W15" s="35" t="n">
        <x:f>SUM(W27:W28)</x:f>
        <x:v>3231335.9025309775</x:v>
      </x:c>
      <x:c r="X15" s="35" t="n">
        <x:f>SUM(X27:X28)</x:f>
        <x:v>3231335.9025309775</x:v>
      </x:c>
      <x:c r="Y15" s="35" t="n">
        <x:f>SUM(Y27:Y28)</x:f>
        <x:v>3231335.9025309775</x:v>
      </x:c>
      <x:c r="Z15" s="35" t="n">
        <x:f>SUM(Z27:Z28)</x:f>
        <x:v>3231335.9025309775</x:v>
      </x:c>
      <x:c r="AA15" s="35" t="n">
        <x:f>SUM(AA27:AA28)</x:f>
        <x:v>3231335.9025309775</x:v>
      </x:c>
      <x:c r="AB15" s="35" t="n">
        <x:f>SUM(AB27:AB28)</x:f>
        <x:v>3231335.9025309775</x:v>
      </x:c>
      <x:c r="AC15" s="35" t="n">
        <x:f>SUM(AC27:AC28)</x:f>
        <x:v>3231335.9025309775</x:v>
      </x:c>
      <x:c r="AD15" s="35" t="n">
        <x:f>SUM(AD27:AD28)</x:f>
        <x:v>3231335.9025309775</x:v>
      </x:c>
      <x:c r="AE15" s="35" t="n">
        <x:f>SUM(AE27:AE28)</x:f>
        <x:v>3231335.9025309775</x:v>
      </x:c>
      <x:c r="AF15" s="35" t="n">
        <x:f>SUM(AF27:AF28)</x:f>
        <x:v>3231335.9025309775</x:v>
      </x:c>
      <x:c r="AG15" s="35" t="n">
        <x:f>SUM(AG27:AG28)</x:f>
        <x:v>3231335.9025309775</x:v>
      </x:c>
      <x:c r="AH15" s="35" t="n">
        <x:f>SUM(AH27:AH28)</x:f>
        <x:v>3231335.9025309775</x:v>
      </x:c>
      <x:c r="AI15" s="35" t="n">
        <x:f>SUM(AI27:AI28)</x:f>
        <x:v>3231335.9025309775</x:v>
      </x:c>
      <x:c r="AJ15" s="35" t="n">
        <x:f>SUM(AJ27:AJ28)</x:f>
        <x:v>3231335.9025309775</x:v>
      </x:c>
      <x:c r="AK15" s="35" t="n">
        <x:f>SUM(AK27:AK28)</x:f>
        <x:v>3231335.9025309775</x:v>
      </x:c>
      <x:c r="AL15" s="35" t="n">
        <x:f>SUM(AL27:AL28)</x:f>
        <x:v>3231335.9025309775</x:v>
      </x:c>
      <x:c r="AM15" s="35" t="n">
        <x:f>SUM(AM27:AM28)</x:f>
        <x:v>3231335.9025309775</x:v>
      </x:c>
      <x:c r="AN15" s="35" t="n">
        <x:f>SUM(AN27:AN28)</x:f>
        <x:v>3231335.9025309775</x:v>
      </x:c>
      <x:c r="AO15" s="35" t="n">
        <x:f>SUM(AO27:AO28)</x:f>
        <x:v>3231335.9025309775</x:v>
      </x:c>
      <x:c r="AP15" s="35" t="n">
        <x:f>SUM(AP27:AP28)</x:f>
        <x:v>3231335.9025309775</x:v>
      </x:c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</x:row>
    <x:row r="16" ht="19" customHeight="1">
      <x:c r="A16" s="1"/>
      <x:c r="B16" s="1"/>
      <x:c r="C16" s="42" t="str">
        <x:v>Ending gross CLAB</x:v>
      </x:c>
      <x:c r="D16" s="42"/>
      <x:c r="E16" s="43" t="n">
        <x:f>INDEX(G16:AP16,1,'Assumptions'!$E$7)</x:f>
        <x:v>55118894.33677146</x:v>
      </x:c>
      <x:c r="F16" s="42"/>
      <x:c r="G16" s="43" t="n">
        <x:f>G13+G11-G14-G15</x:f>
        <x:v>190178375.82838577</x:v>
      </x:c>
      <x:c r="H16" s="43" t="n">
        <x:f>H13+H11-H14-H15</x:f>
        <x:v>129611975.48591882</x:v>
      </x:c>
      <x:c r="I16" s="43" t="n">
        <x:f>I13+I11-I14-I15</x:f>
        <x:v>95503131.10325596</x:v>
      </x:c>
      <x:c r="J16" s="43" t="n">
        <x:f>J13+J11-J14-J15</x:f>
        <x:v>76155440.46159048</x:v>
      </x:c>
      <x:c r="K16" s="43" t="n">
        <x:f>K13+K11-K14-K15</x:f>
        <x:v>65383377.119966924</x:v>
      </x:c>
      <x:c r="L16" s="43" t="n">
        <x:f>L13+L11-L14-L15</x:f>
        <x:v>59625159.34256113</x:v>
      </x:c>
      <x:c r="M16" s="43" t="n">
        <x:f>M13+M11-M14-M15</x:f>
        <x:v>56761911.66516415</x:v>
      </x:c>
      <x:c r="N16" s="43" t="n">
        <x:f>N13+N11-N14-N15</x:f>
        <x:v>55513073.823897794</x:v>
      </x:c>
      <x:c r="O16" s="43" t="n">
        <x:f>O13+O11-O14-O15</x:f>
        <x:v>55118894.33677145</x:v>
      </x:c>
      <x:c r="P16" s="43" t="n">
        <x:f>P13+P11-P14-P15</x:f>
        <x:v>55118894.33677146</x:v>
      </x:c>
      <x:c r="Q16" s="43" t="n">
        <x:f>Q13+Q11-Q14-Q15</x:f>
        <x:v>55118894.33677146</x:v>
      </x:c>
      <x:c r="R16" s="43" t="n">
        <x:f>R13+R11-R14-R15</x:f>
        <x:v>55118894.33677146</x:v>
      </x:c>
      <x:c r="S16" s="43" t="n">
        <x:f>S13+S11-S14-S15</x:f>
        <x:v>55118894.33677146</x:v>
      </x:c>
      <x:c r="T16" s="43" t="n">
        <x:f>T13+T11-T14-T15</x:f>
        <x:v>55118894.33677146</x:v>
      </x:c>
      <x:c r="U16" s="43" t="n">
        <x:f>U13+U11-U14-U15</x:f>
        <x:v>55118894.33677146</x:v>
      </x:c>
      <x:c r="V16" s="43" t="n">
        <x:f>V13+V11-V14-V15</x:f>
        <x:v>55118894.33677146</x:v>
      </x:c>
      <x:c r="W16" s="43" t="n">
        <x:f>W13+W11-W14-W15</x:f>
        <x:v>55118894.33677146</x:v>
      </x:c>
      <x:c r="X16" s="43" t="n">
        <x:f>X13+X11-X14-X15</x:f>
        <x:v>55118894.33677146</x:v>
      </x:c>
      <x:c r="Y16" s="43" t="n">
        <x:f>Y13+Y11-Y14-Y15</x:f>
        <x:v>55118894.33677146</x:v>
      </x:c>
      <x:c r="Z16" s="43" t="n">
        <x:f>Z13+Z11-Z14-Z15</x:f>
        <x:v>55118894.33677146</x:v>
      </x:c>
      <x:c r="AA16" s="43" t="n">
        <x:f>AA13+AA11-AA14-AA15</x:f>
        <x:v>55118894.33677146</x:v>
      </x:c>
      <x:c r="AB16" s="43" t="n">
        <x:f>AB13+AB11-AB14-AB15</x:f>
        <x:v>55118894.33677146</x:v>
      </x:c>
      <x:c r="AC16" s="43" t="n">
        <x:f>AC13+AC11-AC14-AC15</x:f>
        <x:v>55118894.33677146</x:v>
      </x:c>
      <x:c r="AD16" s="43" t="n">
        <x:f>AD13+AD11-AD14-AD15</x:f>
        <x:v>55118894.33677146</x:v>
      </x:c>
      <x:c r="AE16" s="43" t="n">
        <x:f>AE13+AE11-AE14-AE15</x:f>
        <x:v>55118894.33677146</x:v>
      </x:c>
      <x:c r="AF16" s="43" t="n">
        <x:f>AF13+AF11-AF14-AF15</x:f>
        <x:v>55118894.33677146</x:v>
      </x:c>
      <x:c r="AG16" s="43" t="n">
        <x:f>AG13+AG11-AG14-AG15</x:f>
        <x:v>55118894.33677146</x:v>
      </x:c>
      <x:c r="AH16" s="43" t="n">
        <x:f>AH13+AH11-AH14-AH15</x:f>
        <x:v>55118894.33677146</x:v>
      </x:c>
      <x:c r="AI16" s="43" t="n">
        <x:f>AI13+AI11-AI14-AI15</x:f>
        <x:v>55118894.33677146</x:v>
      </x:c>
      <x:c r="AJ16" s="43" t="n">
        <x:f>AJ13+AJ11-AJ14-AJ15</x:f>
        <x:v>55118894.33677146</x:v>
      </x:c>
      <x:c r="AK16" s="43" t="n">
        <x:f>AK13+AK11-AK14-AK15</x:f>
        <x:v>55118894.33677146</x:v>
      </x:c>
      <x:c r="AL16" s="43" t="n">
        <x:f>AL13+AL11-AL14-AL15</x:f>
        <x:v>55118894.33677146</x:v>
      </x:c>
      <x:c r="AM16" s="43" t="n">
        <x:f>AM13+AM11-AM14-AM15</x:f>
        <x:v>55118894.33677146</x:v>
      </x:c>
      <x:c r="AN16" s="43" t="n">
        <x:f>AN13+AN11-AN14-AN15</x:f>
        <x:v>55118894.33677146</x:v>
      </x:c>
      <x:c r="AO16" s="43" t="n">
        <x:f>AO13+AO11-AO14-AO15</x:f>
        <x:v>55118894.33677146</x:v>
      </x:c>
      <x:c r="AP16" s="43" t="n">
        <x:f>AP13+AP11-AP14-AP15</x:f>
        <x:v>55118894.33677146</x:v>
      </x:c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</x:row>
    <x:row r="17" ht="19" customHeight="1">
      <x:c r="A17" s="1"/>
      <x:c r="B17" s="1"/>
      <x:c r="C17" s="2"/>
      <x:c r="D17" s="2"/>
      <x:c r="E17" s="35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</x:row>
    <x:row r="18" ht="19" customHeight="1">
      <x:c r="A18" s="1"/>
      <x:c r="B18" s="1"/>
      <x:c r="C18" s="2" t="str">
        <x:v>Beginning reserve</x:v>
      </x:c>
      <x:c r="D18" s="2"/>
      <x:c r="E18" s="35" t="n">
        <x:f>G18</x:f>
        <x:v>64161574.26349827</x:v>
      </x:c>
      <x:c r="F18" s="2"/>
      <x:c r="G18" s="35" t="n">
        <x:f>$E$48</x:f>
        <x:v>64161574.26349827</x:v>
      </x:c>
      <x:c r="H18" s="35" t="n">
        <x:f>G20</x:f>
        <x:v>39593290.619180396</x:v>
      </x:c>
      <x:c r="I18" s="35" t="n">
        <x:f>H20</x:f>
        <x:v>26857125.055824</x:v>
      </x:c>
      <x:c r="J18" s="35" t="n">
        <x:f>I20</x:f>
        <x:v>19634082.257616907</x:v>
      </x:c>
      <x:c r="K18" s="35" t="n">
        <x:f>J20</x:f>
        <x:v>15483507.734804703</x:v>
      </x:c>
      <x:c r="L18" s="35" t="n">
        <x:f>K20</x:f>
        <x:v>13145703.801556626</x:v>
      </x:c>
      <x:c r="M18" s="35" t="n">
        <x:f>L20</x:f>
        <x:v>11886171.577053783</x:v>
      </x:c>
      <x:c r="N18" s="35" t="n">
        <x:f>M20</x:f>
        <x:v>11246935.93742691</x:v>
      </x:c>
      <x:c r="O18" s="35" t="n">
        <x:f>N20</x:f>
        <x:v>10959906.457823314</x:v>
      </x:c>
      <x:c r="P18" s="35" t="n">
        <x:f>O20</x:f>
        <x:v>10869934.704708584</x:v>
      </x:c>
      <x:c r="Q18" s="35" t="n">
        <x:f>P20</x:f>
        <x:v>10869934.704708584</x:v>
      </x:c>
      <x:c r="R18" s="35" t="n">
        <x:f>Q20</x:f>
        <x:v>10869934.704708584</x:v>
      </x:c>
      <x:c r="S18" s="35" t="n">
        <x:f>R20</x:f>
        <x:v>10869934.704708584</x:v>
      </x:c>
      <x:c r="T18" s="35" t="n">
        <x:f>S20</x:f>
        <x:v>10869934.704708584</x:v>
      </x:c>
      <x:c r="U18" s="35" t="n">
        <x:f>T20</x:f>
        <x:v>10869934.704708584</x:v>
      </x:c>
      <x:c r="V18" s="35" t="n">
        <x:f>U20</x:f>
        <x:v>10869934.704708584</x:v>
      </x:c>
      <x:c r="W18" s="35" t="n">
        <x:f>V20</x:f>
        <x:v>10869934.704708584</x:v>
      </x:c>
      <x:c r="X18" s="35" t="n">
        <x:f>W20</x:f>
        <x:v>10869934.704708584</x:v>
      </x:c>
      <x:c r="Y18" s="35" t="n">
        <x:f>X20</x:f>
        <x:v>10869934.704708584</x:v>
      </x:c>
      <x:c r="Z18" s="35" t="n">
        <x:f>Y20</x:f>
        <x:v>10869934.704708584</x:v>
      </x:c>
      <x:c r="AA18" s="35" t="n">
        <x:f>Z20</x:f>
        <x:v>10869934.704708584</x:v>
      </x:c>
      <x:c r="AB18" s="35" t="n">
        <x:f>AA20</x:f>
        <x:v>10869934.704708584</x:v>
      </x:c>
      <x:c r="AC18" s="35" t="n">
        <x:f>AB20</x:f>
        <x:v>10869934.704708584</x:v>
      </x:c>
      <x:c r="AD18" s="35" t="n">
        <x:f>AC20</x:f>
        <x:v>10869934.704708584</x:v>
      </x:c>
      <x:c r="AE18" s="35" t="n">
        <x:f>AD20</x:f>
        <x:v>10869934.704708584</x:v>
      </x:c>
      <x:c r="AF18" s="35" t="n">
        <x:f>AE20</x:f>
        <x:v>10869934.704708584</x:v>
      </x:c>
      <x:c r="AG18" s="35" t="n">
        <x:f>AF20</x:f>
        <x:v>10869934.704708584</x:v>
      </x:c>
      <x:c r="AH18" s="35" t="n">
        <x:f>AG20</x:f>
        <x:v>10869934.704708584</x:v>
      </x:c>
      <x:c r="AI18" s="35" t="n">
        <x:f>AH20</x:f>
        <x:v>10869934.704708584</x:v>
      </x:c>
      <x:c r="AJ18" s="35" t="n">
        <x:f>AI20</x:f>
        <x:v>10869934.704708584</x:v>
      </x:c>
      <x:c r="AK18" s="35" t="n">
        <x:f>AJ20</x:f>
        <x:v>10869934.704708584</x:v>
      </x:c>
      <x:c r="AL18" s="35" t="n">
        <x:f>AK20</x:f>
        <x:v>10869934.704708584</x:v>
      </x:c>
      <x:c r="AM18" s="35" t="n">
        <x:f>AL20</x:f>
        <x:v>10869934.704708584</x:v>
      </x:c>
      <x:c r="AN18" s="35" t="n">
        <x:f>AM20</x:f>
        <x:v>10869934.704708584</x:v>
      </x:c>
      <x:c r="AO18" s="35" t="n">
        <x:f>AN20</x:f>
        <x:v>10869934.704708584</x:v>
      </x:c>
      <x:c r="AP18" s="35" t="n">
        <x:f>AO20</x:f>
        <x:v>10869934.704708584</x:v>
      </x:c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</x:row>
    <x:row r="19" ht="19" customHeight="1">
      <x:c r="A19" s="1"/>
      <x:c r="B19" s="1"/>
      <x:c r="C19" s="2" t="str">
        <x:v>New provision expense</x:v>
      </x:c>
      <x:c r="D19" s="2"/>
      <x:c r="E19" s="35" t="n">
        <x:f>SUMIFS(G19:AP19,$G$6:$AP$6,"&lt;="&amp;'Assumptions'!$E$7)</x:f>
        <x:v>77552061.66074345</x:v>
      </x:c>
      <x:c r="F19" s="2"/>
      <x:c r="G19" s="35" t="n">
        <x:f>G11*$E$49</x:f>
        <x:v>3231335.902530977</x:v>
      </x:c>
      <x:c r="H19" s="35" t="n">
        <x:f>H11*$E$49</x:f>
        <x:v>3231335.902530977</x:v>
      </x:c>
      <x:c r="I19" s="35" t="n">
        <x:f>I11*$E$49</x:f>
        <x:v>3231335.902530977</x:v>
      </x:c>
      <x:c r="J19" s="35" t="n">
        <x:f>J11*$E$49</x:f>
        <x:v>3231335.902530977</x:v>
      </x:c>
      <x:c r="K19" s="35" t="n">
        <x:f>K11*$E$49</x:f>
        <x:v>3231335.902530977</x:v>
      </x:c>
      <x:c r="L19" s="35" t="n">
        <x:f>L11*$E$49</x:f>
        <x:v>3231335.902530977</x:v>
      </x:c>
      <x:c r="M19" s="35" t="n">
        <x:f>M11*$E$49</x:f>
        <x:v>3231335.902530977</x:v>
      </x:c>
      <x:c r="N19" s="35" t="n">
        <x:f>N11*$E$49</x:f>
        <x:v>3231335.902530977</x:v>
      </x:c>
      <x:c r="O19" s="35" t="n">
        <x:f>O11*$E$49</x:f>
        <x:v>3231335.902530977</x:v>
      </x:c>
      <x:c r="P19" s="35" t="n">
        <x:f>P11*$E$49</x:f>
        <x:v>3231335.902530977</x:v>
      </x:c>
      <x:c r="Q19" s="35" t="n">
        <x:f>Q11*$E$49</x:f>
        <x:v>3231335.902530977</x:v>
      </x:c>
      <x:c r="R19" s="35" t="n">
        <x:f>R11*$E$49</x:f>
        <x:v>3231335.902530977</x:v>
      </x:c>
      <x:c r="S19" s="35" t="n">
        <x:f>S11*$E$49</x:f>
        <x:v>3231335.902530977</x:v>
      </x:c>
      <x:c r="T19" s="35" t="n">
        <x:f>T11*$E$49</x:f>
        <x:v>3231335.902530977</x:v>
      </x:c>
      <x:c r="U19" s="35" t="n">
        <x:f>U11*$E$49</x:f>
        <x:v>3231335.902530977</x:v>
      </x:c>
      <x:c r="V19" s="35" t="n">
        <x:f>V11*$E$49</x:f>
        <x:v>3231335.902530977</x:v>
      </x:c>
      <x:c r="W19" s="35" t="n">
        <x:f>W11*$E$49</x:f>
        <x:v>3231335.902530977</x:v>
      </x:c>
      <x:c r="X19" s="35" t="n">
        <x:f>X11*$E$49</x:f>
        <x:v>3231335.902530977</x:v>
      </x:c>
      <x:c r="Y19" s="35" t="n">
        <x:f>Y11*$E$49</x:f>
        <x:v>3231335.902530977</x:v>
      </x:c>
      <x:c r="Z19" s="35" t="n">
        <x:f>Z11*$E$49</x:f>
        <x:v>3231335.902530977</x:v>
      </x:c>
      <x:c r="AA19" s="35" t="n">
        <x:f>AA11*$E$49</x:f>
        <x:v>3231335.902530977</x:v>
      </x:c>
      <x:c r="AB19" s="35" t="n">
        <x:f>AB11*$E$49</x:f>
        <x:v>3231335.902530977</x:v>
      </x:c>
      <x:c r="AC19" s="35" t="n">
        <x:f>AC11*$E$49</x:f>
        <x:v>3231335.902530977</x:v>
      </x:c>
      <x:c r="AD19" s="35" t="n">
        <x:f>AD11*$E$49</x:f>
        <x:v>3231335.902530977</x:v>
      </x:c>
      <x:c r="AE19" s="35" t="n">
        <x:f>AE11*$E$49</x:f>
        <x:v>3231335.902530977</x:v>
      </x:c>
      <x:c r="AF19" s="35" t="n">
        <x:f>AF11*$E$49</x:f>
        <x:v>3231335.902530977</x:v>
      </x:c>
      <x:c r="AG19" s="35" t="n">
        <x:f>AG11*$E$49</x:f>
        <x:v>3231335.902530977</x:v>
      </x:c>
      <x:c r="AH19" s="35" t="n">
        <x:f>AH11*$E$49</x:f>
        <x:v>3231335.902530977</x:v>
      </x:c>
      <x:c r="AI19" s="35" t="n">
        <x:f>AI11*$E$49</x:f>
        <x:v>3231335.902530977</x:v>
      </x:c>
      <x:c r="AJ19" s="35" t="n">
        <x:f>AJ11*$E$49</x:f>
        <x:v>3231335.902530977</x:v>
      </x:c>
      <x:c r="AK19" s="35" t="n">
        <x:f>AK11*$E$49</x:f>
        <x:v>3231335.902530977</x:v>
      </x:c>
      <x:c r="AL19" s="35" t="n">
        <x:f>AL11*$E$49</x:f>
        <x:v>3231335.902530977</x:v>
      </x:c>
      <x:c r="AM19" s="35" t="n">
        <x:f>AM11*$E$49</x:f>
        <x:v>3231335.902530977</x:v>
      </x:c>
      <x:c r="AN19" s="35" t="n">
        <x:f>AN11*$E$49</x:f>
        <x:v>3231335.902530977</x:v>
      </x:c>
      <x:c r="AO19" s="35" t="n">
        <x:f>AO11*$E$49</x:f>
        <x:v>3231335.902530977</x:v>
      </x:c>
      <x:c r="AP19" s="35" t="n">
        <x:f>AP11*$E$49</x:f>
        <x:v>3231335.902530977</x:v>
      </x:c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</x:row>
    <x:row r="20" ht="19" customHeight="1">
      <x:c r="A20" s="1"/>
      <x:c r="B20" s="1"/>
      <x:c r="C20" s="42" t="str">
        <x:v>Ending reserve</x:v>
      </x:c>
      <x:c r="D20" s="42"/>
      <x:c r="E20" s="43" t="n">
        <x:f>INDEX(G20:AP20,1,'Assumptions'!$E$7)</x:f>
        <x:v>10869934.704708584</x:v>
      </x:c>
      <x:c r="F20" s="42"/>
      <x:c r="G20" s="43" t="n">
        <x:f>G18+G19-G15</x:f>
        <x:v>39593290.619180396</x:v>
      </x:c>
      <x:c r="H20" s="43" t="n">
        <x:f>H18+H19-H15</x:f>
        <x:v>26857125.055824</x:v>
      </x:c>
      <x:c r="I20" s="43" t="n">
        <x:f>I18+I19-I15</x:f>
        <x:v>19634082.257616907</x:v>
      </x:c>
      <x:c r="J20" s="43" t="n">
        <x:f>J18+J19-J15</x:f>
        <x:v>15483507.734804703</x:v>
      </x:c>
      <x:c r="K20" s="43" t="n">
        <x:f>K18+K19-K15</x:f>
        <x:v>13145703.801556626</x:v>
      </x:c>
      <x:c r="L20" s="43" t="n">
        <x:f>L18+L19-L15</x:f>
        <x:v>11886171.577053783</x:v>
      </x:c>
      <x:c r="M20" s="43" t="n">
        <x:f>M18+M19-M15</x:f>
        <x:v>11246935.93742691</x:v>
      </x:c>
      <x:c r="N20" s="43" t="n">
        <x:f>N18+N19-N15</x:f>
        <x:v>10959906.457823314</x:v>
      </x:c>
      <x:c r="O20" s="43" t="n">
        <x:f>O18+O19-O15</x:f>
        <x:v>10869934.704708584</x:v>
      </x:c>
      <x:c r="P20" s="43" t="n">
        <x:f>P18+P19-P15</x:f>
        <x:v>10869934.704708584</x:v>
      </x:c>
      <x:c r="Q20" s="43" t="n">
        <x:f>Q18+Q19-Q15</x:f>
        <x:v>10869934.704708584</x:v>
      </x:c>
      <x:c r="R20" s="43" t="n">
        <x:f>R18+R19-R15</x:f>
        <x:v>10869934.704708584</x:v>
      </x:c>
      <x:c r="S20" s="43" t="n">
        <x:f>S18+S19-S15</x:f>
        <x:v>10869934.704708584</x:v>
      </x:c>
      <x:c r="T20" s="43" t="n">
        <x:f>T18+T19-T15</x:f>
        <x:v>10869934.704708584</x:v>
      </x:c>
      <x:c r="U20" s="43" t="n">
        <x:f>U18+U19-U15</x:f>
        <x:v>10869934.704708584</x:v>
      </x:c>
      <x:c r="V20" s="43" t="n">
        <x:f>V18+V19-V15</x:f>
        <x:v>10869934.704708584</x:v>
      </x:c>
      <x:c r="W20" s="43" t="n">
        <x:f>W18+W19-W15</x:f>
        <x:v>10869934.704708584</x:v>
      </x:c>
      <x:c r="X20" s="43" t="n">
        <x:f>X18+X19-X15</x:f>
        <x:v>10869934.704708584</x:v>
      </x:c>
      <x:c r="Y20" s="43" t="n">
        <x:f>Y18+Y19-Y15</x:f>
        <x:v>10869934.704708584</x:v>
      </x:c>
      <x:c r="Z20" s="43" t="n">
        <x:f>Z18+Z19-Z15</x:f>
        <x:v>10869934.704708584</x:v>
      </x:c>
      <x:c r="AA20" s="43" t="n">
        <x:f>AA18+AA19-AA15</x:f>
        <x:v>10869934.704708584</x:v>
      </x:c>
      <x:c r="AB20" s="43" t="n">
        <x:f>AB18+AB19-AB15</x:f>
        <x:v>10869934.704708584</x:v>
      </x:c>
      <x:c r="AC20" s="43" t="n">
        <x:f>AC18+AC19-AC15</x:f>
        <x:v>10869934.704708584</x:v>
      </x:c>
      <x:c r="AD20" s="43" t="n">
        <x:f>AD18+AD19-AD15</x:f>
        <x:v>10869934.704708584</x:v>
      </x:c>
      <x:c r="AE20" s="43" t="n">
        <x:f>AE18+AE19-AE15</x:f>
        <x:v>10869934.704708584</x:v>
      </x:c>
      <x:c r="AF20" s="43" t="n">
        <x:f>AF18+AF19-AF15</x:f>
        <x:v>10869934.704708584</x:v>
      </x:c>
      <x:c r="AG20" s="43" t="n">
        <x:f>AG18+AG19-AG15</x:f>
        <x:v>10869934.704708584</x:v>
      </x:c>
      <x:c r="AH20" s="43" t="n">
        <x:f>AH18+AH19-AH15</x:f>
        <x:v>10869934.704708584</x:v>
      </x:c>
      <x:c r="AI20" s="43" t="n">
        <x:f>AI18+AI19-AI15</x:f>
        <x:v>10869934.704708584</x:v>
      </x:c>
      <x:c r="AJ20" s="43" t="n">
        <x:f>AJ18+AJ19-AJ15</x:f>
        <x:v>10869934.704708584</x:v>
      </x:c>
      <x:c r="AK20" s="43" t="n">
        <x:f>AK18+AK19-AK15</x:f>
        <x:v>10869934.704708584</x:v>
      </x:c>
      <x:c r="AL20" s="43" t="n">
        <x:f>AL18+AL19-AL15</x:f>
        <x:v>10869934.704708584</x:v>
      </x:c>
      <x:c r="AM20" s="43" t="n">
        <x:f>AM18+AM19-AM15</x:f>
        <x:v>10869934.704708584</x:v>
      </x:c>
      <x:c r="AN20" s="43" t="n">
        <x:f>AN18+AN19-AN15</x:f>
        <x:v>10869934.704708584</x:v>
      </x:c>
      <x:c r="AO20" s="43" t="n">
        <x:f>AO18+AO19-AO15</x:f>
        <x:v>10869934.704708584</x:v>
      </x:c>
      <x:c r="AP20" s="43" t="n">
        <x:f>AP18+AP19-AP15</x:f>
        <x:v>10869934.704708584</x:v>
      </x:c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</x:row>
    <x:row r="21" ht="19" customHeight="1">
      <x:c r="A21" s="1"/>
      <x:c r="B21" s="1"/>
      <x:c r="C21" s="42" t="str">
        <x:v>Net CLAB</x:v>
      </x:c>
      <x:c r="D21" s="42"/>
      <x:c r="E21" s="43" t="n">
        <x:f>INDEX(G21:AP21,1,'Assumptions'!$E$7)</x:f>
        <x:v>44248959.632062875</x:v>
      </x:c>
      <x:c r="F21" s="42"/>
      <x:c r="G21" s="43" t="n">
        <x:f>G16-G20</x:f>
        <x:v>150585085.2092054</x:v>
      </x:c>
      <x:c r="H21" s="43" t="n">
        <x:f>H16-H20</x:f>
        <x:v>102754850.43009482</x:v>
      </x:c>
      <x:c r="I21" s="43" t="n">
        <x:f>I16-I20</x:f>
        <x:v>75869048.84563905</x:v>
      </x:c>
      <x:c r="J21" s="43" t="n">
        <x:f>J16-J20</x:f>
        <x:v>60671932.72678578</x:v>
      </x:c>
      <x:c r="K21" s="43" t="n">
        <x:f>K16-K20</x:f>
        <x:v>52237673.3184103</x:v>
      </x:c>
      <x:c r="L21" s="43" t="n">
        <x:f>L16-L20</x:f>
        <x:v>47738987.76550735</x:v>
      </x:c>
      <x:c r="M21" s="43" t="n">
        <x:f>M16-M20</x:f>
        <x:v>45514975.72773724</x:v>
      </x:c>
      <x:c r="N21" s="43" t="n">
        <x:f>N16-N20</x:f>
        <x:v>44553167.36607448</x:v>
      </x:c>
      <x:c r="O21" s="43" t="n">
        <x:f>O16-O20</x:f>
        <x:v>44248959.63206287</x:v>
      </x:c>
      <x:c r="P21" s="43" t="n">
        <x:f>P16-P20</x:f>
        <x:v>44248959.632062875</x:v>
      </x:c>
      <x:c r="Q21" s="43" t="n">
        <x:f>Q16-Q20</x:f>
        <x:v>44248959.632062875</x:v>
      </x:c>
      <x:c r="R21" s="43" t="n">
        <x:f>R16-R20</x:f>
        <x:v>44248959.632062875</x:v>
      </x:c>
      <x:c r="S21" s="43" t="n">
        <x:f>S16-S20</x:f>
        <x:v>44248959.632062875</x:v>
      </x:c>
      <x:c r="T21" s="43" t="n">
        <x:f>T16-T20</x:f>
        <x:v>44248959.632062875</x:v>
      </x:c>
      <x:c r="U21" s="43" t="n">
        <x:f>U16-U20</x:f>
        <x:v>44248959.632062875</x:v>
      </x:c>
      <x:c r="V21" s="43" t="n">
        <x:f>V16-V20</x:f>
        <x:v>44248959.632062875</x:v>
      </x:c>
      <x:c r="W21" s="43" t="n">
        <x:f>W16-W20</x:f>
        <x:v>44248959.632062875</x:v>
      </x:c>
      <x:c r="X21" s="43" t="n">
        <x:f>X16-X20</x:f>
        <x:v>44248959.632062875</x:v>
      </x:c>
      <x:c r="Y21" s="43" t="n">
        <x:f>Y16-Y20</x:f>
        <x:v>44248959.632062875</x:v>
      </x:c>
      <x:c r="Z21" s="43" t="n">
        <x:f>Z16-Z20</x:f>
        <x:v>44248959.632062875</x:v>
      </x:c>
      <x:c r="AA21" s="43" t="n">
        <x:f>AA16-AA20</x:f>
        <x:v>44248959.632062875</x:v>
      </x:c>
      <x:c r="AB21" s="43" t="n">
        <x:f>AB16-AB20</x:f>
        <x:v>44248959.632062875</x:v>
      </x:c>
      <x:c r="AC21" s="43" t="n">
        <x:f>AC16-AC20</x:f>
        <x:v>44248959.632062875</x:v>
      </x:c>
      <x:c r="AD21" s="43" t="n">
        <x:f>AD16-AD20</x:f>
        <x:v>44248959.632062875</x:v>
      </x:c>
      <x:c r="AE21" s="43" t="n">
        <x:f>AE16-AE20</x:f>
        <x:v>44248959.632062875</x:v>
      </x:c>
      <x:c r="AF21" s="43" t="n">
        <x:f>AF16-AF20</x:f>
        <x:v>44248959.632062875</x:v>
      </x:c>
      <x:c r="AG21" s="43" t="n">
        <x:f>AG16-AG20</x:f>
        <x:v>44248959.632062875</x:v>
      </x:c>
      <x:c r="AH21" s="43" t="n">
        <x:f>AH16-AH20</x:f>
        <x:v>44248959.632062875</x:v>
      </x:c>
      <x:c r="AI21" s="43" t="n">
        <x:f>AI16-AI20</x:f>
        <x:v>44248959.632062875</x:v>
      </x:c>
      <x:c r="AJ21" s="43" t="n">
        <x:f>AJ16-AJ20</x:f>
        <x:v>44248959.632062875</x:v>
      </x:c>
      <x:c r="AK21" s="43" t="n">
        <x:f>AK16-AK20</x:f>
        <x:v>44248959.632062875</x:v>
      </x:c>
      <x:c r="AL21" s="43" t="n">
        <x:f>AL16-AL20</x:f>
        <x:v>44248959.632062875</x:v>
      </x:c>
      <x:c r="AM21" s="43" t="n">
        <x:f>AM16-AM20</x:f>
        <x:v>44248959.632062875</x:v>
      </x:c>
      <x:c r="AN21" s="43" t="n">
        <x:f>AN16-AN20</x:f>
        <x:v>44248959.632062875</x:v>
      </x:c>
      <x:c r="AO21" s="43" t="n">
        <x:f>AO16-AO20</x:f>
        <x:v>44248959.632062875</x:v>
      </x:c>
      <x:c r="AP21" s="43" t="n">
        <x:f>AP16-AP20</x:f>
        <x:v>44248959.632062875</x:v>
      </x:c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</x:row>
    <x:row r="22" ht="19" customHeight="1">
      <x:c r="A22" s="1"/>
      <x:c r="B22" s="1"/>
      <x:c r="C22" s="2"/>
      <x:c r="D22" s="2"/>
      <x:c r="E22" s="35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</x:row>
    <x:row r="23" ht="19" customHeight="1">
      <x:c r="A23" s="1"/>
      <x:c r="B23" s="1"/>
      <x:c r="C23" s="2" t="str">
        <x:v>Annual yield</x:v>
      </x:c>
      <x:c r="D23" s="2"/>
      <x:c r="E23" s="35"/>
      <x:c r="F23" s="2"/>
      <x:c r="G23" s="33" t="n">
        <x:f>'Assumptions'!$F$15</x:f>
        <x:v>0.55</x:v>
      </x:c>
      <x:c r="H23" s="33" t="n">
        <x:f>'Assumptions'!$F$15</x:f>
        <x:v>0.55</x:v>
      </x:c>
      <x:c r="I23" s="33" t="n">
        <x:f>'Assumptions'!$F$15</x:f>
        <x:v>0.55</x:v>
      </x:c>
      <x:c r="J23" s="33" t="n">
        <x:f>'Assumptions'!$F$15</x:f>
        <x:v>0.55</x:v>
      </x:c>
      <x:c r="K23" s="33" t="n">
        <x:f>'Assumptions'!$F$15</x:f>
        <x:v>0.55</x:v>
      </x:c>
      <x:c r="L23" s="33" t="n">
        <x:f>'Assumptions'!$F$15</x:f>
        <x:v>0.55</x:v>
      </x:c>
      <x:c r="M23" s="33" t="n">
        <x:f>'Assumptions'!$F$15</x:f>
        <x:v>0.55</x:v>
      </x:c>
      <x:c r="N23" s="33" t="n">
        <x:f>'Assumptions'!$F$15</x:f>
        <x:v>0.55</x:v>
      </x:c>
      <x:c r="O23" s="33" t="n">
        <x:f>'Assumptions'!$F$15</x:f>
        <x:v>0.55</x:v>
      </x:c>
      <x:c r="P23" s="33" t="n">
        <x:f>'Assumptions'!$F$15</x:f>
        <x:v>0.55</x:v>
      </x:c>
      <x:c r="Q23" s="33" t="n">
        <x:f>'Assumptions'!$F$15</x:f>
        <x:v>0.55</x:v>
      </x:c>
      <x:c r="R23" s="33" t="n">
        <x:f>'Assumptions'!$F$15</x:f>
        <x:v>0.55</x:v>
      </x:c>
      <x:c r="S23" s="33" t="n">
        <x:f>'Assumptions'!$F$15</x:f>
        <x:v>0.55</x:v>
      </x:c>
      <x:c r="T23" s="33" t="n">
        <x:f>'Assumptions'!$F$15</x:f>
        <x:v>0.55</x:v>
      </x:c>
      <x:c r="U23" s="33" t="n">
        <x:f>'Assumptions'!$F$15</x:f>
        <x:v>0.55</x:v>
      </x:c>
      <x:c r="V23" s="33" t="n">
        <x:f>'Assumptions'!$F$15</x:f>
        <x:v>0.55</x:v>
      </x:c>
      <x:c r="W23" s="33" t="n">
        <x:f>'Assumptions'!$F$15</x:f>
        <x:v>0.55</x:v>
      </x:c>
      <x:c r="X23" s="33" t="n">
        <x:f>'Assumptions'!$F$15</x:f>
        <x:v>0.55</x:v>
      </x:c>
      <x:c r="Y23" s="33" t="n">
        <x:f>'Assumptions'!$F$15</x:f>
        <x:v>0.55</x:v>
      </x:c>
      <x:c r="Z23" s="33" t="n">
        <x:f>'Assumptions'!$F$15</x:f>
        <x:v>0.55</x:v>
      </x:c>
      <x:c r="AA23" s="33" t="n">
        <x:f>'Assumptions'!$F$15</x:f>
        <x:v>0.55</x:v>
      </x:c>
      <x:c r="AB23" s="33" t="n">
        <x:f>'Assumptions'!$F$15</x:f>
        <x:v>0.55</x:v>
      </x:c>
      <x:c r="AC23" s="33" t="n">
        <x:f>'Assumptions'!$F$15</x:f>
        <x:v>0.55</x:v>
      </x:c>
      <x:c r="AD23" s="33" t="n">
        <x:f>'Assumptions'!$F$15</x:f>
        <x:v>0.55</x:v>
      </x:c>
      <x:c r="AE23" s="33" t="n">
        <x:f>'Assumptions'!$F$15</x:f>
        <x:v>0.55</x:v>
      </x:c>
      <x:c r="AF23" s="33" t="n">
        <x:f>'Assumptions'!$F$15</x:f>
        <x:v>0.55</x:v>
      </x:c>
      <x:c r="AG23" s="33" t="n">
        <x:f>'Assumptions'!$F$15</x:f>
        <x:v>0.55</x:v>
      </x:c>
      <x:c r="AH23" s="33" t="n">
        <x:f>'Assumptions'!$F$15</x:f>
        <x:v>0.55</x:v>
      </x:c>
      <x:c r="AI23" s="33" t="n">
        <x:f>'Assumptions'!$F$15</x:f>
        <x:v>0.55</x:v>
      </x:c>
      <x:c r="AJ23" s="33" t="n">
        <x:f>'Assumptions'!$F$15</x:f>
        <x:v>0.55</x:v>
      </x:c>
      <x:c r="AK23" s="33" t="n">
        <x:f>'Assumptions'!$F$15</x:f>
        <x:v>0.55</x:v>
      </x:c>
      <x:c r="AL23" s="33" t="n">
        <x:f>'Assumptions'!$F$15</x:f>
        <x:v>0.55</x:v>
      </x:c>
      <x:c r="AM23" s="33" t="n">
        <x:f>'Assumptions'!$F$15</x:f>
        <x:v>0.55</x:v>
      </x:c>
      <x:c r="AN23" s="33" t="n">
        <x:f>'Assumptions'!$F$15</x:f>
        <x:v>0.55</x:v>
      </x:c>
      <x:c r="AO23" s="33" t="n">
        <x:f>'Assumptions'!$F$15</x:f>
        <x:v>0.55</x:v>
      </x:c>
      <x:c r="AP23" s="33" t="n">
        <x:f>'Assumptions'!$F$15</x:f>
        <x:v>0.55</x:v>
      </x:c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</x:row>
    <x:row r="24" ht="19" customHeight="1">
      <x:c r="A24" s="1"/>
      <x:c r="B24" s="1"/>
      <x:c r="C24" s="42" t="str">
        <x:v>Revenue</x:v>
      </x:c>
      <x:c r="D24" s="42"/>
      <x:c r="E24" s="43" t="n">
        <x:f>SUMIFS(G24:AP24,$G$6:$AP$6,"&lt;="&amp;'Assumptions'!$E$7)</x:f>
        <x:v>79355473.93871075</x:v>
      </x:c>
      <x:c r="F24" s="42"/>
      <x:c r="G24" s="43" t="n">
        <x:f>(G13-G15)*G23/12</x:f>
        <x:v>12783850.77076943</x:v>
      </x:c>
      <x:c r="H24" s="43" t="n">
        <x:f>(H13-H15)*H23/12</x:f>
        <x:v>7984665.074947844</x:v>
      </x:c>
      <x:c r="I24" s="43" t="n">
        <x:f>(I13-I15)*I23/12</x:f>
        <x:v>5461389.852654118</x:v>
      </x:c>
      <x:c r="J24" s="43" t="n">
        <x:f>(J13-J15)*J23/12</x:f>
        <x:v>4038889.281071002</x:v>
      </x:c>
      <x:c r="K24" s="43" t="n">
        <x:f>(K13-K15)*K23/12</x:f>
        <x:v>3235205.445349691</x:v>
      </x:c>
      <x:c r="L24" s="43" t="n">
        <x:f>(L13-L15)*L23/12</x:f>
        <x:v>2790906.662176101</x:v>
      </x:c>
      <x:c r="M24" s="43" t="n">
        <x:f>(M13-M15)*M23/12</x:f>
        <x:v>2555418.607518484</x:v>
      </x:c>
      <x:c r="N24" s="43" t="n">
        <x:f>(N13-N15)*N23/12</x:f>
        <x:v>2440329.204638856</x:v>
      </x:c>
      <x:c r="O24" s="43" t="n">
        <x:f>(O13-O15)*O23/12</x:f>
        <x:v>2392122.616044888</x:v>
      </x:c>
      <x:c r="P24" s="43" t="n">
        <x:f>(P13-P15)*P23/12</x:f>
        <x:v>2378179.761569355</x:v>
      </x:c>
      <x:c r="Q24" s="43" t="n">
        <x:f>(Q13-Q15)*Q23/12</x:f>
        <x:v>2378179.7615693556</x:v>
      </x:c>
      <x:c r="R24" s="43" t="n">
        <x:f>(R13-R15)*R23/12</x:f>
        <x:v>2378179.7615693556</x:v>
      </x:c>
      <x:c r="S24" s="43" t="n">
        <x:f>(S13-S15)*S23/12</x:f>
        <x:v>2378179.7615693556</x:v>
      </x:c>
      <x:c r="T24" s="43" t="n">
        <x:f>(T13-T15)*T23/12</x:f>
        <x:v>2378179.7615693556</x:v>
      </x:c>
      <x:c r="U24" s="43" t="n">
        <x:f>(U13-U15)*U23/12</x:f>
        <x:v>2378179.7615693556</x:v>
      </x:c>
      <x:c r="V24" s="43" t="n">
        <x:f>(V13-V15)*V23/12</x:f>
        <x:v>2378179.7615693556</x:v>
      </x:c>
      <x:c r="W24" s="43" t="n">
        <x:f>(W13-W15)*W23/12</x:f>
        <x:v>2378179.7615693556</x:v>
      </x:c>
      <x:c r="X24" s="43" t="n">
        <x:f>(X13-X15)*X23/12</x:f>
        <x:v>2378179.7615693556</x:v>
      </x:c>
      <x:c r="Y24" s="43" t="n">
        <x:f>(Y13-Y15)*Y23/12</x:f>
        <x:v>2378179.7615693556</x:v>
      </x:c>
      <x:c r="Z24" s="43" t="n">
        <x:f>(Z13-Z15)*Z23/12</x:f>
        <x:v>2378179.7615693556</x:v>
      </x:c>
      <x:c r="AA24" s="43" t="n">
        <x:f>(AA13-AA15)*AA23/12</x:f>
        <x:v>2378179.7615693556</x:v>
      </x:c>
      <x:c r="AB24" s="43" t="n">
        <x:f>(AB13-AB15)*AB23/12</x:f>
        <x:v>2378179.7615693556</x:v>
      </x:c>
      <x:c r="AC24" s="43" t="n">
        <x:f>(AC13-AC15)*AC23/12</x:f>
        <x:v>2378179.7615693556</x:v>
      </x:c>
      <x:c r="AD24" s="43" t="n">
        <x:f>(AD13-AD15)*AD23/12</x:f>
        <x:v>2378179.7615693556</x:v>
      </x:c>
      <x:c r="AE24" s="43" t="n">
        <x:f>(AE13-AE15)*AE23/12</x:f>
        <x:v>2378179.7615693556</x:v>
      </x:c>
      <x:c r="AF24" s="43" t="n">
        <x:f>(AF13-AF15)*AF23/12</x:f>
        <x:v>2378179.7615693556</x:v>
      </x:c>
      <x:c r="AG24" s="43" t="n">
        <x:f>(AG13-AG15)*AG23/12</x:f>
        <x:v>2378179.7615693556</x:v>
      </x:c>
      <x:c r="AH24" s="43" t="n">
        <x:f>(AH13-AH15)*AH23/12</x:f>
        <x:v>2378179.7615693556</x:v>
      </x:c>
      <x:c r="AI24" s="43" t="n">
        <x:f>(AI13-AI15)*AI23/12</x:f>
        <x:v>2378179.7615693556</x:v>
      </x:c>
      <x:c r="AJ24" s="43" t="n">
        <x:f>(AJ13-AJ15)*AJ23/12</x:f>
        <x:v>2378179.7615693556</x:v>
      </x:c>
      <x:c r="AK24" s="43" t="n">
        <x:f>(AK13-AK15)*AK23/12</x:f>
        <x:v>2378179.7615693556</x:v>
      </x:c>
      <x:c r="AL24" s="43" t="n">
        <x:f>(AL13-AL15)*AL23/12</x:f>
        <x:v>2378179.7615693556</x:v>
      </x:c>
      <x:c r="AM24" s="43" t="n">
        <x:f>(AM13-AM15)*AM23/12</x:f>
        <x:v>2378179.7615693556</x:v>
      </x:c>
      <x:c r="AN24" s="43" t="n">
        <x:f>(AN13-AN15)*AN23/12</x:f>
        <x:v>2378179.7615693556</x:v>
      </x:c>
      <x:c r="AO24" s="43" t="n">
        <x:f>(AO13-AO15)*AO23/12</x:f>
        <x:v>2378179.7615693556</x:v>
      </x:c>
      <x:c r="AP24" s="43" t="n">
        <x:f>(AP13-AP15)*AP23/12</x:f>
        <x:v>2378179.7615693556</x:v>
      </x:c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</x:row>
    <x:row r="25" ht="19" customHeight="1">
      <x:c r="A25" s="1"/>
      <x:c r="B25" s="1"/>
      <x:c r="C25" s="46" t="str">
        <x:v>Net revenue</x:v>
      </x:c>
      <x:c r="D25" s="46"/>
      <x:c r="E25" s="47" t="n">
        <x:f>SUMIFS(G25:AP25,$G$6:$AP$6,"&lt;="&amp;'Assumptions'!$E$7)</x:f>
        <x:v>1803412.2779673026</x:v>
      </x:c>
      <x:c r="F25" s="46"/>
      <x:c r="G25" s="47" t="n">
        <x:f>G24-G19</x:f>
        <x:v>9552514.868238453</x:v>
      </x:c>
      <x:c r="H25" s="47" t="n">
        <x:f>H24-H19</x:f>
        <x:v>4753329.172416868</x:v>
      </x:c>
      <x:c r="I25" s="47" t="n">
        <x:f>I24-I19</x:f>
        <x:v>2230053.950123141</x:v>
      </x:c>
      <x:c r="J25" s="47" t="n">
        <x:f>J24-J19</x:f>
        <x:v>807553.3785400251</x:v>
      </x:c>
      <x:c r="K25" s="47" t="n">
        <x:f>K24-K19</x:f>
        <x:v>3869.5428187139332</x:v>
      </x:c>
      <x:c r="L25" s="47" t="n">
        <x:f>L24-L19</x:f>
        <x:v>-440429.24035487603</x:v>
      </x:c>
      <x:c r="M25" s="47" t="n">
        <x:f>M24-M19</x:f>
        <x:v>-675917.2950124932</x:v>
      </x:c>
      <x:c r="N25" s="47" t="n">
        <x:f>N24-N19</x:f>
        <x:v>-791006.697892121</x:v>
      </x:c>
      <x:c r="O25" s="47" t="n">
        <x:f>O24-O19</x:f>
        <x:v>-839213.2864860892</x:v>
      </x:c>
      <x:c r="P25" s="47" t="n">
        <x:f>P24-P19</x:f>
        <x:v>-853156.1409616219</x:v>
      </x:c>
      <x:c r="Q25" s="47" t="n">
        <x:f>Q24-Q19</x:f>
        <x:v>-853156.1409616214</x:v>
      </x:c>
      <x:c r="R25" s="47" t="n">
        <x:f>R24-R19</x:f>
        <x:v>-853156.1409616214</x:v>
      </x:c>
      <x:c r="S25" s="47" t="n">
        <x:f>S24-S19</x:f>
        <x:v>-853156.1409616214</x:v>
      </x:c>
      <x:c r="T25" s="47" t="n">
        <x:f>T24-T19</x:f>
        <x:v>-853156.1409616214</x:v>
      </x:c>
      <x:c r="U25" s="47" t="n">
        <x:f>U24-U19</x:f>
        <x:v>-853156.1409616214</x:v>
      </x:c>
      <x:c r="V25" s="47" t="n">
        <x:f>V24-V19</x:f>
        <x:v>-853156.1409616214</x:v>
      </x:c>
      <x:c r="W25" s="47" t="n">
        <x:f>W24-W19</x:f>
        <x:v>-853156.1409616214</x:v>
      </x:c>
      <x:c r="X25" s="47" t="n">
        <x:f>X24-X19</x:f>
        <x:v>-853156.1409616214</x:v>
      </x:c>
      <x:c r="Y25" s="47" t="n">
        <x:f>Y24-Y19</x:f>
        <x:v>-853156.1409616214</x:v>
      </x:c>
      <x:c r="Z25" s="47" t="n">
        <x:f>Z24-Z19</x:f>
        <x:v>-853156.1409616214</x:v>
      </x:c>
      <x:c r="AA25" s="47" t="n">
        <x:f>AA24-AA19</x:f>
        <x:v>-853156.1409616214</x:v>
      </x:c>
      <x:c r="AB25" s="47" t="n">
        <x:f>AB24-AB19</x:f>
        <x:v>-853156.1409616214</x:v>
      </x:c>
      <x:c r="AC25" s="47" t="n">
        <x:f>AC24-AC19</x:f>
        <x:v>-853156.1409616214</x:v>
      </x:c>
      <x:c r="AD25" s="47" t="n">
        <x:f>AD24-AD19</x:f>
        <x:v>-853156.1409616214</x:v>
      </x:c>
      <x:c r="AE25" s="47" t="n">
        <x:f>AE24-AE19</x:f>
        <x:v>-853156.1409616214</x:v>
      </x:c>
      <x:c r="AF25" s="47" t="n">
        <x:f>AF24-AF19</x:f>
        <x:v>-853156.1409616214</x:v>
      </x:c>
      <x:c r="AG25" s="47" t="n">
        <x:f>AG24-AG19</x:f>
        <x:v>-853156.1409616214</x:v>
      </x:c>
      <x:c r="AH25" s="47" t="n">
        <x:f>AH24-AH19</x:f>
        <x:v>-853156.1409616214</x:v>
      </x:c>
      <x:c r="AI25" s="47" t="n">
        <x:f>AI24-AI19</x:f>
        <x:v>-853156.1409616214</x:v>
      </x:c>
      <x:c r="AJ25" s="47" t="n">
        <x:f>AJ24-AJ19</x:f>
        <x:v>-853156.1409616214</x:v>
      </x:c>
      <x:c r="AK25" s="47" t="n">
        <x:f>AK24-AK19</x:f>
        <x:v>-853156.1409616214</x:v>
      </x:c>
      <x:c r="AL25" s="47" t="n">
        <x:f>AL24-AL19</x:f>
        <x:v>-853156.1409616214</x:v>
      </x:c>
      <x:c r="AM25" s="47" t="n">
        <x:f>AM24-AM19</x:f>
        <x:v>-853156.1409616214</x:v>
      </x:c>
      <x:c r="AN25" s="47" t="n">
        <x:f>AN24-AN19</x:f>
        <x:v>-853156.1409616214</x:v>
      </x:c>
      <x:c r="AO25" s="47" t="n">
        <x:f>AO24-AO19</x:f>
        <x:v>-853156.1409616214</x:v>
      </x:c>
      <x:c r="AP25" s="47" t="n">
        <x:f>AP24-AP19</x:f>
        <x:v>-853156.1409616214</x:v>
      </x:c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</x:row>
    <x:row r="26" ht="19" customHeight="1">
      <x:c r="A26" s="1"/>
      <x:c r="B26" s="1"/>
      <x:c r="C26" s="2"/>
      <x:c r="D26" s="2"/>
      <x:c r="E26" s="35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</x:row>
    <x:row r="27" ht="19" customHeight="1">
      <x:c r="A27" s="1"/>
      <x:c r="B27" s="1"/>
      <x:c r="C27" s="2" t="str">
        <x:v>Opening-book charge-offs</x:v>
      </x:c>
      <x:c r="D27" s="2"/>
      <x:c r="E27" s="35" t="n">
        <x:f>SUMIFS(G27:AP27,$G$6:$AP$6,"&lt;="&amp;'Assumptions'!$E$7)</x:f>
        <x:v>64161574.26349826</x:v>
      </x:c>
      <x:c r="F27" s="2"/>
      <x:c r="G27" s="35" t="n">
        <x:f>SUMPRODUCT($E$160:$E$219,$E$52:$E$111)</x:f>
        <x:v>27799619.546848845</x:v>
      </x:c>
      <x:c r="H27" s="35" t="n">
        <x:f>SUMPRODUCT($E$160:$E$219,$E$53:$E$112)</x:f>
        <x:v>15141622.741987087</x:v>
      </x:c>
      <x:c r="I27" s="35" t="n">
        <x:f>SUMPRODUCT($E$160:$E$219,$E$54:$E$113)</x:f>
        <x:v>8984827.287719995</x:v>
      </x:c>
      <x:c r="J27" s="35" t="n">
        <x:f>SUMPRODUCT($E$160:$E$219,$E$55:$E$114)</x:f>
        <x:v>5434360.8779036375</x:v>
      </x:c>
      <x:c r="K27" s="35" t="n">
        <x:f>SUMPRODUCT($E$160:$E$219,$E$56:$E$115)</x:f>
        <x:v>3235785.2199295214</x:v>
      </x:c>
      <x:c r="L27" s="35" t="n">
        <x:f>SUMPRODUCT($E$160:$E$219,$E$57:$E$116)</x:f>
        <x:v>1853110.6988498294</x:v>
      </x:c>
      <x:c r="M27" s="35" t="n">
        <x:f>SUMPRODUCT($E$160:$E$219,$E$58:$E$117)</x:f>
        <x:v>1019207.7877078822</x:v>
      </x:c>
      <x:c r="N27" s="35" t="n">
        <x:f>SUMPRODUCT($E$160:$E$219,$E$59:$E$118)</x:f>
        <x:v>510525.97480444727</x:v>
      </x:c>
      <x:c r="O27" s="35" t="n">
        <x:f>SUMPRODUCT($E$160:$E$219,$E$60:$E$119)</x:f>
        <x:v>182514.12774702298</x:v>
      </x:c>
      <x:c r="P27" s="35" t="n">
        <x:f>SUMPRODUCT($E$160:$E$219,$E$61:$E$120)</x:f>
        <x:v>0</x:v>
      </x:c>
      <x:c r="Q27" s="35" t="n">
        <x:f>SUMPRODUCT($E$160:$E$219,$E$62:$E$121)</x:f>
        <x:v>0</x:v>
      </x:c>
      <x:c r="R27" s="35" t="n">
        <x:f>SUMPRODUCT($E$160:$E$219,$E$63:$E$122)</x:f>
        <x:v>0</x:v>
      </x:c>
      <x:c r="S27" s="35" t="n">
        <x:f>SUMPRODUCT($E$160:$E$219,$E$64:$E$123)</x:f>
        <x:v>0</x:v>
      </x:c>
      <x:c r="T27" s="35" t="n">
        <x:f>SUMPRODUCT($E$160:$E$219,$E$65:$E$124)</x:f>
        <x:v>0</x:v>
      </x:c>
      <x:c r="U27" s="35" t="n">
        <x:f>SUMPRODUCT($E$160:$E$219,$E$66:$E$125)</x:f>
        <x:v>0</x:v>
      </x:c>
      <x:c r="V27" s="35" t="n">
        <x:f>SUMPRODUCT($E$160:$E$219,$E$67:$E$126)</x:f>
        <x:v>0</x:v>
      </x:c>
      <x:c r="W27" s="35" t="n">
        <x:f>SUMPRODUCT($E$160:$E$219,$E$68:$E$127)</x:f>
        <x:v>0</x:v>
      </x:c>
      <x:c r="X27" s="35" t="n">
        <x:f>SUMPRODUCT($E$160:$E$219,$E$69:$E$128)</x:f>
        <x:v>0</x:v>
      </x:c>
      <x:c r="Y27" s="35" t="n">
        <x:f>SUMPRODUCT($E$160:$E$219,$E$70:$E$129)</x:f>
        <x:v>0</x:v>
      </x:c>
      <x:c r="Z27" s="35" t="n">
        <x:f>SUMPRODUCT($E$160:$E$219,$E$71:$E$130)</x:f>
        <x:v>0</x:v>
      </x:c>
      <x:c r="AA27" s="35" t="n">
        <x:f>SUMPRODUCT($E$160:$E$219,$E$72:$E$131)</x:f>
        <x:v>0</x:v>
      </x:c>
      <x:c r="AB27" s="35" t="n">
        <x:f>SUMPRODUCT($E$160:$E$219,$E$73:$E$132)</x:f>
        <x:v>0</x:v>
      </x:c>
      <x:c r="AC27" s="35" t="n">
        <x:f>SUMPRODUCT($E$160:$E$219,$E$74:$E$133)</x:f>
        <x:v>0</x:v>
      </x:c>
      <x:c r="AD27" s="35" t="n">
        <x:f>SUMPRODUCT($E$160:$E$219,$E$75:$E$134)</x:f>
        <x:v>0</x:v>
      </x:c>
      <x:c r="AE27" s="35" t="n">
        <x:f>SUMPRODUCT($E$160:$E$219,$E$76:$E$135)</x:f>
        <x:v>0</x:v>
      </x:c>
      <x:c r="AF27" s="35" t="n">
        <x:f>SUMPRODUCT($E$160:$E$219,$E$77:$E$136)</x:f>
        <x:v>0</x:v>
      </x:c>
      <x:c r="AG27" s="35" t="n">
        <x:f>SUMPRODUCT($E$160:$E$219,$E$78:$E$137)</x:f>
        <x:v>0</x:v>
      </x:c>
      <x:c r="AH27" s="35" t="n">
        <x:f>SUMPRODUCT($E$160:$E$219,$E$79:$E$138)</x:f>
        <x:v>0</x:v>
      </x:c>
      <x:c r="AI27" s="35" t="n">
        <x:f>SUMPRODUCT($E$160:$E$219,$E$80:$E$139)</x:f>
        <x:v>0</x:v>
      </x:c>
      <x:c r="AJ27" s="35" t="n">
        <x:f>SUMPRODUCT($E$160:$E$219,$E$81:$E$140)</x:f>
        <x:v>0</x:v>
      </x:c>
      <x:c r="AK27" s="35" t="n">
        <x:f>SUMPRODUCT($E$160:$E$219,$E$82:$E$141)</x:f>
        <x:v>0</x:v>
      </x:c>
      <x:c r="AL27" s="35" t="n">
        <x:f>SUMPRODUCT($E$160:$E$219,$E$83:$E$142)</x:f>
        <x:v>0</x:v>
      </x:c>
      <x:c r="AM27" s="35" t="n">
        <x:f>SUMPRODUCT($E$160:$E$219,$E$84:$E$143)</x:f>
        <x:v>0</x:v>
      </x:c>
      <x:c r="AN27" s="35" t="n">
        <x:f>SUMPRODUCT($E$160:$E$219,$E$85:$E$144)</x:f>
        <x:v>0</x:v>
      </x:c>
      <x:c r="AO27" s="35" t="n">
        <x:f>SUMPRODUCT($E$160:$E$219,$E$86:$E$145)</x:f>
        <x:v>0</x:v>
      </x:c>
      <x:c r="AP27" s="35" t="n">
        <x:f>SUMPRODUCT($E$160:$E$219,$E$87:$E$146)</x:f>
        <x:v>0</x:v>
      </x:c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</x:row>
    <x:row r="28" ht="19" customHeight="1">
      <x:c r="A28" s="1"/>
      <x:c r="B28" s="1"/>
      <x:c r="C28" s="2" t="str">
        <x:v>New-book charge-offs</x:v>
      </x:c>
      <x:c r="D28" s="2"/>
      <x:c r="E28" s="35" t="n">
        <x:f>SUMIFS(G28:AP28,$G$6:$AP$6,"&lt;="&amp;'Assumptions'!$E$7)</x:f>
        <x:v>66682126.95603484</x:v>
      </x:c>
      <x:c r="F28" s="2"/>
      <x:c r="G28" s="35" t="n">
        <x:f>SUMPRODUCT($G$11:G11,$CY$150:$CY$150)</x:f>
        <x:v>0</x:v>
      </x:c>
      <x:c r="H28" s="35" t="n">
        <x:f>SUMPRODUCT($G$11:H11,$CX$150:$CY$150)</x:f>
        <x:v>825878.723900285</x:v>
      </x:c>
      <x:c r="I28" s="35" t="n">
        <x:f>SUMPRODUCT($G$11:I11,$CW$150:$CY$150)</x:f>
        <x:v>1469551.4130180744</x:v>
      </x:c>
      <x:c r="J28" s="35" t="n">
        <x:f>SUMPRODUCT($G$11:J11,$CV$150:$CY$150)</x:f>
        <x:v>1947549.5474395426</x:v>
      </x:c>
      <x:c r="K28" s="35" t="n">
        <x:f>SUMPRODUCT($G$11:K11,$CU$150:$CY$150)</x:f>
        <x:v>2333354.6158495327</x:v>
      </x:c>
      <x:c r="L28" s="35" t="n">
        <x:f>SUMPRODUCT($G$11:L11,$CT$150:$CY$150)</x:f>
        <x:v>2637757.428183991</x:v>
      </x:c>
      <x:c r="M28" s="35" t="n">
        <x:f>SUMPRODUCT($G$11:M11,$CS$150:$CY$150)</x:f>
        <x:v>2851363.75444997</x:v>
      </x:c>
      <x:c r="N28" s="35" t="n">
        <x:f>SUMPRODUCT($G$11:N11,$CR$150:$CY$150)</x:f>
        <x:v>3007839.407330126</x:v>
      </x:c>
      <x:c r="O28" s="35" t="n">
        <x:f>SUMPRODUCT($G$11:O11,$CQ$150:$CY$150)</x:f>
        <x:v>3138793.527898684</x:v>
      </x:c>
      <x:c r="P28" s="35" t="n">
        <x:f>SUMPRODUCT($G$11:P11,$CP$150:$CY$150)</x:f>
        <x:v>3231335.9025309775</x:v>
      </x:c>
      <x:c r="Q28" s="35" t="n">
        <x:f>SUMPRODUCT($G$11:Q11,$CO$150:$CY$150)</x:f>
        <x:v>3231335.9025309775</x:v>
      </x:c>
      <x:c r="R28" s="35" t="n">
        <x:f>SUMPRODUCT($G$11:R11,$CN$150:$CY$150)</x:f>
        <x:v>3231335.9025309775</x:v>
      </x:c>
      <x:c r="S28" s="35" t="n">
        <x:f>SUMPRODUCT($G$11:S11,$CM$150:$CY$150)</x:f>
        <x:v>3231335.9025309775</x:v>
      </x:c>
      <x:c r="T28" s="35" t="n">
        <x:f>SUMPRODUCT($G$11:T11,$CL$150:$CY$150)</x:f>
        <x:v>3231335.9025309775</x:v>
      </x:c>
      <x:c r="U28" s="35" t="n">
        <x:f>SUMPRODUCT($G$11:U11,$CK$150:$CY$150)</x:f>
        <x:v>3231335.9025309775</x:v>
      </x:c>
      <x:c r="V28" s="35" t="n">
        <x:f>SUMPRODUCT($G$11:V11,$CJ$150:$CY$150)</x:f>
        <x:v>3231335.9025309775</x:v>
      </x:c>
      <x:c r="W28" s="35" t="n">
        <x:f>SUMPRODUCT($G$11:W11,$CI$150:$CY$150)</x:f>
        <x:v>3231335.9025309775</x:v>
      </x:c>
      <x:c r="X28" s="35" t="n">
        <x:f>SUMPRODUCT($G$11:X11,$CH$150:$CY$150)</x:f>
        <x:v>3231335.9025309775</x:v>
      </x:c>
      <x:c r="Y28" s="35" t="n">
        <x:f>SUMPRODUCT($G$11:Y11,$CG$150:$CY$150)</x:f>
        <x:v>3231335.9025309775</x:v>
      </x:c>
      <x:c r="Z28" s="35" t="n">
        <x:f>SUMPRODUCT($G$11:Z11,$CF$150:$CY$150)</x:f>
        <x:v>3231335.9025309775</x:v>
      </x:c>
      <x:c r="AA28" s="35" t="n">
        <x:f>SUMPRODUCT($G$11:AA11,$CE$150:$CY$150)</x:f>
        <x:v>3231335.9025309775</x:v>
      </x:c>
      <x:c r="AB28" s="35" t="n">
        <x:f>SUMPRODUCT($G$11:AB11,$CD$150:$CY$150)</x:f>
        <x:v>3231335.9025309775</x:v>
      </x:c>
      <x:c r="AC28" s="35" t="n">
        <x:f>SUMPRODUCT($G$11:AC11,$CC$150:$CY$150)</x:f>
        <x:v>3231335.9025309775</x:v>
      </x:c>
      <x:c r="AD28" s="35" t="n">
        <x:f>SUMPRODUCT($G$11:AD11,$CB$150:$CY$150)</x:f>
        <x:v>3231335.9025309775</x:v>
      </x:c>
      <x:c r="AE28" s="35" t="n">
        <x:f>SUMPRODUCT($G$11:AE11,$CA$150:$CY$150)</x:f>
        <x:v>3231335.9025309775</x:v>
      </x:c>
      <x:c r="AF28" s="35" t="n">
        <x:f>SUMPRODUCT($G$11:AF11,$BZ$150:$CY$150)</x:f>
        <x:v>3231335.9025309775</x:v>
      </x:c>
      <x:c r="AG28" s="35" t="n">
        <x:f>SUMPRODUCT($G$11:AG11,$BY$150:$CY$150)</x:f>
        <x:v>3231335.9025309775</x:v>
      </x:c>
      <x:c r="AH28" s="35" t="n">
        <x:f>SUMPRODUCT($G$11:AH11,$BX$150:$CY$150)</x:f>
        <x:v>3231335.9025309775</x:v>
      </x:c>
      <x:c r="AI28" s="35" t="n">
        <x:f>SUMPRODUCT($G$11:AI11,$BW$150:$CY$150)</x:f>
        <x:v>3231335.9025309775</x:v>
      </x:c>
      <x:c r="AJ28" s="35" t="n">
        <x:f>SUMPRODUCT($G$11:AJ11,$BV$150:$CY$150)</x:f>
        <x:v>3231335.9025309775</x:v>
      </x:c>
      <x:c r="AK28" s="35" t="n">
        <x:f>SUMPRODUCT($G$11:AK11,$BU$150:$CY$150)</x:f>
        <x:v>3231335.9025309775</x:v>
      </x:c>
      <x:c r="AL28" s="35" t="n">
        <x:f>SUMPRODUCT($G$11:AL11,$BT$150:$CY$150)</x:f>
        <x:v>3231335.9025309775</x:v>
      </x:c>
      <x:c r="AM28" s="35" t="n">
        <x:f>SUMPRODUCT($G$11:AM11,$BS$150:$CY$150)</x:f>
        <x:v>3231335.9025309775</x:v>
      </x:c>
      <x:c r="AN28" s="35" t="n">
        <x:f>SUMPRODUCT($G$11:AN11,$BR$150:$CY$150)</x:f>
        <x:v>3231335.9025309775</x:v>
      </x:c>
      <x:c r="AO28" s="35" t="n">
        <x:f>SUMPRODUCT($G$11:AO11,$BQ$150:$CY$150)</x:f>
        <x:v>3231335.9025309775</x:v>
      </x:c>
      <x:c r="AP28" s="35" t="n">
        <x:f>SUMPRODUCT($G$11:AP11,$BP$150:$CY$150)</x:f>
        <x:v>3231335.9025309775</x:v>
      </x:c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</x:row>
    <x:row r="29" ht="19" customHeight="1">
      <x:c r="A29" s="1"/>
      <x:c r="B29" s="1"/>
      <x:c r="C29" s="2" t="str">
        <x:v>Opening-book repayments</x:v>
      </x:c>
      <x:c r="D29" s="2"/>
      <x:c r="E29" s="35" t="n">
        <x:f>SUMIFS(G29:AP29,$G$6:$AP$6,"&lt;="&amp;'Assumptions'!$E$7)</x:f>
        <x:v>242558425.73650184</x:v>
      </x:c>
      <x:c r="F29" s="2"/>
      <x:c r="G29" s="35" t="n">
        <x:f>SUMPRODUCT($E$160:$E$219,$F$52:$F$111)</x:f>
        <x:v>106022004.6247654</x:v>
      </x:c>
      <x:c r="H29" s="35" t="n">
        <x:f>SUMPRODUCT($E$160:$E$219,$F$53:$F$112)</x:f>
        <x:v>57927363.37667365</x:v>
      </x:c>
      <x:c r="I29" s="35" t="n">
        <x:f>SUMPRODUCT($E$160:$E$219,$F$54:$F$113)</x:f>
        <x:v>34042161.038259655</x:v>
      </x:c>
      <x:c r="J29" s="35" t="n">
        <x:f>SUMPRODUCT($E$160:$E$219,$F$55:$F$114)</x:f>
        <x:v>20160130.63843864</x:v>
      </x:c>
      <x:c r="K29" s="35" t="n">
        <x:f>SUMPRODUCT($E$160:$E$219,$F$56:$F$115)</x:f>
        <x:v>11793699.418109728</x:v>
      </x:c>
      <x:c r="L29" s="35" t="n">
        <x:f>SUMPRODUCT($E$160:$E$219,$F$57:$F$116)</x:f>
        <x:v>6707277.834000221</x:v>
      </x:c>
      <x:c r="M29" s="35" t="n">
        <x:f>SUMPRODUCT($E$160:$E$219,$F$58:$F$117)</x:f>
        <x:v>3580127.3480028566</x:v>
      </x:c>
      <x:c r="N29" s="35" t="n">
        <x:f>SUMPRODUCT($E$160:$E$219,$F$59:$F$118)</x:f>
        <x:v>1708554.3406853122</x:v>
      </x:c>
      <x:c r="O29" s="35" t="n">
        <x:f>SUMPRODUCT($E$160:$E$219,$F$60:$F$119)</x:f>
        <x:v>617107.1175664124</x:v>
      </x:c>
      <x:c r="P29" s="35" t="n">
        <x:f>SUMPRODUCT($E$160:$E$219,$F$61:$F$120)</x:f>
        <x:v>0</x:v>
      </x:c>
      <x:c r="Q29" s="35" t="n">
        <x:f>SUMPRODUCT($E$160:$E$219,$F$62:$F$121)</x:f>
        <x:v>0</x:v>
      </x:c>
      <x:c r="R29" s="35" t="n">
        <x:f>SUMPRODUCT($E$160:$E$219,$F$63:$F$122)</x:f>
        <x:v>0</x:v>
      </x:c>
      <x:c r="S29" s="35" t="n">
        <x:f>SUMPRODUCT($E$160:$E$219,$F$64:$F$123)</x:f>
        <x:v>0</x:v>
      </x:c>
      <x:c r="T29" s="35" t="n">
        <x:f>SUMPRODUCT($E$160:$E$219,$F$65:$F$124)</x:f>
        <x:v>0</x:v>
      </x:c>
      <x:c r="U29" s="35" t="n">
        <x:f>SUMPRODUCT($E$160:$E$219,$F$66:$F$125)</x:f>
        <x:v>0</x:v>
      </x:c>
      <x:c r="V29" s="35" t="n">
        <x:f>SUMPRODUCT($E$160:$E$219,$F$67:$F$126)</x:f>
        <x:v>0</x:v>
      </x:c>
      <x:c r="W29" s="35" t="n">
        <x:f>SUMPRODUCT($E$160:$E$219,$F$68:$F$127)</x:f>
        <x:v>0</x:v>
      </x:c>
      <x:c r="X29" s="35" t="n">
        <x:f>SUMPRODUCT($E$160:$E$219,$F$69:$F$128)</x:f>
        <x:v>0</x:v>
      </x:c>
      <x:c r="Y29" s="35" t="n">
        <x:f>SUMPRODUCT($E$160:$E$219,$F$70:$F$129)</x:f>
        <x:v>0</x:v>
      </x:c>
      <x:c r="Z29" s="35" t="n">
        <x:f>SUMPRODUCT($E$160:$E$219,$F$71:$F$130)</x:f>
        <x:v>0</x:v>
      </x:c>
      <x:c r="AA29" s="35" t="n">
        <x:f>SUMPRODUCT($E$160:$E$219,$F$72:$F$131)</x:f>
        <x:v>0</x:v>
      </x:c>
      <x:c r="AB29" s="35" t="n">
        <x:f>SUMPRODUCT($E$160:$E$219,$F$73:$F$132)</x:f>
        <x:v>0</x:v>
      </x:c>
      <x:c r="AC29" s="35" t="n">
        <x:f>SUMPRODUCT($E$160:$E$219,$F$74:$F$133)</x:f>
        <x:v>0</x:v>
      </x:c>
      <x:c r="AD29" s="35" t="n">
        <x:f>SUMPRODUCT($E$160:$E$219,$F$75:$F$134)</x:f>
        <x:v>0</x:v>
      </x:c>
      <x:c r="AE29" s="35" t="n">
        <x:f>SUMPRODUCT($E$160:$E$219,$F$76:$F$135)</x:f>
        <x:v>0</x:v>
      </x:c>
      <x:c r="AF29" s="35" t="n">
        <x:f>SUMPRODUCT($E$160:$E$219,$F$77:$F$136)</x:f>
        <x:v>0</x:v>
      </x:c>
      <x:c r="AG29" s="35" t="n">
        <x:f>SUMPRODUCT($E$160:$E$219,$F$78:$F$137)</x:f>
        <x:v>0</x:v>
      </x:c>
      <x:c r="AH29" s="35" t="n">
        <x:f>SUMPRODUCT($E$160:$E$219,$F$79:$F$138)</x:f>
        <x:v>0</x:v>
      </x:c>
      <x:c r="AI29" s="35" t="n">
        <x:f>SUMPRODUCT($E$160:$E$219,$F$80:$F$139)</x:f>
        <x:v>0</x:v>
      </x:c>
      <x:c r="AJ29" s="35" t="n">
        <x:f>SUMPRODUCT($E$160:$E$219,$F$81:$F$140)</x:f>
        <x:v>0</x:v>
      </x:c>
      <x:c r="AK29" s="35" t="n">
        <x:f>SUMPRODUCT($E$160:$E$219,$F$82:$F$141)</x:f>
        <x:v>0</x:v>
      </x:c>
      <x:c r="AL29" s="35" t="n">
        <x:f>SUMPRODUCT($E$160:$E$219,$F$83:$F$142)</x:f>
        <x:v>0</x:v>
      </x:c>
      <x:c r="AM29" s="35" t="n">
        <x:f>SUMPRODUCT($E$160:$E$219,$F$84:$F$143)</x:f>
        <x:v>0</x:v>
      </x:c>
      <x:c r="AN29" s="35" t="n">
        <x:f>SUMPRODUCT($E$160:$E$219,$F$85:$F$144)</x:f>
        <x:v>0</x:v>
      </x:c>
      <x:c r="AO29" s="35" t="n">
        <x:f>SUMPRODUCT($E$160:$E$219,$F$86:$F$145)</x:f>
        <x:v>0</x:v>
      </x:c>
      <x:c r="AP29" s="35" t="n">
        <x:f>SUMPRODUCT($E$160:$E$219,$F$87:$F$146)</x:f>
        <x:v>0</x:v>
      </x:c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</x:row>
    <x:row r="30" ht="19" customHeight="1">
      <x:c r="A30" s="1"/>
      <x:c r="B30" s="1"/>
      <x:c r="C30" s="2" t="str">
        <x:v>New-book repayments</x:v>
      </x:c>
      <x:c r="D30" s="2"/>
      <x:c r="E30" s="35" t="n">
        <x:f>SUMIFS(G30:AP30,$G$6:$AP$6,"&lt;="&amp;'Assumptions'!$E$7)</x:f>
        <x:v>292918978.7071937</x:v>
      </x:c>
      <x:c r="F30" s="2"/>
      <x:c r="G30" s="35" t="n">
        <x:f>SUMPRODUCT($G$11:G11,$CY$151:$CY$151)</x:f>
        <x:v>0</x:v>
      </x:c>
      <x:c r="H30" s="35" t="n">
        <x:f>SUMPRODUCT($G$11:H11,$CX$151:$CY$151)</x:f>
        <x:v>3951535.4999059457</x:v>
      </x:c>
      <x:c r="I30" s="35" t="n">
        <x:f>SUMPRODUCT($G$11:I11,$CW$151:$CY$151)</x:f>
        <x:v>6892304.643665137</x:v>
      </x:c>
      <x:c r="J30" s="35" t="n">
        <x:f>SUMPRODUCT($G$11:J11,$CV$151:$CY$151)</x:f>
        <x:v>9085649.577883646</x:v>
      </x:c>
      <x:c r="K30" s="35" t="n">
        <x:f>SUMPRODUCT($G$11:K11,$CU$151:$CY$151)</x:f>
        <x:v>10689224.087734772</x:v>
      </x:c>
      <x:c r="L30" s="35" t="n">
        <x:f>SUMPRODUCT($G$11:L11,$CT$151:$CY$151)</x:f>
        <x:v>11840071.816371743</x:v>
      </x:c>
      <x:c r="M30" s="35" t="n">
        <x:f>SUMPRODUCT($G$11:M11,$CS$151:$CY$151)</x:f>
        <x:v>12692548.787236264</x:v>
      </x:c>
      <x:c r="N30" s="35" t="n">
        <x:f>SUMPRODUCT($G$11:N11,$CR$151:$CY$151)</x:f>
        <x:v>13301918.118446467</x:v>
      </x:c>
      <x:c r="O30" s="35" t="n">
        <x:f>SUMPRODUCT($G$11:O11,$CQ$151:$CY$151)</x:f>
        <x:v>13735764.713914223</x:v>
      </x:c>
      <x:c r="P30" s="35" t="n">
        <x:f>SUMPRODUCT($G$11:P11,$CP$151:$CY$151)</x:f>
        <x:v>14048664.097469024</x:v>
      </x:c>
      <x:c r="Q30" s="35" t="n">
        <x:f>SUMPRODUCT($G$11:Q11,$CO$151:$CY$151)</x:f>
        <x:v>14048664.097469024</x:v>
      </x:c>
      <x:c r="R30" s="35" t="n">
        <x:f>SUMPRODUCT($G$11:R11,$CN$151:$CY$151)</x:f>
        <x:v>14048664.097469024</x:v>
      </x:c>
      <x:c r="S30" s="35" t="n">
        <x:f>SUMPRODUCT($G$11:S11,$CM$151:$CY$151)</x:f>
        <x:v>14048664.097469024</x:v>
      </x:c>
      <x:c r="T30" s="35" t="n">
        <x:f>SUMPRODUCT($G$11:T11,$CL$151:$CY$151)</x:f>
        <x:v>14048664.097469024</x:v>
      </x:c>
      <x:c r="U30" s="35" t="n">
        <x:f>SUMPRODUCT($G$11:U11,$CK$151:$CY$151)</x:f>
        <x:v>14048664.097469024</x:v>
      </x:c>
      <x:c r="V30" s="35" t="n">
        <x:f>SUMPRODUCT($G$11:V11,$CJ$151:$CY$151)</x:f>
        <x:v>14048664.097469024</x:v>
      </x:c>
      <x:c r="W30" s="35" t="n">
        <x:f>SUMPRODUCT($G$11:W11,$CI$151:$CY$151)</x:f>
        <x:v>14048664.097469024</x:v>
      </x:c>
      <x:c r="X30" s="35" t="n">
        <x:f>SUMPRODUCT($G$11:X11,$CH$151:$CY$151)</x:f>
        <x:v>14048664.097469024</x:v>
      </x:c>
      <x:c r="Y30" s="35" t="n">
        <x:f>SUMPRODUCT($G$11:Y11,$CG$151:$CY$151)</x:f>
        <x:v>14048664.097469024</x:v>
      </x:c>
      <x:c r="Z30" s="35" t="n">
        <x:f>SUMPRODUCT($G$11:Z11,$CF$151:$CY$151)</x:f>
        <x:v>14048664.097469024</x:v>
      </x:c>
      <x:c r="AA30" s="35" t="n">
        <x:f>SUMPRODUCT($G$11:AA11,$CE$151:$CY$151)</x:f>
        <x:v>14048664.097469024</x:v>
      </x:c>
      <x:c r="AB30" s="35" t="n">
        <x:f>SUMPRODUCT($G$11:AB11,$CD$151:$CY$151)</x:f>
        <x:v>14048664.097469024</x:v>
      </x:c>
      <x:c r="AC30" s="35" t="n">
        <x:f>SUMPRODUCT($G$11:AC11,$CC$151:$CY$151)</x:f>
        <x:v>14048664.097469024</x:v>
      </x:c>
      <x:c r="AD30" s="35" t="n">
        <x:f>SUMPRODUCT($G$11:AD11,$CB$151:$CY$151)</x:f>
        <x:v>14048664.097469024</x:v>
      </x:c>
      <x:c r="AE30" s="35" t="n">
        <x:f>SUMPRODUCT($G$11:AE11,$CA$151:$CY$151)</x:f>
        <x:v>14048664.097469024</x:v>
      </x:c>
      <x:c r="AF30" s="35" t="n">
        <x:f>SUMPRODUCT($G$11:AF11,$BZ$151:$CY$151)</x:f>
        <x:v>14048664.097469024</x:v>
      </x:c>
      <x:c r="AG30" s="35" t="n">
        <x:f>SUMPRODUCT($G$11:AG11,$BY$151:$CY$151)</x:f>
        <x:v>14048664.097469024</x:v>
      </x:c>
      <x:c r="AH30" s="35" t="n">
        <x:f>SUMPRODUCT($G$11:AH11,$BX$151:$CY$151)</x:f>
        <x:v>14048664.097469024</x:v>
      </x:c>
      <x:c r="AI30" s="35" t="n">
        <x:f>SUMPRODUCT($G$11:AI11,$BW$151:$CY$151)</x:f>
        <x:v>14048664.097469024</x:v>
      </x:c>
      <x:c r="AJ30" s="35" t="n">
        <x:f>SUMPRODUCT($G$11:AJ11,$BV$151:$CY$151)</x:f>
        <x:v>14048664.097469024</x:v>
      </x:c>
      <x:c r="AK30" s="35" t="n">
        <x:f>SUMPRODUCT($G$11:AK11,$BU$151:$CY$151)</x:f>
        <x:v>14048664.097469024</x:v>
      </x:c>
      <x:c r="AL30" s="35" t="n">
        <x:f>SUMPRODUCT($G$11:AL11,$BT$151:$CY$151)</x:f>
        <x:v>14048664.097469024</x:v>
      </x:c>
      <x:c r="AM30" s="35" t="n">
        <x:f>SUMPRODUCT($G$11:AM11,$BS$151:$CY$151)</x:f>
        <x:v>14048664.097469024</x:v>
      </x:c>
      <x:c r="AN30" s="35" t="n">
        <x:f>SUMPRODUCT($G$11:AN11,$BR$151:$CY$151)</x:f>
        <x:v>14048664.097469024</x:v>
      </x:c>
      <x:c r="AO30" s="35" t="n">
        <x:f>SUMPRODUCT($G$11:AO11,$BQ$151:$CY$151)</x:f>
        <x:v>14048664.097469024</x:v>
      </x:c>
      <x:c r="AP30" s="35" t="n">
        <x:f>SUMPRODUCT($G$11:AP11,$BP$151:$CY$151)</x:f>
        <x:v>14048664.097469024</x:v>
      </x:c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</x:row>
    <x:row r="31" ht="19" customHeight="1">
      <x:c r="A31" s="1"/>
      <x:c r="B31" s="1"/>
      <x:c r="C31" s="2"/>
      <x:c r="D31" s="2"/>
      <x:c r="E31" s="35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</x:row>
    <x:row r="32" ht="19" customHeight="1">
      <x:c r="A32" s="1"/>
      <x:c r="B32" s="1"/>
      <x:c r="C32" s="2" t="str">
        <x:v>Opening-book revenue</x:v>
      </x:c>
      <x:c r="D32" s="2"/>
      <x:c r="E32" s="35" t="n">
        <x:f>SUMIFS(G32:AP32,$G$6:$AP$6,"&lt;="&amp;'Assumptions'!$E$7)</x:f>
        <x:v>28916767.332646996</x:v>
      </x:c>
      <x:c r="F32" s="2"/>
      <x:c r="G32" s="35" t="n">
        <x:f>($E$44-G27)*G23/12</x:f>
        <x:v>12783850.77076943</x:v>
      </x:c>
      <x:c r="H32" s="35" t="n">
        <x:f>(G34-H27)*H23/12</x:f>
        <x:v>7230517.849793274</x:v>
      </x:c>
      <x:c r="I32" s="35" t="n">
        <x:f>(H34-I27)*I23/12</x:f>
        <x:v>4163709.1110085645</x:v>
      </x:c>
      <x:c r="J32" s="35" t="n">
        <x:f>(I34-J27)*J23/12</x:f>
        <x:v>2354368.5231844136</x:v>
      </x:c>
      <x:c r="K32" s="35" t="n">
        <x:f>(J34-K27)*K23/12</x:f>
        <x:v>1282055.7130092063</x:v>
      </x:c>
      <x:c r="L32" s="35" t="n">
        <x:f>(K34-L27)*L23/12</x:f>
        <x:v>656576.9159818932</x:v>
      </x:c>
      <x:c r="M32" s="35" t="n">
        <x:f>(L34-M27)*M23/12</x:f>
        <x:v>302446.3249869384</x:v>
      </x:c>
      <x:c r="N32" s="35" t="n">
        <x:f>(M34-N27)*N23/12</x:f>
        <x:v>114958.04769160364</x:v>
      </x:c>
      <x:c r="O32" s="35" t="n">
        <x:f>(N34-O27)*O23/12</x:f>
        <x:v>28284.076221788262</x:v>
      </x:c>
      <x:c r="P32" s="35" t="n">
        <x:f>(O34-P27)*P23/12</x:f>
        <x:v>-5.639837278674046e-9</x:v>
      </x:c>
      <x:c r="Q32" s="35" t="n">
        <x:f>(P34-Q27)*Q23/12</x:f>
        <x:v>-5.639837278674046e-9</x:v>
      </x:c>
      <x:c r="R32" s="35" t="n">
        <x:f>(Q34-R27)*R23/12</x:f>
        <x:v>-5.639837278674046e-9</x:v>
      </x:c>
      <x:c r="S32" s="35" t="n">
        <x:f>(R34-S27)*S23/12</x:f>
        <x:v>-5.639837278674046e-9</x:v>
      </x:c>
      <x:c r="T32" s="35" t="n">
        <x:f>(S34-T27)*T23/12</x:f>
        <x:v>-5.639837278674046e-9</x:v>
      </x:c>
      <x:c r="U32" s="35" t="n">
        <x:f>(T34-U27)*U23/12</x:f>
        <x:v>-5.639837278674046e-9</x:v>
      </x:c>
      <x:c r="V32" s="35" t="n">
        <x:f>(U34-V27)*V23/12</x:f>
        <x:v>-5.639837278674046e-9</x:v>
      </x:c>
      <x:c r="W32" s="35" t="n">
        <x:f>(V34-W27)*W23/12</x:f>
        <x:v>-5.639837278674046e-9</x:v>
      </x:c>
      <x:c r="X32" s="35" t="n">
        <x:f>(W34-X27)*X23/12</x:f>
        <x:v>-5.639837278674046e-9</x:v>
      </x:c>
      <x:c r="Y32" s="35" t="n">
        <x:f>(X34-Y27)*Y23/12</x:f>
        <x:v>-5.639837278674046e-9</x:v>
      </x:c>
      <x:c r="Z32" s="35" t="n">
        <x:f>(Y34-Z27)*Z23/12</x:f>
        <x:v>-5.639837278674046e-9</x:v>
      </x:c>
      <x:c r="AA32" s="35" t="n">
        <x:f>(Z34-AA27)*AA23/12</x:f>
        <x:v>-5.639837278674046e-9</x:v>
      </x:c>
      <x:c r="AB32" s="35" t="n">
        <x:f>(AA34-AB27)*AB23/12</x:f>
        <x:v>-5.639837278674046e-9</x:v>
      </x:c>
      <x:c r="AC32" s="35" t="n">
        <x:f>(AB34-AC27)*AC23/12</x:f>
        <x:v>-5.639837278674046e-9</x:v>
      </x:c>
      <x:c r="AD32" s="35" t="n">
        <x:f>(AC34-AD27)*AD23/12</x:f>
        <x:v>-5.639837278674046e-9</x:v>
      </x:c>
      <x:c r="AE32" s="35" t="n">
        <x:f>(AD34-AE27)*AE23/12</x:f>
        <x:v>-5.639837278674046e-9</x:v>
      </x:c>
      <x:c r="AF32" s="35" t="n">
        <x:f>(AE34-AF27)*AF23/12</x:f>
        <x:v>-5.639837278674046e-9</x:v>
      </x:c>
      <x:c r="AG32" s="35" t="n">
        <x:f>(AF34-AG27)*AG23/12</x:f>
        <x:v>-5.639837278674046e-9</x:v>
      </x:c>
      <x:c r="AH32" s="35" t="n">
        <x:f>(AG34-AH27)*AH23/12</x:f>
        <x:v>-5.639837278674046e-9</x:v>
      </x:c>
      <x:c r="AI32" s="35" t="n">
        <x:f>(AH34-AI27)*AI23/12</x:f>
        <x:v>-5.639837278674046e-9</x:v>
      </x:c>
      <x:c r="AJ32" s="35" t="n">
        <x:f>(AI34-AJ27)*AJ23/12</x:f>
        <x:v>-5.639837278674046e-9</x:v>
      </x:c>
      <x:c r="AK32" s="35" t="n">
        <x:f>(AJ34-AK27)*AK23/12</x:f>
        <x:v>-5.639837278674046e-9</x:v>
      </x:c>
      <x:c r="AL32" s="35" t="n">
        <x:f>(AK34-AL27)*AL23/12</x:f>
        <x:v>-5.639837278674046e-9</x:v>
      </x:c>
      <x:c r="AM32" s="35" t="n">
        <x:f>(AL34-AM27)*AM23/12</x:f>
        <x:v>-5.639837278674046e-9</x:v>
      </x:c>
      <x:c r="AN32" s="35" t="n">
        <x:f>(AM34-AN27)*AN23/12</x:f>
        <x:v>-5.639837278674046e-9</x:v>
      </x:c>
      <x:c r="AO32" s="35" t="n">
        <x:f>(AN34-AO27)*AO23/12</x:f>
        <x:v>-5.639837278674046e-9</x:v>
      </x:c>
      <x:c r="AP32" s="35" t="n">
        <x:f>(AO34-AP27)*AP23/12</x:f>
        <x:v>-5.639837278674046e-9</x:v>
      </x:c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</x:row>
    <x:row r="33" ht="19" customHeight="1">
      <x:c r="A33" s="1"/>
      <x:c r="B33" s="1"/>
      <x:c r="C33" s="2" t="str">
        <x:v>New-book revenue</x:v>
      </x:c>
      <x:c r="D33" s="2"/>
      <x:c r="E33" s="35" t="n">
        <x:f>SUMIFS(G33:AP33,$G$6:$AP$6,"&lt;="&amp;'Assumptions'!$E$7)</x:f>
        <x:v>50438706.60606371</x:v>
      </x:c>
      <x:c r="F33" s="2"/>
      <x:c r="G33" s="35" t="n">
        <x:f>G24-G32</x:f>
        <x:v>0</x:v>
      </x:c>
      <x:c r="H33" s="35" t="n">
        <x:f>H24-H32</x:f>
        <x:v>754147.2251545703</x:v>
      </x:c>
      <x:c r="I33" s="35" t="n">
        <x:f>I24-I32</x:f>
        <x:v>1297680.7416455536</x:v>
      </x:c>
      <x:c r="J33" s="35" t="n">
        <x:f>J24-J32</x:f>
        <x:v>1684520.7578865886</x:v>
      </x:c>
      <x:c r="K33" s="35" t="n">
        <x:f>K24-K32</x:f>
        <x:v>1953149.7323404846</x:v>
      </x:c>
      <x:c r="L33" s="35" t="n">
        <x:f>L24-L32</x:f>
        <x:v>2134329.746194208</x:v>
      </x:c>
      <x:c r="M33" s="35" t="n">
        <x:f>M24-M32</x:f>
        <x:v>2252972.2825315455</x:v>
      </x:c>
      <x:c r="N33" s="35" t="n">
        <x:f>N24-N32</x:f>
        <x:v>2325371.1569472523</x:v>
      </x:c>
      <x:c r="O33" s="35" t="n">
        <x:f>O24-O32</x:f>
        <x:v>2363838.5398230995</x:v>
      </x:c>
      <x:c r="P33" s="35" t="n">
        <x:f>P24-P32</x:f>
        <x:v>2378179.7615693607</x:v>
      </x:c>
      <x:c r="Q33" s="35" t="n">
        <x:f>Q24-Q32</x:f>
        <x:v>2378179.761569361</x:v>
      </x:c>
      <x:c r="R33" s="35" t="n">
        <x:f>R24-R32</x:f>
        <x:v>2378179.761569361</x:v>
      </x:c>
      <x:c r="S33" s="35" t="n">
        <x:f>S24-S32</x:f>
        <x:v>2378179.761569361</x:v>
      </x:c>
      <x:c r="T33" s="35" t="n">
        <x:f>T24-T32</x:f>
        <x:v>2378179.761569361</x:v>
      </x:c>
      <x:c r="U33" s="35" t="n">
        <x:f>U24-U32</x:f>
        <x:v>2378179.761569361</x:v>
      </x:c>
      <x:c r="V33" s="35" t="n">
        <x:f>V24-V32</x:f>
        <x:v>2378179.761569361</x:v>
      </x:c>
      <x:c r="W33" s="35" t="n">
        <x:f>W24-W32</x:f>
        <x:v>2378179.761569361</x:v>
      </x:c>
      <x:c r="X33" s="35" t="n">
        <x:f>X24-X32</x:f>
        <x:v>2378179.761569361</x:v>
      </x:c>
      <x:c r="Y33" s="35" t="n">
        <x:f>Y24-Y32</x:f>
        <x:v>2378179.761569361</x:v>
      </x:c>
      <x:c r="Z33" s="35" t="n">
        <x:f>Z24-Z32</x:f>
        <x:v>2378179.761569361</x:v>
      </x:c>
      <x:c r="AA33" s="35" t="n">
        <x:f>AA24-AA32</x:f>
        <x:v>2378179.761569361</x:v>
      </x:c>
      <x:c r="AB33" s="35" t="n">
        <x:f>AB24-AB32</x:f>
        <x:v>2378179.761569361</x:v>
      </x:c>
      <x:c r="AC33" s="35" t="n">
        <x:f>AC24-AC32</x:f>
        <x:v>2378179.761569361</x:v>
      </x:c>
      <x:c r="AD33" s="35" t="n">
        <x:f>AD24-AD32</x:f>
        <x:v>2378179.761569361</x:v>
      </x:c>
      <x:c r="AE33" s="35" t="n">
        <x:f>AE24-AE32</x:f>
        <x:v>2378179.761569361</x:v>
      </x:c>
      <x:c r="AF33" s="35" t="n">
        <x:f>AF24-AF32</x:f>
        <x:v>2378179.761569361</x:v>
      </x:c>
      <x:c r="AG33" s="35" t="n">
        <x:f>AG24-AG32</x:f>
        <x:v>2378179.761569361</x:v>
      </x:c>
      <x:c r="AH33" s="35" t="n">
        <x:f>AH24-AH32</x:f>
        <x:v>2378179.761569361</x:v>
      </x:c>
      <x:c r="AI33" s="35" t="n">
        <x:f>AI24-AI32</x:f>
        <x:v>2378179.761569361</x:v>
      </x:c>
      <x:c r="AJ33" s="35" t="n">
        <x:f>AJ24-AJ32</x:f>
        <x:v>2378179.761569361</x:v>
      </x:c>
      <x:c r="AK33" s="35" t="n">
        <x:f>AK24-AK32</x:f>
        <x:v>2378179.761569361</x:v>
      </x:c>
      <x:c r="AL33" s="35" t="n">
        <x:f>AL24-AL32</x:f>
        <x:v>2378179.761569361</x:v>
      </x:c>
      <x:c r="AM33" s="35" t="n">
        <x:f>AM24-AM32</x:f>
        <x:v>2378179.761569361</x:v>
      </x:c>
      <x:c r="AN33" s="35" t="n">
        <x:f>AN24-AN32</x:f>
        <x:v>2378179.761569361</x:v>
      </x:c>
      <x:c r="AO33" s="35" t="n">
        <x:f>AO24-AO32</x:f>
        <x:v>2378179.761569361</x:v>
      </x:c>
      <x:c r="AP33" s="35" t="n">
        <x:f>AP24-AP32</x:f>
        <x:v>2378179.761569361</x:v>
      </x:c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</x:row>
    <x:row r="34" ht="19" customHeight="1">
      <x:c r="A34" s="1"/>
      <x:c r="B34" s="1"/>
      <x:c r="C34" s="2" t="str">
        <x:v>Opening-book ending CLAB</x:v>
      </x:c>
      <x:c r="D34" s="2"/>
      <x:c r="E34" s="35" t="n">
        <x:f>INDEX(G34:AP34,1,'Assumptions'!$E$7)</x:f>
        <x:v>-1.230509951710701e-7</x:v>
      </x:c>
      <x:c r="F34" s="2"/>
      <x:c r="G34" s="35" t="n">
        <x:f>$E$44-G27-G29</x:f>
        <x:v>172898375.82838577</x:v>
      </x:c>
      <x:c r="H34" s="35" t="n">
        <x:f>G34-H27-H29</x:f>
        <x:v>99829389.70972504</x:v>
      </x:c>
      <x:c r="I34" s="35" t="n">
        <x:f>H34-I27-I29</x:f>
        <x:v>56802401.38374539</x:v>
      </x:c>
      <x:c r="J34" s="35" t="n">
        <x:f>I34-J27-J29</x:f>
        <x:v>31207909.86740311</x:v>
      </x:c>
      <x:c r="K34" s="35" t="n">
        <x:f>J34-K27-K29</x:f>
        <x:v>16178425.22936386</x:v>
      </x:c>
      <x:c r="L34" s="35" t="n">
        <x:f>K34-L27-L29</x:f>
        <x:v>7618036.69651381</x:v>
      </x:c>
      <x:c r="M34" s="35" t="n">
        <x:f>L34-M27-M29</x:f>
        <x:v>3018701.5608030716</x:v>
      </x:c>
      <x:c r="N34" s="35" t="n">
        <x:f>M34-N27-N29</x:f>
        <x:v>799621.2453133124</x:v>
      </x:c>
      <x:c r="O34" s="35" t="n">
        <x:f>N34-O27-O29</x:f>
        <x:v>-1.230509951710701e-7</x:v>
      </x:c>
      <x:c r="P34" s="35" t="n">
        <x:f>O34-P27-P29</x:f>
        <x:v>-1.230509951710701e-7</x:v>
      </x:c>
      <x:c r="Q34" s="35" t="n">
        <x:f>P34-Q27-Q29</x:f>
        <x:v>-1.230509951710701e-7</x:v>
      </x:c>
      <x:c r="R34" s="35" t="n">
        <x:f>Q34-R27-R29</x:f>
        <x:v>-1.230509951710701e-7</x:v>
      </x:c>
      <x:c r="S34" s="35" t="n">
        <x:f>R34-S27-S29</x:f>
        <x:v>-1.230509951710701e-7</x:v>
      </x:c>
      <x:c r="T34" s="35" t="n">
        <x:f>S34-T27-T29</x:f>
        <x:v>-1.230509951710701e-7</x:v>
      </x:c>
      <x:c r="U34" s="35" t="n">
        <x:f>T34-U27-U29</x:f>
        <x:v>-1.230509951710701e-7</x:v>
      </x:c>
      <x:c r="V34" s="35" t="n">
        <x:f>U34-V27-V29</x:f>
        <x:v>-1.230509951710701e-7</x:v>
      </x:c>
      <x:c r="W34" s="35" t="n">
        <x:f>V34-W27-W29</x:f>
        <x:v>-1.230509951710701e-7</x:v>
      </x:c>
      <x:c r="X34" s="35" t="n">
        <x:f>W34-X27-X29</x:f>
        <x:v>-1.230509951710701e-7</x:v>
      </x:c>
      <x:c r="Y34" s="35" t="n">
        <x:f>X34-Y27-Y29</x:f>
        <x:v>-1.230509951710701e-7</x:v>
      </x:c>
      <x:c r="Z34" s="35" t="n">
        <x:f>Y34-Z27-Z29</x:f>
        <x:v>-1.230509951710701e-7</x:v>
      </x:c>
      <x:c r="AA34" s="35" t="n">
        <x:f>Z34-AA27-AA29</x:f>
        <x:v>-1.230509951710701e-7</x:v>
      </x:c>
      <x:c r="AB34" s="35" t="n">
        <x:f>AA34-AB27-AB29</x:f>
        <x:v>-1.230509951710701e-7</x:v>
      </x:c>
      <x:c r="AC34" s="35" t="n">
        <x:f>AB34-AC27-AC29</x:f>
        <x:v>-1.230509951710701e-7</x:v>
      </x:c>
      <x:c r="AD34" s="35" t="n">
        <x:f>AC34-AD27-AD29</x:f>
        <x:v>-1.230509951710701e-7</x:v>
      </x:c>
      <x:c r="AE34" s="35" t="n">
        <x:f>AD34-AE27-AE29</x:f>
        <x:v>-1.230509951710701e-7</x:v>
      </x:c>
      <x:c r="AF34" s="35" t="n">
        <x:f>AE34-AF27-AF29</x:f>
        <x:v>-1.230509951710701e-7</x:v>
      </x:c>
      <x:c r="AG34" s="35" t="n">
        <x:f>AF34-AG27-AG29</x:f>
        <x:v>-1.230509951710701e-7</x:v>
      </x:c>
      <x:c r="AH34" s="35" t="n">
        <x:f>AG34-AH27-AH29</x:f>
        <x:v>-1.230509951710701e-7</x:v>
      </x:c>
      <x:c r="AI34" s="35" t="n">
        <x:f>AH34-AI27-AI29</x:f>
        <x:v>-1.230509951710701e-7</x:v>
      </x:c>
      <x:c r="AJ34" s="35" t="n">
        <x:f>AI34-AJ27-AJ29</x:f>
        <x:v>-1.230509951710701e-7</x:v>
      </x:c>
      <x:c r="AK34" s="35" t="n">
        <x:f>AJ34-AK27-AK29</x:f>
        <x:v>-1.230509951710701e-7</x:v>
      </x:c>
      <x:c r="AL34" s="35" t="n">
        <x:f>AK34-AL27-AL29</x:f>
        <x:v>-1.230509951710701e-7</x:v>
      </x:c>
      <x:c r="AM34" s="35" t="n">
        <x:f>AL34-AM27-AM29</x:f>
        <x:v>-1.230509951710701e-7</x:v>
      </x:c>
      <x:c r="AN34" s="35" t="n">
        <x:f>AM34-AN27-AN29</x:f>
        <x:v>-1.230509951710701e-7</x:v>
      </x:c>
      <x:c r="AO34" s="35" t="n">
        <x:f>AN34-AO27-AO29</x:f>
        <x:v>-1.230509951710701e-7</x:v>
      </x:c>
      <x:c r="AP34" s="35" t="n">
        <x:f>AO34-AP27-AP29</x:f>
        <x:v>-1.230509951710701e-7</x:v>
      </x:c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</x:row>
    <x:row r="35" ht="19" customHeight="1">
      <x:c r="A35" s="1"/>
      <x:c r="B35" s="1"/>
      <x:c r="C35" s="2" t="str">
        <x:v>Gross CLAB check ($)</x:v>
      </x:c>
      <x:c r="D35" s="2"/>
      <x:c r="E35" s="35"/>
      <x:c r="F35" s="2"/>
      <x:c r="G35" s="36" t="n">
        <x:f>G13+G11-G14-G15-G16</x:f>
        <x:v>0</x:v>
      </x:c>
      <x:c r="H35" s="36" t="n">
        <x:f>H13+H11-H14-H15-H16</x:f>
        <x:v>0</x:v>
      </x:c>
      <x:c r="I35" s="36" t="n">
        <x:f>I13+I11-I14-I15-I16</x:f>
        <x:v>0</x:v>
      </x:c>
      <x:c r="J35" s="36" t="n">
        <x:f>J13+J11-J14-J15-J16</x:f>
        <x:v>0</x:v>
      </x:c>
      <x:c r="K35" s="36" t="n">
        <x:f>K13+K11-K14-K15-K16</x:f>
        <x:v>0</x:v>
      </x:c>
      <x:c r="L35" s="36" t="n">
        <x:f>L13+L11-L14-L15-L16</x:f>
        <x:v>0</x:v>
      </x:c>
      <x:c r="M35" s="36" t="n">
        <x:f>M13+M11-M14-M15-M16</x:f>
        <x:v>0</x:v>
      </x:c>
      <x:c r="N35" s="36" t="n">
        <x:f>N13+N11-N14-N15-N16</x:f>
        <x:v>0</x:v>
      </x:c>
      <x:c r="O35" s="36" t="n">
        <x:f>O13+O11-O14-O15-O16</x:f>
        <x:v>0</x:v>
      </x:c>
      <x:c r="P35" s="36" t="n">
        <x:f>P13+P11-P14-P15-P16</x:f>
        <x:v>0</x:v>
      </x:c>
      <x:c r="Q35" s="36" t="n">
        <x:f>Q13+Q11-Q14-Q15-Q16</x:f>
        <x:v>0</x:v>
      </x:c>
      <x:c r="R35" s="36" t="n">
        <x:f>R13+R11-R14-R15-R16</x:f>
        <x:v>0</x:v>
      </x:c>
      <x:c r="S35" s="36" t="n">
        <x:f>S13+S11-S14-S15-S16</x:f>
        <x:v>0</x:v>
      </x:c>
      <x:c r="T35" s="36" t="n">
        <x:f>T13+T11-T14-T15-T16</x:f>
        <x:v>0</x:v>
      </x:c>
      <x:c r="U35" s="36" t="n">
        <x:f>U13+U11-U14-U15-U16</x:f>
        <x:v>0</x:v>
      </x:c>
      <x:c r="V35" s="36" t="n">
        <x:f>V13+V11-V14-V15-V16</x:f>
        <x:v>0</x:v>
      </x:c>
      <x:c r="W35" s="36" t="n">
        <x:f>W13+W11-W14-W15-W16</x:f>
        <x:v>0</x:v>
      </x:c>
      <x:c r="X35" s="36" t="n">
        <x:f>X13+X11-X14-X15-X16</x:f>
        <x:v>0</x:v>
      </x:c>
      <x:c r="Y35" s="36" t="n">
        <x:f>Y13+Y11-Y14-Y15-Y16</x:f>
        <x:v>0</x:v>
      </x:c>
      <x:c r="Z35" s="36" t="n">
        <x:f>Z13+Z11-Z14-Z15-Z16</x:f>
        <x:v>0</x:v>
      </x:c>
      <x:c r="AA35" s="36" t="n">
        <x:f>AA13+AA11-AA14-AA15-AA16</x:f>
        <x:v>0</x:v>
      </x:c>
      <x:c r="AB35" s="36" t="n">
        <x:f>AB13+AB11-AB14-AB15-AB16</x:f>
        <x:v>0</x:v>
      </x:c>
      <x:c r="AC35" s="36" t="n">
        <x:f>AC13+AC11-AC14-AC15-AC16</x:f>
        <x:v>0</x:v>
      </x:c>
      <x:c r="AD35" s="36" t="n">
        <x:f>AD13+AD11-AD14-AD15-AD16</x:f>
        <x:v>0</x:v>
      </x:c>
      <x:c r="AE35" s="36" t="n">
        <x:f>AE13+AE11-AE14-AE15-AE16</x:f>
        <x:v>0</x:v>
      </x:c>
      <x:c r="AF35" s="36" t="n">
        <x:f>AF13+AF11-AF14-AF15-AF16</x:f>
        <x:v>0</x:v>
      </x:c>
      <x:c r="AG35" s="36" t="n">
        <x:f>AG13+AG11-AG14-AG15-AG16</x:f>
        <x:v>0</x:v>
      </x:c>
      <x:c r="AH35" s="36" t="n">
        <x:f>AH13+AH11-AH14-AH15-AH16</x:f>
        <x:v>0</x:v>
      </x:c>
      <x:c r="AI35" s="36" t="n">
        <x:f>AI13+AI11-AI14-AI15-AI16</x:f>
        <x:v>0</x:v>
      </x:c>
      <x:c r="AJ35" s="36" t="n">
        <x:f>AJ13+AJ11-AJ14-AJ15-AJ16</x:f>
        <x:v>0</x:v>
      </x:c>
      <x:c r="AK35" s="36" t="n">
        <x:f>AK13+AK11-AK14-AK15-AK16</x:f>
        <x:v>0</x:v>
      </x:c>
      <x:c r="AL35" s="36" t="n">
        <x:f>AL13+AL11-AL14-AL15-AL16</x:f>
        <x:v>0</x:v>
      </x:c>
      <x:c r="AM35" s="36" t="n">
        <x:f>AM13+AM11-AM14-AM15-AM16</x:f>
        <x:v>0</x:v>
      </x:c>
      <x:c r="AN35" s="36" t="n">
        <x:f>AN13+AN11-AN14-AN15-AN16</x:f>
        <x:v>0</x:v>
      </x:c>
      <x:c r="AO35" s="36" t="n">
        <x:f>AO13+AO11-AO14-AO15-AO16</x:f>
        <x:v>0</x:v>
      </x:c>
      <x:c r="AP35" s="36" t="n">
        <x:f>AP13+AP11-AP14-AP15-AP16</x:f>
        <x:v>0</x:v>
      </x:c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</x:row>
    <x:row r="36" ht="19" customHeight="1">
      <x:c r="A36" s="1"/>
      <x:c r="B36" s="1"/>
      <x:c r="C36" s="2" t="str">
        <x:v>Reserve check ($)</x:v>
      </x:c>
      <x:c r="D36" s="2"/>
      <x:c r="E36" s="35"/>
      <x:c r="F36" s="2"/>
      <x:c r="G36" s="36" t="n">
        <x:f>G18+G19-G15-G20</x:f>
        <x:v>0</x:v>
      </x:c>
      <x:c r="H36" s="36" t="n">
        <x:f>H18+H19-H15-H20</x:f>
        <x:v>0</x:v>
      </x:c>
      <x:c r="I36" s="36" t="n">
        <x:f>I18+I19-I15-I20</x:f>
        <x:v>0</x:v>
      </x:c>
      <x:c r="J36" s="36" t="n">
        <x:f>J18+J19-J15-J20</x:f>
        <x:v>0</x:v>
      </x:c>
      <x:c r="K36" s="36" t="n">
        <x:f>K18+K19-K15-K20</x:f>
        <x:v>0</x:v>
      </x:c>
      <x:c r="L36" s="36" t="n">
        <x:f>L18+L19-L15-L20</x:f>
        <x:v>0</x:v>
      </x:c>
      <x:c r="M36" s="36" t="n">
        <x:f>M18+M19-M15-M20</x:f>
        <x:v>0</x:v>
      </x:c>
      <x:c r="N36" s="36" t="n">
        <x:f>N18+N19-N15-N20</x:f>
        <x:v>0</x:v>
      </x:c>
      <x:c r="O36" s="36" t="n">
        <x:f>O18+O19-O15-O20</x:f>
        <x:v>0</x:v>
      </x:c>
      <x:c r="P36" s="36" t="n">
        <x:f>P18+P19-P15-P20</x:f>
        <x:v>0</x:v>
      </x:c>
      <x:c r="Q36" s="36" t="n">
        <x:f>Q18+Q19-Q15-Q20</x:f>
        <x:v>0</x:v>
      </x:c>
      <x:c r="R36" s="36" t="n">
        <x:f>R18+R19-R15-R20</x:f>
        <x:v>0</x:v>
      </x:c>
      <x:c r="S36" s="36" t="n">
        <x:f>S18+S19-S15-S20</x:f>
        <x:v>0</x:v>
      </x:c>
      <x:c r="T36" s="36" t="n">
        <x:f>T18+T19-T15-T20</x:f>
        <x:v>0</x:v>
      </x:c>
      <x:c r="U36" s="36" t="n">
        <x:f>U18+U19-U15-U20</x:f>
        <x:v>0</x:v>
      </x:c>
      <x:c r="V36" s="36" t="n">
        <x:f>V18+V19-V15-V20</x:f>
        <x:v>0</x:v>
      </x:c>
      <x:c r="W36" s="36" t="n">
        <x:f>W18+W19-W15-W20</x:f>
        <x:v>0</x:v>
      </x:c>
      <x:c r="X36" s="36" t="n">
        <x:f>X18+X19-X15-X20</x:f>
        <x:v>0</x:v>
      </x:c>
      <x:c r="Y36" s="36" t="n">
        <x:f>Y18+Y19-Y15-Y20</x:f>
        <x:v>0</x:v>
      </x:c>
      <x:c r="Z36" s="36" t="n">
        <x:f>Z18+Z19-Z15-Z20</x:f>
        <x:v>0</x:v>
      </x:c>
      <x:c r="AA36" s="36" t="n">
        <x:f>AA18+AA19-AA15-AA20</x:f>
        <x:v>0</x:v>
      </x:c>
      <x:c r="AB36" s="36" t="n">
        <x:f>AB18+AB19-AB15-AB20</x:f>
        <x:v>0</x:v>
      </x:c>
      <x:c r="AC36" s="36" t="n">
        <x:f>AC18+AC19-AC15-AC20</x:f>
        <x:v>0</x:v>
      </x:c>
      <x:c r="AD36" s="36" t="n">
        <x:f>AD18+AD19-AD15-AD20</x:f>
        <x:v>0</x:v>
      </x:c>
      <x:c r="AE36" s="36" t="n">
        <x:f>AE18+AE19-AE15-AE20</x:f>
        <x:v>0</x:v>
      </x:c>
      <x:c r="AF36" s="36" t="n">
        <x:f>AF18+AF19-AF15-AF20</x:f>
        <x:v>0</x:v>
      </x:c>
      <x:c r="AG36" s="36" t="n">
        <x:f>AG18+AG19-AG15-AG20</x:f>
        <x:v>0</x:v>
      </x:c>
      <x:c r="AH36" s="36" t="n">
        <x:f>AH18+AH19-AH15-AH20</x:f>
        <x:v>0</x:v>
      </x:c>
      <x:c r="AI36" s="36" t="n">
        <x:f>AI18+AI19-AI15-AI20</x:f>
        <x:v>0</x:v>
      </x:c>
      <x:c r="AJ36" s="36" t="n">
        <x:f>AJ18+AJ19-AJ15-AJ20</x:f>
        <x:v>0</x:v>
      </x:c>
      <x:c r="AK36" s="36" t="n">
        <x:f>AK18+AK19-AK15-AK20</x:f>
        <x:v>0</x:v>
      </x:c>
      <x:c r="AL36" s="36" t="n">
        <x:f>AL18+AL19-AL15-AL20</x:f>
        <x:v>0</x:v>
      </x:c>
      <x:c r="AM36" s="36" t="n">
        <x:f>AM18+AM19-AM15-AM20</x:f>
        <x:v>0</x:v>
      </x:c>
      <x:c r="AN36" s="36" t="n">
        <x:f>AN18+AN19-AN15-AN20</x:f>
        <x:v>0</x:v>
      </x:c>
      <x:c r="AO36" s="36" t="n">
        <x:f>AO18+AO19-AO15-AO20</x:f>
        <x:v>0</x:v>
      </x:c>
      <x:c r="AP36" s="36" t="n">
        <x:f>AP18+AP19-AP15-AP20</x:f>
        <x:v>0</x:v>
      </x:c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</x:row>
    <x:row r="37" ht="19" customHeight="1">
      <x:c r="A37" s="1"/>
      <x:c r="B37" s="1"/>
      <x:c r="C37" s="2" t="str">
        <x:v>Net revenue check ($)</x:v>
      </x:c>
      <x:c r="D37" s="2"/>
      <x:c r="E37" s="35"/>
      <x:c r="F37" s="2"/>
      <x:c r="G37" s="36" t="n">
        <x:f>G24-G19-G25</x:f>
        <x:v>0</x:v>
      </x:c>
      <x:c r="H37" s="36" t="n">
        <x:f>H24-H19-H25</x:f>
        <x:v>0</x:v>
      </x:c>
      <x:c r="I37" s="36" t="n">
        <x:f>I24-I19-I25</x:f>
        <x:v>0</x:v>
      </x:c>
      <x:c r="J37" s="36" t="n">
        <x:f>J24-J19-J25</x:f>
        <x:v>0</x:v>
      </x:c>
      <x:c r="K37" s="36" t="n">
        <x:f>K24-K19-K25</x:f>
        <x:v>0</x:v>
      </x:c>
      <x:c r="L37" s="36" t="n">
        <x:f>L24-L19-L25</x:f>
        <x:v>0</x:v>
      </x:c>
      <x:c r="M37" s="36" t="n">
        <x:f>M24-M19-M25</x:f>
        <x:v>0</x:v>
      </x:c>
      <x:c r="N37" s="36" t="n">
        <x:f>N24-N19-N25</x:f>
        <x:v>0</x:v>
      </x:c>
      <x:c r="O37" s="36" t="n">
        <x:f>O24-O19-O25</x:f>
        <x:v>0</x:v>
      </x:c>
      <x:c r="P37" s="36" t="n">
        <x:f>P24-P19-P25</x:f>
        <x:v>0</x:v>
      </x:c>
      <x:c r="Q37" s="36" t="n">
        <x:f>Q24-Q19-Q25</x:f>
        <x:v>0</x:v>
      </x:c>
      <x:c r="R37" s="36" t="n">
        <x:f>R24-R19-R25</x:f>
        <x:v>0</x:v>
      </x:c>
      <x:c r="S37" s="36" t="n">
        <x:f>S24-S19-S25</x:f>
        <x:v>0</x:v>
      </x:c>
      <x:c r="T37" s="36" t="n">
        <x:f>T24-T19-T25</x:f>
        <x:v>0</x:v>
      </x:c>
      <x:c r="U37" s="36" t="n">
        <x:f>U24-U19-U25</x:f>
        <x:v>0</x:v>
      </x:c>
      <x:c r="V37" s="36" t="n">
        <x:f>V24-V19-V25</x:f>
        <x:v>0</x:v>
      </x:c>
      <x:c r="W37" s="36" t="n">
        <x:f>W24-W19-W25</x:f>
        <x:v>0</x:v>
      </x:c>
      <x:c r="X37" s="36" t="n">
        <x:f>X24-X19-X25</x:f>
        <x:v>0</x:v>
      </x:c>
      <x:c r="Y37" s="36" t="n">
        <x:f>Y24-Y19-Y25</x:f>
        <x:v>0</x:v>
      </x:c>
      <x:c r="Z37" s="36" t="n">
        <x:f>Z24-Z19-Z25</x:f>
        <x:v>0</x:v>
      </x:c>
      <x:c r="AA37" s="36" t="n">
        <x:f>AA24-AA19-AA25</x:f>
        <x:v>0</x:v>
      </x:c>
      <x:c r="AB37" s="36" t="n">
        <x:f>AB24-AB19-AB25</x:f>
        <x:v>0</x:v>
      </x:c>
      <x:c r="AC37" s="36" t="n">
        <x:f>AC24-AC19-AC25</x:f>
        <x:v>0</x:v>
      </x:c>
      <x:c r="AD37" s="36" t="n">
        <x:f>AD24-AD19-AD25</x:f>
        <x:v>0</x:v>
      </x:c>
      <x:c r="AE37" s="36" t="n">
        <x:f>AE24-AE19-AE25</x:f>
        <x:v>0</x:v>
      </x:c>
      <x:c r="AF37" s="36" t="n">
        <x:f>AF24-AF19-AF25</x:f>
        <x:v>0</x:v>
      </x:c>
      <x:c r="AG37" s="36" t="n">
        <x:f>AG24-AG19-AG25</x:f>
        <x:v>0</x:v>
      </x:c>
      <x:c r="AH37" s="36" t="n">
        <x:f>AH24-AH19-AH25</x:f>
        <x:v>0</x:v>
      </x:c>
      <x:c r="AI37" s="36" t="n">
        <x:f>AI24-AI19-AI25</x:f>
        <x:v>0</x:v>
      </x:c>
      <x:c r="AJ37" s="36" t="n">
        <x:f>AJ24-AJ19-AJ25</x:f>
        <x:v>0</x:v>
      </x:c>
      <x:c r="AK37" s="36" t="n">
        <x:f>AK24-AK19-AK25</x:f>
        <x:v>0</x:v>
      </x:c>
      <x:c r="AL37" s="36" t="n">
        <x:f>AL24-AL19-AL25</x:f>
        <x:v>0</x:v>
      </x:c>
      <x:c r="AM37" s="36" t="n">
        <x:f>AM24-AM19-AM25</x:f>
        <x:v>0</x:v>
      </x:c>
      <x:c r="AN37" s="36" t="n">
        <x:f>AN24-AN19-AN25</x:f>
        <x:v>0</x:v>
      </x:c>
      <x:c r="AO37" s="36" t="n">
        <x:f>AO24-AO19-AO25</x:f>
        <x:v>0</x:v>
      </x:c>
      <x:c r="AP37" s="36" t="n">
        <x:f>AP24-AP19-AP25</x:f>
        <x:v>0</x:v>
      </x:c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</x:row>
    <x:row r="38" ht="19" customHeight="1">
      <x:c r="A38" s="1"/>
      <x:c r="B38" s="1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</x:row>
    <x:row r="39" ht="19" customHeight="1">
      <x:c r="A39" s="1"/>
      <x:c r="B39" s="1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</x:row>
    <x:row r="40" ht="19" customHeight="1">
      <x:c r="A40" s="1"/>
      <x:c r="B40" s="1"/>
      <x:c r="C40" s="2" t="str">
        <x:v>Applied default rate</x:v>
      </x:c>
      <x:c r="D40" s="2"/>
      <x:c r="E40" s="22" t="n">
        <x:f>'Assumptions'!E58</x:f>
        <x:v>0.2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</x:row>
    <x:row r="41" ht="19" customHeight="1">
      <x:c r="A41" s="1"/>
      <x:c r="B41" s="1"/>
      <x:c r="C41" s="2" t="str">
        <x:v>Applied midpoint</x:v>
      </x:c>
      <x:c r="D41" s="2"/>
      <x:c r="E41" s="24" t="n">
        <x:f>'Assumptions'!E59</x:f>
        <x:v>3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</x:row>
    <x:row r="42" ht="19" customHeight="1">
      <x:c r="A42" s="1"/>
      <x:c r="B42" s="1"/>
      <x:c r="C42" s="2" t="str">
        <x:v>Monthly contractual rate</x:v>
      </x:c>
      <x:c r="D42" s="2"/>
      <x:c r="E42" s="22" t="n">
        <x:f>'Assumptions'!F15/12</x:f>
        <x:v>0.04583333333333334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</x:row>
    <x:row r="43" ht="19" customHeight="1">
      <x:c r="A43" s="1"/>
      <x:c r="B43" s="1"/>
      <x:c r="C43" s="2" t="str">
        <x:v>Term</x:v>
      </x:c>
      <x:c r="D43" s="2"/>
      <x:c r="E43" s="4" t="n">
        <x:f>'Assumptions'!F16</x:f>
        <x:v>24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</x:row>
    <x:row r="44" ht="19" customHeight="1">
      <x:c r="A44" s="1"/>
      <x:c r="B44" s="1"/>
      <x:c r="C44" s="2" t="str">
        <x:v>Opening gross CLAB</x:v>
      </x:c>
      <x:c r="D44" s="2"/>
      <x:c r="E44" s="25" t="n">
        <x:f>'Assumptions'!F17*'Assumptions'!$E$29</x:f>
        <x:v>306720000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</x:row>
    <x:row r="45" ht="19" customHeight="1">
      <x:c r="A45" s="1"/>
      <x:c r="B45" s="1"/>
      <x:c r="C45" s="2" t="str">
        <x:v>Single cohort age</x:v>
      </x:c>
      <x:c r="D45" s="2"/>
      <x:c r="E45" s="4" t="n">
        <x:f>'Assumptions'!F19</x:f>
        <x:v>6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</x:row>
    <x:row r="46" ht="19" customHeight="1">
      <x:c r="A46" s="1"/>
      <x:c r="B46" s="1"/>
      <x:c r="C46" s="2" t="str">
        <x:v>Age mix</x:v>
      </x:c>
      <x:c r="D46" s="2"/>
      <x:c r="E46" s="4" t="n">
        <x:f>'Assumptions'!F18</x:f>
        <x:v>0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</x:row>
    <x:row r="47" ht="19" customHeight="1">
      <x:c r="A47" s="1"/>
      <x:c r="B47" s="1"/>
      <x:c r="C47" s="2" t="str">
        <x:v>Steepness</x:v>
      </x:c>
      <x:c r="D47" s="2"/>
      <x:c r="E47" s="24" t="n">
        <x:f>'Assumptions'!F27</x:f>
        <x:v>0.55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</x:row>
    <x:row r="48" ht="19" customHeight="1">
      <x:c r="A48" s="1"/>
      <x:c r="B48" s="1"/>
      <x:c r="C48" s="2" t="str">
        <x:v>Opening expected-loss reserve</x:v>
      </x:c>
      <x:c r="D48" s="2"/>
      <x:c r="E48" s="26" t="n">
        <x:f>SUM(F160:F219)</x:f>
        <x:v>64161574.26349827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</x:row>
    <x:row r="49" ht="19" customHeight="1">
      <x:c r="A49" s="1"/>
      <x:c r="B49" s="1"/>
      <x:c r="C49" s="2" t="str">
        <x:v>New-loan lifetime loss per $1</x:v>
      </x:c>
      <x:c r="D49" s="2"/>
      <x:c r="E49" s="23" t="n">
        <x:f>SUM(E51:E147)</x:f>
        <x:v>0.18699860547054264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</x:row>
    <x:row r="50" ht="32" customHeight="1">
      <x:c r="A50" s="1"/>
      <x:c r="B50" s="1"/>
      <x:c r="C50" s="29" t="str">
        <x:v>MOB</x:v>
      </x:c>
      <x:c r="D50" s="29" t="str">
        <x:v>Cumulative default</x:v>
      </x:c>
      <x:c r="E50" s="29" t="str">
        <x:v>Charge-off / $1</x:v>
      </x:c>
      <x:c r="F50" s="29" t="str">
        <x:v>Repayment / $1</x:v>
      </x:c>
      <x:c r="G50" s="29" t="str">
        <x:v>Future loss / $1</x:v>
      </x:c>
      <x:c r="H50" s="29" t="str">
        <x:v>Scheduled balance / $1</x:v>
      </x:c>
      <x:c r="I50" s="29" t="str">
        <x:v>Survival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</x:row>
    <x:row r="51" ht="19" customHeight="1">
      <x:c r="A51" s="1"/>
      <x:c r="B51" s="1"/>
      <x:c r="C51" s="2" t="n">
        <x:v>0</x:v>
      </x:c>
      <x:c r="D51" s="30" t="n">
        <x:f>$E$40*INDEX('Assumptions'!$E$65:$E$101,MIN(C51,36)+1)</x:f>
        <x:v>0</x:v>
      </x:c>
      <x:c r="E51" s="30" t="n">
        <x:f>0</x:f>
        <x:v>0</x:v>
      </x:c>
      <x:c r="F51" s="30" t="n">
        <x:f>0</x:f>
        <x:v>0</x:v>
      </x:c>
      <x:c r="G51" s="30" t="n">
        <x:f>SUM(E52:E147)</x:f>
        <x:v>0.18699860547054264</x:v>
      </x:c>
      <x:c r="H51" s="30" t="n">
        <x:f>IF($E$42=0,1-MIN(C51,$E$43)/$E$43,((1+$E$42)^$E$43-(1+$E$42)^MIN(C51,$E$43))/((1+$E$42)^$E$43-1))</x:f>
        <x:v>1</x:v>
      </x:c>
      <x:c r="I51" s="30" t="n">
        <x:f>MAX(0,1-D51-J51)</x:f>
        <x:v>1</x:v>
      </x:c>
      <x:c r="J51" s="2" t="n">
        <x:f>(1-$E$40)*INDEX('Assumptions'!$H$65:$H$101,MIN(C51,36)+1)</x:f>
        <x:v>0</x:v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</x:row>
    <x:row r="52" ht="19" customHeight="1">
      <x:c r="A52" s="1"/>
      <x:c r="B52" s="1"/>
      <x:c r="C52" s="2" t="n">
        <x:v>1</x:v>
      </x:c>
      <x:c r="D52" s="30" t="n">
        <x:f>$E$40*INDEX('Assumptions'!$E$65:$E$101,MIN(C52,36)+1)</x:f>
        <x:v>0.047793907633118346</x:v>
      </x:c>
      <x:c r="E52" s="30" t="n">
        <x:f>(D52-D51)*H51</x:f>
        <x:v>0.047793907633118346</x:v>
      </x:c>
      <x:c r="F52" s="30" t="n">
        <x:f>(1-D52-J51)*(H51-H52)+(J52-J51)*H52</x:f>
        <x:v>0.2286768229112237</x:v>
      </x:c>
      <x:c r="G52" s="30" t="n">
        <x:f>SUM(E53:E147)</x:f>
        <x:v>0.1392046978374243</x:v>
      </x:c>
      <x:c r="H52" s="30" t="n">
        <x:f>IF($E$42=0,1-MIN(C52,$E$43)/$E$43,((1+$E$42)^$E$43-(1+$E$42)^MIN(C52,$E$43))/((1+$E$42)^$E$43-1))</x:f>
        <x:v>0.9762713988389728</x:v>
      </x:c>
      <x:c r="I52" s="30" t="n">
        <x:f>MAX(0,1-D52-J52)</x:f>
        <x:v>0.7411148890729693</x:v>
      </x:c>
      <x:c r="J52" s="2" t="n">
        <x:f>(1-$E$40)*INDEX('Assumptions'!$H$65:$H$101,MIN(C52,36)+1)</x:f>
        <x:v>0.21109120329391234</x:v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</x:row>
    <x:row r="53" ht="19" customHeight="1">
      <x:c r="A53" s="1"/>
      <x:c r="B53" s="1"/>
      <x:c r="C53" s="2" t="n">
        <x:v>2</x:v>
      </x:c>
      <x:c r="D53" s="30" t="n">
        <x:f>$E$40*INDEX('Assumptions'!$E$65:$E$101,MIN(C53,36)+1)</x:f>
        <x:v>0.0859488479098054</x:v>
      </x:c>
      <x:c r="E53" s="30" t="n">
        <x:f>(D53-D52)*H52</x:f>
        <x:v>0.03724957691653874</x:v>
      </x:c>
      <x:c r="F53" s="30" t="n">
        <x:f>(1-D53-J52)*(H52-H53)+(J53-J52)*H53</x:f>
        <x:v>0.17018339952310133</x:v>
      </x:c>
      <x:c r="G53" s="30" t="n">
        <x:f>SUM(E54:E147)</x:f>
        <x:v>0.10195512092088559</x:v>
      </x:c>
      <x:c r="H53" s="30" t="n">
        <x:f>IF($E$42=0,1-MIN(C53,$E$43)/$E$43,((1+$E$42)^$E$43-(1+$E$42)^MIN(C53,$E$43))/((1+$E$42)^$E$43-1))</x:f>
        <x:v>0.9514552367913985</x:v>
      </x:c>
      <x:c r="I53" s="30" t="n">
        <x:f>MAX(0,1-D53-J53)</x:f>
        <x:v>0.5424283487644193</x:v>
      </x:c>
      <x:c r="J53" s="2" t="n">
        <x:f>(1-$E$40)*INDEX('Assumptions'!$H$65:$H$101,MIN(C53,36)+1)</x:f>
        <x:v>0.3716228033257753</x:v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</x:row>
    <x:row r="54" ht="19" customHeight="1">
      <x:c r="A54" s="1"/>
      <x:c r="B54" s="1"/>
      <x:c r="C54" s="2" t="n">
        <x:v>3</x:v>
      </x:c>
      <x:c r="D54" s="30" t="n">
        <x:f>$E$40*INDEX('Assumptions'!$E$65:$E$101,MIN(C54,36)+1)</x:f>
        <x:v>0.11502213271151718</x:v>
      </x:c>
      <x:c r="E54" s="30" t="n">
        <x:f>(D54-D53)*H53</x:f>
        <x:v>0.027661929075316442</x:v>
      </x:c>
      <x:c r="F54" s="30" t="n">
        <x:f>(1-D54-J53)*(H53-H54)+(J54-J53)*H54</x:f>
        <x:v>0.1269296836932008</x:v>
      </x:c>
      <x:c r="G54" s="30" t="n">
        <x:f>SUM(E55:E147)</x:f>
        <x:v>0.07429319184556915</x:v>
      </x:c>
      <x:c r="H54" s="30" t="n">
        <x:f>IF($E$42=0,1-MIN(C54,$E$43)/$E$43,((1+$E$42)^$E$43-(1+$E$42)^MIN(C54,$E$43))/((1+$E$42)^$E$43-1))</x:f>
        <x:v>0.9255016673166439</x:v>
      </x:c>
      <x:c r="I54" s="30" t="n">
        <x:f>MAX(0,1-D54-J54)</x:f>
        <x:v>0.39060402915926706</x:v>
      </x:c>
      <x:c r="J54" s="2" t="n">
        <x:f>(1-$E$40)*INDEX('Assumptions'!$H$65:$H$101,MIN(C54,36)+1)</x:f>
        <x:v>0.49437383812921576</x:v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</x:row>
    <x:row r="55" ht="19" customHeight="1">
      <x:c r="A55" s="1"/>
      <x:c r="B55" s="1"/>
      <x:c r="C55" s="2" t="n">
        <x:v>4</x:v>
      </x:c>
      <x:c r="D55" s="30" t="n">
        <x:f>$E$40*INDEX('Assumptions'!$E$65:$E$101,MIN(C55,36)+1)</x:f>
        <x:v>0.139146003027586</x:v>
      </x:c>
      <x:c r="E55" s="30" t="n">
        <x:f>(D55-D54)*H54</x:f>
        <x:v>0.022326682199652195</x:v>
      </x:c>
      <x:c r="F55" s="30" t="n">
        <x:f>(1-D55-J54)*(H54-H55)+(J55-J54)*H55</x:f>
        <x:v>0.09279945080156977</x:v>
      </x:c>
      <x:c r="G55" s="30" t="n">
        <x:f>SUM(E56:E147)</x:f>
        <x:v>0.05196650964591695</x:v>
      </x:c>
      <x:c r="H55" s="30" t="n">
        <x:f>IF($E$42=0,1-MIN(C55,$E$43)/$E$43,((1+$E$42)^$E$43-(1+$E$42)^MIN(C55,$E$43))/((1+$E$42)^$E$43-1))</x:f>
        <x:v>0.8983585592409629</x:v>
      </x:c>
      <x:c r="I55" s="30" t="n">
        <x:f>MAX(0,1-D55-J55)</x:f>
        <x:v>0.2742541323972555</x:v>
      </x:c>
      <x:c r="J55" s="2" t="n">
        <x:f>(1-$E$40)*INDEX('Assumptions'!$H$65:$H$101,MIN(C55,36)+1)</x:f>
        <x:v>0.5865998645751586</x:v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</x:row>
    <x:row r="56" ht="19" customHeight="1">
      <x:c r="A56" s="1"/>
      <x:c r="B56" s="1"/>
      <x:c r="C56" s="2" t="n">
        <x:v>5</x:v>
      </x:c>
      <x:c r="D56" s="30" t="n">
        <x:f>$E$40*INDEX('Assumptions'!$E$65:$E$101,MIN(C56,36)+1)</x:f>
        <x:v>0.15875499245655234</x:v>
      </x:c>
      <x:c r="E56" s="30" t="n">
        <x:f>(D56-D55)*H55</x:f>
        <x:v>0.01761590349157746</x:v>
      </x:c>
      <x:c r="F56" s="30" t="n">
        <x:f>(1-D56-J55)*(H55-H56)+(J56-J55)*H56</x:f>
        <x:v>0.06659998429612093</x:v>
      </x:c>
      <x:c r="G56" s="30" t="n">
        <x:f>SUM(E57:E147)</x:f>
        <x:v>0.034350606154339484</x:v>
      </x:c>
      <x:c r="H56" s="30" t="n">
        <x:f>IF($E$42=0,1-MIN(C56,$E$43)/$E$43,((1+$E$42)^$E$43-(1+$E$42)^MIN(C56,$E$43))/((1+$E$42)^$E$43-1))</x:f>
        <x:v>0.8699713920451464</x:v>
      </x:c>
      <x:c r="I56" s="30" t="n">
        <x:f>MAX(0,1-D56-J56)</x:f>
        <x:v>0.18639999078287506</x:v>
      </x:c>
      <x:c r="J56" s="2" t="n">
        <x:f>(1-$E$40)*INDEX('Assumptions'!$H$65:$H$101,MIN(C56,36)+1)</x:f>
        <x:v>0.6548450167605726</x:v>
      </x:c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</x:row>
    <x:row r="57" ht="19" customHeight="1">
      <x:c r="A57" s="1"/>
      <x:c r="B57" s="1"/>
      <x:c r="C57" s="2" t="n">
        <x:v>6</x:v>
      </x:c>
      <x:c r="D57" s="30" t="n">
        <x:f>$E$40*INDEX('Assumptions'!$E$65:$E$101,MIN(C57,36)+1)</x:f>
        <x:v>0.1729640541883488</x:v>
      </x:c>
      <x:c r="E57" s="30" t="n">
        <x:f>(D57-D56)*H56</x:f>
        <x:v>0.012361477214466378</x:v>
      </x:c>
      <x:c r="F57" s="30" t="n">
        <x:f>(1-D57-J56)*(H56-H57)+(J57-J56)*H57</x:f>
        <x:v>0.04933315803614138</x:v>
      </x:c>
      <x:c r="G57" s="30" t="n">
        <x:f>SUM(E58:E147)</x:f>
        <x:v>0.021989128939873107</x:v>
      </x:c>
      <x:c r="H57" s="30" t="n">
        <x:f>IF($E$42=0,1-MIN(C57,$E$43)/$E$43,((1+$E$42)^$E$43-(1+$E$42)^MIN(C57,$E$43))/((1+$E$42)^$E$43-1))</x:f>
        <x:v>0.8402831463528551</x:v>
      </x:c>
      <x:c r="I57" s="30" t="n">
        <x:f>MAX(0,1-D57-J57)</x:f>
        <x:v>0.11956448804672748</x:v>
      </x:c>
      <x:c r="J57" s="2" t="n">
        <x:f>(1-$E$40)*INDEX('Assumptions'!$H$65:$H$101,MIN(C57,36)+1)</x:f>
        <x:v>0.7074714577649237</x:v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</x:row>
    <x:row r="58" ht="19" customHeight="1">
      <x:c r="A58" s="1"/>
      <x:c r="B58" s="1"/>
      <x:c r="C58" s="2" t="n">
        <x:v>7</x:v>
      </x:c>
      <x:c r="D58" s="30" t="n">
        <x:f>$E$40*INDEX('Assumptions'!$E$65:$E$101,MIN(C58,36)+1)</x:f>
        <x:v>0.1837405454525418</x:v>
      </x:c>
      <x:c r="E58" s="30" t="n">
        <x:f>(D58-D57)*H57</x:f>
        <x:v>0.009055303986120151</x:v>
      </x:c>
      <x:c r="F58" s="30" t="n">
        <x:f>(1-D58-J57)*(H57-H58)+(J58-J57)*H58</x:f>
        <x:v>0.03526442888947929</x:v>
      </x:c>
      <x:c r="G58" s="30" t="n">
        <x:f>SUM(E59:E147)</x:f>
        <x:v>0.012933824953752959</x:v>
      </x:c>
      <x:c r="H58" s="30" t="n">
        <x:f>IF($E$42=0,1-MIN(C58,$E$43)/$E$43,((1+$E$42)^$E$43-(1+$E$42)^MIN(C58,$E$43))/((1+$E$42)^$E$43-1))</x:f>
        <x:v>0.8092341893996671</x:v>
      </x:c>
      <x:c r="I58" s="30" t="n">
        <x:f>MAX(0,1-D58-J58)</x:f>
        <x:v>0.06938447740823561</x:v>
      </x:c>
      <x:c r="J58" s="2" t="n">
        <x:f>(1-$E$40)*INDEX('Assumptions'!$H$65:$H$101,MIN(C58,36)+1)</x:f>
        <x:v>0.7468749771392226</x:v>
      </x:c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</x:row>
    <x:row r="59" ht="19" customHeight="1">
      <x:c r="A59" s="1"/>
      <x:c r="B59" s="1"/>
      <x:c r="C59" s="2" t="n">
        <x:v>8</x:v>
      </x:c>
      <x:c r="D59" s="30" t="n">
        <x:f>$E$40*INDEX('Assumptions'!$E$65:$E$101,MIN(C59,36)+1)</x:f>
        <x:v>0.19310540368282814</x:v>
      </x:c>
      <x:c r="E59" s="30" t="n">
        <x:f>(D59-D58)*H58</x:f>
        <x:v>0.007578363458828574</x:v>
      </x:c>
      <x:c r="F59" s="30" t="n">
        <x:f>(1-D59-J58)*(H58-H59)+(J59-J58)*H59</x:f>
        <x:v>0.025106863163643276</x:v>
      </x:c>
      <x:c r="G59" s="30" t="n">
        <x:f>SUM(E60:E147)</x:f>
        <x:v>0.005355461494924383</x:v>
      </x:c>
      <x:c r="H59" s="30" t="n">
        <x:f>IF($E$42=0,1-MIN(C59,$E$43)/$E$43,((1+$E$42)^$E$43-(1+$E$42)^MIN(C59,$E$43))/((1+$E$42)^$E$43-1))</x:f>
        <x:v>0.7767621552527914</x:v>
      </x:c>
      <x:c r="I59" s="30" t="n">
        <x:f>MAX(0,1-D59-J59)</x:f>
        <x:v>0.030206240805160434</x:v>
      </x:c>
      <x:c r="J59" s="2" t="n">
        <x:f>(1-$E$40)*INDEX('Assumptions'!$H$65:$H$101,MIN(C59,36)+1)</x:f>
        <x:v>0.7766883555120114</x:v>
      </x:c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</x:row>
    <x:row r="60" ht="19" customHeight="1">
      <x:c r="A60" s="1"/>
      <x:c r="B60" s="1"/>
      <x:c r="C60" s="2" t="n">
        <x:v>9</x:v>
      </x:c>
      <x:c r="D60" s="30" t="n">
        <x:f>$E$40*INDEX('Assumptions'!$E$65:$E$101,MIN(C60,36)+1)</x:f>
        <x:v>0.2</x:v>
      </x:c>
      <x:c r="E60" s="30" t="n">
        <x:f>(D60-D59)*H59</x:f>
        <x:v>0.005355461494924383</x:v>
      </x:c>
      <x:c r="F60" s="30" t="n">
        <x:f>(1-D60-J59)*(H59-H60)+(J60-J59)*H60</x:f>
        <x:v>0.01810760321497689</x:v>
      </x:c>
      <x:c r="G60" s="30" t="n">
        <x:f>SUM(E61:E147)</x:f>
        <x:v>0</x:v>
      </x:c>
      <x:c r="H60" s="30" t="n">
        <x:f>IF($E$42=0,1-MIN(C60,$E$43)/$E$43,((1+$E$42)^$E$43-(1+$E$42)^MIN(C60,$E$43))/((1+$E$42)^$E$43-1))</x:f>
        <x:v>0.7428018195408503</x:v>
      </x:c>
      <x:c r="I60" s="30" t="n">
        <x:f>MAX(0,1-D60-J60)</x:f>
        <x:v>0</x:v>
      </x:c>
      <x:c r="J60" s="2" t="n">
        <x:f>(1-$E$40)*INDEX('Assumptions'!$H$65:$H$101,MIN(C60,36)+1)</x:f>
        <x:v>0.8</x:v>
      </x:c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</x:row>
    <x:row r="61" ht="19" customHeight="1">
      <x:c r="A61" s="1"/>
      <x:c r="B61" s="1"/>
      <x:c r="C61" s="2" t="n">
        <x:v>10</x:v>
      </x:c>
      <x:c r="D61" s="30" t="n">
        <x:f>$E$40*INDEX('Assumptions'!$E$65:$E$101,MIN(C61,36)+1)</x:f>
        <x:v>0.2</x:v>
      </x:c>
      <x:c r="E61" s="30" t="n">
        <x:f>(D61-D60)*H60</x:f>
        <x:v>0</x:v>
      </x:c>
      <x:c r="F61" s="30" t="n">
        <x:f>(1-D61-J60)*(H60-H61)+(J61-J60)*H61</x:f>
        <x:v>0</x:v>
      </x:c>
      <x:c r="G61" s="30" t="n">
        <x:f>SUM(E62:E147)</x:f>
        <x:v>0</x:v>
      </x:c>
      <x:c r="H61" s="30" t="n">
        <x:f>IF($E$42=0,1-MIN(C61,$E$43)/$E$43,((1+$E$42)^$E$43-(1+$E$42)^MIN(C61,$E$43))/((1+$E$42)^$E$43-1))</x:f>
        <x:v>0.7072849684421122</x:v>
      </x:c>
      <x:c r="I61" s="30" t="n">
        <x:f>MAX(0,1-D61-J61)</x:f>
        <x:v>0</x:v>
      </x:c>
      <x:c r="J61" s="2" t="n">
        <x:f>(1-$E$40)*INDEX('Assumptions'!$H$65:$H$101,MIN(C61,36)+1)</x:f>
        <x:v>0.8</x:v>
      </x:c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</x:row>
    <x:row r="62" ht="19" customHeight="1">
      <x:c r="A62" s="1"/>
      <x:c r="B62" s="1"/>
      <x:c r="C62" s="2" t="n">
        <x:v>11</x:v>
      </x:c>
      <x:c r="D62" s="30" t="n">
        <x:f>$E$40*INDEX('Assumptions'!$E$65:$E$101,MIN(C62,36)+1)</x:f>
        <x:v>0.2</x:v>
      </x:c>
      <x:c r="E62" s="30" t="n">
        <x:f>(D62-D61)*H61</x:f>
        <x:v>0</x:v>
      </x:c>
      <x:c r="F62" s="30" t="n">
        <x:f>(1-D62-J61)*(H61-H62)+(J62-J61)*H62</x:f>
        <x:v>0</x:v>
      </x:c>
      <x:c r="G62" s="30" t="n">
        <x:f>SUM(E63:E147)</x:f>
        <x:v>0</x:v>
      </x:c>
      <x:c r="H62" s="30" t="n">
        <x:f>IF($E$42=0,1-MIN(C62,$E$43)/$E$43,((1+$E$42)^$E$43-(1+$E$42)^MIN(C62,$E$43))/((1+$E$42)^$E$43-1))</x:f>
        <x:v>0.6701402616680151</x:v>
      </x:c>
      <x:c r="I62" s="30" t="n">
        <x:f>MAX(0,1-D62-J62)</x:f>
        <x:v>0</x:v>
      </x:c>
      <x:c r="J62" s="2" t="n">
        <x:f>(1-$E$40)*INDEX('Assumptions'!$H$65:$H$101,MIN(C62,36)+1)</x:f>
        <x:v>0.8</x:v>
      </x:c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</x:row>
    <x:row r="63" ht="19" customHeight="1">
      <x:c r="A63" s="1"/>
      <x:c r="B63" s="1"/>
      <x:c r="C63" s="2" t="n">
        <x:v>12</x:v>
      </x:c>
      <x:c r="D63" s="30" t="n">
        <x:f>$E$40*INDEX('Assumptions'!$E$65:$E$101,MIN(C63,36)+1)</x:f>
        <x:v>0.2</x:v>
      </x:c>
      <x:c r="E63" s="30" t="n">
        <x:f>(D63-D62)*H62</x:f>
        <x:v>0</x:v>
      </x:c>
      <x:c r="F63" s="30" t="n">
        <x:f>(1-D63-J62)*(H62-H63)+(J63-J62)*H63</x:f>
        <x:v>0</x:v>
      </x:c>
      <x:c r="G63" s="30" t="n">
        <x:f>SUM(E64:E147)</x:f>
        <x:v>0</x:v>
      </x:c>
      <x:c r="H63" s="30" t="n">
        <x:f>IF($E$42=0,1-MIN(C63,$E$43)/$E$43,((1+$E$42)^$E$43-(1+$E$42)^MIN(C63,$E$43))/((1+$E$42)^$E$43-1))</x:f>
        <x:v>0.631293089166772</x:v>
      </x:c>
      <x:c r="I63" s="30" t="n">
        <x:f>MAX(0,1-D63-J63)</x:f>
        <x:v>0</x:v>
      </x:c>
      <x:c r="J63" s="2" t="n">
        <x:f>(1-$E$40)*INDEX('Assumptions'!$H$65:$H$101,MIN(C63,36)+1)</x:f>
        <x:v>0.8</x:v>
      </x:c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</x:row>
    <x:row r="64" ht="19" customHeight="1">
      <x:c r="A64" s="1"/>
      <x:c r="B64" s="1"/>
      <x:c r="C64" s="2" t="n">
        <x:v>13</x:v>
      </x:c>
      <x:c r="D64" s="30" t="n">
        <x:f>$E$40*INDEX('Assumptions'!$E$65:$E$101,MIN(C64,36)+1)</x:f>
        <x:v>0.2</x:v>
      </x:c>
      <x:c r="E64" s="30" t="n">
        <x:f>(D64-D63)*H63</x:f>
        <x:v>0</x:v>
      </x:c>
      <x:c r="F64" s="30" t="n">
        <x:f>(1-D64-J63)*(H63-H64)+(J64-J63)*H64</x:f>
        <x:v>0</x:v>
      </x:c>
      <x:c r="G64" s="30" t="n">
        <x:f>SUM(E65:E147)</x:f>
        <x:v>0</x:v>
      </x:c>
      <x:c r="H64" s="30" t="n">
        <x:f>IF($E$42=0,1-MIN(C64,$E$43)/$E$43,((1+$E$42)^$E$43-(1+$E$42)^MIN(C64,$E$43))/((1+$E$42)^$E$43-1))</x:f>
        <x:v>0.5906654212592217</x:v>
      </x:c>
      <x:c r="I64" s="30" t="n">
        <x:f>MAX(0,1-D64-J64)</x:f>
        <x:v>0</x:v>
      </x:c>
      <x:c r="J64" s="2" t="n">
        <x:f>(1-$E$40)*INDEX('Assumptions'!$H$65:$H$101,MIN(C64,36)+1)</x:f>
        <x:v>0.8</x:v>
      </x:c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</x:row>
    <x:row r="65" ht="19" customHeight="1">
      <x:c r="A65" s="1"/>
      <x:c r="B65" s="1"/>
      <x:c r="C65" s="2" t="n">
        <x:v>14</x:v>
      </x:c>
      <x:c r="D65" s="30" t="n">
        <x:f>$E$40*INDEX('Assumptions'!$E$65:$E$101,MIN(C65,36)+1)</x:f>
        <x:v>0.2</x:v>
      </x:c>
      <x:c r="E65" s="30" t="n">
        <x:f>(D65-D64)*H64</x:f>
        <x:v>0</x:v>
      </x:c>
      <x:c r="F65" s="30" t="n">
        <x:f>(1-D65-J64)*(H64-H65)+(J65-J64)*H65</x:f>
        <x:v>0</x:v>
      </x:c>
      <x:c r="G65" s="30" t="n">
        <x:f>SUM(E66:E147)</x:f>
        <x:v>0</x:v>
      </x:c>
      <x:c r="H65" s="30" t="n">
        <x:f>IF($E$42=0,1-MIN(C65,$E$43)/$E$43,((1+$E$42)^$E$43-(1+$E$42)^MIN(C65,$E$43))/((1+$E$42)^$E$43-1))</x:f>
        <x:v>0.5481756519059089</x:v>
      </x:c>
      <x:c r="I65" s="30" t="n">
        <x:f>MAX(0,1-D65-J65)</x:f>
        <x:v>0</x:v>
      </x:c>
      <x:c r="J65" s="2" t="n">
        <x:f>(1-$E$40)*INDEX('Assumptions'!$H$65:$H$101,MIN(C65,36)+1)</x:f>
        <x:v>0.8</x:v>
      </x:c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</x:row>
    <x:row r="66" ht="19" customHeight="1">
      <x:c r="A66" s="1"/>
      <x:c r="B66" s="1"/>
      <x:c r="C66" s="2" t="n">
        <x:v>15</x:v>
      </x:c>
      <x:c r="D66" s="30" t="n">
        <x:f>$E$40*INDEX('Assumptions'!$E$65:$E$101,MIN(C66,36)+1)</x:f>
        <x:v>0.2</x:v>
      </x:c>
      <x:c r="E66" s="30" t="n">
        <x:f>(D66-D65)*H65</x:f>
        <x:v>0</x:v>
      </x:c>
      <x:c r="F66" s="30" t="n">
        <x:f>(1-D66-J65)*(H65-H66)+(J66-J65)*H66</x:f>
        <x:v>0</x:v>
      </x:c>
      <x:c r="G66" s="30" t="n">
        <x:f>SUM(E67:E147)</x:f>
        <x:v>0</x:v>
      </x:c>
      <x:c r="H66" s="30" t="n">
        <x:f>IF($E$42=0,1-MIN(C66,$E$43)/$E$43,((1+$E$42)^$E$43-(1+$E$42)^MIN(C66,$E$43))/((1+$E$42)^$E$43-1))</x:f>
        <x:v>0.5037384347905691</x:v>
      </x:c>
      <x:c r="I66" s="30" t="n">
        <x:f>MAX(0,1-D66-J66)</x:f>
        <x:v>0</x:v>
      </x:c>
      <x:c r="J66" s="2" t="n">
        <x:f>(1-$E$40)*INDEX('Assumptions'!$H$65:$H$101,MIN(C66,36)+1)</x:f>
        <x:v>0.8</x:v>
      </x:c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</x:row>
    <x:row r="67" ht="19" customHeight="1">
      <x:c r="A67" s="1"/>
      <x:c r="B67" s="1"/>
      <x:c r="C67" s="2" t="n">
        <x:v>16</x:v>
      </x:c>
      <x:c r="D67" s="30" t="n">
        <x:f>$E$40*INDEX('Assumptions'!$E$65:$E$101,MIN(C67,36)+1)</x:f>
        <x:v>0.2</x:v>
      </x:c>
      <x:c r="E67" s="30" t="n">
        <x:f>(D67-D66)*H66</x:f>
        <x:v>0</x:v>
      </x:c>
      <x:c r="F67" s="30" t="n">
        <x:f>(1-D67-J66)*(H66-H67)+(J67-J66)*H67</x:f>
        <x:v>0</x:v>
      </x:c>
      <x:c r="G67" s="30" t="n">
        <x:f>SUM(E68:E147)</x:f>
        <x:v>0</x:v>
      </x:c>
      <x:c r="H67" s="30" t="n">
        <x:f>IF($E$42=0,1-MIN(C67,$E$43)/$E$43,((1+$E$42)^$E$43-(1+$E$42)^MIN(C67,$E$43))/((1+$E$42)^$E$43-1))</x:f>
        <x:v>0.4572645118907764</x:v>
      </x:c>
      <x:c r="I67" s="30" t="n">
        <x:f>MAX(0,1-D67-J67)</x:f>
        <x:v>0</x:v>
      </x:c>
      <x:c r="J67" s="2" t="n">
        <x:f>(1-$E$40)*INDEX('Assumptions'!$H$65:$H$101,MIN(C67,36)+1)</x:f>
        <x:v>0.8</x:v>
      </x:c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</x:row>
    <x:row r="68" ht="19" customHeight="1">
      <x:c r="A68" s="1"/>
      <x:c r="B68" s="1"/>
      <x:c r="C68" s="2" t="n">
        <x:v>17</x:v>
      </x:c>
      <x:c r="D68" s="30" t="n">
        <x:f>$E$40*INDEX('Assumptions'!$E$65:$E$101,MIN(C68,36)+1)</x:f>
        <x:v>0.2</x:v>
      </x:c>
      <x:c r="E68" s="30" t="n">
        <x:f>(D68-D67)*H67</x:f>
        <x:v>0</x:v>
      </x:c>
      <x:c r="F68" s="30" t="n">
        <x:f>(1-D68-J67)*(H67-H68)+(J68-J67)*H68</x:f>
        <x:v>0</x:v>
      </x:c>
      <x:c r="G68" s="30" t="n">
        <x:f>SUM(E69:E147)</x:f>
        <x:v>0</x:v>
      </x:c>
      <x:c r="H68" s="30" t="n">
        <x:f>IF($E$42=0,1-MIN(C68,$E$43)/$E$43,((1+$E$42)^$E$43-(1+$E$42)^MIN(C68,$E$43))/((1+$E$42)^$E$43-1))</x:f>
        <x:v>0.40866053419140974</x:v>
      </x:c>
      <x:c r="I68" s="30" t="n">
        <x:f>MAX(0,1-D68-J68)</x:f>
        <x:v>0</x:v>
      </x:c>
      <x:c r="J68" s="2" t="n">
        <x:f>(1-$E$40)*INDEX('Assumptions'!$H$65:$H$101,MIN(C68,36)+1)</x:f>
        <x:v>0.8</x:v>
      </x:c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</x:row>
    <x:row r="69" ht="19" customHeight="1">
      <x:c r="A69" s="1"/>
      <x:c r="B69" s="1"/>
      <x:c r="C69" s="2" t="n">
        <x:v>18</x:v>
      </x:c>
      <x:c r="D69" s="30" t="n">
        <x:f>$E$40*INDEX('Assumptions'!$E$65:$E$101,MIN(C69,36)+1)</x:f>
        <x:v>0.2</x:v>
      </x:c>
      <x:c r="E69" s="30" t="n">
        <x:f>(D69-D68)*H68</x:f>
        <x:v>0</x:v>
      </x:c>
      <x:c r="F69" s="30" t="n">
        <x:f>(1-D69-J68)*(H68-H69)+(J69-J68)*H69</x:f>
        <x:v>0</x:v>
      </x:c>
      <x:c r="G69" s="30" t="n">
        <x:f>SUM(E70:E147)</x:f>
        <x:v>0</x:v>
      </x:c>
      <x:c r="H69" s="30" t="n">
        <x:f>IF($E$42=0,1-MIN(C69,$E$43)/$E$43,((1+$E$42)^$E$43-(1+$E$42)^MIN(C69,$E$43))/((1+$E$42)^$E$43-1))</x:f>
        <x:v>0.35782887418082204</x:v>
      </x:c>
      <x:c r="I69" s="30" t="n">
        <x:f>MAX(0,1-D69-J69)</x:f>
        <x:v>0</x:v>
      </x:c>
      <x:c r="J69" s="2" t="n">
        <x:f>(1-$E$40)*INDEX('Assumptions'!$H$65:$H$101,MIN(C69,36)+1)</x:f>
        <x:v>0.8</x:v>
      </x:c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</x:row>
    <x:row r="70" ht="19" customHeight="1">
      <x:c r="A70" s="1"/>
      <x:c r="B70" s="1"/>
      <x:c r="C70" s="2" t="n">
        <x:v>19</x:v>
      </x:c>
      <x:c r="D70" s="30" t="n">
        <x:f>$E$40*INDEX('Assumptions'!$E$65:$E$101,MIN(C70,36)+1)</x:f>
        <x:v>0.2</x:v>
      </x:c>
      <x:c r="E70" s="30" t="n">
        <x:f>(D70-D69)*H69</x:f>
        <x:v>0</x:v>
      </x:c>
      <x:c r="F70" s="30" t="n">
        <x:f>(1-D70-J69)*(H69-H70)+(J70-J69)*H70</x:f>
        <x:v>0</x:v>
      </x:c>
      <x:c r="G70" s="30" t="n">
        <x:f>SUM(E71:E147)</x:f>
        <x:v>0</x:v>
      </x:c>
      <x:c r="H70" s="30" t="n">
        <x:f>IF($E$42=0,1-MIN(C70,$E$43)/$E$43,((1+$E$42)^$E$43-(1+$E$42)^MIN(C70,$E$43))/((1+$E$42)^$E$43-1))</x:f>
        <x:v>0.30466742975308264</x:v>
      </x:c>
      <x:c r="I70" s="30" t="n">
        <x:f>MAX(0,1-D70-J70)</x:f>
        <x:v>0</x:v>
      </x:c>
      <x:c r="J70" s="2" t="n">
        <x:f>(1-$E$40)*INDEX('Assumptions'!$H$65:$H$101,MIN(C70,36)+1)</x:f>
        <x:v>0.8</x:v>
      </x:c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</x:row>
    <x:row r="71" ht="19" customHeight="1">
      <x:c r="A71" s="1"/>
      <x:c r="B71" s="1"/>
      <x:c r="C71" s="2" t="n">
        <x:v>20</x:v>
      </x:c>
      <x:c r="D71" s="30" t="n">
        <x:f>$E$40*INDEX('Assumptions'!$E$65:$E$101,MIN(C71,36)+1)</x:f>
        <x:v>0.2</x:v>
      </x:c>
      <x:c r="E71" s="30" t="n">
        <x:f>(D71-D70)*H70</x:f>
        <x:v>0</x:v>
      </x:c>
      <x:c r="F71" s="30" t="n">
        <x:f>(1-D71-J70)*(H70-H71)+(J71-J70)*H71</x:f>
        <x:v>0</x:v>
      </x:c>
      <x:c r="G71" s="30" t="n">
        <x:f>SUM(E72:E147)</x:f>
        <x:v>0</x:v>
      </x:c>
      <x:c r="H71" s="30" t="n">
        <x:f>IF($E$42=0,1-MIN(C71,$E$43)/$E$43,((1+$E$42)^$E$43-(1+$E$42)^MIN(C71,$E$43))/((1+$E$42)^$E$43-1))</x:f>
        <x:v>0.2490694191224049</x:v>
      </x:c>
      <x:c r="I71" s="30" t="n">
        <x:f>MAX(0,1-D71-J71)</x:f>
        <x:v>0</x:v>
      </x:c>
      <x:c r="J71" s="2" t="n">
        <x:f>(1-$E$40)*INDEX('Assumptions'!$H$65:$H$101,MIN(C71,36)+1)</x:f>
        <x:v>0.8</x:v>
      </x:c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</x:row>
    <x:row r="72" ht="19" customHeight="1">
      <x:c r="A72" s="1"/>
      <x:c r="B72" s="1"/>
      <x:c r="C72" s="2" t="n">
        <x:v>21</x:v>
      </x:c>
      <x:c r="D72" s="30" t="n">
        <x:f>$E$40*INDEX('Assumptions'!$E$65:$E$101,MIN(C72,36)+1)</x:f>
        <x:v>0.2</x:v>
      </x:c>
      <x:c r="E72" s="30" t="n">
        <x:f>(D72-D71)*H71</x:f>
        <x:v>0</x:v>
      </x:c>
      <x:c r="F72" s="30" t="n">
        <x:f>(1-D72-J71)*(H71-H72)+(J72-J71)*H72</x:f>
        <x:v>0</x:v>
      </x:c>
      <x:c r="G72" s="30" t="n">
        <x:f>SUM(E73:E147)</x:f>
        <x:v>0</x:v>
      </x:c>
      <x:c r="H72" s="30" t="n">
        <x:f>IF($E$42=0,1-MIN(C72,$E$43)/$E$43,((1+$E$42)^$E$43-(1+$E$42)^MIN(C72,$E$43))/((1+$E$42)^$E$43-1))</x:f>
        <x:v>0.19092316633782133</x:v>
      </x:c>
      <x:c r="I72" s="30" t="n">
        <x:f>MAX(0,1-D72-J72)</x:f>
        <x:v>0</x:v>
      </x:c>
      <x:c r="J72" s="2" t="n">
        <x:f>(1-$E$40)*INDEX('Assumptions'!$H$65:$H$101,MIN(C72,36)+1)</x:f>
        <x:v>0.8</x:v>
      </x:c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</x:row>
    <x:row r="73" ht="19" customHeight="1">
      <x:c r="A73" s="1"/>
      <x:c r="B73" s="1"/>
      <x:c r="C73" s="2" t="n">
        <x:v>22</x:v>
      </x:c>
      <x:c r="D73" s="30" t="n">
        <x:f>$E$40*INDEX('Assumptions'!$E$65:$E$101,MIN(C73,36)+1)</x:f>
        <x:v>0.2</x:v>
      </x:c>
      <x:c r="E73" s="30" t="n">
        <x:f>(D73-D72)*H72</x:f>
        <x:v>0</x:v>
      </x:c>
      <x:c r="F73" s="30" t="n">
        <x:f>(1-D73-J72)*(H72-H73)+(J73-J72)*H73</x:f>
        <x:v>0</x:v>
      </x:c>
      <x:c r="G73" s="30" t="n">
        <x:f>SUM(E74:E147)</x:f>
        <x:v>0</x:v>
      </x:c>
      <x:c r="H73" s="30" t="n">
        <x:f>IF($E$42=0,1-MIN(C73,$E$43)/$E$43,((1+$E$42)^$E$43-(1+$E$42)^MIN(C73,$E$43))/((1+$E$42)^$E$43-1))</x:f>
        <x:v>0.1301118769672777</x:v>
      </x:c>
      <x:c r="I73" s="30" t="n">
        <x:f>MAX(0,1-D73-J73)</x:f>
        <x:v>0</x:v>
      </x:c>
      <x:c r="J73" s="2" t="n">
        <x:f>(1-$E$40)*INDEX('Assumptions'!$H$65:$H$101,MIN(C73,36)+1)</x:f>
        <x:v>0.8</x:v>
      </x:c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</x:row>
    <x:row r="74" ht="19" customHeight="1">
      <x:c r="A74" s="1"/>
      <x:c r="B74" s="1"/>
      <x:c r="C74" s="2" t="n">
        <x:v>23</x:v>
      </x:c>
      <x:c r="D74" s="30" t="n">
        <x:f>$E$40*INDEX('Assumptions'!$E$65:$E$101,MIN(C74,36)+1)</x:f>
        <x:v>0.2</x:v>
      </x:c>
      <x:c r="E74" s="30" t="n">
        <x:f>(D74-D73)*H73</x:f>
        <x:v>0</x:v>
      </x:c>
      <x:c r="F74" s="30" t="n">
        <x:f>(1-D74-J73)*(H73-H74)+(J74-J73)*H74</x:f>
        <x:v>0</x:v>
      </x:c>
      <x:c r="G74" s="30" t="n">
        <x:f>SUM(E75:E147)</x:f>
        <x:v>0</x:v>
      </x:c>
      <x:c r="H74" s="30" t="n">
        <x:f>IF($E$42=0,1-MIN(C74,$E$43)/$E$43,((1+$E$42)^$E$43-(1+$E$42)^MIN(C74,$E$43))/((1+$E$42)^$E$43-1))</x:f>
        <x:v>0.06651340350058388</x:v>
      </x:c>
      <x:c r="I74" s="30" t="n">
        <x:f>MAX(0,1-D74-J74)</x:f>
        <x:v>0</x:v>
      </x:c>
      <x:c r="J74" s="2" t="n">
        <x:f>(1-$E$40)*INDEX('Assumptions'!$H$65:$H$101,MIN(C74,36)+1)</x:f>
        <x:v>0.8</x:v>
      </x:c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</x:row>
    <x:row r="75" ht="19" customHeight="1">
      <x:c r="A75" s="1"/>
      <x:c r="B75" s="1"/>
      <x:c r="C75" s="2" t="n">
        <x:v>24</x:v>
      </x:c>
      <x:c r="D75" s="30" t="n">
        <x:f>$E$40*INDEX('Assumptions'!$E$65:$E$101,MIN(C75,36)+1)</x:f>
        <x:v>0.2</x:v>
      </x:c>
      <x:c r="E75" s="30" t="n">
        <x:f>(D75-D74)*H74</x:f>
        <x:v>0</x:v>
      </x:c>
      <x:c r="F75" s="30" t="n">
        <x:f>(1-D75-J74)*(H74-H75)+(J75-J74)*H75</x:f>
        <x:v>0</x:v>
      </x:c>
      <x:c r="G75" s="30" t="n">
        <x:f>SUM(E76:E147)</x:f>
        <x:v>0</x:v>
      </x:c>
      <x:c r="H75" s="30" t="n">
        <x:f>IF($E$42=0,1-MIN(C75,$E$43)/$E$43,((1+$E$42)^$E$43-(1+$E$42)^MIN(C75,$E$43))/((1+$E$42)^$E$43-1))</x:f>
        <x:v>0</x:v>
      </x:c>
      <x:c r="I75" s="30" t="n">
        <x:f>MAX(0,1-D75-J75)</x:f>
        <x:v>0</x:v>
      </x:c>
      <x:c r="J75" s="2" t="n">
        <x:f>(1-$E$40)*INDEX('Assumptions'!$H$65:$H$101,MIN(C75,36)+1)</x:f>
        <x:v>0.8</x:v>
      </x:c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</x:row>
    <x:row r="76" ht="19" customHeight="1">
      <x:c r="A76" s="1"/>
      <x:c r="B76" s="1"/>
      <x:c r="C76" s="2" t="n">
        <x:v>25</x:v>
      </x:c>
      <x:c r="D76" s="30" t="n">
        <x:f>$E$40*INDEX('Assumptions'!$E$65:$E$101,MIN(C76,36)+1)</x:f>
        <x:v>0.2</x:v>
      </x:c>
      <x:c r="E76" s="30" t="n">
        <x:f>(D76-D75)*H75</x:f>
        <x:v>0</x:v>
      </x:c>
      <x:c r="F76" s="30" t="n">
        <x:f>(1-D76-J75)*(H75-H76)+(J76-J75)*H76</x:f>
        <x:v>0</x:v>
      </x:c>
      <x:c r="G76" s="30" t="n">
        <x:f>SUM(E77:E147)</x:f>
        <x:v>0</x:v>
      </x:c>
      <x:c r="H76" s="30" t="n">
        <x:f>IF($E$42=0,1-MIN(C76,$E$43)/$E$43,((1+$E$42)^$E$43-(1+$E$42)^MIN(C76,$E$43))/((1+$E$42)^$E$43-1))</x:f>
        <x:v>0</x:v>
      </x:c>
      <x:c r="I76" s="30" t="n">
        <x:f>MAX(0,1-D76-J76)</x:f>
        <x:v>0</x:v>
      </x:c>
      <x:c r="J76" s="2" t="n">
        <x:f>(1-$E$40)*INDEX('Assumptions'!$H$65:$H$101,MIN(C76,36)+1)</x:f>
        <x:v>0.8</x:v>
      </x:c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</x:row>
    <x:row r="77" ht="19" customHeight="1">
      <x:c r="A77" s="1"/>
      <x:c r="B77" s="1"/>
      <x:c r="C77" s="2" t="n">
        <x:v>26</x:v>
      </x:c>
      <x:c r="D77" s="30" t="n">
        <x:f>$E$40*INDEX('Assumptions'!$E$65:$E$101,MIN(C77,36)+1)</x:f>
        <x:v>0.2</x:v>
      </x:c>
      <x:c r="E77" s="30" t="n">
        <x:f>(D77-D76)*H76</x:f>
        <x:v>0</x:v>
      </x:c>
      <x:c r="F77" s="30" t="n">
        <x:f>(1-D77-J76)*(H76-H77)+(J77-J76)*H77</x:f>
        <x:v>0</x:v>
      </x:c>
      <x:c r="G77" s="30" t="n">
        <x:f>SUM(E78:E147)</x:f>
        <x:v>0</x:v>
      </x:c>
      <x:c r="H77" s="30" t="n">
        <x:f>IF($E$42=0,1-MIN(C77,$E$43)/$E$43,((1+$E$42)^$E$43-(1+$E$42)^MIN(C77,$E$43))/((1+$E$42)^$E$43-1))</x:f>
        <x:v>0</x:v>
      </x:c>
      <x:c r="I77" s="30" t="n">
        <x:f>MAX(0,1-D77-J77)</x:f>
        <x:v>0</x:v>
      </x:c>
      <x:c r="J77" s="2" t="n">
        <x:f>(1-$E$40)*INDEX('Assumptions'!$H$65:$H$101,MIN(C77,36)+1)</x:f>
        <x:v>0.8</x:v>
      </x:c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</x:row>
    <x:row r="78" ht="19" customHeight="1">
      <x:c r="A78" s="1"/>
      <x:c r="B78" s="1"/>
      <x:c r="C78" s="2" t="n">
        <x:v>27</x:v>
      </x:c>
      <x:c r="D78" s="30" t="n">
        <x:f>$E$40*INDEX('Assumptions'!$E$65:$E$101,MIN(C78,36)+1)</x:f>
        <x:v>0.2</x:v>
      </x:c>
      <x:c r="E78" s="30" t="n">
        <x:f>(D78-D77)*H77</x:f>
        <x:v>0</x:v>
      </x:c>
      <x:c r="F78" s="30" t="n">
        <x:f>(1-D78-J77)*(H77-H78)+(J78-J77)*H78</x:f>
        <x:v>0</x:v>
      </x:c>
      <x:c r="G78" s="30" t="n">
        <x:f>SUM(E79:E147)</x:f>
        <x:v>0</x:v>
      </x:c>
      <x:c r="H78" s="30" t="n">
        <x:f>IF($E$42=0,1-MIN(C78,$E$43)/$E$43,((1+$E$42)^$E$43-(1+$E$42)^MIN(C78,$E$43))/((1+$E$42)^$E$43-1))</x:f>
        <x:v>0</x:v>
      </x:c>
      <x:c r="I78" s="30" t="n">
        <x:f>MAX(0,1-D78-J78)</x:f>
        <x:v>0</x:v>
      </x:c>
      <x:c r="J78" s="2" t="n">
        <x:f>(1-$E$40)*INDEX('Assumptions'!$H$65:$H$101,MIN(C78,36)+1)</x:f>
        <x:v>0.8</x:v>
      </x:c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</x:row>
    <x:row r="79" ht="19" customHeight="1">
      <x:c r="A79" s="1"/>
      <x:c r="B79" s="1"/>
      <x:c r="C79" s="2" t="n">
        <x:v>28</x:v>
      </x:c>
      <x:c r="D79" s="30" t="n">
        <x:f>$E$40*INDEX('Assumptions'!$E$65:$E$101,MIN(C79,36)+1)</x:f>
        <x:v>0.2</x:v>
      </x:c>
      <x:c r="E79" s="30" t="n">
        <x:f>(D79-D78)*H78</x:f>
        <x:v>0</x:v>
      </x:c>
      <x:c r="F79" s="30" t="n">
        <x:f>(1-D79-J78)*(H78-H79)+(J79-J78)*H79</x:f>
        <x:v>0</x:v>
      </x:c>
      <x:c r="G79" s="30" t="n">
        <x:f>SUM(E80:E147)</x:f>
        <x:v>0</x:v>
      </x:c>
      <x:c r="H79" s="30" t="n">
        <x:f>IF($E$42=0,1-MIN(C79,$E$43)/$E$43,((1+$E$42)^$E$43-(1+$E$42)^MIN(C79,$E$43))/((1+$E$42)^$E$43-1))</x:f>
        <x:v>0</x:v>
      </x:c>
      <x:c r="I79" s="30" t="n">
        <x:f>MAX(0,1-D79-J79)</x:f>
        <x:v>0</x:v>
      </x:c>
      <x:c r="J79" s="2" t="n">
        <x:f>(1-$E$40)*INDEX('Assumptions'!$H$65:$H$101,MIN(C79,36)+1)</x:f>
        <x:v>0.8</x:v>
      </x:c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</x:row>
    <x:row r="80" ht="19" customHeight="1">
      <x:c r="A80" s="1"/>
      <x:c r="B80" s="1"/>
      <x:c r="C80" s="2" t="n">
        <x:v>29</x:v>
      </x:c>
      <x:c r="D80" s="30" t="n">
        <x:f>$E$40*INDEX('Assumptions'!$E$65:$E$101,MIN(C80,36)+1)</x:f>
        <x:v>0.2</x:v>
      </x:c>
      <x:c r="E80" s="30" t="n">
        <x:f>(D80-D79)*H79</x:f>
        <x:v>0</x:v>
      </x:c>
      <x:c r="F80" s="30" t="n">
        <x:f>(1-D80-J79)*(H79-H80)+(J80-J79)*H80</x:f>
        <x:v>0</x:v>
      </x:c>
      <x:c r="G80" s="30" t="n">
        <x:f>SUM(E81:E147)</x:f>
        <x:v>0</x:v>
      </x:c>
      <x:c r="H80" s="30" t="n">
        <x:f>IF($E$42=0,1-MIN(C80,$E$43)/$E$43,((1+$E$42)^$E$43-(1+$E$42)^MIN(C80,$E$43))/((1+$E$42)^$E$43-1))</x:f>
        <x:v>0</x:v>
      </x:c>
      <x:c r="I80" s="30" t="n">
        <x:f>MAX(0,1-D80-J80)</x:f>
        <x:v>0</x:v>
      </x:c>
      <x:c r="J80" s="2" t="n">
        <x:f>(1-$E$40)*INDEX('Assumptions'!$H$65:$H$101,MIN(C80,36)+1)</x:f>
        <x:v>0.8</x:v>
      </x:c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</x:row>
    <x:row r="81" ht="19" customHeight="1">
      <x:c r="A81" s="1"/>
      <x:c r="B81" s="1"/>
      <x:c r="C81" s="2" t="n">
        <x:v>30</x:v>
      </x:c>
      <x:c r="D81" s="30" t="n">
        <x:f>$E$40*INDEX('Assumptions'!$E$65:$E$101,MIN(C81,36)+1)</x:f>
        <x:v>0.2</x:v>
      </x:c>
      <x:c r="E81" s="30" t="n">
        <x:f>(D81-D80)*H80</x:f>
        <x:v>0</x:v>
      </x:c>
      <x:c r="F81" s="30" t="n">
        <x:f>(1-D81-J80)*(H80-H81)+(J81-J80)*H81</x:f>
        <x:v>0</x:v>
      </x:c>
      <x:c r="G81" s="30" t="n">
        <x:f>SUM(E82:E147)</x:f>
        <x:v>0</x:v>
      </x:c>
      <x:c r="H81" s="30" t="n">
        <x:f>IF($E$42=0,1-MIN(C81,$E$43)/$E$43,((1+$E$42)^$E$43-(1+$E$42)^MIN(C81,$E$43))/((1+$E$42)^$E$43-1))</x:f>
        <x:v>0</x:v>
      </x:c>
      <x:c r="I81" s="30" t="n">
        <x:f>MAX(0,1-D81-J81)</x:f>
        <x:v>0</x:v>
      </x:c>
      <x:c r="J81" s="2" t="n">
        <x:f>(1-$E$40)*INDEX('Assumptions'!$H$65:$H$101,MIN(C81,36)+1)</x:f>
        <x:v>0.8</x:v>
      </x:c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</x:row>
    <x:row r="82" ht="19" customHeight="1">
      <x:c r="A82" s="1"/>
      <x:c r="B82" s="1"/>
      <x:c r="C82" s="2" t="n">
        <x:v>31</x:v>
      </x:c>
      <x:c r="D82" s="30" t="n">
        <x:f>$E$40*INDEX('Assumptions'!$E$65:$E$101,MIN(C82,36)+1)</x:f>
        <x:v>0.2</x:v>
      </x:c>
      <x:c r="E82" s="30" t="n">
        <x:f>(D82-D81)*H81</x:f>
        <x:v>0</x:v>
      </x:c>
      <x:c r="F82" s="30" t="n">
        <x:f>(1-D82-J81)*(H81-H82)+(J82-J81)*H82</x:f>
        <x:v>0</x:v>
      </x:c>
      <x:c r="G82" s="30" t="n">
        <x:f>SUM(E83:E147)</x:f>
        <x:v>0</x:v>
      </x:c>
      <x:c r="H82" s="30" t="n">
        <x:f>IF($E$42=0,1-MIN(C82,$E$43)/$E$43,((1+$E$42)^$E$43-(1+$E$42)^MIN(C82,$E$43))/((1+$E$42)^$E$43-1))</x:f>
        <x:v>0</x:v>
      </x:c>
      <x:c r="I82" s="30" t="n">
        <x:f>MAX(0,1-D82-J82)</x:f>
        <x:v>0</x:v>
      </x:c>
      <x:c r="J82" s="2" t="n">
        <x:f>(1-$E$40)*INDEX('Assumptions'!$H$65:$H$101,MIN(C82,36)+1)</x:f>
        <x:v>0.8</x:v>
      </x:c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</x:row>
    <x:row r="83" ht="19" customHeight="1">
      <x:c r="A83" s="1"/>
      <x:c r="B83" s="1"/>
      <x:c r="C83" s="2" t="n">
        <x:v>32</x:v>
      </x:c>
      <x:c r="D83" s="30" t="n">
        <x:f>$E$40*INDEX('Assumptions'!$E$65:$E$101,MIN(C83,36)+1)</x:f>
        <x:v>0.2</x:v>
      </x:c>
      <x:c r="E83" s="30" t="n">
        <x:f>(D83-D82)*H82</x:f>
        <x:v>0</x:v>
      </x:c>
      <x:c r="F83" s="30" t="n">
        <x:f>(1-D83-J82)*(H82-H83)+(J83-J82)*H83</x:f>
        <x:v>0</x:v>
      </x:c>
      <x:c r="G83" s="30" t="n">
        <x:f>SUM(E84:E147)</x:f>
        <x:v>0</x:v>
      </x:c>
      <x:c r="H83" s="30" t="n">
        <x:f>IF($E$42=0,1-MIN(C83,$E$43)/$E$43,((1+$E$42)^$E$43-(1+$E$42)^MIN(C83,$E$43))/((1+$E$42)^$E$43-1))</x:f>
        <x:v>0</x:v>
      </x:c>
      <x:c r="I83" s="30" t="n">
        <x:f>MAX(0,1-D83-J83)</x:f>
        <x:v>0</x:v>
      </x:c>
      <x:c r="J83" s="2" t="n">
        <x:f>(1-$E$40)*INDEX('Assumptions'!$H$65:$H$101,MIN(C83,36)+1)</x:f>
        <x:v>0.8</x:v>
      </x:c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</x:row>
    <x:row r="84" ht="19" customHeight="1">
      <x:c r="A84" s="1"/>
      <x:c r="B84" s="1"/>
      <x:c r="C84" s="2" t="n">
        <x:v>33</x:v>
      </x:c>
      <x:c r="D84" s="30" t="n">
        <x:f>$E$40*INDEX('Assumptions'!$E$65:$E$101,MIN(C84,36)+1)</x:f>
        <x:v>0.2</x:v>
      </x:c>
      <x:c r="E84" s="30" t="n">
        <x:f>(D84-D83)*H83</x:f>
        <x:v>0</x:v>
      </x:c>
      <x:c r="F84" s="30" t="n">
        <x:f>(1-D84-J83)*(H83-H84)+(J84-J83)*H84</x:f>
        <x:v>0</x:v>
      </x:c>
      <x:c r="G84" s="30" t="n">
        <x:f>SUM(E85:E147)</x:f>
        <x:v>0</x:v>
      </x:c>
      <x:c r="H84" s="30" t="n">
        <x:f>IF($E$42=0,1-MIN(C84,$E$43)/$E$43,((1+$E$42)^$E$43-(1+$E$42)^MIN(C84,$E$43))/((1+$E$42)^$E$43-1))</x:f>
        <x:v>0</x:v>
      </x:c>
      <x:c r="I84" s="30" t="n">
        <x:f>MAX(0,1-D84-J84)</x:f>
        <x:v>0</x:v>
      </x:c>
      <x:c r="J84" s="2" t="n">
        <x:f>(1-$E$40)*INDEX('Assumptions'!$H$65:$H$101,MIN(C84,36)+1)</x:f>
        <x:v>0.8</x:v>
      </x:c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</x:row>
    <x:row r="85" ht="19" customHeight="1">
      <x:c r="A85" s="1"/>
      <x:c r="B85" s="1"/>
      <x:c r="C85" s="2" t="n">
        <x:v>34</x:v>
      </x:c>
      <x:c r="D85" s="30" t="n">
        <x:f>$E$40*INDEX('Assumptions'!$E$65:$E$101,MIN(C85,36)+1)</x:f>
        <x:v>0.2</x:v>
      </x:c>
      <x:c r="E85" s="30" t="n">
        <x:f>(D85-D84)*H84</x:f>
        <x:v>0</x:v>
      </x:c>
      <x:c r="F85" s="30" t="n">
        <x:f>(1-D85-J84)*(H84-H85)+(J85-J84)*H85</x:f>
        <x:v>0</x:v>
      </x:c>
      <x:c r="G85" s="30" t="n">
        <x:f>SUM(E86:E147)</x:f>
        <x:v>0</x:v>
      </x:c>
      <x:c r="H85" s="30" t="n">
        <x:f>IF($E$42=0,1-MIN(C85,$E$43)/$E$43,((1+$E$42)^$E$43-(1+$E$42)^MIN(C85,$E$43))/((1+$E$42)^$E$43-1))</x:f>
        <x:v>0</x:v>
      </x:c>
      <x:c r="I85" s="30" t="n">
        <x:f>MAX(0,1-D85-J85)</x:f>
        <x:v>0</x:v>
      </x:c>
      <x:c r="J85" s="2" t="n">
        <x:f>(1-$E$40)*INDEX('Assumptions'!$H$65:$H$101,MIN(C85,36)+1)</x:f>
        <x:v>0.8</x:v>
      </x:c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</x:row>
    <x:row r="86" ht="19" customHeight="1">
      <x:c r="A86" s="1"/>
      <x:c r="B86" s="1"/>
      <x:c r="C86" s="2" t="n">
        <x:v>35</x:v>
      </x:c>
      <x:c r="D86" s="30" t="n">
        <x:f>$E$40*INDEX('Assumptions'!$E$65:$E$101,MIN(C86,36)+1)</x:f>
        <x:v>0.2</x:v>
      </x:c>
      <x:c r="E86" s="30" t="n">
        <x:f>(D86-D85)*H85</x:f>
        <x:v>0</x:v>
      </x:c>
      <x:c r="F86" s="30" t="n">
        <x:f>(1-D86-J85)*(H85-H86)+(J86-J85)*H86</x:f>
        <x:v>0</x:v>
      </x:c>
      <x:c r="G86" s="30" t="n">
        <x:f>SUM(E87:E147)</x:f>
        <x:v>0</x:v>
      </x:c>
      <x:c r="H86" s="30" t="n">
        <x:f>IF($E$42=0,1-MIN(C86,$E$43)/$E$43,((1+$E$42)^$E$43-(1+$E$42)^MIN(C86,$E$43))/((1+$E$42)^$E$43-1))</x:f>
        <x:v>0</x:v>
      </x:c>
      <x:c r="I86" s="30" t="n">
        <x:f>MAX(0,1-D86-J86)</x:f>
        <x:v>0</x:v>
      </x:c>
      <x:c r="J86" s="2" t="n">
        <x:f>(1-$E$40)*INDEX('Assumptions'!$H$65:$H$101,MIN(C86,36)+1)</x:f>
        <x:v>0.8</x:v>
      </x:c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</x:row>
    <x:row r="87" ht="19" customHeight="1">
      <x:c r="A87" s="1"/>
      <x:c r="B87" s="1"/>
      <x:c r="C87" s="2" t="n">
        <x:v>36</x:v>
      </x:c>
      <x:c r="D87" s="30" t="n">
        <x:f>$E$40*INDEX('Assumptions'!$E$65:$E$101,MIN(C87,36)+1)</x:f>
        <x:v>0.2</x:v>
      </x:c>
      <x:c r="E87" s="30" t="n">
        <x:f>(D87-D86)*H86</x:f>
        <x:v>0</x:v>
      </x:c>
      <x:c r="F87" s="30" t="n">
        <x:f>(1-D87-J86)*(H86-H87)+(J87-J86)*H87</x:f>
        <x:v>0</x:v>
      </x:c>
      <x:c r="G87" s="30" t="n">
        <x:f>SUM(E88:E147)</x:f>
        <x:v>0</x:v>
      </x:c>
      <x:c r="H87" s="30" t="n">
        <x:f>IF($E$42=0,1-MIN(C87,$E$43)/$E$43,((1+$E$42)^$E$43-(1+$E$42)^MIN(C87,$E$43))/((1+$E$42)^$E$43-1))</x:f>
        <x:v>0</x:v>
      </x:c>
      <x:c r="I87" s="30" t="n">
        <x:f>MAX(0,1-D87-J87)</x:f>
        <x:v>0</x:v>
      </x:c>
      <x:c r="J87" s="2" t="n">
        <x:f>(1-$E$40)*INDEX('Assumptions'!$H$65:$H$101,MIN(C87,36)+1)</x:f>
        <x:v>0.8</x:v>
      </x:c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</x:row>
    <x:row r="88" ht="19" customHeight="1">
      <x:c r="A88" s="1"/>
      <x:c r="B88" s="1"/>
      <x:c r="C88" s="2" t="n">
        <x:v>37</x:v>
      </x:c>
      <x:c r="D88" s="30" t="n">
        <x:f>$E$40*INDEX('Assumptions'!$E$65:$E$101,MIN(C88,36)+1)</x:f>
        <x:v>0.2</x:v>
      </x:c>
      <x:c r="E88" s="30" t="n">
        <x:f>(D88-D87)*H87</x:f>
        <x:v>0</x:v>
      </x:c>
      <x:c r="F88" s="30" t="n">
        <x:f>(1-D88-J87)*(H87-H88)+(J88-J87)*H88</x:f>
        <x:v>0</x:v>
      </x:c>
      <x:c r="G88" s="30" t="n">
        <x:f>SUM(E89:E147)</x:f>
        <x:v>0</x:v>
      </x:c>
      <x:c r="H88" s="30" t="n">
        <x:f>IF($E$42=0,1-MIN(C88,$E$43)/$E$43,((1+$E$42)^$E$43-(1+$E$42)^MIN(C88,$E$43))/((1+$E$42)^$E$43-1))</x:f>
        <x:v>0</x:v>
      </x:c>
      <x:c r="I88" s="30" t="n">
        <x:f>MAX(0,1-D88-J88)</x:f>
        <x:v>0</x:v>
      </x:c>
      <x:c r="J88" s="2" t="n">
        <x:f>(1-$E$40)*INDEX('Assumptions'!$H$65:$H$101,MIN(C88,36)+1)</x:f>
        <x:v>0.8</x:v>
      </x:c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</x:row>
    <x:row r="89" ht="19" customHeight="1">
      <x:c r="A89" s="1"/>
      <x:c r="B89" s="1"/>
      <x:c r="C89" s="2" t="n">
        <x:v>38</x:v>
      </x:c>
      <x:c r="D89" s="30" t="n">
        <x:f>$E$40*INDEX('Assumptions'!$E$65:$E$101,MIN(C89,36)+1)</x:f>
        <x:v>0.2</x:v>
      </x:c>
      <x:c r="E89" s="30" t="n">
        <x:f>(D89-D88)*H88</x:f>
        <x:v>0</x:v>
      </x:c>
      <x:c r="F89" s="30" t="n">
        <x:f>(1-D89-J88)*(H88-H89)+(J89-J88)*H89</x:f>
        <x:v>0</x:v>
      </x:c>
      <x:c r="G89" s="30" t="n">
        <x:f>SUM(E90:E147)</x:f>
        <x:v>0</x:v>
      </x:c>
      <x:c r="H89" s="30" t="n">
        <x:f>IF($E$42=0,1-MIN(C89,$E$43)/$E$43,((1+$E$42)^$E$43-(1+$E$42)^MIN(C89,$E$43))/((1+$E$42)^$E$43-1))</x:f>
        <x:v>0</x:v>
      </x:c>
      <x:c r="I89" s="30" t="n">
        <x:f>MAX(0,1-D89-J89)</x:f>
        <x:v>0</x:v>
      </x:c>
      <x:c r="J89" s="2" t="n">
        <x:f>(1-$E$40)*INDEX('Assumptions'!$H$65:$H$101,MIN(C89,36)+1)</x:f>
        <x:v>0.8</x:v>
      </x:c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</x:row>
    <x:row r="90" ht="19" customHeight="1">
      <x:c r="A90" s="1"/>
      <x:c r="B90" s="1"/>
      <x:c r="C90" s="2" t="n">
        <x:v>39</x:v>
      </x:c>
      <x:c r="D90" s="30" t="n">
        <x:f>$E$40*INDEX('Assumptions'!$E$65:$E$101,MIN(C90,36)+1)</x:f>
        <x:v>0.2</x:v>
      </x:c>
      <x:c r="E90" s="30" t="n">
        <x:f>(D90-D89)*H89</x:f>
        <x:v>0</x:v>
      </x:c>
      <x:c r="F90" s="30" t="n">
        <x:f>(1-D90-J89)*(H89-H90)+(J90-J89)*H90</x:f>
        <x:v>0</x:v>
      </x:c>
      <x:c r="G90" s="30" t="n">
        <x:f>SUM(E91:E147)</x:f>
        <x:v>0</x:v>
      </x:c>
      <x:c r="H90" s="30" t="n">
        <x:f>IF($E$42=0,1-MIN(C90,$E$43)/$E$43,((1+$E$42)^$E$43-(1+$E$42)^MIN(C90,$E$43))/((1+$E$42)^$E$43-1))</x:f>
        <x:v>0</x:v>
      </x:c>
      <x:c r="I90" s="30" t="n">
        <x:f>MAX(0,1-D90-J90)</x:f>
        <x:v>0</x:v>
      </x:c>
      <x:c r="J90" s="2" t="n">
        <x:f>(1-$E$40)*INDEX('Assumptions'!$H$65:$H$101,MIN(C90,36)+1)</x:f>
        <x:v>0.8</x:v>
      </x:c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</x:row>
    <x:row r="91" ht="19" customHeight="1">
      <x:c r="A91" s="1"/>
      <x:c r="B91" s="1"/>
      <x:c r="C91" s="2" t="n">
        <x:v>40</x:v>
      </x:c>
      <x:c r="D91" s="30" t="n">
        <x:f>$E$40*INDEX('Assumptions'!$E$65:$E$101,MIN(C91,36)+1)</x:f>
        <x:v>0.2</x:v>
      </x:c>
      <x:c r="E91" s="30" t="n">
        <x:f>(D91-D90)*H90</x:f>
        <x:v>0</x:v>
      </x:c>
      <x:c r="F91" s="30" t="n">
        <x:f>(1-D91-J90)*(H90-H91)+(J91-J90)*H91</x:f>
        <x:v>0</x:v>
      </x:c>
      <x:c r="G91" s="30" t="n">
        <x:f>SUM(E92:E147)</x:f>
        <x:v>0</x:v>
      </x:c>
      <x:c r="H91" s="30" t="n">
        <x:f>IF($E$42=0,1-MIN(C91,$E$43)/$E$43,((1+$E$42)^$E$43-(1+$E$42)^MIN(C91,$E$43))/((1+$E$42)^$E$43-1))</x:f>
        <x:v>0</x:v>
      </x:c>
      <x:c r="I91" s="30" t="n">
        <x:f>MAX(0,1-D91-J91)</x:f>
        <x:v>0</x:v>
      </x:c>
      <x:c r="J91" s="2" t="n">
        <x:f>(1-$E$40)*INDEX('Assumptions'!$H$65:$H$101,MIN(C91,36)+1)</x:f>
        <x:v>0.8</x:v>
      </x:c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</x:row>
    <x:row r="92" ht="19" customHeight="1">
      <x:c r="A92" s="1"/>
      <x:c r="B92" s="1"/>
      <x:c r="C92" s="2" t="n">
        <x:v>41</x:v>
      </x:c>
      <x:c r="D92" s="30" t="n">
        <x:f>$E$40*INDEX('Assumptions'!$E$65:$E$101,MIN(C92,36)+1)</x:f>
        <x:v>0.2</x:v>
      </x:c>
      <x:c r="E92" s="30" t="n">
        <x:f>(D92-D91)*H91</x:f>
        <x:v>0</x:v>
      </x:c>
      <x:c r="F92" s="30" t="n">
        <x:f>(1-D92-J91)*(H91-H92)+(J92-J91)*H92</x:f>
        <x:v>0</x:v>
      </x:c>
      <x:c r="G92" s="30" t="n">
        <x:f>SUM(E93:E147)</x:f>
        <x:v>0</x:v>
      </x:c>
      <x:c r="H92" s="30" t="n">
        <x:f>IF($E$42=0,1-MIN(C92,$E$43)/$E$43,((1+$E$42)^$E$43-(1+$E$42)^MIN(C92,$E$43))/((1+$E$42)^$E$43-1))</x:f>
        <x:v>0</x:v>
      </x:c>
      <x:c r="I92" s="30" t="n">
        <x:f>MAX(0,1-D92-J92)</x:f>
        <x:v>0</x:v>
      </x:c>
      <x:c r="J92" s="2" t="n">
        <x:f>(1-$E$40)*INDEX('Assumptions'!$H$65:$H$101,MIN(C92,36)+1)</x:f>
        <x:v>0.8</x:v>
      </x:c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</x:row>
    <x:row r="93" ht="19" customHeight="1">
      <x:c r="A93" s="1"/>
      <x:c r="B93" s="1"/>
      <x:c r="C93" s="2" t="n">
        <x:v>42</x:v>
      </x:c>
      <x:c r="D93" s="30" t="n">
        <x:f>$E$40*INDEX('Assumptions'!$E$65:$E$101,MIN(C93,36)+1)</x:f>
        <x:v>0.2</x:v>
      </x:c>
      <x:c r="E93" s="30" t="n">
        <x:f>(D93-D92)*H92</x:f>
        <x:v>0</x:v>
      </x:c>
      <x:c r="F93" s="30" t="n">
        <x:f>(1-D93-J92)*(H92-H93)+(J93-J92)*H93</x:f>
        <x:v>0</x:v>
      </x:c>
      <x:c r="G93" s="30" t="n">
        <x:f>SUM(E94:E147)</x:f>
        <x:v>0</x:v>
      </x:c>
      <x:c r="H93" s="30" t="n">
        <x:f>IF($E$42=0,1-MIN(C93,$E$43)/$E$43,((1+$E$42)^$E$43-(1+$E$42)^MIN(C93,$E$43))/((1+$E$42)^$E$43-1))</x:f>
        <x:v>0</x:v>
      </x:c>
      <x:c r="I93" s="30" t="n">
        <x:f>MAX(0,1-D93-J93)</x:f>
        <x:v>0</x:v>
      </x:c>
      <x:c r="J93" s="2" t="n">
        <x:f>(1-$E$40)*INDEX('Assumptions'!$H$65:$H$101,MIN(C93,36)+1)</x:f>
        <x:v>0.8</x:v>
      </x:c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</x:row>
    <x:row r="94" ht="19" customHeight="1">
      <x:c r="A94" s="1"/>
      <x:c r="B94" s="1"/>
      <x:c r="C94" s="2" t="n">
        <x:v>43</x:v>
      </x:c>
      <x:c r="D94" s="30" t="n">
        <x:f>$E$40*INDEX('Assumptions'!$E$65:$E$101,MIN(C94,36)+1)</x:f>
        <x:v>0.2</x:v>
      </x:c>
      <x:c r="E94" s="30" t="n">
        <x:f>(D94-D93)*H93</x:f>
        <x:v>0</x:v>
      </x:c>
      <x:c r="F94" s="30" t="n">
        <x:f>(1-D94-J93)*(H93-H94)+(J94-J93)*H94</x:f>
        <x:v>0</x:v>
      </x:c>
      <x:c r="G94" s="30" t="n">
        <x:f>SUM(E95:E147)</x:f>
        <x:v>0</x:v>
      </x:c>
      <x:c r="H94" s="30" t="n">
        <x:f>IF($E$42=0,1-MIN(C94,$E$43)/$E$43,((1+$E$42)^$E$43-(1+$E$42)^MIN(C94,$E$43))/((1+$E$42)^$E$43-1))</x:f>
        <x:v>0</x:v>
      </x:c>
      <x:c r="I94" s="30" t="n">
        <x:f>MAX(0,1-D94-J94)</x:f>
        <x:v>0</x:v>
      </x:c>
      <x:c r="J94" s="2" t="n">
        <x:f>(1-$E$40)*INDEX('Assumptions'!$H$65:$H$101,MIN(C94,36)+1)</x:f>
        <x:v>0.8</x:v>
      </x:c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</x:row>
    <x:row r="95" ht="19" customHeight="1">
      <x:c r="A95" s="1"/>
      <x:c r="B95" s="1"/>
      <x:c r="C95" s="2" t="n">
        <x:v>44</x:v>
      </x:c>
      <x:c r="D95" s="30" t="n">
        <x:f>$E$40*INDEX('Assumptions'!$E$65:$E$101,MIN(C95,36)+1)</x:f>
        <x:v>0.2</x:v>
      </x:c>
      <x:c r="E95" s="30" t="n">
        <x:f>(D95-D94)*H94</x:f>
        <x:v>0</x:v>
      </x:c>
      <x:c r="F95" s="30" t="n">
        <x:f>(1-D95-J94)*(H94-H95)+(J95-J94)*H95</x:f>
        <x:v>0</x:v>
      </x:c>
      <x:c r="G95" s="30" t="n">
        <x:f>SUM(E96:E147)</x:f>
        <x:v>0</x:v>
      </x:c>
      <x:c r="H95" s="30" t="n">
        <x:f>IF($E$42=0,1-MIN(C95,$E$43)/$E$43,((1+$E$42)^$E$43-(1+$E$42)^MIN(C95,$E$43))/((1+$E$42)^$E$43-1))</x:f>
        <x:v>0</x:v>
      </x:c>
      <x:c r="I95" s="30" t="n">
        <x:f>MAX(0,1-D95-J95)</x:f>
        <x:v>0</x:v>
      </x:c>
      <x:c r="J95" s="2" t="n">
        <x:f>(1-$E$40)*INDEX('Assumptions'!$H$65:$H$101,MIN(C95,36)+1)</x:f>
        <x:v>0.8</x:v>
      </x:c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</x:row>
    <x:row r="96" ht="19" customHeight="1">
      <x:c r="A96" s="1"/>
      <x:c r="B96" s="1"/>
      <x:c r="C96" s="2" t="n">
        <x:v>45</x:v>
      </x:c>
      <x:c r="D96" s="30" t="n">
        <x:f>$E$40*INDEX('Assumptions'!$E$65:$E$101,MIN(C96,36)+1)</x:f>
        <x:v>0.2</x:v>
      </x:c>
      <x:c r="E96" s="30" t="n">
        <x:f>(D96-D95)*H95</x:f>
        <x:v>0</x:v>
      </x:c>
      <x:c r="F96" s="30" t="n">
        <x:f>(1-D96-J95)*(H95-H96)+(J96-J95)*H96</x:f>
        <x:v>0</x:v>
      </x:c>
      <x:c r="G96" s="30" t="n">
        <x:f>SUM(E97:E147)</x:f>
        <x:v>0</x:v>
      </x:c>
      <x:c r="H96" s="30" t="n">
        <x:f>IF($E$42=0,1-MIN(C96,$E$43)/$E$43,((1+$E$42)^$E$43-(1+$E$42)^MIN(C96,$E$43))/((1+$E$42)^$E$43-1))</x:f>
        <x:v>0</x:v>
      </x:c>
      <x:c r="I96" s="30" t="n">
        <x:f>MAX(0,1-D96-J96)</x:f>
        <x:v>0</x:v>
      </x:c>
      <x:c r="J96" s="2" t="n">
        <x:f>(1-$E$40)*INDEX('Assumptions'!$H$65:$H$101,MIN(C96,36)+1)</x:f>
        <x:v>0.8</x:v>
      </x:c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</x:row>
    <x:row r="97" ht="19" customHeight="1">
      <x:c r="A97" s="1"/>
      <x:c r="B97" s="1"/>
      <x:c r="C97" s="2" t="n">
        <x:v>46</x:v>
      </x:c>
      <x:c r="D97" s="30" t="n">
        <x:f>$E$40*INDEX('Assumptions'!$E$65:$E$101,MIN(C97,36)+1)</x:f>
        <x:v>0.2</x:v>
      </x:c>
      <x:c r="E97" s="30" t="n">
        <x:f>(D97-D96)*H96</x:f>
        <x:v>0</x:v>
      </x:c>
      <x:c r="F97" s="30" t="n">
        <x:f>(1-D97-J96)*(H96-H97)+(J97-J96)*H97</x:f>
        <x:v>0</x:v>
      </x:c>
      <x:c r="G97" s="30" t="n">
        <x:f>SUM(E98:E147)</x:f>
        <x:v>0</x:v>
      </x:c>
      <x:c r="H97" s="30" t="n">
        <x:f>IF($E$42=0,1-MIN(C97,$E$43)/$E$43,((1+$E$42)^$E$43-(1+$E$42)^MIN(C97,$E$43))/((1+$E$42)^$E$43-1))</x:f>
        <x:v>0</x:v>
      </x:c>
      <x:c r="I97" s="30" t="n">
        <x:f>MAX(0,1-D97-J97)</x:f>
        <x:v>0</x:v>
      </x:c>
      <x:c r="J97" s="2" t="n">
        <x:f>(1-$E$40)*INDEX('Assumptions'!$H$65:$H$101,MIN(C97,36)+1)</x:f>
        <x:v>0.8</x:v>
      </x:c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</x:row>
    <x:row r="98" ht="19" customHeight="1">
      <x:c r="A98" s="1"/>
      <x:c r="B98" s="1"/>
      <x:c r="C98" s="2" t="n">
        <x:v>47</x:v>
      </x:c>
      <x:c r="D98" s="30" t="n">
        <x:f>$E$40*INDEX('Assumptions'!$E$65:$E$101,MIN(C98,36)+1)</x:f>
        <x:v>0.2</x:v>
      </x:c>
      <x:c r="E98" s="30" t="n">
        <x:f>(D98-D97)*H97</x:f>
        <x:v>0</x:v>
      </x:c>
      <x:c r="F98" s="30" t="n">
        <x:f>(1-D98-J97)*(H97-H98)+(J98-J97)*H98</x:f>
        <x:v>0</x:v>
      </x:c>
      <x:c r="G98" s="30" t="n">
        <x:f>SUM(E99:E147)</x:f>
        <x:v>0</x:v>
      </x:c>
      <x:c r="H98" s="30" t="n">
        <x:f>IF($E$42=0,1-MIN(C98,$E$43)/$E$43,((1+$E$42)^$E$43-(1+$E$42)^MIN(C98,$E$43))/((1+$E$42)^$E$43-1))</x:f>
        <x:v>0</x:v>
      </x:c>
      <x:c r="I98" s="30" t="n">
        <x:f>MAX(0,1-D98-J98)</x:f>
        <x:v>0</x:v>
      </x:c>
      <x:c r="J98" s="2" t="n">
        <x:f>(1-$E$40)*INDEX('Assumptions'!$H$65:$H$101,MIN(C98,36)+1)</x:f>
        <x:v>0.8</x:v>
      </x:c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</x:row>
    <x:row r="99" ht="19" customHeight="1">
      <x:c r="A99" s="1"/>
      <x:c r="B99" s="1"/>
      <x:c r="C99" s="2" t="n">
        <x:v>48</x:v>
      </x:c>
      <x:c r="D99" s="30" t="n">
        <x:f>$E$40*INDEX('Assumptions'!$E$65:$E$101,MIN(C99,36)+1)</x:f>
        <x:v>0.2</x:v>
      </x:c>
      <x:c r="E99" s="30" t="n">
        <x:f>(D99-D98)*H98</x:f>
        <x:v>0</x:v>
      </x:c>
      <x:c r="F99" s="30" t="n">
        <x:f>(1-D99-J98)*(H98-H99)+(J99-J98)*H99</x:f>
        <x:v>0</x:v>
      </x:c>
      <x:c r="G99" s="30" t="n">
        <x:f>SUM(E100:E147)</x:f>
        <x:v>0</x:v>
      </x:c>
      <x:c r="H99" s="30" t="n">
        <x:f>IF($E$42=0,1-MIN(C99,$E$43)/$E$43,((1+$E$42)^$E$43-(1+$E$42)^MIN(C99,$E$43))/((1+$E$42)^$E$43-1))</x:f>
        <x:v>0</x:v>
      </x:c>
      <x:c r="I99" s="30" t="n">
        <x:f>MAX(0,1-D99-J99)</x:f>
        <x:v>0</x:v>
      </x:c>
      <x:c r="J99" s="2" t="n">
        <x:f>(1-$E$40)*INDEX('Assumptions'!$H$65:$H$101,MIN(C99,36)+1)</x:f>
        <x:v>0.8</x:v>
      </x:c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</x:row>
    <x:row r="100" ht="19" customHeight="1">
      <x:c r="A100" s="1"/>
      <x:c r="B100" s="1"/>
      <x:c r="C100" s="2" t="n">
        <x:v>49</x:v>
      </x:c>
      <x:c r="D100" s="30" t="n">
        <x:f>$E$40*INDEX('Assumptions'!$E$65:$E$101,MIN(C100,36)+1)</x:f>
        <x:v>0.2</x:v>
      </x:c>
      <x:c r="E100" s="30" t="n">
        <x:f>(D100-D99)*H99</x:f>
        <x:v>0</x:v>
      </x:c>
      <x:c r="F100" s="30" t="n">
        <x:f>(1-D100-J99)*(H99-H100)+(J100-J99)*H100</x:f>
        <x:v>0</x:v>
      </x:c>
      <x:c r="G100" s="30" t="n">
        <x:f>SUM(E101:E147)</x:f>
        <x:v>0</x:v>
      </x:c>
      <x:c r="H100" s="30" t="n">
        <x:f>IF($E$42=0,1-MIN(C100,$E$43)/$E$43,((1+$E$42)^$E$43-(1+$E$42)^MIN(C100,$E$43))/((1+$E$42)^$E$43-1))</x:f>
        <x:v>0</x:v>
      </x:c>
      <x:c r="I100" s="30" t="n">
        <x:f>MAX(0,1-D100-J100)</x:f>
        <x:v>0</x:v>
      </x:c>
      <x:c r="J100" s="2" t="n">
        <x:f>(1-$E$40)*INDEX('Assumptions'!$H$65:$H$101,MIN(C100,36)+1)</x:f>
        <x:v>0.8</x:v>
      </x:c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</x:row>
    <x:row r="101" ht="19" customHeight="1">
      <x:c r="A101" s="1"/>
      <x:c r="B101" s="1"/>
      <x:c r="C101" s="2" t="n">
        <x:v>50</x:v>
      </x:c>
      <x:c r="D101" s="30" t="n">
        <x:f>$E$40*INDEX('Assumptions'!$E$65:$E$101,MIN(C101,36)+1)</x:f>
        <x:v>0.2</x:v>
      </x:c>
      <x:c r="E101" s="30" t="n">
        <x:f>(D101-D100)*H100</x:f>
        <x:v>0</x:v>
      </x:c>
      <x:c r="F101" s="30" t="n">
        <x:f>(1-D101-J100)*(H100-H101)+(J101-J100)*H101</x:f>
        <x:v>0</x:v>
      </x:c>
      <x:c r="G101" s="30" t="n">
        <x:f>SUM(E102:E147)</x:f>
        <x:v>0</x:v>
      </x:c>
      <x:c r="H101" s="30" t="n">
        <x:f>IF($E$42=0,1-MIN(C101,$E$43)/$E$43,((1+$E$42)^$E$43-(1+$E$42)^MIN(C101,$E$43))/((1+$E$42)^$E$43-1))</x:f>
        <x:v>0</x:v>
      </x:c>
      <x:c r="I101" s="30" t="n">
        <x:f>MAX(0,1-D101-J101)</x:f>
        <x:v>0</x:v>
      </x:c>
      <x:c r="J101" s="2" t="n">
        <x:f>(1-$E$40)*INDEX('Assumptions'!$H$65:$H$101,MIN(C101,36)+1)</x:f>
        <x:v>0.8</x:v>
      </x:c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</x:row>
    <x:row r="102" ht="19" customHeight="1">
      <x:c r="A102" s="1"/>
      <x:c r="B102" s="1"/>
      <x:c r="C102" s="2" t="n">
        <x:v>51</x:v>
      </x:c>
      <x:c r="D102" s="30" t="n">
        <x:f>$E$40*INDEX('Assumptions'!$E$65:$E$101,MIN(C102,36)+1)</x:f>
        <x:v>0.2</x:v>
      </x:c>
      <x:c r="E102" s="30" t="n">
        <x:f>(D102-D101)*H101</x:f>
        <x:v>0</x:v>
      </x:c>
      <x:c r="F102" s="30" t="n">
        <x:f>(1-D102-J101)*(H101-H102)+(J102-J101)*H102</x:f>
        <x:v>0</x:v>
      </x:c>
      <x:c r="G102" s="30" t="n">
        <x:f>SUM(E103:E147)</x:f>
        <x:v>0</x:v>
      </x:c>
      <x:c r="H102" s="30" t="n">
        <x:f>IF($E$42=0,1-MIN(C102,$E$43)/$E$43,((1+$E$42)^$E$43-(1+$E$42)^MIN(C102,$E$43))/((1+$E$42)^$E$43-1))</x:f>
        <x:v>0</x:v>
      </x:c>
      <x:c r="I102" s="30" t="n">
        <x:f>MAX(0,1-D102-J102)</x:f>
        <x:v>0</x:v>
      </x:c>
      <x:c r="J102" s="2" t="n">
        <x:f>(1-$E$40)*INDEX('Assumptions'!$H$65:$H$101,MIN(C102,36)+1)</x:f>
        <x:v>0.8</x:v>
      </x:c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</x:row>
    <x:row r="103" ht="19" customHeight="1">
      <x:c r="A103" s="1"/>
      <x:c r="B103" s="1"/>
      <x:c r="C103" s="2" t="n">
        <x:v>52</x:v>
      </x:c>
      <x:c r="D103" s="30" t="n">
        <x:f>$E$40*INDEX('Assumptions'!$E$65:$E$101,MIN(C103,36)+1)</x:f>
        <x:v>0.2</x:v>
      </x:c>
      <x:c r="E103" s="30" t="n">
        <x:f>(D103-D102)*H102</x:f>
        <x:v>0</x:v>
      </x:c>
      <x:c r="F103" s="30" t="n">
        <x:f>(1-D103-J102)*(H102-H103)+(J103-J102)*H103</x:f>
        <x:v>0</x:v>
      </x:c>
      <x:c r="G103" s="30" t="n">
        <x:f>SUM(E104:E147)</x:f>
        <x:v>0</x:v>
      </x:c>
      <x:c r="H103" s="30" t="n">
        <x:f>IF($E$42=0,1-MIN(C103,$E$43)/$E$43,((1+$E$42)^$E$43-(1+$E$42)^MIN(C103,$E$43))/((1+$E$42)^$E$43-1))</x:f>
        <x:v>0</x:v>
      </x:c>
      <x:c r="I103" s="30" t="n">
        <x:f>MAX(0,1-D103-J103)</x:f>
        <x:v>0</x:v>
      </x:c>
      <x:c r="J103" s="2" t="n">
        <x:f>(1-$E$40)*INDEX('Assumptions'!$H$65:$H$101,MIN(C103,36)+1)</x:f>
        <x:v>0.8</x:v>
      </x:c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</x:row>
    <x:row r="104" ht="19" customHeight="1">
      <x:c r="A104" s="1"/>
      <x:c r="B104" s="1"/>
      <x:c r="C104" s="2" t="n">
        <x:v>53</x:v>
      </x:c>
      <x:c r="D104" s="30" t="n">
        <x:f>$E$40*INDEX('Assumptions'!$E$65:$E$101,MIN(C104,36)+1)</x:f>
        <x:v>0.2</x:v>
      </x:c>
      <x:c r="E104" s="30" t="n">
        <x:f>(D104-D103)*H103</x:f>
        <x:v>0</x:v>
      </x:c>
      <x:c r="F104" s="30" t="n">
        <x:f>(1-D104-J103)*(H103-H104)+(J104-J103)*H104</x:f>
        <x:v>0</x:v>
      </x:c>
      <x:c r="G104" s="30" t="n">
        <x:f>SUM(E105:E147)</x:f>
        <x:v>0</x:v>
      </x:c>
      <x:c r="H104" s="30" t="n">
        <x:f>IF($E$42=0,1-MIN(C104,$E$43)/$E$43,((1+$E$42)^$E$43-(1+$E$42)^MIN(C104,$E$43))/((1+$E$42)^$E$43-1))</x:f>
        <x:v>0</x:v>
      </x:c>
      <x:c r="I104" s="30" t="n">
        <x:f>MAX(0,1-D104-J104)</x:f>
        <x:v>0</x:v>
      </x:c>
      <x:c r="J104" s="2" t="n">
        <x:f>(1-$E$40)*INDEX('Assumptions'!$H$65:$H$101,MIN(C104,36)+1)</x:f>
        <x:v>0.8</x:v>
      </x:c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</x:row>
    <x:row r="105" ht="19" customHeight="1">
      <x:c r="A105" s="1"/>
      <x:c r="B105" s="1"/>
      <x:c r="C105" s="2" t="n">
        <x:v>54</x:v>
      </x:c>
      <x:c r="D105" s="30" t="n">
        <x:f>$E$40*INDEX('Assumptions'!$E$65:$E$101,MIN(C105,36)+1)</x:f>
        <x:v>0.2</x:v>
      </x:c>
      <x:c r="E105" s="30" t="n">
        <x:f>(D105-D104)*H104</x:f>
        <x:v>0</x:v>
      </x:c>
      <x:c r="F105" s="30" t="n">
        <x:f>(1-D105-J104)*(H104-H105)+(J105-J104)*H105</x:f>
        <x:v>0</x:v>
      </x:c>
      <x:c r="G105" s="30" t="n">
        <x:f>SUM(E106:E147)</x:f>
        <x:v>0</x:v>
      </x:c>
      <x:c r="H105" s="30" t="n">
        <x:f>IF($E$42=0,1-MIN(C105,$E$43)/$E$43,((1+$E$42)^$E$43-(1+$E$42)^MIN(C105,$E$43))/((1+$E$42)^$E$43-1))</x:f>
        <x:v>0</x:v>
      </x:c>
      <x:c r="I105" s="30" t="n">
        <x:f>MAX(0,1-D105-J105)</x:f>
        <x:v>0</x:v>
      </x:c>
      <x:c r="J105" s="2" t="n">
        <x:f>(1-$E$40)*INDEX('Assumptions'!$H$65:$H$101,MIN(C105,36)+1)</x:f>
        <x:v>0.8</x:v>
      </x:c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</x:row>
    <x:row r="106" ht="19" customHeight="1">
      <x:c r="A106" s="1"/>
      <x:c r="B106" s="1"/>
      <x:c r="C106" s="2" t="n">
        <x:v>55</x:v>
      </x:c>
      <x:c r="D106" s="30" t="n">
        <x:f>$E$40*INDEX('Assumptions'!$E$65:$E$101,MIN(C106,36)+1)</x:f>
        <x:v>0.2</x:v>
      </x:c>
      <x:c r="E106" s="30" t="n">
        <x:f>(D106-D105)*H105</x:f>
        <x:v>0</x:v>
      </x:c>
      <x:c r="F106" s="30" t="n">
        <x:f>(1-D106-J105)*(H105-H106)+(J106-J105)*H106</x:f>
        <x:v>0</x:v>
      </x:c>
      <x:c r="G106" s="30" t="n">
        <x:f>SUM(E107:E147)</x:f>
        <x:v>0</x:v>
      </x:c>
      <x:c r="H106" s="30" t="n">
        <x:f>IF($E$42=0,1-MIN(C106,$E$43)/$E$43,((1+$E$42)^$E$43-(1+$E$42)^MIN(C106,$E$43))/((1+$E$42)^$E$43-1))</x:f>
        <x:v>0</x:v>
      </x:c>
      <x:c r="I106" s="30" t="n">
        <x:f>MAX(0,1-D106-J106)</x:f>
        <x:v>0</x:v>
      </x:c>
      <x:c r="J106" s="2" t="n">
        <x:f>(1-$E$40)*INDEX('Assumptions'!$H$65:$H$101,MIN(C106,36)+1)</x:f>
        <x:v>0.8</x:v>
      </x:c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</x:row>
    <x:row r="107" ht="19" customHeight="1">
      <x:c r="A107" s="1"/>
      <x:c r="B107" s="1"/>
      <x:c r="C107" s="2" t="n">
        <x:v>56</x:v>
      </x:c>
      <x:c r="D107" s="30" t="n">
        <x:f>$E$40*INDEX('Assumptions'!$E$65:$E$101,MIN(C107,36)+1)</x:f>
        <x:v>0.2</x:v>
      </x:c>
      <x:c r="E107" s="30" t="n">
        <x:f>(D107-D106)*H106</x:f>
        <x:v>0</x:v>
      </x:c>
      <x:c r="F107" s="30" t="n">
        <x:f>(1-D107-J106)*(H106-H107)+(J107-J106)*H107</x:f>
        <x:v>0</x:v>
      </x:c>
      <x:c r="G107" s="30" t="n">
        <x:f>SUM(E108:E147)</x:f>
        <x:v>0</x:v>
      </x:c>
      <x:c r="H107" s="30" t="n">
        <x:f>IF($E$42=0,1-MIN(C107,$E$43)/$E$43,((1+$E$42)^$E$43-(1+$E$42)^MIN(C107,$E$43))/((1+$E$42)^$E$43-1))</x:f>
        <x:v>0</x:v>
      </x:c>
      <x:c r="I107" s="30" t="n">
        <x:f>MAX(0,1-D107-J107)</x:f>
        <x:v>0</x:v>
      </x:c>
      <x:c r="J107" s="2" t="n">
        <x:f>(1-$E$40)*INDEX('Assumptions'!$H$65:$H$101,MIN(C107,36)+1)</x:f>
        <x:v>0.8</x:v>
      </x:c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</x:row>
    <x:row r="108" ht="19" customHeight="1">
      <x:c r="A108" s="1"/>
      <x:c r="B108" s="1"/>
      <x:c r="C108" s="2" t="n">
        <x:v>57</x:v>
      </x:c>
      <x:c r="D108" s="30" t="n">
        <x:f>$E$40*INDEX('Assumptions'!$E$65:$E$101,MIN(C108,36)+1)</x:f>
        <x:v>0.2</x:v>
      </x:c>
      <x:c r="E108" s="30" t="n">
        <x:f>(D108-D107)*H107</x:f>
        <x:v>0</x:v>
      </x:c>
      <x:c r="F108" s="30" t="n">
        <x:f>(1-D108-J107)*(H107-H108)+(J108-J107)*H108</x:f>
        <x:v>0</x:v>
      </x:c>
      <x:c r="G108" s="30" t="n">
        <x:f>SUM(E109:E147)</x:f>
        <x:v>0</x:v>
      </x:c>
      <x:c r="H108" s="30" t="n">
        <x:f>IF($E$42=0,1-MIN(C108,$E$43)/$E$43,((1+$E$42)^$E$43-(1+$E$42)^MIN(C108,$E$43))/((1+$E$42)^$E$43-1))</x:f>
        <x:v>0</x:v>
      </x:c>
      <x:c r="I108" s="30" t="n">
        <x:f>MAX(0,1-D108-J108)</x:f>
        <x:v>0</x:v>
      </x:c>
      <x:c r="J108" s="2" t="n">
        <x:f>(1-$E$40)*INDEX('Assumptions'!$H$65:$H$101,MIN(C108,36)+1)</x:f>
        <x:v>0.8</x:v>
      </x:c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</x:row>
    <x:row r="109" ht="19" customHeight="1">
      <x:c r="A109" s="1"/>
      <x:c r="B109" s="1"/>
      <x:c r="C109" s="2" t="n">
        <x:v>58</x:v>
      </x:c>
      <x:c r="D109" s="30" t="n">
        <x:f>$E$40*INDEX('Assumptions'!$E$65:$E$101,MIN(C109,36)+1)</x:f>
        <x:v>0.2</x:v>
      </x:c>
      <x:c r="E109" s="30" t="n">
        <x:f>(D109-D108)*H108</x:f>
        <x:v>0</x:v>
      </x:c>
      <x:c r="F109" s="30" t="n">
        <x:f>(1-D109-J108)*(H108-H109)+(J109-J108)*H109</x:f>
        <x:v>0</x:v>
      </x:c>
      <x:c r="G109" s="30" t="n">
        <x:f>SUM(E110:E147)</x:f>
        <x:v>0</x:v>
      </x:c>
      <x:c r="H109" s="30" t="n">
        <x:f>IF($E$42=0,1-MIN(C109,$E$43)/$E$43,((1+$E$42)^$E$43-(1+$E$42)^MIN(C109,$E$43))/((1+$E$42)^$E$43-1))</x:f>
        <x:v>0</x:v>
      </x:c>
      <x:c r="I109" s="30" t="n">
        <x:f>MAX(0,1-D109-J109)</x:f>
        <x:v>0</x:v>
      </x:c>
      <x:c r="J109" s="2" t="n">
        <x:f>(1-$E$40)*INDEX('Assumptions'!$H$65:$H$101,MIN(C109,36)+1)</x:f>
        <x:v>0.8</x:v>
      </x:c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</x:row>
    <x:row r="110" ht="19" customHeight="1">
      <x:c r="A110" s="1"/>
      <x:c r="B110" s="1"/>
      <x:c r="C110" s="2" t="n">
        <x:v>59</x:v>
      </x:c>
      <x:c r="D110" s="30" t="n">
        <x:f>$E$40*INDEX('Assumptions'!$E$65:$E$101,MIN(C110,36)+1)</x:f>
        <x:v>0.2</x:v>
      </x:c>
      <x:c r="E110" s="30" t="n">
        <x:f>(D110-D109)*H109</x:f>
        <x:v>0</x:v>
      </x:c>
      <x:c r="F110" s="30" t="n">
        <x:f>(1-D110-J109)*(H109-H110)+(J110-J109)*H110</x:f>
        <x:v>0</x:v>
      </x:c>
      <x:c r="G110" s="30" t="n">
        <x:f>SUM(E111:E147)</x:f>
        <x:v>0</x:v>
      </x:c>
      <x:c r="H110" s="30" t="n">
        <x:f>IF($E$42=0,1-MIN(C110,$E$43)/$E$43,((1+$E$42)^$E$43-(1+$E$42)^MIN(C110,$E$43))/((1+$E$42)^$E$43-1))</x:f>
        <x:v>0</x:v>
      </x:c>
      <x:c r="I110" s="30" t="n">
        <x:f>MAX(0,1-D110-J110)</x:f>
        <x:v>0</x:v>
      </x:c>
      <x:c r="J110" s="2" t="n">
        <x:f>(1-$E$40)*INDEX('Assumptions'!$H$65:$H$101,MIN(C110,36)+1)</x:f>
        <x:v>0.8</x:v>
      </x:c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</x:row>
    <x:row r="111" ht="19" customHeight="1">
      <x:c r="A111" s="1"/>
      <x:c r="B111" s="1"/>
      <x:c r="C111" s="2" t="n">
        <x:v>60</x:v>
      </x:c>
      <x:c r="D111" s="30" t="n">
        <x:f>$E$40*INDEX('Assumptions'!$E$65:$E$101,MIN(C111,36)+1)</x:f>
        <x:v>0.2</x:v>
      </x:c>
      <x:c r="E111" s="30" t="n">
        <x:f>(D111-D110)*H110</x:f>
        <x:v>0</x:v>
      </x:c>
      <x:c r="F111" s="30" t="n">
        <x:f>(1-D111-J110)*(H110-H111)+(J111-J110)*H111</x:f>
        <x:v>0</x:v>
      </x:c>
      <x:c r="G111" s="30" t="n">
        <x:f>SUM(E112:E147)</x:f>
        <x:v>0</x:v>
      </x:c>
      <x:c r="H111" s="30" t="n">
        <x:f>IF($E$42=0,1-MIN(C111,$E$43)/$E$43,((1+$E$42)^$E$43-(1+$E$42)^MIN(C111,$E$43))/((1+$E$42)^$E$43-1))</x:f>
        <x:v>0</x:v>
      </x:c>
      <x:c r="I111" s="30" t="n">
        <x:f>MAX(0,1-D111-J111)</x:f>
        <x:v>0</x:v>
      </x:c>
      <x:c r="J111" s="2" t="n">
        <x:f>(1-$E$40)*INDEX('Assumptions'!$H$65:$H$101,MIN(C111,36)+1)</x:f>
        <x:v>0.8</x:v>
      </x:c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</x:row>
    <x:row r="112" ht="19" customHeight="1">
      <x:c r="A112" s="1"/>
      <x:c r="B112" s="1"/>
      <x:c r="C112" s="2" t="n">
        <x:v>61</x:v>
      </x:c>
      <x:c r="D112" s="30" t="n">
        <x:f>$E$40*INDEX('Assumptions'!$E$65:$E$101,MIN(C112,36)+1)</x:f>
        <x:v>0.2</x:v>
      </x:c>
      <x:c r="E112" s="30" t="n">
        <x:f>(D112-D111)*H111</x:f>
        <x:v>0</x:v>
      </x:c>
      <x:c r="F112" s="30" t="n">
        <x:f>(1-D112-J111)*(H111-H112)+(J112-J111)*H112</x:f>
        <x:v>0</x:v>
      </x:c>
      <x:c r="G112" s="30" t="n">
        <x:f>SUM(E113:E147)</x:f>
        <x:v>0</x:v>
      </x:c>
      <x:c r="H112" s="30" t="n">
        <x:f>IF($E$42=0,1-MIN(C112,$E$43)/$E$43,((1+$E$42)^$E$43-(1+$E$42)^MIN(C112,$E$43))/((1+$E$42)^$E$43-1))</x:f>
        <x:v>0</x:v>
      </x:c>
      <x:c r="I112" s="30" t="n">
        <x:f>MAX(0,1-D112-J112)</x:f>
        <x:v>0</x:v>
      </x:c>
      <x:c r="J112" s="2" t="n">
        <x:f>(1-$E$40)*INDEX('Assumptions'!$H$65:$H$101,MIN(C112,36)+1)</x:f>
        <x:v>0.8</x:v>
      </x:c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</x:row>
    <x:row r="113" ht="19" customHeight="1">
      <x:c r="A113" s="1"/>
      <x:c r="B113" s="1"/>
      <x:c r="C113" s="2" t="n">
        <x:v>62</x:v>
      </x:c>
      <x:c r="D113" s="30" t="n">
        <x:f>$E$40*INDEX('Assumptions'!$E$65:$E$101,MIN(C113,36)+1)</x:f>
        <x:v>0.2</x:v>
      </x:c>
      <x:c r="E113" s="30" t="n">
        <x:f>(D113-D112)*H112</x:f>
        <x:v>0</x:v>
      </x:c>
      <x:c r="F113" s="30" t="n">
        <x:f>(1-D113-J112)*(H112-H113)+(J113-J112)*H113</x:f>
        <x:v>0</x:v>
      </x:c>
      <x:c r="G113" s="30" t="n">
        <x:f>SUM(E114:E147)</x:f>
        <x:v>0</x:v>
      </x:c>
      <x:c r="H113" s="30" t="n">
        <x:f>IF($E$42=0,1-MIN(C113,$E$43)/$E$43,((1+$E$42)^$E$43-(1+$E$42)^MIN(C113,$E$43))/((1+$E$42)^$E$43-1))</x:f>
        <x:v>0</x:v>
      </x:c>
      <x:c r="I113" s="30" t="n">
        <x:f>MAX(0,1-D113-J113)</x:f>
        <x:v>0</x:v>
      </x:c>
      <x:c r="J113" s="2" t="n">
        <x:f>(1-$E$40)*INDEX('Assumptions'!$H$65:$H$101,MIN(C113,36)+1)</x:f>
        <x:v>0.8</x:v>
      </x:c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</x:row>
    <x:row r="114" ht="19" customHeight="1">
      <x:c r="A114" s="1"/>
      <x:c r="B114" s="1"/>
      <x:c r="C114" s="2" t="n">
        <x:v>63</x:v>
      </x:c>
      <x:c r="D114" s="30" t="n">
        <x:f>$E$40*INDEX('Assumptions'!$E$65:$E$101,MIN(C114,36)+1)</x:f>
        <x:v>0.2</x:v>
      </x:c>
      <x:c r="E114" s="30" t="n">
        <x:f>(D114-D113)*H113</x:f>
        <x:v>0</x:v>
      </x:c>
      <x:c r="F114" s="30" t="n">
        <x:f>(1-D114-J113)*(H113-H114)+(J114-J113)*H114</x:f>
        <x:v>0</x:v>
      </x:c>
      <x:c r="G114" s="30" t="n">
        <x:f>SUM(E115:E147)</x:f>
        <x:v>0</x:v>
      </x:c>
      <x:c r="H114" s="30" t="n">
        <x:f>IF($E$42=0,1-MIN(C114,$E$43)/$E$43,((1+$E$42)^$E$43-(1+$E$42)^MIN(C114,$E$43))/((1+$E$42)^$E$43-1))</x:f>
        <x:v>0</x:v>
      </x:c>
      <x:c r="I114" s="30" t="n">
        <x:f>MAX(0,1-D114-J114)</x:f>
        <x:v>0</x:v>
      </x:c>
      <x:c r="J114" s="2" t="n">
        <x:f>(1-$E$40)*INDEX('Assumptions'!$H$65:$H$101,MIN(C114,36)+1)</x:f>
        <x:v>0.8</x:v>
      </x:c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</x:row>
    <x:row r="115" ht="19" customHeight="1">
      <x:c r="A115" s="1"/>
      <x:c r="B115" s="1"/>
      <x:c r="C115" s="2" t="n">
        <x:v>64</x:v>
      </x:c>
      <x:c r="D115" s="30" t="n">
        <x:f>$E$40*INDEX('Assumptions'!$E$65:$E$101,MIN(C115,36)+1)</x:f>
        <x:v>0.2</x:v>
      </x:c>
      <x:c r="E115" s="30" t="n">
        <x:f>(D115-D114)*H114</x:f>
        <x:v>0</x:v>
      </x:c>
      <x:c r="F115" s="30" t="n">
        <x:f>(1-D115-J114)*(H114-H115)+(J115-J114)*H115</x:f>
        <x:v>0</x:v>
      </x:c>
      <x:c r="G115" s="30" t="n">
        <x:f>SUM(E116:E147)</x:f>
        <x:v>0</x:v>
      </x:c>
      <x:c r="H115" s="30" t="n">
        <x:f>IF($E$42=0,1-MIN(C115,$E$43)/$E$43,((1+$E$42)^$E$43-(1+$E$42)^MIN(C115,$E$43))/((1+$E$42)^$E$43-1))</x:f>
        <x:v>0</x:v>
      </x:c>
      <x:c r="I115" s="30" t="n">
        <x:f>MAX(0,1-D115-J115)</x:f>
        <x:v>0</x:v>
      </x:c>
      <x:c r="J115" s="2" t="n">
        <x:f>(1-$E$40)*INDEX('Assumptions'!$H$65:$H$101,MIN(C115,36)+1)</x:f>
        <x:v>0.8</x:v>
      </x:c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</x:row>
    <x:row r="116" ht="19" customHeight="1">
      <x:c r="A116" s="1"/>
      <x:c r="B116" s="1"/>
      <x:c r="C116" s="2" t="n">
        <x:v>65</x:v>
      </x:c>
      <x:c r="D116" s="30" t="n">
        <x:f>$E$40*INDEX('Assumptions'!$E$65:$E$101,MIN(C116,36)+1)</x:f>
        <x:v>0.2</x:v>
      </x:c>
      <x:c r="E116" s="30" t="n">
        <x:f>(D116-D115)*H115</x:f>
        <x:v>0</x:v>
      </x:c>
      <x:c r="F116" s="30" t="n">
        <x:f>(1-D116-J115)*(H115-H116)+(J116-J115)*H116</x:f>
        <x:v>0</x:v>
      </x:c>
      <x:c r="G116" s="30" t="n">
        <x:f>SUM(E117:E147)</x:f>
        <x:v>0</x:v>
      </x:c>
      <x:c r="H116" s="30" t="n">
        <x:f>IF($E$42=0,1-MIN(C116,$E$43)/$E$43,((1+$E$42)^$E$43-(1+$E$42)^MIN(C116,$E$43))/((1+$E$42)^$E$43-1))</x:f>
        <x:v>0</x:v>
      </x:c>
      <x:c r="I116" s="30" t="n">
        <x:f>MAX(0,1-D116-J116)</x:f>
        <x:v>0</x:v>
      </x:c>
      <x:c r="J116" s="2" t="n">
        <x:f>(1-$E$40)*INDEX('Assumptions'!$H$65:$H$101,MIN(C116,36)+1)</x:f>
        <x:v>0.8</x:v>
      </x:c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</x:row>
    <x:row r="117" ht="19" customHeight="1">
      <x:c r="A117" s="1"/>
      <x:c r="B117" s="1"/>
      <x:c r="C117" s="2" t="n">
        <x:v>66</x:v>
      </x:c>
      <x:c r="D117" s="30" t="n">
        <x:f>$E$40*INDEX('Assumptions'!$E$65:$E$101,MIN(C117,36)+1)</x:f>
        <x:v>0.2</x:v>
      </x:c>
      <x:c r="E117" s="30" t="n">
        <x:f>(D117-D116)*H116</x:f>
        <x:v>0</x:v>
      </x:c>
      <x:c r="F117" s="30" t="n">
        <x:f>(1-D117-J116)*(H116-H117)+(J117-J116)*H117</x:f>
        <x:v>0</x:v>
      </x:c>
      <x:c r="G117" s="30" t="n">
        <x:f>SUM(E118:E147)</x:f>
        <x:v>0</x:v>
      </x:c>
      <x:c r="H117" s="30" t="n">
        <x:f>IF($E$42=0,1-MIN(C117,$E$43)/$E$43,((1+$E$42)^$E$43-(1+$E$42)^MIN(C117,$E$43))/((1+$E$42)^$E$43-1))</x:f>
        <x:v>0</x:v>
      </x:c>
      <x:c r="I117" s="30" t="n">
        <x:f>MAX(0,1-D117-J117)</x:f>
        <x:v>0</x:v>
      </x:c>
      <x:c r="J117" s="2" t="n">
        <x:f>(1-$E$40)*INDEX('Assumptions'!$H$65:$H$101,MIN(C117,36)+1)</x:f>
        <x:v>0.8</x:v>
      </x:c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</x:row>
    <x:row r="118" ht="19" customHeight="1">
      <x:c r="A118" s="1"/>
      <x:c r="B118" s="1"/>
      <x:c r="C118" s="2" t="n">
        <x:v>67</x:v>
      </x:c>
      <x:c r="D118" s="30" t="n">
        <x:f>$E$40*INDEX('Assumptions'!$E$65:$E$101,MIN(C118,36)+1)</x:f>
        <x:v>0.2</x:v>
      </x:c>
      <x:c r="E118" s="30" t="n">
        <x:f>(D118-D117)*H117</x:f>
        <x:v>0</x:v>
      </x:c>
      <x:c r="F118" s="30" t="n">
        <x:f>(1-D118-J117)*(H117-H118)+(J118-J117)*H118</x:f>
        <x:v>0</x:v>
      </x:c>
      <x:c r="G118" s="30" t="n">
        <x:f>SUM(E119:E147)</x:f>
        <x:v>0</x:v>
      </x:c>
      <x:c r="H118" s="30" t="n">
        <x:f>IF($E$42=0,1-MIN(C118,$E$43)/$E$43,((1+$E$42)^$E$43-(1+$E$42)^MIN(C118,$E$43))/((1+$E$42)^$E$43-1))</x:f>
        <x:v>0</x:v>
      </x:c>
      <x:c r="I118" s="30" t="n">
        <x:f>MAX(0,1-D118-J118)</x:f>
        <x:v>0</x:v>
      </x:c>
      <x:c r="J118" s="2" t="n">
        <x:f>(1-$E$40)*INDEX('Assumptions'!$H$65:$H$101,MIN(C118,36)+1)</x:f>
        <x:v>0.8</x:v>
      </x:c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</x:row>
    <x:row r="119" ht="19" customHeight="1">
      <x:c r="A119" s="1"/>
      <x:c r="B119" s="1"/>
      <x:c r="C119" s="2" t="n">
        <x:v>68</x:v>
      </x:c>
      <x:c r="D119" s="30" t="n">
        <x:f>$E$40*INDEX('Assumptions'!$E$65:$E$101,MIN(C119,36)+1)</x:f>
        <x:v>0.2</x:v>
      </x:c>
      <x:c r="E119" s="30" t="n">
        <x:f>(D119-D118)*H118</x:f>
        <x:v>0</x:v>
      </x:c>
      <x:c r="F119" s="30" t="n">
        <x:f>(1-D119-J118)*(H118-H119)+(J119-J118)*H119</x:f>
        <x:v>0</x:v>
      </x:c>
      <x:c r="G119" s="30" t="n">
        <x:f>SUM(E120:E147)</x:f>
        <x:v>0</x:v>
      </x:c>
      <x:c r="H119" s="30" t="n">
        <x:f>IF($E$42=0,1-MIN(C119,$E$43)/$E$43,((1+$E$42)^$E$43-(1+$E$42)^MIN(C119,$E$43))/((1+$E$42)^$E$43-1))</x:f>
        <x:v>0</x:v>
      </x:c>
      <x:c r="I119" s="30" t="n">
        <x:f>MAX(0,1-D119-J119)</x:f>
        <x:v>0</x:v>
      </x:c>
      <x:c r="J119" s="2" t="n">
        <x:f>(1-$E$40)*INDEX('Assumptions'!$H$65:$H$101,MIN(C119,36)+1)</x:f>
        <x:v>0.8</x:v>
      </x:c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</x:row>
    <x:row r="120" ht="19" customHeight="1">
      <x:c r="A120" s="1"/>
      <x:c r="B120" s="1"/>
      <x:c r="C120" s="2" t="n">
        <x:v>69</x:v>
      </x:c>
      <x:c r="D120" s="30" t="n">
        <x:f>$E$40*INDEX('Assumptions'!$E$65:$E$101,MIN(C120,36)+1)</x:f>
        <x:v>0.2</x:v>
      </x:c>
      <x:c r="E120" s="30" t="n">
        <x:f>(D120-D119)*H119</x:f>
        <x:v>0</x:v>
      </x:c>
      <x:c r="F120" s="30" t="n">
        <x:f>(1-D120-J119)*(H119-H120)+(J120-J119)*H120</x:f>
        <x:v>0</x:v>
      </x:c>
      <x:c r="G120" s="30" t="n">
        <x:f>SUM(E121:E147)</x:f>
        <x:v>0</x:v>
      </x:c>
      <x:c r="H120" s="30" t="n">
        <x:f>IF($E$42=0,1-MIN(C120,$E$43)/$E$43,((1+$E$42)^$E$43-(1+$E$42)^MIN(C120,$E$43))/((1+$E$42)^$E$43-1))</x:f>
        <x:v>0</x:v>
      </x:c>
      <x:c r="I120" s="30" t="n">
        <x:f>MAX(0,1-D120-J120)</x:f>
        <x:v>0</x:v>
      </x:c>
      <x:c r="J120" s="2" t="n">
        <x:f>(1-$E$40)*INDEX('Assumptions'!$H$65:$H$101,MIN(C120,36)+1)</x:f>
        <x:v>0.8</x:v>
      </x:c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</x:row>
    <x:row r="121" ht="19" customHeight="1">
      <x:c r="A121" s="1"/>
      <x:c r="B121" s="1"/>
      <x:c r="C121" s="2" t="n">
        <x:v>70</x:v>
      </x:c>
      <x:c r="D121" s="30" t="n">
        <x:f>$E$40*INDEX('Assumptions'!$E$65:$E$101,MIN(C121,36)+1)</x:f>
        <x:v>0.2</x:v>
      </x:c>
      <x:c r="E121" s="30" t="n">
        <x:f>(D121-D120)*H120</x:f>
        <x:v>0</x:v>
      </x:c>
      <x:c r="F121" s="30" t="n">
        <x:f>(1-D121-J120)*(H120-H121)+(J121-J120)*H121</x:f>
        <x:v>0</x:v>
      </x:c>
      <x:c r="G121" s="30" t="n">
        <x:f>SUM(E122:E147)</x:f>
        <x:v>0</x:v>
      </x:c>
      <x:c r="H121" s="30" t="n">
        <x:f>IF($E$42=0,1-MIN(C121,$E$43)/$E$43,((1+$E$42)^$E$43-(1+$E$42)^MIN(C121,$E$43))/((1+$E$42)^$E$43-1))</x:f>
        <x:v>0</x:v>
      </x:c>
      <x:c r="I121" s="30" t="n">
        <x:f>MAX(0,1-D121-J121)</x:f>
        <x:v>0</x:v>
      </x:c>
      <x:c r="J121" s="2" t="n">
        <x:f>(1-$E$40)*INDEX('Assumptions'!$H$65:$H$101,MIN(C121,36)+1)</x:f>
        <x:v>0.8</x:v>
      </x:c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</x:row>
    <x:row r="122" ht="19" customHeight="1">
      <x:c r="A122" s="1"/>
      <x:c r="B122" s="1"/>
      <x:c r="C122" s="2" t="n">
        <x:v>71</x:v>
      </x:c>
      <x:c r="D122" s="30" t="n">
        <x:f>$E$40*INDEX('Assumptions'!$E$65:$E$101,MIN(C122,36)+1)</x:f>
        <x:v>0.2</x:v>
      </x:c>
      <x:c r="E122" s="30" t="n">
        <x:f>(D122-D121)*H121</x:f>
        <x:v>0</x:v>
      </x:c>
      <x:c r="F122" s="30" t="n">
        <x:f>(1-D122-J121)*(H121-H122)+(J122-J121)*H122</x:f>
        <x:v>0</x:v>
      </x:c>
      <x:c r="G122" s="30" t="n">
        <x:f>SUM(E123:E147)</x:f>
        <x:v>0</x:v>
      </x:c>
      <x:c r="H122" s="30" t="n">
        <x:f>IF($E$42=0,1-MIN(C122,$E$43)/$E$43,((1+$E$42)^$E$43-(1+$E$42)^MIN(C122,$E$43))/((1+$E$42)^$E$43-1))</x:f>
        <x:v>0</x:v>
      </x:c>
      <x:c r="I122" s="30" t="n">
        <x:f>MAX(0,1-D122-J122)</x:f>
        <x:v>0</x:v>
      </x:c>
      <x:c r="J122" s="2" t="n">
        <x:f>(1-$E$40)*INDEX('Assumptions'!$H$65:$H$101,MIN(C122,36)+1)</x:f>
        <x:v>0.8</x:v>
      </x:c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</x:row>
    <x:row r="123" ht="19" customHeight="1">
      <x:c r="A123" s="1"/>
      <x:c r="B123" s="1"/>
      <x:c r="C123" s="2" t="n">
        <x:v>72</x:v>
      </x:c>
      <x:c r="D123" s="30" t="n">
        <x:f>$E$40*INDEX('Assumptions'!$E$65:$E$101,MIN(C123,36)+1)</x:f>
        <x:v>0.2</x:v>
      </x:c>
      <x:c r="E123" s="30" t="n">
        <x:f>(D123-D122)*H122</x:f>
        <x:v>0</x:v>
      </x:c>
      <x:c r="F123" s="30" t="n">
        <x:f>(1-D123-J122)*(H122-H123)+(J123-J122)*H123</x:f>
        <x:v>0</x:v>
      </x:c>
      <x:c r="G123" s="30" t="n">
        <x:f>SUM(E124:E147)</x:f>
        <x:v>0</x:v>
      </x:c>
      <x:c r="H123" s="30" t="n">
        <x:f>IF($E$42=0,1-MIN(C123,$E$43)/$E$43,((1+$E$42)^$E$43-(1+$E$42)^MIN(C123,$E$43))/((1+$E$42)^$E$43-1))</x:f>
        <x:v>0</x:v>
      </x:c>
      <x:c r="I123" s="30" t="n">
        <x:f>MAX(0,1-D123-J123)</x:f>
        <x:v>0</x:v>
      </x:c>
      <x:c r="J123" s="2" t="n">
        <x:f>(1-$E$40)*INDEX('Assumptions'!$H$65:$H$101,MIN(C123,36)+1)</x:f>
        <x:v>0.8</x:v>
      </x:c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</x:row>
    <x:row r="124" ht="19" customHeight="1">
      <x:c r="A124" s="1"/>
      <x:c r="B124" s="1"/>
      <x:c r="C124" s="2" t="n">
        <x:v>73</x:v>
      </x:c>
      <x:c r="D124" s="30" t="n">
        <x:f>$E$40*INDEX('Assumptions'!$E$65:$E$101,MIN(C124,36)+1)</x:f>
        <x:v>0.2</x:v>
      </x:c>
      <x:c r="E124" s="30" t="n">
        <x:f>(D124-D123)*H123</x:f>
        <x:v>0</x:v>
      </x:c>
      <x:c r="F124" s="30" t="n">
        <x:f>(1-D124-J123)*(H123-H124)+(J124-J123)*H124</x:f>
        <x:v>0</x:v>
      </x:c>
      <x:c r="G124" s="30" t="n">
        <x:f>SUM(E125:E147)</x:f>
        <x:v>0</x:v>
      </x:c>
      <x:c r="H124" s="30" t="n">
        <x:f>IF($E$42=0,1-MIN(C124,$E$43)/$E$43,((1+$E$42)^$E$43-(1+$E$42)^MIN(C124,$E$43))/((1+$E$42)^$E$43-1))</x:f>
        <x:v>0</x:v>
      </x:c>
      <x:c r="I124" s="30" t="n">
        <x:f>MAX(0,1-D124-J124)</x:f>
        <x:v>0</x:v>
      </x:c>
      <x:c r="J124" s="2" t="n">
        <x:f>(1-$E$40)*INDEX('Assumptions'!$H$65:$H$101,MIN(C124,36)+1)</x:f>
        <x:v>0.8</x:v>
      </x:c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</x:row>
    <x:row r="125" ht="19" customHeight="1">
      <x:c r="A125" s="1"/>
      <x:c r="B125" s="1"/>
      <x:c r="C125" s="2" t="n">
        <x:v>74</x:v>
      </x:c>
      <x:c r="D125" s="30" t="n">
        <x:f>$E$40*INDEX('Assumptions'!$E$65:$E$101,MIN(C125,36)+1)</x:f>
        <x:v>0.2</x:v>
      </x:c>
      <x:c r="E125" s="30" t="n">
        <x:f>(D125-D124)*H124</x:f>
        <x:v>0</x:v>
      </x:c>
      <x:c r="F125" s="30" t="n">
        <x:f>(1-D125-J124)*(H124-H125)+(J125-J124)*H125</x:f>
        <x:v>0</x:v>
      </x:c>
      <x:c r="G125" s="30" t="n">
        <x:f>SUM(E126:E147)</x:f>
        <x:v>0</x:v>
      </x:c>
      <x:c r="H125" s="30" t="n">
        <x:f>IF($E$42=0,1-MIN(C125,$E$43)/$E$43,((1+$E$42)^$E$43-(1+$E$42)^MIN(C125,$E$43))/((1+$E$42)^$E$43-1))</x:f>
        <x:v>0</x:v>
      </x:c>
      <x:c r="I125" s="30" t="n">
        <x:f>MAX(0,1-D125-J125)</x:f>
        <x:v>0</x:v>
      </x:c>
      <x:c r="J125" s="2" t="n">
        <x:f>(1-$E$40)*INDEX('Assumptions'!$H$65:$H$101,MIN(C125,36)+1)</x:f>
        <x:v>0.8</x:v>
      </x:c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</x:row>
    <x:row r="126" ht="19" customHeight="1">
      <x:c r="A126" s="1"/>
      <x:c r="B126" s="1"/>
      <x:c r="C126" s="2" t="n">
        <x:v>75</x:v>
      </x:c>
      <x:c r="D126" s="30" t="n">
        <x:f>$E$40*INDEX('Assumptions'!$E$65:$E$101,MIN(C126,36)+1)</x:f>
        <x:v>0.2</x:v>
      </x:c>
      <x:c r="E126" s="30" t="n">
        <x:f>(D126-D125)*H125</x:f>
        <x:v>0</x:v>
      </x:c>
      <x:c r="F126" s="30" t="n">
        <x:f>(1-D126-J125)*(H125-H126)+(J126-J125)*H126</x:f>
        <x:v>0</x:v>
      </x:c>
      <x:c r="G126" s="30" t="n">
        <x:f>SUM(E127:E147)</x:f>
        <x:v>0</x:v>
      </x:c>
      <x:c r="H126" s="30" t="n">
        <x:f>IF($E$42=0,1-MIN(C126,$E$43)/$E$43,((1+$E$42)^$E$43-(1+$E$42)^MIN(C126,$E$43))/((1+$E$42)^$E$43-1))</x:f>
        <x:v>0</x:v>
      </x:c>
      <x:c r="I126" s="30" t="n">
        <x:f>MAX(0,1-D126-J126)</x:f>
        <x:v>0</x:v>
      </x:c>
      <x:c r="J126" s="2" t="n">
        <x:f>(1-$E$40)*INDEX('Assumptions'!$H$65:$H$101,MIN(C126,36)+1)</x:f>
        <x:v>0.8</x:v>
      </x:c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</x:row>
    <x:row r="127" ht="19" customHeight="1">
      <x:c r="A127" s="1"/>
      <x:c r="B127" s="1"/>
      <x:c r="C127" s="2" t="n">
        <x:v>76</x:v>
      </x:c>
      <x:c r="D127" s="30" t="n">
        <x:f>$E$40*INDEX('Assumptions'!$E$65:$E$101,MIN(C127,36)+1)</x:f>
        <x:v>0.2</x:v>
      </x:c>
      <x:c r="E127" s="30" t="n">
        <x:f>(D127-D126)*H126</x:f>
        <x:v>0</x:v>
      </x:c>
      <x:c r="F127" s="30" t="n">
        <x:f>(1-D127-J126)*(H126-H127)+(J127-J126)*H127</x:f>
        <x:v>0</x:v>
      </x:c>
      <x:c r="G127" s="30" t="n">
        <x:f>SUM(E128:E147)</x:f>
        <x:v>0</x:v>
      </x:c>
      <x:c r="H127" s="30" t="n">
        <x:f>IF($E$42=0,1-MIN(C127,$E$43)/$E$43,((1+$E$42)^$E$43-(1+$E$42)^MIN(C127,$E$43))/((1+$E$42)^$E$43-1))</x:f>
        <x:v>0</x:v>
      </x:c>
      <x:c r="I127" s="30" t="n">
        <x:f>MAX(0,1-D127-J127)</x:f>
        <x:v>0</x:v>
      </x:c>
      <x:c r="J127" s="2" t="n">
        <x:f>(1-$E$40)*INDEX('Assumptions'!$H$65:$H$101,MIN(C127,36)+1)</x:f>
        <x:v>0.8</x:v>
      </x:c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</x:row>
    <x:row r="128" ht="19" customHeight="1">
      <x:c r="A128" s="1"/>
      <x:c r="B128" s="1"/>
      <x:c r="C128" s="2" t="n">
        <x:v>77</x:v>
      </x:c>
      <x:c r="D128" s="30" t="n">
        <x:f>$E$40*INDEX('Assumptions'!$E$65:$E$101,MIN(C128,36)+1)</x:f>
        <x:v>0.2</x:v>
      </x:c>
      <x:c r="E128" s="30" t="n">
        <x:f>(D128-D127)*H127</x:f>
        <x:v>0</x:v>
      </x:c>
      <x:c r="F128" s="30" t="n">
        <x:f>(1-D128-J127)*(H127-H128)+(J128-J127)*H128</x:f>
        <x:v>0</x:v>
      </x:c>
      <x:c r="G128" s="30" t="n">
        <x:f>SUM(E129:E147)</x:f>
        <x:v>0</x:v>
      </x:c>
      <x:c r="H128" s="30" t="n">
        <x:f>IF($E$42=0,1-MIN(C128,$E$43)/$E$43,((1+$E$42)^$E$43-(1+$E$42)^MIN(C128,$E$43))/((1+$E$42)^$E$43-1))</x:f>
        <x:v>0</x:v>
      </x:c>
      <x:c r="I128" s="30" t="n">
        <x:f>MAX(0,1-D128-J128)</x:f>
        <x:v>0</x:v>
      </x:c>
      <x:c r="J128" s="2" t="n">
        <x:f>(1-$E$40)*INDEX('Assumptions'!$H$65:$H$101,MIN(C128,36)+1)</x:f>
        <x:v>0.8</x:v>
      </x:c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</x:row>
    <x:row r="129" ht="19" customHeight="1">
      <x:c r="A129" s="1"/>
      <x:c r="B129" s="1"/>
      <x:c r="C129" s="2" t="n">
        <x:v>78</x:v>
      </x:c>
      <x:c r="D129" s="30" t="n">
        <x:f>$E$40*INDEX('Assumptions'!$E$65:$E$101,MIN(C129,36)+1)</x:f>
        <x:v>0.2</x:v>
      </x:c>
      <x:c r="E129" s="30" t="n">
        <x:f>(D129-D128)*H128</x:f>
        <x:v>0</x:v>
      </x:c>
      <x:c r="F129" s="30" t="n">
        <x:f>(1-D129-J128)*(H128-H129)+(J129-J128)*H129</x:f>
        <x:v>0</x:v>
      </x:c>
      <x:c r="G129" s="30" t="n">
        <x:f>SUM(E130:E147)</x:f>
        <x:v>0</x:v>
      </x:c>
      <x:c r="H129" s="30" t="n">
        <x:f>IF($E$42=0,1-MIN(C129,$E$43)/$E$43,((1+$E$42)^$E$43-(1+$E$42)^MIN(C129,$E$43))/((1+$E$42)^$E$43-1))</x:f>
        <x:v>0</x:v>
      </x:c>
      <x:c r="I129" s="30" t="n">
        <x:f>MAX(0,1-D129-J129)</x:f>
        <x:v>0</x:v>
      </x:c>
      <x:c r="J129" s="2" t="n">
        <x:f>(1-$E$40)*INDEX('Assumptions'!$H$65:$H$101,MIN(C129,36)+1)</x:f>
        <x:v>0.8</x:v>
      </x:c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</x:row>
    <x:row r="130" ht="19" customHeight="1">
      <x:c r="A130" s="1"/>
      <x:c r="B130" s="1"/>
      <x:c r="C130" s="2" t="n">
        <x:v>79</x:v>
      </x:c>
      <x:c r="D130" s="30" t="n">
        <x:f>$E$40*INDEX('Assumptions'!$E$65:$E$101,MIN(C130,36)+1)</x:f>
        <x:v>0.2</x:v>
      </x:c>
      <x:c r="E130" s="30" t="n">
        <x:f>(D130-D129)*H129</x:f>
        <x:v>0</x:v>
      </x:c>
      <x:c r="F130" s="30" t="n">
        <x:f>(1-D130-J129)*(H129-H130)+(J130-J129)*H130</x:f>
        <x:v>0</x:v>
      </x:c>
      <x:c r="G130" s="30" t="n">
        <x:f>SUM(E131:E147)</x:f>
        <x:v>0</x:v>
      </x:c>
      <x:c r="H130" s="30" t="n">
        <x:f>IF($E$42=0,1-MIN(C130,$E$43)/$E$43,((1+$E$42)^$E$43-(1+$E$42)^MIN(C130,$E$43))/((1+$E$42)^$E$43-1))</x:f>
        <x:v>0</x:v>
      </x:c>
      <x:c r="I130" s="30" t="n">
        <x:f>MAX(0,1-D130-J130)</x:f>
        <x:v>0</x:v>
      </x:c>
      <x:c r="J130" s="2" t="n">
        <x:f>(1-$E$40)*INDEX('Assumptions'!$H$65:$H$101,MIN(C130,36)+1)</x:f>
        <x:v>0.8</x:v>
      </x:c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</x:row>
    <x:row r="131" ht="19" customHeight="1">
      <x:c r="A131" s="1"/>
      <x:c r="B131" s="1"/>
      <x:c r="C131" s="2" t="n">
        <x:v>80</x:v>
      </x:c>
      <x:c r="D131" s="30" t="n">
        <x:f>$E$40*INDEX('Assumptions'!$E$65:$E$101,MIN(C131,36)+1)</x:f>
        <x:v>0.2</x:v>
      </x:c>
      <x:c r="E131" s="30" t="n">
        <x:f>(D131-D130)*H130</x:f>
        <x:v>0</x:v>
      </x:c>
      <x:c r="F131" s="30" t="n">
        <x:f>(1-D131-J130)*(H130-H131)+(J131-J130)*H131</x:f>
        <x:v>0</x:v>
      </x:c>
      <x:c r="G131" s="30" t="n">
        <x:f>SUM(E132:E147)</x:f>
        <x:v>0</x:v>
      </x:c>
      <x:c r="H131" s="30" t="n">
        <x:f>IF($E$42=0,1-MIN(C131,$E$43)/$E$43,((1+$E$42)^$E$43-(1+$E$42)^MIN(C131,$E$43))/((1+$E$42)^$E$43-1))</x:f>
        <x:v>0</x:v>
      </x:c>
      <x:c r="I131" s="30" t="n">
        <x:f>MAX(0,1-D131-J131)</x:f>
        <x:v>0</x:v>
      </x:c>
      <x:c r="J131" s="2" t="n">
        <x:f>(1-$E$40)*INDEX('Assumptions'!$H$65:$H$101,MIN(C131,36)+1)</x:f>
        <x:v>0.8</x:v>
      </x:c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</x:row>
    <x:row r="132" ht="19" customHeight="1">
      <x:c r="A132" s="1"/>
      <x:c r="B132" s="1"/>
      <x:c r="C132" s="2" t="n">
        <x:v>81</x:v>
      </x:c>
      <x:c r="D132" s="30" t="n">
        <x:f>$E$40*INDEX('Assumptions'!$E$65:$E$101,MIN(C132,36)+1)</x:f>
        <x:v>0.2</x:v>
      </x:c>
      <x:c r="E132" s="30" t="n">
        <x:f>(D132-D131)*H131</x:f>
        <x:v>0</x:v>
      </x:c>
      <x:c r="F132" s="30" t="n">
        <x:f>(1-D132-J131)*(H131-H132)+(J132-J131)*H132</x:f>
        <x:v>0</x:v>
      </x:c>
      <x:c r="G132" s="30" t="n">
        <x:f>SUM(E133:E147)</x:f>
        <x:v>0</x:v>
      </x:c>
      <x:c r="H132" s="30" t="n">
        <x:f>IF($E$42=0,1-MIN(C132,$E$43)/$E$43,((1+$E$42)^$E$43-(1+$E$42)^MIN(C132,$E$43))/((1+$E$42)^$E$43-1))</x:f>
        <x:v>0</x:v>
      </x:c>
      <x:c r="I132" s="30" t="n">
        <x:f>MAX(0,1-D132-J132)</x:f>
        <x:v>0</x:v>
      </x:c>
      <x:c r="J132" s="2" t="n">
        <x:f>(1-$E$40)*INDEX('Assumptions'!$H$65:$H$101,MIN(C132,36)+1)</x:f>
        <x:v>0.8</x:v>
      </x:c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</x:row>
    <x:row r="133" ht="19" customHeight="1">
      <x:c r="A133" s="1"/>
      <x:c r="B133" s="1"/>
      <x:c r="C133" s="2" t="n">
        <x:v>82</x:v>
      </x:c>
      <x:c r="D133" s="30" t="n">
        <x:f>$E$40*INDEX('Assumptions'!$E$65:$E$101,MIN(C133,36)+1)</x:f>
        <x:v>0.2</x:v>
      </x:c>
      <x:c r="E133" s="30" t="n">
        <x:f>(D133-D132)*H132</x:f>
        <x:v>0</x:v>
      </x:c>
      <x:c r="F133" s="30" t="n">
        <x:f>(1-D133-J132)*(H132-H133)+(J133-J132)*H133</x:f>
        <x:v>0</x:v>
      </x:c>
      <x:c r="G133" s="30" t="n">
        <x:f>SUM(E134:E147)</x:f>
        <x:v>0</x:v>
      </x:c>
      <x:c r="H133" s="30" t="n">
        <x:f>IF($E$42=0,1-MIN(C133,$E$43)/$E$43,((1+$E$42)^$E$43-(1+$E$42)^MIN(C133,$E$43))/((1+$E$42)^$E$43-1))</x:f>
        <x:v>0</x:v>
      </x:c>
      <x:c r="I133" s="30" t="n">
        <x:f>MAX(0,1-D133-J133)</x:f>
        <x:v>0</x:v>
      </x:c>
      <x:c r="J133" s="2" t="n">
        <x:f>(1-$E$40)*INDEX('Assumptions'!$H$65:$H$101,MIN(C133,36)+1)</x:f>
        <x:v>0.8</x:v>
      </x:c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</x:row>
    <x:row r="134" ht="19" customHeight="1">
      <x:c r="A134" s="1"/>
      <x:c r="B134" s="1"/>
      <x:c r="C134" s="2" t="n">
        <x:v>83</x:v>
      </x:c>
      <x:c r="D134" s="30" t="n">
        <x:f>$E$40*INDEX('Assumptions'!$E$65:$E$101,MIN(C134,36)+1)</x:f>
        <x:v>0.2</x:v>
      </x:c>
      <x:c r="E134" s="30" t="n">
        <x:f>(D134-D133)*H133</x:f>
        <x:v>0</x:v>
      </x:c>
      <x:c r="F134" s="30" t="n">
        <x:f>(1-D134-J133)*(H133-H134)+(J134-J133)*H134</x:f>
        <x:v>0</x:v>
      </x:c>
      <x:c r="G134" s="30" t="n">
        <x:f>SUM(E135:E147)</x:f>
        <x:v>0</x:v>
      </x:c>
      <x:c r="H134" s="30" t="n">
        <x:f>IF($E$42=0,1-MIN(C134,$E$43)/$E$43,((1+$E$42)^$E$43-(1+$E$42)^MIN(C134,$E$43))/((1+$E$42)^$E$43-1))</x:f>
        <x:v>0</x:v>
      </x:c>
      <x:c r="I134" s="30" t="n">
        <x:f>MAX(0,1-D134-J134)</x:f>
        <x:v>0</x:v>
      </x:c>
      <x:c r="J134" s="2" t="n">
        <x:f>(1-$E$40)*INDEX('Assumptions'!$H$65:$H$101,MIN(C134,36)+1)</x:f>
        <x:v>0.8</x:v>
      </x:c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</x:row>
    <x:row r="135" ht="19" customHeight="1">
      <x:c r="A135" s="1"/>
      <x:c r="B135" s="1"/>
      <x:c r="C135" s="2" t="n">
        <x:v>84</x:v>
      </x:c>
      <x:c r="D135" s="30" t="n">
        <x:f>$E$40*INDEX('Assumptions'!$E$65:$E$101,MIN(C135,36)+1)</x:f>
        <x:v>0.2</x:v>
      </x:c>
      <x:c r="E135" s="30" t="n">
        <x:f>(D135-D134)*H134</x:f>
        <x:v>0</x:v>
      </x:c>
      <x:c r="F135" s="30" t="n">
        <x:f>(1-D135-J134)*(H134-H135)+(J135-J134)*H135</x:f>
        <x:v>0</x:v>
      </x:c>
      <x:c r="G135" s="30" t="n">
        <x:f>SUM(E136:E147)</x:f>
        <x:v>0</x:v>
      </x:c>
      <x:c r="H135" s="30" t="n">
        <x:f>IF($E$42=0,1-MIN(C135,$E$43)/$E$43,((1+$E$42)^$E$43-(1+$E$42)^MIN(C135,$E$43))/((1+$E$42)^$E$43-1))</x:f>
        <x:v>0</x:v>
      </x:c>
      <x:c r="I135" s="30" t="n">
        <x:f>MAX(0,1-D135-J135)</x:f>
        <x:v>0</x:v>
      </x:c>
      <x:c r="J135" s="2" t="n">
        <x:f>(1-$E$40)*INDEX('Assumptions'!$H$65:$H$101,MIN(C135,36)+1)</x:f>
        <x:v>0.8</x:v>
      </x:c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</x:row>
    <x:row r="136" ht="19" customHeight="1">
      <x:c r="A136" s="1"/>
      <x:c r="B136" s="1"/>
      <x:c r="C136" s="2" t="n">
        <x:v>85</x:v>
      </x:c>
      <x:c r="D136" s="30" t="n">
        <x:f>$E$40*INDEX('Assumptions'!$E$65:$E$101,MIN(C136,36)+1)</x:f>
        <x:v>0.2</x:v>
      </x:c>
      <x:c r="E136" s="30" t="n">
        <x:f>(D136-D135)*H135</x:f>
        <x:v>0</x:v>
      </x:c>
      <x:c r="F136" s="30" t="n">
        <x:f>(1-D136-J135)*(H135-H136)+(J136-J135)*H136</x:f>
        <x:v>0</x:v>
      </x:c>
      <x:c r="G136" s="30" t="n">
        <x:f>SUM(E137:E147)</x:f>
        <x:v>0</x:v>
      </x:c>
      <x:c r="H136" s="30" t="n">
        <x:f>IF($E$42=0,1-MIN(C136,$E$43)/$E$43,((1+$E$42)^$E$43-(1+$E$42)^MIN(C136,$E$43))/((1+$E$42)^$E$43-1))</x:f>
        <x:v>0</x:v>
      </x:c>
      <x:c r="I136" s="30" t="n">
        <x:f>MAX(0,1-D136-J136)</x:f>
        <x:v>0</x:v>
      </x:c>
      <x:c r="J136" s="2" t="n">
        <x:f>(1-$E$40)*INDEX('Assumptions'!$H$65:$H$101,MIN(C136,36)+1)</x:f>
        <x:v>0.8</x:v>
      </x:c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</x:row>
    <x:row r="137" ht="19" customHeight="1">
      <x:c r="A137" s="1"/>
      <x:c r="B137" s="1"/>
      <x:c r="C137" s="2" t="n">
        <x:v>86</x:v>
      </x:c>
      <x:c r="D137" s="30" t="n">
        <x:f>$E$40*INDEX('Assumptions'!$E$65:$E$101,MIN(C137,36)+1)</x:f>
        <x:v>0.2</x:v>
      </x:c>
      <x:c r="E137" s="30" t="n">
        <x:f>(D137-D136)*H136</x:f>
        <x:v>0</x:v>
      </x:c>
      <x:c r="F137" s="30" t="n">
        <x:f>(1-D137-J136)*(H136-H137)+(J137-J136)*H137</x:f>
        <x:v>0</x:v>
      </x:c>
      <x:c r="G137" s="30" t="n">
        <x:f>SUM(E138:E147)</x:f>
        <x:v>0</x:v>
      </x:c>
      <x:c r="H137" s="30" t="n">
        <x:f>IF($E$42=0,1-MIN(C137,$E$43)/$E$43,((1+$E$42)^$E$43-(1+$E$42)^MIN(C137,$E$43))/((1+$E$42)^$E$43-1))</x:f>
        <x:v>0</x:v>
      </x:c>
      <x:c r="I137" s="30" t="n">
        <x:f>MAX(0,1-D137-J137)</x:f>
        <x:v>0</x:v>
      </x:c>
      <x:c r="J137" s="2" t="n">
        <x:f>(1-$E$40)*INDEX('Assumptions'!$H$65:$H$101,MIN(C137,36)+1)</x:f>
        <x:v>0.8</x:v>
      </x:c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</x:row>
    <x:row r="138" ht="19" customHeight="1">
      <x:c r="A138" s="1"/>
      <x:c r="B138" s="1"/>
      <x:c r="C138" s="2" t="n">
        <x:v>87</x:v>
      </x:c>
      <x:c r="D138" s="30" t="n">
        <x:f>$E$40*INDEX('Assumptions'!$E$65:$E$101,MIN(C138,36)+1)</x:f>
        <x:v>0.2</x:v>
      </x:c>
      <x:c r="E138" s="30" t="n">
        <x:f>(D138-D137)*H137</x:f>
        <x:v>0</x:v>
      </x:c>
      <x:c r="F138" s="30" t="n">
        <x:f>(1-D138-J137)*(H137-H138)+(J138-J137)*H138</x:f>
        <x:v>0</x:v>
      </x:c>
      <x:c r="G138" s="30" t="n">
        <x:f>SUM(E139:E147)</x:f>
        <x:v>0</x:v>
      </x:c>
      <x:c r="H138" s="30" t="n">
        <x:f>IF($E$42=0,1-MIN(C138,$E$43)/$E$43,((1+$E$42)^$E$43-(1+$E$42)^MIN(C138,$E$43))/((1+$E$42)^$E$43-1))</x:f>
        <x:v>0</x:v>
      </x:c>
      <x:c r="I138" s="30" t="n">
        <x:f>MAX(0,1-D138-J138)</x:f>
        <x:v>0</x:v>
      </x:c>
      <x:c r="J138" s="2" t="n">
        <x:f>(1-$E$40)*INDEX('Assumptions'!$H$65:$H$101,MIN(C138,36)+1)</x:f>
        <x:v>0.8</x:v>
      </x:c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</x:row>
    <x:row r="139" ht="19" customHeight="1">
      <x:c r="A139" s="1"/>
      <x:c r="B139" s="1"/>
      <x:c r="C139" s="2" t="n">
        <x:v>88</x:v>
      </x:c>
      <x:c r="D139" s="30" t="n">
        <x:f>$E$40*INDEX('Assumptions'!$E$65:$E$101,MIN(C139,36)+1)</x:f>
        <x:v>0.2</x:v>
      </x:c>
      <x:c r="E139" s="30" t="n">
        <x:f>(D139-D138)*H138</x:f>
        <x:v>0</x:v>
      </x:c>
      <x:c r="F139" s="30" t="n">
        <x:f>(1-D139-J138)*(H138-H139)+(J139-J138)*H139</x:f>
        <x:v>0</x:v>
      </x:c>
      <x:c r="G139" s="30" t="n">
        <x:f>SUM(E140:E147)</x:f>
        <x:v>0</x:v>
      </x:c>
      <x:c r="H139" s="30" t="n">
        <x:f>IF($E$42=0,1-MIN(C139,$E$43)/$E$43,((1+$E$42)^$E$43-(1+$E$42)^MIN(C139,$E$43))/((1+$E$42)^$E$43-1))</x:f>
        <x:v>0</x:v>
      </x:c>
      <x:c r="I139" s="30" t="n">
        <x:f>MAX(0,1-D139-J139)</x:f>
        <x:v>0</x:v>
      </x:c>
      <x:c r="J139" s="2" t="n">
        <x:f>(1-$E$40)*INDEX('Assumptions'!$H$65:$H$101,MIN(C139,36)+1)</x:f>
        <x:v>0.8</x:v>
      </x:c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</x:row>
    <x:row r="140" ht="19" customHeight="1">
      <x:c r="A140" s="1"/>
      <x:c r="B140" s="1"/>
      <x:c r="C140" s="2" t="n">
        <x:v>89</x:v>
      </x:c>
      <x:c r="D140" s="30" t="n">
        <x:f>$E$40*INDEX('Assumptions'!$E$65:$E$101,MIN(C140,36)+1)</x:f>
        <x:v>0.2</x:v>
      </x:c>
      <x:c r="E140" s="30" t="n">
        <x:f>(D140-D139)*H139</x:f>
        <x:v>0</x:v>
      </x:c>
      <x:c r="F140" s="30" t="n">
        <x:f>(1-D140-J139)*(H139-H140)+(J140-J139)*H140</x:f>
        <x:v>0</x:v>
      </x:c>
      <x:c r="G140" s="30" t="n">
        <x:f>SUM(E141:E147)</x:f>
        <x:v>0</x:v>
      </x:c>
      <x:c r="H140" s="30" t="n">
        <x:f>IF($E$42=0,1-MIN(C140,$E$43)/$E$43,((1+$E$42)^$E$43-(1+$E$42)^MIN(C140,$E$43))/((1+$E$42)^$E$43-1))</x:f>
        <x:v>0</x:v>
      </x:c>
      <x:c r="I140" s="30" t="n">
        <x:f>MAX(0,1-D140-J140)</x:f>
        <x:v>0</x:v>
      </x:c>
      <x:c r="J140" s="2" t="n">
        <x:f>(1-$E$40)*INDEX('Assumptions'!$H$65:$H$101,MIN(C140,36)+1)</x:f>
        <x:v>0.8</x:v>
      </x:c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</x:row>
    <x:row r="141" ht="19" customHeight="1">
      <x:c r="A141" s="1"/>
      <x:c r="B141" s="1"/>
      <x:c r="C141" s="2" t="n">
        <x:v>90</x:v>
      </x:c>
      <x:c r="D141" s="30" t="n">
        <x:f>$E$40*INDEX('Assumptions'!$E$65:$E$101,MIN(C141,36)+1)</x:f>
        <x:v>0.2</x:v>
      </x:c>
      <x:c r="E141" s="30" t="n">
        <x:f>(D141-D140)*H140</x:f>
        <x:v>0</x:v>
      </x:c>
      <x:c r="F141" s="30" t="n">
        <x:f>(1-D141-J140)*(H140-H141)+(J141-J140)*H141</x:f>
        <x:v>0</x:v>
      </x:c>
      <x:c r="G141" s="30" t="n">
        <x:f>SUM(E142:E147)</x:f>
        <x:v>0</x:v>
      </x:c>
      <x:c r="H141" s="30" t="n">
        <x:f>IF($E$42=0,1-MIN(C141,$E$43)/$E$43,((1+$E$42)^$E$43-(1+$E$42)^MIN(C141,$E$43))/((1+$E$42)^$E$43-1))</x:f>
        <x:v>0</x:v>
      </x:c>
      <x:c r="I141" s="30" t="n">
        <x:f>MAX(0,1-D141-J141)</x:f>
        <x:v>0</x:v>
      </x:c>
      <x:c r="J141" s="2" t="n">
        <x:f>(1-$E$40)*INDEX('Assumptions'!$H$65:$H$101,MIN(C141,36)+1)</x:f>
        <x:v>0.8</x:v>
      </x:c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</x:row>
    <x:row r="142" ht="19" customHeight="1">
      <x:c r="A142" s="1"/>
      <x:c r="B142" s="1"/>
      <x:c r="C142" s="2" t="n">
        <x:v>91</x:v>
      </x:c>
      <x:c r="D142" s="30" t="n">
        <x:f>$E$40*INDEX('Assumptions'!$E$65:$E$101,MIN(C142,36)+1)</x:f>
        <x:v>0.2</x:v>
      </x:c>
      <x:c r="E142" s="30" t="n">
        <x:f>(D142-D141)*H141</x:f>
        <x:v>0</x:v>
      </x:c>
      <x:c r="F142" s="30" t="n">
        <x:f>(1-D142-J141)*(H141-H142)+(J142-J141)*H142</x:f>
        <x:v>0</x:v>
      </x:c>
      <x:c r="G142" s="30" t="n">
        <x:f>SUM(E143:E147)</x:f>
        <x:v>0</x:v>
      </x:c>
      <x:c r="H142" s="30" t="n">
        <x:f>IF($E$42=0,1-MIN(C142,$E$43)/$E$43,((1+$E$42)^$E$43-(1+$E$42)^MIN(C142,$E$43))/((1+$E$42)^$E$43-1))</x:f>
        <x:v>0</x:v>
      </x:c>
      <x:c r="I142" s="30" t="n">
        <x:f>MAX(0,1-D142-J142)</x:f>
        <x:v>0</x:v>
      </x:c>
      <x:c r="J142" s="2" t="n">
        <x:f>(1-$E$40)*INDEX('Assumptions'!$H$65:$H$101,MIN(C142,36)+1)</x:f>
        <x:v>0.8</x:v>
      </x:c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</x:row>
    <x:row r="143" ht="19" customHeight="1">
      <x:c r="A143" s="1"/>
      <x:c r="B143" s="1"/>
      <x:c r="C143" s="2" t="n">
        <x:v>92</x:v>
      </x:c>
      <x:c r="D143" s="30" t="n">
        <x:f>$E$40*INDEX('Assumptions'!$E$65:$E$101,MIN(C143,36)+1)</x:f>
        <x:v>0.2</x:v>
      </x:c>
      <x:c r="E143" s="30" t="n">
        <x:f>(D143-D142)*H142</x:f>
        <x:v>0</x:v>
      </x:c>
      <x:c r="F143" s="30" t="n">
        <x:f>(1-D143-J142)*(H142-H143)+(J143-J142)*H143</x:f>
        <x:v>0</x:v>
      </x:c>
      <x:c r="G143" s="30" t="n">
        <x:f>SUM(E144:E147)</x:f>
        <x:v>0</x:v>
      </x:c>
      <x:c r="H143" s="30" t="n">
        <x:f>IF($E$42=0,1-MIN(C143,$E$43)/$E$43,((1+$E$42)^$E$43-(1+$E$42)^MIN(C143,$E$43))/((1+$E$42)^$E$43-1))</x:f>
        <x:v>0</x:v>
      </x:c>
      <x:c r="I143" s="30" t="n">
        <x:f>MAX(0,1-D143-J143)</x:f>
        <x:v>0</x:v>
      </x:c>
      <x:c r="J143" s="2" t="n">
        <x:f>(1-$E$40)*INDEX('Assumptions'!$H$65:$H$101,MIN(C143,36)+1)</x:f>
        <x:v>0.8</x:v>
      </x:c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</x:row>
    <x:row r="144" ht="19" customHeight="1">
      <x:c r="A144" s="1"/>
      <x:c r="B144" s="1"/>
      <x:c r="C144" s="2" t="n">
        <x:v>93</x:v>
      </x:c>
      <x:c r="D144" s="30" t="n">
        <x:f>$E$40*INDEX('Assumptions'!$E$65:$E$101,MIN(C144,36)+1)</x:f>
        <x:v>0.2</x:v>
      </x:c>
      <x:c r="E144" s="30" t="n">
        <x:f>(D144-D143)*H143</x:f>
        <x:v>0</x:v>
      </x:c>
      <x:c r="F144" s="30" t="n">
        <x:f>(1-D144-J143)*(H143-H144)+(J144-J143)*H144</x:f>
        <x:v>0</x:v>
      </x:c>
      <x:c r="G144" s="30" t="n">
        <x:f>SUM(E145:E147)</x:f>
        <x:v>0</x:v>
      </x:c>
      <x:c r="H144" s="30" t="n">
        <x:f>IF($E$42=0,1-MIN(C144,$E$43)/$E$43,((1+$E$42)^$E$43-(1+$E$42)^MIN(C144,$E$43))/((1+$E$42)^$E$43-1))</x:f>
        <x:v>0</x:v>
      </x:c>
      <x:c r="I144" s="30" t="n">
        <x:f>MAX(0,1-D144-J144)</x:f>
        <x:v>0</x:v>
      </x:c>
      <x:c r="J144" s="2" t="n">
        <x:f>(1-$E$40)*INDEX('Assumptions'!$H$65:$H$101,MIN(C144,36)+1)</x:f>
        <x:v>0.8</x:v>
      </x:c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</x:row>
    <x:row r="145" ht="19" customHeight="1">
      <x:c r="A145" s="1"/>
      <x:c r="B145" s="1"/>
      <x:c r="C145" s="2" t="n">
        <x:v>94</x:v>
      </x:c>
      <x:c r="D145" s="30" t="n">
        <x:f>$E$40*INDEX('Assumptions'!$E$65:$E$101,MIN(C145,36)+1)</x:f>
        <x:v>0.2</x:v>
      </x:c>
      <x:c r="E145" s="30" t="n">
        <x:f>(D145-D144)*H144</x:f>
        <x:v>0</x:v>
      </x:c>
      <x:c r="F145" s="30" t="n">
        <x:f>(1-D145-J144)*(H144-H145)+(J145-J144)*H145</x:f>
        <x:v>0</x:v>
      </x:c>
      <x:c r="G145" s="30" t="n">
        <x:f>SUM(E146:E147)</x:f>
        <x:v>0</x:v>
      </x:c>
      <x:c r="H145" s="30" t="n">
        <x:f>IF($E$42=0,1-MIN(C145,$E$43)/$E$43,((1+$E$42)^$E$43-(1+$E$42)^MIN(C145,$E$43))/((1+$E$42)^$E$43-1))</x:f>
        <x:v>0</x:v>
      </x:c>
      <x:c r="I145" s="30" t="n">
        <x:f>MAX(0,1-D145-J145)</x:f>
        <x:v>0</x:v>
      </x:c>
      <x:c r="J145" s="2" t="n">
        <x:f>(1-$E$40)*INDEX('Assumptions'!$H$65:$H$101,MIN(C145,36)+1)</x:f>
        <x:v>0.8</x:v>
      </x:c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</x:row>
    <x:row r="146" ht="19" customHeight="1">
      <x:c r="A146" s="1"/>
      <x:c r="B146" s="1"/>
      <x:c r="C146" s="2" t="n">
        <x:v>95</x:v>
      </x:c>
      <x:c r="D146" s="30" t="n">
        <x:f>$E$40*INDEX('Assumptions'!$E$65:$E$101,MIN(C146,36)+1)</x:f>
        <x:v>0.2</x:v>
      </x:c>
      <x:c r="E146" s="30" t="n">
        <x:f>(D146-D145)*H145</x:f>
        <x:v>0</x:v>
      </x:c>
      <x:c r="F146" s="30" t="n">
        <x:f>(1-D146-J145)*(H145-H146)+(J146-J145)*H146</x:f>
        <x:v>0</x:v>
      </x:c>
      <x:c r="G146" s="30" t="n">
        <x:f>SUM(E147:E147)</x:f>
        <x:v>0</x:v>
      </x:c>
      <x:c r="H146" s="30" t="n">
        <x:f>IF($E$42=0,1-MIN(C146,$E$43)/$E$43,((1+$E$42)^$E$43-(1+$E$42)^MIN(C146,$E$43))/((1+$E$42)^$E$43-1))</x:f>
        <x:v>0</x:v>
      </x:c>
      <x:c r="I146" s="30" t="n">
        <x:f>MAX(0,1-D146-J146)</x:f>
        <x:v>0</x:v>
      </x:c>
      <x:c r="J146" s="2" t="n">
        <x:f>(1-$E$40)*INDEX('Assumptions'!$H$65:$H$101,MIN(C146,36)+1)</x:f>
        <x:v>0.8</x:v>
      </x:c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</x:row>
    <x:row r="147" ht="19" customHeight="1">
      <x:c r="A147" s="1"/>
      <x:c r="B147" s="1"/>
      <x:c r="C147" s="2" t="n">
        <x:v>96</x:v>
      </x:c>
      <x:c r="D147" s="30" t="n">
        <x:f>$E$40*INDEX('Assumptions'!$E$65:$E$101,MIN(C147,36)+1)</x:f>
        <x:v>0.2</x:v>
      </x:c>
      <x:c r="E147" s="30" t="n">
        <x:f>(D147-D146)*H146</x:f>
        <x:v>0</x:v>
      </x:c>
      <x:c r="F147" s="30" t="n">
        <x:f>(1-D147-J146)*(H146-H147)+(J147-J146)*H147</x:f>
        <x:v>0</x:v>
      </x:c>
      <x:c r="G147" s="30" t="n">
        <x:f>0</x:f>
        <x:v>0</x:v>
      </x:c>
      <x:c r="H147" s="30" t="n">
        <x:f>IF($E$42=0,1-MIN(C147,$E$43)/$E$43,((1+$E$42)^$E$43-(1+$E$42)^MIN(C147,$E$43))/((1+$E$42)^$E$43-1))</x:f>
        <x:v>0</x:v>
      </x:c>
      <x:c r="I147" s="30" t="n">
        <x:f>MAX(0,1-D147-J147)</x:f>
        <x:v>0</x:v>
      </x:c>
      <x:c r="J147" s="2" t="n">
        <x:f>(1-$E$40)*INDEX('Assumptions'!$H$65:$H$101,MIN(C147,36)+1)</x:f>
        <x:v>0.8</x:v>
      </x:c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</x:row>
    <x:row r="148" ht="19" customHeight="1">
      <x:c r="A148" s="1"/>
      <x:c r="B148" s="1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</x:row>
    <x:row r="149" ht="19" customHeight="1">
      <x:c r="A149" s="1"/>
      <x:c r="B149" s="1"/>
      <x:c r="C149" s="2" t="str">
        <x:v>Reversed age weights</x:v>
      </x:c>
      <x:c r="D149" s="2"/>
      <x:c r="E149" s="2"/>
      <x:c r="F149" s="2"/>
      <x:c r="G149" s="2" t="n">
        <x:v>96</x:v>
      </x:c>
      <x:c r="H149" s="2" t="n">
        <x:v>95</x:v>
      </x:c>
      <x:c r="I149" s="2" t="n">
        <x:v>94</x:v>
      </x:c>
      <x:c r="J149" s="2" t="n">
        <x:v>93</x:v>
      </x:c>
      <x:c r="K149" s="2" t="n">
        <x:v>92</x:v>
      </x:c>
      <x:c r="L149" s="2" t="n">
        <x:v>91</x:v>
      </x:c>
      <x:c r="M149" s="2" t="n">
        <x:v>90</x:v>
      </x:c>
      <x:c r="N149" s="2" t="n">
        <x:v>89</x:v>
      </x:c>
      <x:c r="O149" s="2" t="n">
        <x:v>88</x:v>
      </x:c>
      <x:c r="P149" s="2" t="n">
        <x:v>87</x:v>
      </x:c>
      <x:c r="Q149" s="2" t="n">
        <x:v>86</x:v>
      </x:c>
      <x:c r="R149" s="2" t="n">
        <x:v>85</x:v>
      </x:c>
      <x:c r="S149" s="2" t="n">
        <x:v>84</x:v>
      </x:c>
      <x:c r="T149" s="2" t="n">
        <x:v>83</x:v>
      </x:c>
      <x:c r="U149" s="2" t="n">
        <x:v>82</x:v>
      </x:c>
      <x:c r="V149" s="2" t="n">
        <x:v>81</x:v>
      </x:c>
      <x:c r="W149" s="2" t="n">
        <x:v>80</x:v>
      </x:c>
      <x:c r="X149" s="2" t="n">
        <x:v>79</x:v>
      </x:c>
      <x:c r="Y149" s="2" t="n">
        <x:v>78</x:v>
      </x:c>
      <x:c r="Z149" s="2" t="n">
        <x:v>77</x:v>
      </x:c>
      <x:c r="AA149" s="2" t="n">
        <x:v>76</x:v>
      </x:c>
      <x:c r="AB149" s="2" t="n">
        <x:v>75</x:v>
      </x:c>
      <x:c r="AC149" s="2" t="n">
        <x:v>74</x:v>
      </x:c>
      <x:c r="AD149" s="2" t="n">
        <x:v>73</x:v>
      </x:c>
      <x:c r="AE149" s="2" t="n">
        <x:v>72</x:v>
      </x:c>
      <x:c r="AF149" s="2" t="n">
        <x:v>71</x:v>
      </x:c>
      <x:c r="AG149" s="2" t="n">
        <x:v>70</x:v>
      </x:c>
      <x:c r="AH149" s="2" t="n">
        <x:v>69</x:v>
      </x:c>
      <x:c r="AI149" s="2" t="n">
        <x:v>68</x:v>
      </x:c>
      <x:c r="AJ149" s="2" t="n">
        <x:v>67</x:v>
      </x:c>
      <x:c r="AK149" s="2" t="n">
        <x:v>66</x:v>
      </x:c>
      <x:c r="AL149" s="2" t="n">
        <x:v>65</x:v>
      </x:c>
      <x:c r="AM149" s="2" t="n">
        <x:v>64</x:v>
      </x:c>
      <x:c r="AN149" s="2" t="n">
        <x:v>63</x:v>
      </x:c>
      <x:c r="AO149" s="2" t="n">
        <x:v>62</x:v>
      </x:c>
      <x:c r="AP149" s="2" t="n">
        <x:v>61</x:v>
      </x:c>
      <x:c r="AQ149" s="2" t="n">
        <x:v>60</x:v>
      </x:c>
      <x:c r="AR149" s="2" t="n">
        <x:v>59</x:v>
      </x:c>
      <x:c r="AS149" s="2" t="n">
        <x:v>58</x:v>
      </x:c>
      <x:c r="AT149" s="2" t="n">
        <x:v>57</x:v>
      </x:c>
      <x:c r="AU149" s="2" t="n">
        <x:v>56</x:v>
      </x:c>
      <x:c r="AV149" s="2" t="n">
        <x:v>55</x:v>
      </x:c>
      <x:c r="AW149" s="2" t="n">
        <x:v>54</x:v>
      </x:c>
      <x:c r="AX149" s="2" t="n">
        <x:v>53</x:v>
      </x:c>
      <x:c r="AY149" s="2" t="n">
        <x:v>52</x:v>
      </x:c>
      <x:c r="AZ149" s="2" t="n">
        <x:v>51</x:v>
      </x:c>
      <x:c r="BA149" s="2" t="n">
        <x:v>50</x:v>
      </x:c>
      <x:c r="BB149" s="2" t="n">
        <x:v>49</x:v>
      </x:c>
      <x:c r="BC149" s="2" t="n">
        <x:v>48</x:v>
      </x:c>
      <x:c r="BD149" s="2" t="n">
        <x:v>47</x:v>
      </x:c>
      <x:c r="BE149" s="2" t="n">
        <x:v>46</x:v>
      </x:c>
      <x:c r="BF149" s="2" t="n">
        <x:v>45</x:v>
      </x:c>
      <x:c r="BG149" s="2" t="n">
        <x:v>44</x:v>
      </x:c>
      <x:c r="BH149" s="2" t="n">
        <x:v>43</x:v>
      </x:c>
      <x:c r="BI149" s="2" t="n">
        <x:v>42</x:v>
      </x:c>
      <x:c r="BJ149" s="2" t="n">
        <x:v>41</x:v>
      </x:c>
      <x:c r="BK149" s="2" t="n">
        <x:v>40</x:v>
      </x:c>
      <x:c r="BL149" s="2" t="n">
        <x:v>39</x:v>
      </x:c>
      <x:c r="BM149" s="2" t="n">
        <x:v>38</x:v>
      </x:c>
      <x:c r="BN149" s="2" t="n">
        <x:v>37</x:v>
      </x:c>
      <x:c r="BO149" s="2" t="n">
        <x:v>36</x:v>
      </x:c>
      <x:c r="BP149" s="2" t="n">
        <x:v>35</x:v>
      </x:c>
      <x:c r="BQ149" s="2" t="n">
        <x:v>34</x:v>
      </x:c>
      <x:c r="BR149" s="2" t="n">
        <x:v>33</x:v>
      </x:c>
      <x:c r="BS149" s="2" t="n">
        <x:v>32</x:v>
      </x:c>
      <x:c r="BT149" s="2" t="n">
        <x:v>31</x:v>
      </x:c>
      <x:c r="BU149" s="2" t="n">
        <x:v>30</x:v>
      </x:c>
      <x:c r="BV149" s="2" t="n">
        <x:v>29</x:v>
      </x:c>
      <x:c r="BW149" s="2" t="n">
        <x:v>28</x:v>
      </x:c>
      <x:c r="BX149" s="2" t="n">
        <x:v>27</x:v>
      </x:c>
      <x:c r="BY149" s="2" t="n">
        <x:v>26</x:v>
      </x:c>
      <x:c r="BZ149" s="2" t="n">
        <x:v>25</x:v>
      </x:c>
      <x:c r="CA149" s="2" t="n">
        <x:v>24</x:v>
      </x:c>
      <x:c r="CB149" s="2" t="n">
        <x:v>23</x:v>
      </x:c>
      <x:c r="CC149" s="2" t="n">
        <x:v>22</x:v>
      </x:c>
      <x:c r="CD149" s="2" t="n">
        <x:v>21</x:v>
      </x:c>
      <x:c r="CE149" s="2" t="n">
        <x:v>20</x:v>
      </x:c>
      <x:c r="CF149" s="2" t="n">
        <x:v>19</x:v>
      </x:c>
      <x:c r="CG149" s="2" t="n">
        <x:v>18</x:v>
      </x:c>
      <x:c r="CH149" s="2" t="n">
        <x:v>17</x:v>
      </x:c>
      <x:c r="CI149" s="2" t="n">
        <x:v>16</x:v>
      </x:c>
      <x:c r="CJ149" s="2" t="n">
        <x:v>15</x:v>
      </x:c>
      <x:c r="CK149" s="2" t="n">
        <x:v>14</x:v>
      </x:c>
      <x:c r="CL149" s="2" t="n">
        <x:v>13</x:v>
      </x:c>
      <x:c r="CM149" s="2" t="n">
        <x:v>12</x:v>
      </x:c>
      <x:c r="CN149" s="2" t="n">
        <x:v>11</x:v>
      </x:c>
      <x:c r="CO149" s="2" t="n">
        <x:v>10</x:v>
      </x:c>
      <x:c r="CP149" s="2" t="n">
        <x:v>9</x:v>
      </x:c>
      <x:c r="CQ149" s="2" t="n">
        <x:v>8</x:v>
      </x:c>
      <x:c r="CR149" s="2" t="n">
        <x:v>7</x:v>
      </x:c>
      <x:c r="CS149" s="2" t="n">
        <x:v>6</x:v>
      </x:c>
      <x:c r="CT149" s="2" t="n">
        <x:v>5</x:v>
      </x:c>
      <x:c r="CU149" s="2" t="n">
        <x:v>4</x:v>
      </x:c>
      <x:c r="CV149" s="2" t="n">
        <x:v>3</x:v>
      </x:c>
      <x:c r="CW149" s="2" t="n">
        <x:v>2</x:v>
      </x:c>
      <x:c r="CX149" s="2" t="n">
        <x:v>1</x:v>
      </x:c>
      <x:c r="CY149" s="2" t="n">
        <x:v>0</x:v>
      </x:c>
    </x:row>
    <x:row r="150" ht="19" customHeight="1">
      <x:c r="A150" s="1"/>
      <x:c r="B150" s="1"/>
      <x:c r="C150" s="2" t="str">
        <x:v>Charge-off weights</x:v>
      </x:c>
      <x:c r="D150" s="2"/>
      <x:c r="E150" s="2"/>
      <x:c r="F150" s="2"/>
      <x:c r="G150" s="30" t="n">
        <x:f>E147</x:f>
        <x:v>0</x:v>
      </x:c>
      <x:c r="H150" s="30" t="n">
        <x:f>E146</x:f>
        <x:v>0</x:v>
      </x:c>
      <x:c r="I150" s="30" t="n">
        <x:f>E145</x:f>
        <x:v>0</x:v>
      </x:c>
      <x:c r="J150" s="30" t="n">
        <x:f>E144</x:f>
        <x:v>0</x:v>
      </x:c>
      <x:c r="K150" s="30" t="n">
        <x:f>E143</x:f>
        <x:v>0</x:v>
      </x:c>
      <x:c r="L150" s="30" t="n">
        <x:f>E142</x:f>
        <x:v>0</x:v>
      </x:c>
      <x:c r="M150" s="30" t="n">
        <x:f>E141</x:f>
        <x:v>0</x:v>
      </x:c>
      <x:c r="N150" s="30" t="n">
        <x:f>E140</x:f>
        <x:v>0</x:v>
      </x:c>
      <x:c r="O150" s="30" t="n">
        <x:f>E139</x:f>
        <x:v>0</x:v>
      </x:c>
      <x:c r="P150" s="30" t="n">
        <x:f>E138</x:f>
        <x:v>0</x:v>
      </x:c>
      <x:c r="Q150" s="30" t="n">
        <x:f>E137</x:f>
        <x:v>0</x:v>
      </x:c>
      <x:c r="R150" s="30" t="n">
        <x:f>E136</x:f>
        <x:v>0</x:v>
      </x:c>
      <x:c r="S150" s="30" t="n">
        <x:f>E135</x:f>
        <x:v>0</x:v>
      </x:c>
      <x:c r="T150" s="30" t="n">
        <x:f>E134</x:f>
        <x:v>0</x:v>
      </x:c>
      <x:c r="U150" s="30" t="n">
        <x:f>E133</x:f>
        <x:v>0</x:v>
      </x:c>
      <x:c r="V150" s="30" t="n">
        <x:f>E132</x:f>
        <x:v>0</x:v>
      </x:c>
      <x:c r="W150" s="30" t="n">
        <x:f>E131</x:f>
        <x:v>0</x:v>
      </x:c>
      <x:c r="X150" s="30" t="n">
        <x:f>E130</x:f>
        <x:v>0</x:v>
      </x:c>
      <x:c r="Y150" s="30" t="n">
        <x:f>E129</x:f>
        <x:v>0</x:v>
      </x:c>
      <x:c r="Z150" s="30" t="n">
        <x:f>E128</x:f>
        <x:v>0</x:v>
      </x:c>
      <x:c r="AA150" s="30" t="n">
        <x:f>E127</x:f>
        <x:v>0</x:v>
      </x:c>
      <x:c r="AB150" s="30" t="n">
        <x:f>E126</x:f>
        <x:v>0</x:v>
      </x:c>
      <x:c r="AC150" s="30" t="n">
        <x:f>E125</x:f>
        <x:v>0</x:v>
      </x:c>
      <x:c r="AD150" s="30" t="n">
        <x:f>E124</x:f>
        <x:v>0</x:v>
      </x:c>
      <x:c r="AE150" s="30" t="n">
        <x:f>E123</x:f>
        <x:v>0</x:v>
      </x:c>
      <x:c r="AF150" s="30" t="n">
        <x:f>E122</x:f>
        <x:v>0</x:v>
      </x:c>
      <x:c r="AG150" s="30" t="n">
        <x:f>E121</x:f>
        <x:v>0</x:v>
      </x:c>
      <x:c r="AH150" s="30" t="n">
        <x:f>E120</x:f>
        <x:v>0</x:v>
      </x:c>
      <x:c r="AI150" s="30" t="n">
        <x:f>E119</x:f>
        <x:v>0</x:v>
      </x:c>
      <x:c r="AJ150" s="30" t="n">
        <x:f>E118</x:f>
        <x:v>0</x:v>
      </x:c>
      <x:c r="AK150" s="30" t="n">
        <x:f>E117</x:f>
        <x:v>0</x:v>
      </x:c>
      <x:c r="AL150" s="30" t="n">
        <x:f>E116</x:f>
        <x:v>0</x:v>
      </x:c>
      <x:c r="AM150" s="30" t="n">
        <x:f>E115</x:f>
        <x:v>0</x:v>
      </x:c>
      <x:c r="AN150" s="30" t="n">
        <x:f>E114</x:f>
        <x:v>0</x:v>
      </x:c>
      <x:c r="AO150" s="30" t="n">
        <x:f>E113</x:f>
        <x:v>0</x:v>
      </x:c>
      <x:c r="AP150" s="30" t="n">
        <x:f>E112</x:f>
        <x:v>0</x:v>
      </x:c>
      <x:c r="AQ150" s="30" t="n">
        <x:f>E111</x:f>
        <x:v>0</x:v>
      </x:c>
      <x:c r="AR150" s="30" t="n">
        <x:f>E110</x:f>
        <x:v>0</x:v>
      </x:c>
      <x:c r="AS150" s="30" t="n">
        <x:f>E109</x:f>
        <x:v>0</x:v>
      </x:c>
      <x:c r="AT150" s="30" t="n">
        <x:f>E108</x:f>
        <x:v>0</x:v>
      </x:c>
      <x:c r="AU150" s="30" t="n">
        <x:f>E107</x:f>
        <x:v>0</x:v>
      </x:c>
      <x:c r="AV150" s="30" t="n">
        <x:f>E106</x:f>
        <x:v>0</x:v>
      </x:c>
      <x:c r="AW150" s="30" t="n">
        <x:f>E105</x:f>
        <x:v>0</x:v>
      </x:c>
      <x:c r="AX150" s="30" t="n">
        <x:f>E104</x:f>
        <x:v>0</x:v>
      </x:c>
      <x:c r="AY150" s="30" t="n">
        <x:f>E103</x:f>
        <x:v>0</x:v>
      </x:c>
      <x:c r="AZ150" s="30" t="n">
        <x:f>E102</x:f>
        <x:v>0</x:v>
      </x:c>
      <x:c r="BA150" s="30" t="n">
        <x:f>E101</x:f>
        <x:v>0</x:v>
      </x:c>
      <x:c r="BB150" s="30" t="n">
        <x:f>E100</x:f>
        <x:v>0</x:v>
      </x:c>
      <x:c r="BC150" s="30" t="n">
        <x:f>E99</x:f>
        <x:v>0</x:v>
      </x:c>
      <x:c r="BD150" s="30" t="n">
        <x:f>E98</x:f>
        <x:v>0</x:v>
      </x:c>
      <x:c r="BE150" s="30" t="n">
        <x:f>E97</x:f>
        <x:v>0</x:v>
      </x:c>
      <x:c r="BF150" s="30" t="n">
        <x:f>E96</x:f>
        <x:v>0</x:v>
      </x:c>
      <x:c r="BG150" s="30" t="n">
        <x:f>E95</x:f>
        <x:v>0</x:v>
      </x:c>
      <x:c r="BH150" s="30" t="n">
        <x:f>E94</x:f>
        <x:v>0</x:v>
      </x:c>
      <x:c r="BI150" s="30" t="n">
        <x:f>E93</x:f>
        <x:v>0</x:v>
      </x:c>
      <x:c r="BJ150" s="30" t="n">
        <x:f>E92</x:f>
        <x:v>0</x:v>
      </x:c>
      <x:c r="BK150" s="30" t="n">
        <x:f>E91</x:f>
        <x:v>0</x:v>
      </x:c>
      <x:c r="BL150" s="30" t="n">
        <x:f>E90</x:f>
        <x:v>0</x:v>
      </x:c>
      <x:c r="BM150" s="30" t="n">
        <x:f>E89</x:f>
        <x:v>0</x:v>
      </x:c>
      <x:c r="BN150" s="30" t="n">
        <x:f>E88</x:f>
        <x:v>0</x:v>
      </x:c>
      <x:c r="BO150" s="30" t="n">
        <x:f>E87</x:f>
        <x:v>0</x:v>
      </x:c>
      <x:c r="BP150" s="30" t="n">
        <x:f>E86</x:f>
        <x:v>0</x:v>
      </x:c>
      <x:c r="BQ150" s="30" t="n">
        <x:f>E85</x:f>
        <x:v>0</x:v>
      </x:c>
      <x:c r="BR150" s="30" t="n">
        <x:f>E84</x:f>
        <x:v>0</x:v>
      </x:c>
      <x:c r="BS150" s="30" t="n">
        <x:f>E83</x:f>
        <x:v>0</x:v>
      </x:c>
      <x:c r="BT150" s="30" t="n">
        <x:f>E82</x:f>
        <x:v>0</x:v>
      </x:c>
      <x:c r="BU150" s="30" t="n">
        <x:f>E81</x:f>
        <x:v>0</x:v>
      </x:c>
      <x:c r="BV150" s="30" t="n">
        <x:f>E80</x:f>
        <x:v>0</x:v>
      </x:c>
      <x:c r="BW150" s="30" t="n">
        <x:f>E79</x:f>
        <x:v>0</x:v>
      </x:c>
      <x:c r="BX150" s="30" t="n">
        <x:f>E78</x:f>
        <x:v>0</x:v>
      </x:c>
      <x:c r="BY150" s="30" t="n">
        <x:f>E77</x:f>
        <x:v>0</x:v>
      </x:c>
      <x:c r="BZ150" s="30" t="n">
        <x:f>E76</x:f>
        <x:v>0</x:v>
      </x:c>
      <x:c r="CA150" s="30" t="n">
        <x:f>E75</x:f>
        <x:v>0</x:v>
      </x:c>
      <x:c r="CB150" s="30" t="n">
        <x:f>E74</x:f>
        <x:v>0</x:v>
      </x:c>
      <x:c r="CC150" s="30" t="n">
        <x:f>E73</x:f>
        <x:v>0</x:v>
      </x:c>
      <x:c r="CD150" s="30" t="n">
        <x:f>E72</x:f>
        <x:v>0</x:v>
      </x:c>
      <x:c r="CE150" s="30" t="n">
        <x:f>E71</x:f>
        <x:v>0</x:v>
      </x:c>
      <x:c r="CF150" s="30" t="n">
        <x:f>E70</x:f>
        <x:v>0</x:v>
      </x:c>
      <x:c r="CG150" s="30" t="n">
        <x:f>E69</x:f>
        <x:v>0</x:v>
      </x:c>
      <x:c r="CH150" s="30" t="n">
        <x:f>E68</x:f>
        <x:v>0</x:v>
      </x:c>
      <x:c r="CI150" s="30" t="n">
        <x:f>E67</x:f>
        <x:v>0</x:v>
      </x:c>
      <x:c r="CJ150" s="30" t="n">
        <x:f>E66</x:f>
        <x:v>0</x:v>
      </x:c>
      <x:c r="CK150" s="30" t="n">
        <x:f>E65</x:f>
        <x:v>0</x:v>
      </x:c>
      <x:c r="CL150" s="30" t="n">
        <x:f>E64</x:f>
        <x:v>0</x:v>
      </x:c>
      <x:c r="CM150" s="30" t="n">
        <x:f>E63</x:f>
        <x:v>0</x:v>
      </x:c>
      <x:c r="CN150" s="30" t="n">
        <x:f>E62</x:f>
        <x:v>0</x:v>
      </x:c>
      <x:c r="CO150" s="30" t="n">
        <x:f>E61</x:f>
        <x:v>0</x:v>
      </x:c>
      <x:c r="CP150" s="30" t="n">
        <x:f>E60</x:f>
        <x:v>0.005355461494924383</x:v>
      </x:c>
      <x:c r="CQ150" s="30" t="n">
        <x:f>E59</x:f>
        <x:v>0.007578363458828574</x:v>
      </x:c>
      <x:c r="CR150" s="30" t="n">
        <x:f>E58</x:f>
        <x:v>0.009055303986120151</x:v>
      </x:c>
      <x:c r="CS150" s="30" t="n">
        <x:f>E57</x:f>
        <x:v>0.012361477214466378</x:v>
      </x:c>
      <x:c r="CT150" s="30" t="n">
        <x:f>E56</x:f>
        <x:v>0.01761590349157746</x:v>
      </x:c>
      <x:c r="CU150" s="30" t="n">
        <x:f>E55</x:f>
        <x:v>0.022326682199652195</x:v>
      </x:c>
      <x:c r="CV150" s="30" t="n">
        <x:f>E54</x:f>
        <x:v>0.027661929075316442</x:v>
      </x:c>
      <x:c r="CW150" s="30" t="n">
        <x:f>E53</x:f>
        <x:v>0.03724957691653874</x:v>
      </x:c>
      <x:c r="CX150" s="30" t="n">
        <x:f>E52</x:f>
        <x:v>0.047793907633118346</x:v>
      </x:c>
      <x:c r="CY150" s="30" t="n">
        <x:f>E51</x:f>
        <x:v>0</x:v>
      </x:c>
    </x:row>
    <x:row r="151" ht="19" customHeight="1">
      <x:c r="A151" s="1"/>
      <x:c r="B151" s="1"/>
      <x:c r="C151" s="2" t="str">
        <x:v>Repayment weights</x:v>
      </x:c>
      <x:c r="D151" s="2"/>
      <x:c r="E151" s="2"/>
      <x:c r="F151" s="2"/>
      <x:c r="G151" s="30" t="n">
        <x:f>F147</x:f>
        <x:v>0</x:v>
      </x:c>
      <x:c r="H151" s="30" t="n">
        <x:f>F146</x:f>
        <x:v>0</x:v>
      </x:c>
      <x:c r="I151" s="30" t="n">
        <x:f>F145</x:f>
        <x:v>0</x:v>
      </x:c>
      <x:c r="J151" s="30" t="n">
        <x:f>F144</x:f>
        <x:v>0</x:v>
      </x:c>
      <x:c r="K151" s="30" t="n">
        <x:f>F143</x:f>
        <x:v>0</x:v>
      </x:c>
      <x:c r="L151" s="30" t="n">
        <x:f>F142</x:f>
        <x:v>0</x:v>
      </x:c>
      <x:c r="M151" s="30" t="n">
        <x:f>F141</x:f>
        <x:v>0</x:v>
      </x:c>
      <x:c r="N151" s="30" t="n">
        <x:f>F140</x:f>
        <x:v>0</x:v>
      </x:c>
      <x:c r="O151" s="30" t="n">
        <x:f>F139</x:f>
        <x:v>0</x:v>
      </x:c>
      <x:c r="P151" s="30" t="n">
        <x:f>F138</x:f>
        <x:v>0</x:v>
      </x:c>
      <x:c r="Q151" s="30" t="n">
        <x:f>F137</x:f>
        <x:v>0</x:v>
      </x:c>
      <x:c r="R151" s="30" t="n">
        <x:f>F136</x:f>
        <x:v>0</x:v>
      </x:c>
      <x:c r="S151" s="30" t="n">
        <x:f>F135</x:f>
        <x:v>0</x:v>
      </x:c>
      <x:c r="T151" s="30" t="n">
        <x:f>F134</x:f>
        <x:v>0</x:v>
      </x:c>
      <x:c r="U151" s="30" t="n">
        <x:f>F133</x:f>
        <x:v>0</x:v>
      </x:c>
      <x:c r="V151" s="30" t="n">
        <x:f>F132</x:f>
        <x:v>0</x:v>
      </x:c>
      <x:c r="W151" s="30" t="n">
        <x:f>F131</x:f>
        <x:v>0</x:v>
      </x:c>
      <x:c r="X151" s="30" t="n">
        <x:f>F130</x:f>
        <x:v>0</x:v>
      </x:c>
      <x:c r="Y151" s="30" t="n">
        <x:f>F129</x:f>
        <x:v>0</x:v>
      </x:c>
      <x:c r="Z151" s="30" t="n">
        <x:f>F128</x:f>
        <x:v>0</x:v>
      </x:c>
      <x:c r="AA151" s="30" t="n">
        <x:f>F127</x:f>
        <x:v>0</x:v>
      </x:c>
      <x:c r="AB151" s="30" t="n">
        <x:f>F126</x:f>
        <x:v>0</x:v>
      </x:c>
      <x:c r="AC151" s="30" t="n">
        <x:f>F125</x:f>
        <x:v>0</x:v>
      </x:c>
      <x:c r="AD151" s="30" t="n">
        <x:f>F124</x:f>
        <x:v>0</x:v>
      </x:c>
      <x:c r="AE151" s="30" t="n">
        <x:f>F123</x:f>
        <x:v>0</x:v>
      </x:c>
      <x:c r="AF151" s="30" t="n">
        <x:f>F122</x:f>
        <x:v>0</x:v>
      </x:c>
      <x:c r="AG151" s="30" t="n">
        <x:f>F121</x:f>
        <x:v>0</x:v>
      </x:c>
      <x:c r="AH151" s="30" t="n">
        <x:f>F120</x:f>
        <x:v>0</x:v>
      </x:c>
      <x:c r="AI151" s="30" t="n">
        <x:f>F119</x:f>
        <x:v>0</x:v>
      </x:c>
      <x:c r="AJ151" s="30" t="n">
        <x:f>F118</x:f>
        <x:v>0</x:v>
      </x:c>
      <x:c r="AK151" s="30" t="n">
        <x:f>F117</x:f>
        <x:v>0</x:v>
      </x:c>
      <x:c r="AL151" s="30" t="n">
        <x:f>F116</x:f>
        <x:v>0</x:v>
      </x:c>
      <x:c r="AM151" s="30" t="n">
        <x:f>F115</x:f>
        <x:v>0</x:v>
      </x:c>
      <x:c r="AN151" s="30" t="n">
        <x:f>F114</x:f>
        <x:v>0</x:v>
      </x:c>
      <x:c r="AO151" s="30" t="n">
        <x:f>F113</x:f>
        <x:v>0</x:v>
      </x:c>
      <x:c r="AP151" s="30" t="n">
        <x:f>F112</x:f>
        <x:v>0</x:v>
      </x:c>
      <x:c r="AQ151" s="30" t="n">
        <x:f>F111</x:f>
        <x:v>0</x:v>
      </x:c>
      <x:c r="AR151" s="30" t="n">
        <x:f>F110</x:f>
        <x:v>0</x:v>
      </x:c>
      <x:c r="AS151" s="30" t="n">
        <x:f>F109</x:f>
        <x:v>0</x:v>
      </x:c>
      <x:c r="AT151" s="30" t="n">
        <x:f>F108</x:f>
        <x:v>0</x:v>
      </x:c>
      <x:c r="AU151" s="30" t="n">
        <x:f>F107</x:f>
        <x:v>0</x:v>
      </x:c>
      <x:c r="AV151" s="30" t="n">
        <x:f>F106</x:f>
        <x:v>0</x:v>
      </x:c>
      <x:c r="AW151" s="30" t="n">
        <x:f>F105</x:f>
        <x:v>0</x:v>
      </x:c>
      <x:c r="AX151" s="30" t="n">
        <x:f>F104</x:f>
        <x:v>0</x:v>
      </x:c>
      <x:c r="AY151" s="30" t="n">
        <x:f>F103</x:f>
        <x:v>0</x:v>
      </x:c>
      <x:c r="AZ151" s="30" t="n">
        <x:f>F102</x:f>
        <x:v>0</x:v>
      </x:c>
      <x:c r="BA151" s="30" t="n">
        <x:f>F101</x:f>
        <x:v>0</x:v>
      </x:c>
      <x:c r="BB151" s="30" t="n">
        <x:f>F100</x:f>
        <x:v>0</x:v>
      </x:c>
      <x:c r="BC151" s="30" t="n">
        <x:f>F99</x:f>
        <x:v>0</x:v>
      </x:c>
      <x:c r="BD151" s="30" t="n">
        <x:f>F98</x:f>
        <x:v>0</x:v>
      </x:c>
      <x:c r="BE151" s="30" t="n">
        <x:f>F97</x:f>
        <x:v>0</x:v>
      </x:c>
      <x:c r="BF151" s="30" t="n">
        <x:f>F96</x:f>
        <x:v>0</x:v>
      </x:c>
      <x:c r="BG151" s="30" t="n">
        <x:f>F95</x:f>
        <x:v>0</x:v>
      </x:c>
      <x:c r="BH151" s="30" t="n">
        <x:f>F94</x:f>
        <x:v>0</x:v>
      </x:c>
      <x:c r="BI151" s="30" t="n">
        <x:f>F93</x:f>
        <x:v>0</x:v>
      </x:c>
      <x:c r="BJ151" s="30" t="n">
        <x:f>F92</x:f>
        <x:v>0</x:v>
      </x:c>
      <x:c r="BK151" s="30" t="n">
        <x:f>F91</x:f>
        <x:v>0</x:v>
      </x:c>
      <x:c r="BL151" s="30" t="n">
        <x:f>F90</x:f>
        <x:v>0</x:v>
      </x:c>
      <x:c r="BM151" s="30" t="n">
        <x:f>F89</x:f>
        <x:v>0</x:v>
      </x:c>
      <x:c r="BN151" s="30" t="n">
        <x:f>F88</x:f>
        <x:v>0</x:v>
      </x:c>
      <x:c r="BO151" s="30" t="n">
        <x:f>F87</x:f>
        <x:v>0</x:v>
      </x:c>
      <x:c r="BP151" s="30" t="n">
        <x:f>F86</x:f>
        <x:v>0</x:v>
      </x:c>
      <x:c r="BQ151" s="30" t="n">
        <x:f>F85</x:f>
        <x:v>0</x:v>
      </x:c>
      <x:c r="BR151" s="30" t="n">
        <x:f>F84</x:f>
        <x:v>0</x:v>
      </x:c>
      <x:c r="BS151" s="30" t="n">
        <x:f>F83</x:f>
        <x:v>0</x:v>
      </x:c>
      <x:c r="BT151" s="30" t="n">
        <x:f>F82</x:f>
        <x:v>0</x:v>
      </x:c>
      <x:c r="BU151" s="30" t="n">
        <x:f>F81</x:f>
        <x:v>0</x:v>
      </x:c>
      <x:c r="BV151" s="30" t="n">
        <x:f>F80</x:f>
        <x:v>0</x:v>
      </x:c>
      <x:c r="BW151" s="30" t="n">
        <x:f>F79</x:f>
        <x:v>0</x:v>
      </x:c>
      <x:c r="BX151" s="30" t="n">
        <x:f>F78</x:f>
        <x:v>0</x:v>
      </x:c>
      <x:c r="BY151" s="30" t="n">
        <x:f>F77</x:f>
        <x:v>0</x:v>
      </x:c>
      <x:c r="BZ151" s="30" t="n">
        <x:f>F76</x:f>
        <x:v>0</x:v>
      </x:c>
      <x:c r="CA151" s="30" t="n">
        <x:f>F75</x:f>
        <x:v>0</x:v>
      </x:c>
      <x:c r="CB151" s="30" t="n">
        <x:f>F74</x:f>
        <x:v>0</x:v>
      </x:c>
      <x:c r="CC151" s="30" t="n">
        <x:f>F73</x:f>
        <x:v>0</x:v>
      </x:c>
      <x:c r="CD151" s="30" t="n">
        <x:f>F72</x:f>
        <x:v>0</x:v>
      </x:c>
      <x:c r="CE151" s="30" t="n">
        <x:f>F71</x:f>
        <x:v>0</x:v>
      </x:c>
      <x:c r="CF151" s="30" t="n">
        <x:f>F70</x:f>
        <x:v>0</x:v>
      </x:c>
      <x:c r="CG151" s="30" t="n">
        <x:f>F69</x:f>
        <x:v>0</x:v>
      </x:c>
      <x:c r="CH151" s="30" t="n">
        <x:f>F68</x:f>
        <x:v>0</x:v>
      </x:c>
      <x:c r="CI151" s="30" t="n">
        <x:f>F67</x:f>
        <x:v>0</x:v>
      </x:c>
      <x:c r="CJ151" s="30" t="n">
        <x:f>F66</x:f>
        <x:v>0</x:v>
      </x:c>
      <x:c r="CK151" s="30" t="n">
        <x:f>F65</x:f>
        <x:v>0</x:v>
      </x:c>
      <x:c r="CL151" s="30" t="n">
        <x:f>F64</x:f>
        <x:v>0</x:v>
      </x:c>
      <x:c r="CM151" s="30" t="n">
        <x:f>F63</x:f>
        <x:v>0</x:v>
      </x:c>
      <x:c r="CN151" s="30" t="n">
        <x:f>F62</x:f>
        <x:v>0</x:v>
      </x:c>
      <x:c r="CO151" s="30" t="n">
        <x:f>F61</x:f>
        <x:v>0</x:v>
      </x:c>
      <x:c r="CP151" s="30" t="n">
        <x:f>F60</x:f>
        <x:v>0.01810760321497689</x:v>
      </x:c>
      <x:c r="CQ151" s="30" t="n">
        <x:f>F59</x:f>
        <x:v>0.025106863163643276</x:v>
      </x:c>
      <x:c r="CR151" s="30" t="n">
        <x:f>F58</x:f>
        <x:v>0.03526442888947929</x:v>
      </x:c>
      <x:c r="CS151" s="30" t="n">
        <x:f>F57</x:f>
        <x:v>0.04933315803614138</x:v>
      </x:c>
      <x:c r="CT151" s="30" t="n">
        <x:f>F56</x:f>
        <x:v>0.06659998429612093</x:v>
      </x:c>
      <x:c r="CU151" s="30" t="n">
        <x:f>F55</x:f>
        <x:v>0.09279945080156977</x:v>
      </x:c>
      <x:c r="CV151" s="30" t="n">
        <x:f>F54</x:f>
        <x:v>0.1269296836932008</x:v>
      </x:c>
      <x:c r="CW151" s="30" t="n">
        <x:f>F53</x:f>
        <x:v>0.17018339952310133</x:v>
      </x:c>
      <x:c r="CX151" s="30" t="n">
        <x:f>F52</x:f>
        <x:v>0.2286768229112237</x:v>
      </x:c>
      <x:c r="CY151" s="30" t="n">
        <x:f>F51</x:f>
        <x:v>0</x:v>
      </x:c>
    </x:row>
    <x:row r="152" ht="19" customHeight="1">
      <x:c r="A152" s="1"/>
      <x:c r="B152" s="1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</x:row>
    <x:row r="153" ht="19" customHeight="1">
      <x:c r="A153" s="1"/>
      <x:c r="B153" s="1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</x:row>
    <x:row r="154" ht="19" customHeight="1">
      <x:c r="A154" s="1"/>
      <x:c r="B154" s="1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</x:row>
    <x:row r="155" ht="19" customHeight="1">
      <x:c r="A155" s="1"/>
      <x:c r="B155" s="1"/>
      <x:c r="C155" s="2" t="str">
        <x:v>Each original-equivalent exposure is conditional on survival to its opening age.</x:v>
      </x:c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</x:row>
    <x:row r="156" ht="19" customHeight="1">
      <x:c r="A156" s="1"/>
      <x:c r="B156" s="1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</x:row>
    <x:row r="157" ht="19" customHeight="1">
      <x:c r="A157" s="1"/>
      <x:c r="B157" s="1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</x:row>
    <x:row r="158" ht="19" customHeight="1">
      <x:c r="A158" s="1"/>
      <x:c r="B158" s="1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</x:row>
    <x:row r="159" ht="32" customHeight="1">
      <x:c r="A159" s="1"/>
      <x:c r="B159" s="1"/>
      <x:c r="C159" s="29" t="str">
        <x:v>Opening MOB</x:v>
      </x:c>
      <x:c r="D159" s="29" t="str">
        <x:v>Current balance ($)</x:v>
      </x:c>
      <x:c r="E159" s="29" t="str">
        <x:v>Original-equivalent ($)</x:v>
      </x:c>
      <x:c r="F159" s="29" t="str">
        <x:v>Remaining reserve ($)</x:v>
      </x:c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</x:row>
    <x:row r="160" ht="19" customHeight="1">
      <x:c r="A160" s="1"/>
      <x:c r="B160" s="1"/>
      <x:c r="C160" s="2" t="n">
        <x:v>0</x:v>
      </x:c>
      <x:c r="D160" s="31" t="n">
        <x:f>IF(OR(C160&gt;=$E$43,INDEX($I$51:$I$147,C160+1)&lt;=0.0000000001),0,IF($E$46=0,$E$44/MIN($E$43,COUNTIF($I$51:$I$110,"&gt;0.0000000001")),IF(C160=$E$45,$E$44,0)))</x:f>
        <x:v>34080000</x:v>
      </x:c>
      <x:c r="E160" s="31" t="n">
        <x:f>IF(D160=0,0,D160/(INDEX($I$51:$I$147,C160+1)*INDEX($H$51:$H$147,C160+1)))</x:f>
        <x:v>34080000</x:v>
      </x:c>
      <x:c r="F160" s="31" t="n">
        <x:f>E160*INDEX($G$51:$G$147,C160+1)</x:f>
        <x:v>6372912.474436093</x:v>
      </x:c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</x:row>
    <x:row r="161" ht="19" customHeight="1">
      <x:c r="A161" s="1"/>
      <x:c r="B161" s="1"/>
      <x:c r="C161" s="2" t="n">
        <x:v>1</x:v>
      </x:c>
      <x:c r="D161" s="31" t="n">
        <x:f>IF(OR(C161&gt;=$E$43,INDEX($I$51:$I$147,C161+1)&lt;=0.0000000001),0,IF($E$46=0,$E$44/MIN($E$43,COUNTIF($I$51:$I$110,"&gt;0.0000000001")),IF(C161=$E$45,$E$44,0)))</x:f>
        <x:v>34080000</x:v>
      </x:c>
      <x:c r="E161" s="31" t="n">
        <x:f>IF(D161=0,0,D161/(INDEX($I$51:$I$147,C161+1)*INDEX($H$51:$H$147,C161+1)))</x:f>
        <x:v>47102448.28884372</x:v>
      </x:c>
      <x:c r="F161" s="31" t="n">
        <x:f>E161*INDEX($G$51:$G$147,C161+1)</x:f>
        <x:v>6556882.081451394</x:v>
      </x:c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</x:row>
    <x:row r="162" ht="19" customHeight="1">
      <x:c r="A162" s="1"/>
      <x:c r="B162" s="1"/>
      <x:c r="C162" s="2" t="n">
        <x:v>2</x:v>
      </x:c>
      <x:c r="D162" s="31" t="n">
        <x:f>IF(OR(C162&gt;=$E$43,INDEX($I$51:$I$147,C162+1)&lt;=0.0000000001),0,IF($E$46=0,$E$44/MIN($E$43,COUNTIF($I$51:$I$110,"&gt;0.0000000001")),IF(C162=$E$45,$E$44,0)))</x:f>
        <x:v>34080000</x:v>
      </x:c>
      <x:c r="E162" s="31" t="n">
        <x:f>IF(D162=0,0,D162/(INDEX($I$51:$I$147,C162+1)*INDEX($H$51:$H$147,C162+1)))</x:f>
        <x:v>66034188.69924392</x:v>
      </x:c>
      <x:c r="F162" s="31" t="n">
        <x:f>E162*INDEX($G$51:$G$147,C162+1)</x:f>
        <x:v>6732523.69374399</x:v>
      </x:c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</x:row>
    <x:row r="163" ht="19" customHeight="1">
      <x:c r="A163" s="1"/>
      <x:c r="B163" s="1"/>
      <x:c r="C163" s="2" t="n">
        <x:v>3</x:v>
      </x:c>
      <x:c r="D163" s="31" t="n">
        <x:f>IF(OR(C163&gt;=$E$43,INDEX($I$51:$I$147,C163+1)&lt;=0.0000000001),0,IF($E$46=0,$E$44/MIN($E$43,COUNTIF($I$51:$I$110,"&gt;0.0000000001")),IF(C163=$E$45,$E$44,0)))</x:f>
        <x:v>34080000</x:v>
      </x:c>
      <x:c r="E163" s="31" t="n">
        <x:f>IF(D163=0,0,D163/(INDEX($I$51:$I$147,C163+1)*INDEX($H$51:$H$147,C163+1)))</x:f>
        <x:v>94272638.39756504</x:v>
      </x:c>
      <x:c r="F163" s="31" t="n">
        <x:f>E163*INDEX($G$51:$G$147,C163+1)</x:f>
        <x:v>7003815.210258268</x:v>
      </x:c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</x:row>
    <x:row r="164" ht="19" customHeight="1">
      <x:c r="A164" s="1"/>
      <x:c r="B164" s="1"/>
      <x:c r="C164" s="2" t="n">
        <x:v>4</x:v>
      </x:c>
      <x:c r="D164" s="31" t="n">
        <x:f>IF(OR(C164&gt;=$E$43,INDEX($I$51:$I$147,C164+1)&lt;=0.0000000001),0,IF($E$46=0,$E$44/MIN($E$43,COUNTIF($I$51:$I$110,"&gt;0.0000000001")),IF(C164=$E$45,$E$44,0)))</x:f>
        <x:v>34080000</x:v>
      </x:c>
      <x:c r="E164" s="31" t="n">
        <x:f>IF(D164=0,0,D164/(INDEX($I$51:$I$147,C164+1)*INDEX($H$51:$H$147,C164+1)))</x:f>
        <x:v>138323731.43240353</x:v>
      </x:c>
      <x:c r="F164" s="31" t="n">
        <x:f>E164*INDEX($G$51:$G$147,C164+1)</x:f>
        <x:v>7188201.523741224</x:v>
      </x:c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</x:row>
    <x:row r="165" ht="19" customHeight="1">
      <x:c r="A165" s="1"/>
      <x:c r="B165" s="1"/>
      <x:c r="C165" s="2" t="n">
        <x:v>5</x:v>
      </x:c>
      <x:c r="D165" s="31" t="n">
        <x:f>IF(OR(C165&gt;=$E$43,INDEX($I$51:$I$147,C165+1)&lt;=0.0000000001),0,IF($E$46=0,$E$44/MIN($E$43,COUNTIF($I$51:$I$110,"&gt;0.0000000001")),IF(C165=$E$45,$E$44,0)))</x:f>
        <x:v>34080000</x:v>
      </x:c>
      <x:c r="E165" s="31" t="n">
        <x:f>IF(D165=0,0,D165/(INDEX($I$51:$I$147,C165+1)*INDEX($H$51:$H$147,C165+1)))</x:f>
        <x:v>210159355.51244918</x:v>
      </x:c>
      <x:c r="F165" s="31" t="n">
        <x:f>E165*INDEX($G$51:$G$147,C165+1)</x:f>
        <x:v>7219101.250857957</x:v>
      </x:c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</x:row>
    <x:row r="166" ht="19" customHeight="1">
      <x:c r="A166" s="1"/>
      <x:c r="B166" s="1"/>
      <x:c r="C166" s="2" t="n">
        <x:v>6</x:v>
      </x:c>
      <x:c r="D166" s="31" t="n">
        <x:f>IF(OR(C166&gt;=$E$43,INDEX($I$51:$I$147,C166+1)&lt;=0.0000000001),0,IF($E$46=0,$E$44/MIN($E$43,COUNTIF($I$51:$I$110,"&gt;0.0000000001")),IF(C166=$E$45,$E$44,0)))</x:f>
        <x:v>34080000</x:v>
      </x:c>
      <x:c r="E166" s="31" t="n">
        <x:f>IF(D166=0,0,D166/(INDEX($I$51:$I$147,C166+1)*INDEX($H$51:$H$147,C166+1)))</x:f>
        <x:v>339212403.8336133</x:v>
      </x:c>
      <x:c r="F166" s="31" t="n">
        <x:f>E166*INDEX($G$51:$G$147,C166+1)</x:f>
        <x:v>7458985.285901628</x:v>
      </x:c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</x:row>
    <x:row r="167" ht="19" customHeight="1">
      <x:c r="A167" s="1"/>
      <x:c r="B167" s="1"/>
      <x:c r="C167" s="2" t="n">
        <x:v>7</x:v>
      </x:c>
      <x:c r="D167" s="31" t="n">
        <x:f>IF(OR(C167&gt;=$E$43,INDEX($I$51:$I$147,C167+1)&lt;=0.0000000001),0,IF($E$46=0,$E$44/MIN($E$43,COUNTIF($I$51:$I$110,"&gt;0.0000000001")),IF(C167=$E$45,$E$44,0)))</x:f>
        <x:v>34080000</x:v>
      </x:c>
      <x:c r="E167" s="31" t="n">
        <x:f>IF(D167=0,0,D167/(INDEX($I$51:$I$147,C167+1)*INDEX($H$51:$H$147,C167+1)))</x:f>
        <x:v>606964151.3801634</x:v>
      </x:c>
      <x:c r="F167" s="31" t="n">
        <x:f>E167*INDEX($G$51:$G$147,C167+1)</x:f>
        <x:v>7850368.087154246</x:v>
      </x:c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</x:row>
    <x:row r="168" ht="19" customHeight="1">
      <x:c r="A168" s="1"/>
      <x:c r="B168" s="1"/>
      <x:c r="C168" s="2" t="n">
        <x:v>8</x:v>
      </x:c>
      <x:c r="D168" s="31" t="n">
        <x:f>IF(OR(C168&gt;=$E$43,INDEX($I$51:$I$147,C168+1)&lt;=0.0000000001),0,IF($E$46=0,$E$44/MIN($E$43,COUNTIF($I$51:$I$110,"&gt;0.0000000001")),IF(C168=$E$45,$E$44,0)))</x:f>
        <x:v>34080000</x:v>
      </x:c>
      <x:c r="E168" s="31" t="n">
        <x:f>IF(D168=0,0,D168/(INDEX($I$51:$I$147,C168+1)*INDEX($H$51:$H$147,C168+1)))</x:f>
        <x:v>1452495674.4298842</x:v>
      </x:c>
      <x:c r="F168" s="31" t="n">
        <x:f>E168*INDEX($G$51:$G$147,C168+1)</x:f>
        <x:v>7778784.655953468</x:v>
      </x:c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</x:row>
    <x:row r="169" ht="19" customHeight="1">
      <x:c r="A169" s="1"/>
      <x:c r="B169" s="1"/>
      <x:c r="C169" s="2" t="n">
        <x:v>9</x:v>
      </x:c>
      <x:c r="D169" s="31" t="n">
        <x:f>IF(OR(C169&gt;=$E$43,INDEX($I$51:$I$147,C169+1)&lt;=0.0000000001),0,IF($E$46=0,$E$44/MIN($E$43,COUNTIF($I$51:$I$110,"&gt;0.0000000001")),IF(C169=$E$45,$E$44,0)))</x:f>
        <x:v>0</x:v>
      </x:c>
      <x:c r="E169" s="31" t="n">
        <x:f>IF(D169=0,0,D169/(INDEX($I$51:$I$147,C169+1)*INDEX($H$51:$H$147,C169+1)))</x:f>
        <x:v>0</x:v>
      </x:c>
      <x:c r="F169" s="31" t="n">
        <x:f>E169*INDEX($G$51:$G$147,C169+1)</x:f>
        <x:v>0</x:v>
      </x:c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</x:row>
    <x:row r="170" ht="19" customHeight="1">
      <x:c r="A170" s="1"/>
      <x:c r="B170" s="1"/>
      <x:c r="C170" s="2" t="n">
        <x:v>10</x:v>
      </x:c>
      <x:c r="D170" s="31" t="n">
        <x:f>IF(OR(C170&gt;=$E$43,INDEX($I$51:$I$147,C170+1)&lt;=0.0000000001),0,IF($E$46=0,$E$44/MIN($E$43,COUNTIF($I$51:$I$110,"&gt;0.0000000001")),IF(C170=$E$45,$E$44,0)))</x:f>
        <x:v>0</x:v>
      </x:c>
      <x:c r="E170" s="31" t="n">
        <x:f>IF(D170=0,0,D170/(INDEX($I$51:$I$147,C170+1)*INDEX($H$51:$H$147,C170+1)))</x:f>
        <x:v>0</x:v>
      </x:c>
      <x:c r="F170" s="31" t="n">
        <x:f>E170*INDEX($G$51:$G$147,C170+1)</x:f>
        <x:v>0</x:v>
      </x:c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</x:row>
    <x:row r="171" ht="19" customHeight="1">
      <x:c r="A171" s="1"/>
      <x:c r="B171" s="1"/>
      <x:c r="C171" s="2" t="n">
        <x:v>11</x:v>
      </x:c>
      <x:c r="D171" s="31" t="n">
        <x:f>IF(OR(C171&gt;=$E$43,INDEX($I$51:$I$147,C171+1)&lt;=0.0000000001),0,IF($E$46=0,$E$44/MIN($E$43,COUNTIF($I$51:$I$110,"&gt;0.0000000001")),IF(C171=$E$45,$E$44,0)))</x:f>
        <x:v>0</x:v>
      </x:c>
      <x:c r="E171" s="31" t="n">
        <x:f>IF(D171=0,0,D171/(INDEX($I$51:$I$147,C171+1)*INDEX($H$51:$H$147,C171+1)))</x:f>
        <x:v>0</x:v>
      </x:c>
      <x:c r="F171" s="31" t="n">
        <x:f>E171*INDEX($G$51:$G$147,C171+1)</x:f>
        <x:v>0</x:v>
      </x:c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</x:row>
    <x:row r="172" ht="19" customHeight="1">
      <x:c r="A172" s="1"/>
      <x:c r="B172" s="1"/>
      <x:c r="C172" s="2" t="n">
        <x:v>12</x:v>
      </x:c>
      <x:c r="D172" s="31" t="n">
        <x:f>IF(OR(C172&gt;=$E$43,INDEX($I$51:$I$147,C172+1)&lt;=0.0000000001),0,IF($E$46=0,$E$44/MIN($E$43,COUNTIF($I$51:$I$110,"&gt;0.0000000001")),IF(C172=$E$45,$E$44,0)))</x:f>
        <x:v>0</x:v>
      </x:c>
      <x:c r="E172" s="31" t="n">
        <x:f>IF(D172=0,0,D172/(INDEX($I$51:$I$147,C172+1)*INDEX($H$51:$H$147,C172+1)))</x:f>
        <x:v>0</x:v>
      </x:c>
      <x:c r="F172" s="31" t="n">
        <x:f>E172*INDEX($G$51:$G$147,C172+1)</x:f>
        <x:v>0</x:v>
      </x:c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</x:row>
    <x:row r="173" ht="19" customHeight="1">
      <x:c r="A173" s="1"/>
      <x:c r="B173" s="1"/>
      <x:c r="C173" s="2" t="n">
        <x:v>13</x:v>
      </x:c>
      <x:c r="D173" s="31" t="n">
        <x:f>IF(OR(C173&gt;=$E$43,INDEX($I$51:$I$147,C173+1)&lt;=0.0000000001),0,IF($E$46=0,$E$44/MIN($E$43,COUNTIF($I$51:$I$110,"&gt;0.0000000001")),IF(C173=$E$45,$E$44,0)))</x:f>
        <x:v>0</x:v>
      </x:c>
      <x:c r="E173" s="31" t="n">
        <x:f>IF(D173=0,0,D173/(INDEX($I$51:$I$147,C173+1)*INDEX($H$51:$H$147,C173+1)))</x:f>
        <x:v>0</x:v>
      </x:c>
      <x:c r="F173" s="31" t="n">
        <x:f>E173*INDEX($G$51:$G$147,C173+1)</x:f>
        <x:v>0</x:v>
      </x:c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</x:row>
    <x:row r="174" ht="19" customHeight="1">
      <x:c r="A174" s="1"/>
      <x:c r="B174" s="1"/>
      <x:c r="C174" s="2" t="n">
        <x:v>14</x:v>
      </x:c>
      <x:c r="D174" s="31" t="n">
        <x:f>IF(OR(C174&gt;=$E$43,INDEX($I$51:$I$147,C174+1)&lt;=0.0000000001),0,IF($E$46=0,$E$44/MIN($E$43,COUNTIF($I$51:$I$110,"&gt;0.0000000001")),IF(C174=$E$45,$E$44,0)))</x:f>
        <x:v>0</x:v>
      </x:c>
      <x:c r="E174" s="31" t="n">
        <x:f>IF(D174=0,0,D174/(INDEX($I$51:$I$147,C174+1)*INDEX($H$51:$H$147,C174+1)))</x:f>
        <x:v>0</x:v>
      </x:c>
      <x:c r="F174" s="31" t="n">
        <x:f>E174*INDEX($G$51:$G$147,C174+1)</x:f>
        <x:v>0</x:v>
      </x:c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</x:row>
    <x:row r="175" ht="19" customHeight="1">
      <x:c r="A175" s="1"/>
      <x:c r="B175" s="1"/>
      <x:c r="C175" s="2" t="n">
        <x:v>15</x:v>
      </x:c>
      <x:c r="D175" s="31" t="n">
        <x:f>IF(OR(C175&gt;=$E$43,INDEX($I$51:$I$147,C175+1)&lt;=0.0000000001),0,IF($E$46=0,$E$44/MIN($E$43,COUNTIF($I$51:$I$110,"&gt;0.0000000001")),IF(C175=$E$45,$E$44,0)))</x:f>
        <x:v>0</x:v>
      </x:c>
      <x:c r="E175" s="31" t="n">
        <x:f>IF(D175=0,0,D175/(INDEX($I$51:$I$147,C175+1)*INDEX($H$51:$H$147,C175+1)))</x:f>
        <x:v>0</x:v>
      </x:c>
      <x:c r="F175" s="31" t="n">
        <x:f>E175*INDEX($G$51:$G$147,C175+1)</x:f>
        <x:v>0</x:v>
      </x:c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</x:row>
    <x:row r="176" ht="19" customHeight="1">
      <x:c r="A176" s="1"/>
      <x:c r="B176" s="1"/>
      <x:c r="C176" s="2" t="n">
        <x:v>16</x:v>
      </x:c>
      <x:c r="D176" s="31" t="n">
        <x:f>IF(OR(C176&gt;=$E$43,INDEX($I$51:$I$147,C176+1)&lt;=0.0000000001),0,IF($E$46=0,$E$44/MIN($E$43,COUNTIF($I$51:$I$110,"&gt;0.0000000001")),IF(C176=$E$45,$E$44,0)))</x:f>
        <x:v>0</x:v>
      </x:c>
      <x:c r="E176" s="31" t="n">
        <x:f>IF(D176=0,0,D176/(INDEX($I$51:$I$147,C176+1)*INDEX($H$51:$H$147,C176+1)))</x:f>
        <x:v>0</x:v>
      </x:c>
      <x:c r="F176" s="31" t="n">
        <x:f>E176*INDEX($G$51:$G$147,C176+1)</x:f>
        <x:v>0</x:v>
      </x:c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</x:row>
    <x:row r="177" ht="19" customHeight="1">
      <x:c r="A177" s="1"/>
      <x:c r="B177" s="1"/>
      <x:c r="C177" s="2" t="n">
        <x:v>17</x:v>
      </x:c>
      <x:c r="D177" s="31" t="n">
        <x:f>IF(OR(C177&gt;=$E$43,INDEX($I$51:$I$147,C177+1)&lt;=0.0000000001),0,IF($E$46=0,$E$44/MIN($E$43,COUNTIF($I$51:$I$110,"&gt;0.0000000001")),IF(C177=$E$45,$E$44,0)))</x:f>
        <x:v>0</x:v>
      </x:c>
      <x:c r="E177" s="31" t="n">
        <x:f>IF(D177=0,0,D177/(INDEX($I$51:$I$147,C177+1)*INDEX($H$51:$H$147,C177+1)))</x:f>
        <x:v>0</x:v>
      </x:c>
      <x:c r="F177" s="31" t="n">
        <x:f>E177*INDEX($G$51:$G$147,C177+1)</x:f>
        <x:v>0</x:v>
      </x:c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</x:row>
    <x:row r="178" ht="19" customHeight="1">
      <x:c r="A178" s="1"/>
      <x:c r="B178" s="1"/>
      <x:c r="C178" s="2" t="n">
        <x:v>18</x:v>
      </x:c>
      <x:c r="D178" s="31" t="n">
        <x:f>IF(OR(C178&gt;=$E$43,INDEX($I$51:$I$147,C178+1)&lt;=0.0000000001),0,IF($E$46=0,$E$44/MIN($E$43,COUNTIF($I$51:$I$110,"&gt;0.0000000001")),IF(C178=$E$45,$E$44,0)))</x:f>
        <x:v>0</x:v>
      </x:c>
      <x:c r="E178" s="31" t="n">
        <x:f>IF(D178=0,0,D178/(INDEX($I$51:$I$147,C178+1)*INDEX($H$51:$H$147,C178+1)))</x:f>
        <x:v>0</x:v>
      </x:c>
      <x:c r="F178" s="31" t="n">
        <x:f>E178*INDEX($G$51:$G$147,C178+1)</x:f>
        <x:v>0</x:v>
      </x:c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</x:row>
    <x:row r="179" ht="19" customHeight="1">
      <x:c r="A179" s="1"/>
      <x:c r="B179" s="1"/>
      <x:c r="C179" s="2" t="n">
        <x:v>19</x:v>
      </x:c>
      <x:c r="D179" s="31" t="n">
        <x:f>IF(OR(C179&gt;=$E$43,INDEX($I$51:$I$147,C179+1)&lt;=0.0000000001),0,IF($E$46=0,$E$44/MIN($E$43,COUNTIF($I$51:$I$110,"&gt;0.0000000001")),IF(C179=$E$45,$E$44,0)))</x:f>
        <x:v>0</x:v>
      </x:c>
      <x:c r="E179" s="31" t="n">
        <x:f>IF(D179=0,0,D179/(INDEX($I$51:$I$147,C179+1)*INDEX($H$51:$H$147,C179+1)))</x:f>
        <x:v>0</x:v>
      </x:c>
      <x:c r="F179" s="31" t="n">
        <x:f>E179*INDEX($G$51:$G$147,C179+1)</x:f>
        <x:v>0</x:v>
      </x:c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</x:row>
    <x:row r="180" ht="19" customHeight="1">
      <x:c r="A180" s="1"/>
      <x:c r="B180" s="1"/>
      <x:c r="C180" s="2" t="n">
        <x:v>20</x:v>
      </x:c>
      <x:c r="D180" s="31" t="n">
        <x:f>IF(OR(C180&gt;=$E$43,INDEX($I$51:$I$147,C180+1)&lt;=0.0000000001),0,IF($E$46=0,$E$44/MIN($E$43,COUNTIF($I$51:$I$110,"&gt;0.0000000001")),IF(C180=$E$45,$E$44,0)))</x:f>
        <x:v>0</x:v>
      </x:c>
      <x:c r="E180" s="31" t="n">
        <x:f>IF(D180=0,0,D180/(INDEX($I$51:$I$147,C180+1)*INDEX($H$51:$H$147,C180+1)))</x:f>
        <x:v>0</x:v>
      </x:c>
      <x:c r="F180" s="31" t="n">
        <x:f>E180*INDEX($G$51:$G$147,C180+1)</x:f>
        <x:v>0</x:v>
      </x:c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</x:row>
    <x:row r="181" ht="19" customHeight="1">
      <x:c r="A181" s="1"/>
      <x:c r="B181" s="1"/>
      <x:c r="C181" s="2" t="n">
        <x:v>21</x:v>
      </x:c>
      <x:c r="D181" s="31" t="n">
        <x:f>IF(OR(C181&gt;=$E$43,INDEX($I$51:$I$147,C181+1)&lt;=0.0000000001),0,IF($E$46=0,$E$44/MIN($E$43,COUNTIF($I$51:$I$110,"&gt;0.0000000001")),IF(C181=$E$45,$E$44,0)))</x:f>
        <x:v>0</x:v>
      </x:c>
      <x:c r="E181" s="31" t="n">
        <x:f>IF(D181=0,0,D181/(INDEX($I$51:$I$147,C181+1)*INDEX($H$51:$H$147,C181+1)))</x:f>
        <x:v>0</x:v>
      </x:c>
      <x:c r="F181" s="31" t="n">
        <x:f>E181*INDEX($G$51:$G$147,C181+1)</x:f>
        <x:v>0</x:v>
      </x:c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</x:row>
    <x:row r="182" ht="19" customHeight="1">
      <x:c r="A182" s="1"/>
      <x:c r="B182" s="1"/>
      <x:c r="C182" s="2" t="n">
        <x:v>22</x:v>
      </x:c>
      <x:c r="D182" s="31" t="n">
        <x:f>IF(OR(C182&gt;=$E$43,INDEX($I$51:$I$147,C182+1)&lt;=0.0000000001),0,IF($E$46=0,$E$44/MIN($E$43,COUNTIF($I$51:$I$110,"&gt;0.0000000001")),IF(C182=$E$45,$E$44,0)))</x:f>
        <x:v>0</x:v>
      </x:c>
      <x:c r="E182" s="31" t="n">
        <x:f>IF(D182=0,0,D182/(INDEX($I$51:$I$147,C182+1)*INDEX($H$51:$H$147,C182+1)))</x:f>
        <x:v>0</x:v>
      </x:c>
      <x:c r="F182" s="31" t="n">
        <x:f>E182*INDEX($G$51:$G$147,C182+1)</x:f>
        <x:v>0</x:v>
      </x:c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</x:row>
    <x:row r="183" ht="19" customHeight="1">
      <x:c r="A183" s="1"/>
      <x:c r="B183" s="1"/>
      <x:c r="C183" s="2" t="n">
        <x:v>23</x:v>
      </x:c>
      <x:c r="D183" s="31" t="n">
        <x:f>IF(OR(C183&gt;=$E$43,INDEX($I$51:$I$147,C183+1)&lt;=0.0000000001),0,IF($E$46=0,$E$44/MIN($E$43,COUNTIF($I$51:$I$110,"&gt;0.0000000001")),IF(C183=$E$45,$E$44,0)))</x:f>
        <x:v>0</x:v>
      </x:c>
      <x:c r="E183" s="31" t="n">
        <x:f>IF(D183=0,0,D183/(INDEX($I$51:$I$147,C183+1)*INDEX($H$51:$H$147,C183+1)))</x:f>
        <x:v>0</x:v>
      </x:c>
      <x:c r="F183" s="31" t="n">
        <x:f>E183*INDEX($G$51:$G$147,C183+1)</x:f>
        <x:v>0</x:v>
      </x:c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</x:row>
    <x:row r="184" ht="19" customHeight="1">
      <x:c r="A184" s="1"/>
      <x:c r="B184" s="1"/>
      <x:c r="C184" s="2" t="n">
        <x:v>24</x:v>
      </x:c>
      <x:c r="D184" s="31" t="n">
        <x:f>IF(OR(C184&gt;=$E$43,INDEX($I$51:$I$147,C184+1)&lt;=0.0000000001),0,IF($E$46=0,$E$44/MIN($E$43,COUNTIF($I$51:$I$110,"&gt;0.0000000001")),IF(C184=$E$45,$E$44,0)))</x:f>
        <x:v>0</x:v>
      </x:c>
      <x:c r="E184" s="31" t="n">
        <x:f>IF(D184=0,0,D184/(INDEX($I$51:$I$147,C184+1)*INDEX($H$51:$H$147,C184+1)))</x:f>
        <x:v>0</x:v>
      </x:c>
      <x:c r="F184" s="31" t="n">
        <x:f>E184*INDEX($G$51:$G$147,C184+1)</x:f>
        <x:v>0</x:v>
      </x:c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</x:row>
    <x:row r="185" ht="19" customHeight="1">
      <x:c r="A185" s="1"/>
      <x:c r="B185" s="1"/>
      <x:c r="C185" s="2" t="n">
        <x:v>25</x:v>
      </x:c>
      <x:c r="D185" s="31" t="n">
        <x:f>IF(OR(C185&gt;=$E$43,INDEX($I$51:$I$147,C185+1)&lt;=0.0000000001),0,IF($E$46=0,$E$44/MIN($E$43,COUNTIF($I$51:$I$110,"&gt;0.0000000001")),IF(C185=$E$45,$E$44,0)))</x:f>
        <x:v>0</x:v>
      </x:c>
      <x:c r="E185" s="31" t="n">
        <x:f>IF(D185=0,0,D185/(INDEX($I$51:$I$147,C185+1)*INDEX($H$51:$H$147,C185+1)))</x:f>
        <x:v>0</x:v>
      </x:c>
      <x:c r="F185" s="31" t="n">
        <x:f>E185*INDEX($G$51:$G$147,C185+1)</x:f>
        <x:v>0</x:v>
      </x:c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</x:row>
    <x:row r="186" ht="19" customHeight="1">
      <x:c r="A186" s="1"/>
      <x:c r="B186" s="1"/>
      <x:c r="C186" s="2" t="n">
        <x:v>26</x:v>
      </x:c>
      <x:c r="D186" s="31" t="n">
        <x:f>IF(OR(C186&gt;=$E$43,INDEX($I$51:$I$147,C186+1)&lt;=0.0000000001),0,IF($E$46=0,$E$44/MIN($E$43,COUNTIF($I$51:$I$110,"&gt;0.0000000001")),IF(C186=$E$45,$E$44,0)))</x:f>
        <x:v>0</x:v>
      </x:c>
      <x:c r="E186" s="31" t="n">
        <x:f>IF(D186=0,0,D186/(INDEX($I$51:$I$147,C186+1)*INDEX($H$51:$H$147,C186+1)))</x:f>
        <x:v>0</x:v>
      </x:c>
      <x:c r="F186" s="31" t="n">
        <x:f>E186*INDEX($G$51:$G$147,C186+1)</x:f>
        <x:v>0</x:v>
      </x:c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</x:row>
    <x:row r="187" ht="19" customHeight="1">
      <x:c r="A187" s="1"/>
      <x:c r="B187" s="1"/>
      <x:c r="C187" s="2" t="n">
        <x:v>27</x:v>
      </x:c>
      <x:c r="D187" s="31" t="n">
        <x:f>IF(OR(C187&gt;=$E$43,INDEX($I$51:$I$147,C187+1)&lt;=0.0000000001),0,IF($E$46=0,$E$44/MIN($E$43,COUNTIF($I$51:$I$110,"&gt;0.0000000001")),IF(C187=$E$45,$E$44,0)))</x:f>
        <x:v>0</x:v>
      </x:c>
      <x:c r="E187" s="31" t="n">
        <x:f>IF(D187=0,0,D187/(INDEX($I$51:$I$147,C187+1)*INDEX($H$51:$H$147,C187+1)))</x:f>
        <x:v>0</x:v>
      </x:c>
      <x:c r="F187" s="31" t="n">
        <x:f>E187*INDEX($G$51:$G$147,C187+1)</x:f>
        <x:v>0</x:v>
      </x:c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</x:row>
    <x:row r="188" ht="19" customHeight="1">
      <x:c r="A188" s="1"/>
      <x:c r="B188" s="1"/>
      <x:c r="C188" s="2" t="n">
        <x:v>28</x:v>
      </x:c>
      <x:c r="D188" s="31" t="n">
        <x:f>IF(OR(C188&gt;=$E$43,INDEX($I$51:$I$147,C188+1)&lt;=0.0000000001),0,IF($E$46=0,$E$44/MIN($E$43,COUNTIF($I$51:$I$110,"&gt;0.0000000001")),IF(C188=$E$45,$E$44,0)))</x:f>
        <x:v>0</x:v>
      </x:c>
      <x:c r="E188" s="31" t="n">
        <x:f>IF(D188=0,0,D188/(INDEX($I$51:$I$147,C188+1)*INDEX($H$51:$H$147,C188+1)))</x:f>
        <x:v>0</x:v>
      </x:c>
      <x:c r="F188" s="31" t="n">
        <x:f>E188*INDEX($G$51:$G$147,C188+1)</x:f>
        <x:v>0</x:v>
      </x:c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</x:row>
    <x:row r="189" ht="19" customHeight="1">
      <x:c r="A189" s="1"/>
      <x:c r="B189" s="1"/>
      <x:c r="C189" s="2" t="n">
        <x:v>29</x:v>
      </x:c>
      <x:c r="D189" s="31" t="n">
        <x:f>IF(OR(C189&gt;=$E$43,INDEX($I$51:$I$147,C189+1)&lt;=0.0000000001),0,IF($E$46=0,$E$44/MIN($E$43,COUNTIF($I$51:$I$110,"&gt;0.0000000001")),IF(C189=$E$45,$E$44,0)))</x:f>
        <x:v>0</x:v>
      </x:c>
      <x:c r="E189" s="31" t="n">
        <x:f>IF(D189=0,0,D189/(INDEX($I$51:$I$147,C189+1)*INDEX($H$51:$H$147,C189+1)))</x:f>
        <x:v>0</x:v>
      </x:c>
      <x:c r="F189" s="31" t="n">
        <x:f>E189*INDEX($G$51:$G$147,C189+1)</x:f>
        <x:v>0</x:v>
      </x:c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</x:row>
    <x:row r="190" ht="19" customHeight="1">
      <x:c r="A190" s="1"/>
      <x:c r="B190" s="1"/>
      <x:c r="C190" s="2" t="n">
        <x:v>30</x:v>
      </x:c>
      <x:c r="D190" s="31" t="n">
        <x:f>IF(OR(C190&gt;=$E$43,INDEX($I$51:$I$147,C190+1)&lt;=0.0000000001),0,IF($E$46=0,$E$44/MIN($E$43,COUNTIF($I$51:$I$110,"&gt;0.0000000001")),IF(C190=$E$45,$E$44,0)))</x:f>
        <x:v>0</x:v>
      </x:c>
      <x:c r="E190" s="31" t="n">
        <x:f>IF(D190=0,0,D190/(INDEX($I$51:$I$147,C190+1)*INDEX($H$51:$H$147,C190+1)))</x:f>
        <x:v>0</x:v>
      </x:c>
      <x:c r="F190" s="31" t="n">
        <x:f>E190*INDEX($G$51:$G$147,C190+1)</x:f>
        <x:v>0</x:v>
      </x:c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</x:row>
    <x:row r="191" ht="19" customHeight="1">
      <x:c r="A191" s="1"/>
      <x:c r="B191" s="1"/>
      <x:c r="C191" s="2" t="n">
        <x:v>31</x:v>
      </x:c>
      <x:c r="D191" s="31" t="n">
        <x:f>IF(OR(C191&gt;=$E$43,INDEX($I$51:$I$147,C191+1)&lt;=0.0000000001),0,IF($E$46=0,$E$44/MIN($E$43,COUNTIF($I$51:$I$110,"&gt;0.0000000001")),IF(C191=$E$45,$E$44,0)))</x:f>
        <x:v>0</x:v>
      </x:c>
      <x:c r="E191" s="31" t="n">
        <x:f>IF(D191=0,0,D191/(INDEX($I$51:$I$147,C191+1)*INDEX($H$51:$H$147,C191+1)))</x:f>
        <x:v>0</x:v>
      </x:c>
      <x:c r="F191" s="31" t="n">
        <x:f>E191*INDEX($G$51:$G$147,C191+1)</x:f>
        <x:v>0</x:v>
      </x:c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</x:row>
    <x:row r="192" ht="19" customHeight="1">
      <x:c r="A192" s="1"/>
      <x:c r="B192" s="1"/>
      <x:c r="C192" s="2" t="n">
        <x:v>32</x:v>
      </x:c>
      <x:c r="D192" s="31" t="n">
        <x:f>IF(OR(C192&gt;=$E$43,INDEX($I$51:$I$147,C192+1)&lt;=0.0000000001),0,IF($E$46=0,$E$44/MIN($E$43,COUNTIF($I$51:$I$110,"&gt;0.0000000001")),IF(C192=$E$45,$E$44,0)))</x:f>
        <x:v>0</x:v>
      </x:c>
      <x:c r="E192" s="31" t="n">
        <x:f>IF(D192=0,0,D192/(INDEX($I$51:$I$147,C192+1)*INDEX($H$51:$H$147,C192+1)))</x:f>
        <x:v>0</x:v>
      </x:c>
      <x:c r="F192" s="31" t="n">
        <x:f>E192*INDEX($G$51:$G$147,C192+1)</x:f>
        <x:v>0</x:v>
      </x:c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</x:row>
    <x:row r="193" ht="19" customHeight="1">
      <x:c r="A193" s="1"/>
      <x:c r="B193" s="1"/>
      <x:c r="C193" s="2" t="n">
        <x:v>33</x:v>
      </x:c>
      <x:c r="D193" s="31" t="n">
        <x:f>IF(OR(C193&gt;=$E$43,INDEX($I$51:$I$147,C193+1)&lt;=0.0000000001),0,IF($E$46=0,$E$44/MIN($E$43,COUNTIF($I$51:$I$110,"&gt;0.0000000001")),IF(C193=$E$45,$E$44,0)))</x:f>
        <x:v>0</x:v>
      </x:c>
      <x:c r="E193" s="31" t="n">
        <x:f>IF(D193=0,0,D193/(INDEX($I$51:$I$147,C193+1)*INDEX($H$51:$H$147,C193+1)))</x:f>
        <x:v>0</x:v>
      </x:c>
      <x:c r="F193" s="31" t="n">
        <x:f>E193*INDEX($G$51:$G$147,C193+1)</x:f>
        <x:v>0</x:v>
      </x:c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</x:row>
    <x:row r="194" ht="19" customHeight="1">
      <x:c r="A194" s="1"/>
      <x:c r="B194" s="1"/>
      <x:c r="C194" s="2" t="n">
        <x:v>34</x:v>
      </x:c>
      <x:c r="D194" s="31" t="n">
        <x:f>IF(OR(C194&gt;=$E$43,INDEX($I$51:$I$147,C194+1)&lt;=0.0000000001),0,IF($E$46=0,$E$44/MIN($E$43,COUNTIF($I$51:$I$110,"&gt;0.0000000001")),IF(C194=$E$45,$E$44,0)))</x:f>
        <x:v>0</x:v>
      </x:c>
      <x:c r="E194" s="31" t="n">
        <x:f>IF(D194=0,0,D194/(INDEX($I$51:$I$147,C194+1)*INDEX($H$51:$H$147,C194+1)))</x:f>
        <x:v>0</x:v>
      </x:c>
      <x:c r="F194" s="31" t="n">
        <x:f>E194*INDEX($G$51:$G$147,C194+1)</x:f>
        <x:v>0</x:v>
      </x:c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</x:row>
    <x:row r="195" ht="19" customHeight="1">
      <x:c r="A195" s="1"/>
      <x:c r="B195" s="1"/>
      <x:c r="C195" s="2" t="n">
        <x:v>35</x:v>
      </x:c>
      <x:c r="D195" s="31" t="n">
        <x:f>IF(OR(C195&gt;=$E$43,INDEX($I$51:$I$147,C195+1)&lt;=0.0000000001),0,IF($E$46=0,$E$44/MIN($E$43,COUNTIF($I$51:$I$110,"&gt;0.0000000001")),IF(C195=$E$45,$E$44,0)))</x:f>
        <x:v>0</x:v>
      </x:c>
      <x:c r="E195" s="31" t="n">
        <x:f>IF(D195=0,0,D195/(INDEX($I$51:$I$147,C195+1)*INDEX($H$51:$H$147,C195+1)))</x:f>
        <x:v>0</x:v>
      </x:c>
      <x:c r="F195" s="31" t="n">
        <x:f>E195*INDEX($G$51:$G$147,C195+1)</x:f>
        <x:v>0</x:v>
      </x:c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</x:row>
    <x:row r="196" ht="19" customHeight="1">
      <x:c r="A196" s="1"/>
      <x:c r="B196" s="1"/>
      <x:c r="C196" s="2" t="n">
        <x:v>36</x:v>
      </x:c>
      <x:c r="D196" s="31" t="n">
        <x:f>IF(OR(C196&gt;=$E$43,INDEX($I$51:$I$147,C196+1)&lt;=0.0000000001),0,IF($E$46=0,$E$44/MIN($E$43,COUNTIF($I$51:$I$110,"&gt;0.0000000001")),IF(C196=$E$45,$E$44,0)))</x:f>
        <x:v>0</x:v>
      </x:c>
      <x:c r="E196" s="31" t="n">
        <x:f>IF(D196=0,0,D196/(INDEX($I$51:$I$147,C196+1)*INDEX($H$51:$H$147,C196+1)))</x:f>
        <x:v>0</x:v>
      </x:c>
      <x:c r="F196" s="31" t="n">
        <x:f>E196*INDEX($G$51:$G$147,C196+1)</x:f>
        <x:v>0</x:v>
      </x:c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</x:row>
    <x:row r="197" ht="19" customHeight="1">
      <x:c r="A197" s="1"/>
      <x:c r="B197" s="1"/>
      <x:c r="C197" s="2" t="n">
        <x:v>37</x:v>
      </x:c>
      <x:c r="D197" s="31" t="n">
        <x:f>IF(OR(C197&gt;=$E$43,INDEX($I$51:$I$147,C197+1)&lt;=0.0000000001),0,IF($E$46=0,$E$44/MIN($E$43,COUNTIF($I$51:$I$110,"&gt;0.0000000001")),IF(C197=$E$45,$E$44,0)))</x:f>
        <x:v>0</x:v>
      </x:c>
      <x:c r="E197" s="31" t="n">
        <x:f>IF(D197=0,0,D197/(INDEX($I$51:$I$147,C197+1)*INDEX($H$51:$H$147,C197+1)))</x:f>
        <x:v>0</x:v>
      </x:c>
      <x:c r="F197" s="31" t="n">
        <x:f>E197*INDEX($G$51:$G$147,C197+1)</x:f>
        <x:v>0</x:v>
      </x:c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</x:row>
    <x:row r="198" ht="19" customHeight="1">
      <x:c r="A198" s="1"/>
      <x:c r="B198" s="1"/>
      <x:c r="C198" s="2" t="n">
        <x:v>38</x:v>
      </x:c>
      <x:c r="D198" s="31" t="n">
        <x:f>IF(OR(C198&gt;=$E$43,INDEX($I$51:$I$147,C198+1)&lt;=0.0000000001),0,IF($E$46=0,$E$44/MIN($E$43,COUNTIF($I$51:$I$110,"&gt;0.0000000001")),IF(C198=$E$45,$E$44,0)))</x:f>
        <x:v>0</x:v>
      </x:c>
      <x:c r="E198" s="31" t="n">
        <x:f>IF(D198=0,0,D198/(INDEX($I$51:$I$147,C198+1)*INDEX($H$51:$H$147,C198+1)))</x:f>
        <x:v>0</x:v>
      </x:c>
      <x:c r="F198" s="31" t="n">
        <x:f>E198*INDEX($G$51:$G$147,C198+1)</x:f>
        <x:v>0</x:v>
      </x:c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</x:row>
    <x:row r="199" ht="19" customHeight="1">
      <x:c r="A199" s="1"/>
      <x:c r="B199" s="1"/>
      <x:c r="C199" s="2" t="n">
        <x:v>39</x:v>
      </x:c>
      <x:c r="D199" s="31" t="n">
        <x:f>IF(OR(C199&gt;=$E$43,INDEX($I$51:$I$147,C199+1)&lt;=0.0000000001),0,IF($E$46=0,$E$44/MIN($E$43,COUNTIF($I$51:$I$110,"&gt;0.0000000001")),IF(C199=$E$45,$E$44,0)))</x:f>
        <x:v>0</x:v>
      </x:c>
      <x:c r="E199" s="31" t="n">
        <x:f>IF(D199=0,0,D199/(INDEX($I$51:$I$147,C199+1)*INDEX($H$51:$H$147,C199+1)))</x:f>
        <x:v>0</x:v>
      </x:c>
      <x:c r="F199" s="31" t="n">
        <x:f>E199*INDEX($G$51:$G$147,C199+1)</x:f>
        <x:v>0</x:v>
      </x:c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</x:row>
    <x:row r="200" ht="19" customHeight="1">
      <x:c r="A200" s="1"/>
      <x:c r="B200" s="1"/>
      <x:c r="C200" s="2" t="n">
        <x:v>40</x:v>
      </x:c>
      <x:c r="D200" s="31" t="n">
        <x:f>IF(OR(C200&gt;=$E$43,INDEX($I$51:$I$147,C200+1)&lt;=0.0000000001),0,IF($E$46=0,$E$44/MIN($E$43,COUNTIF($I$51:$I$110,"&gt;0.0000000001")),IF(C200=$E$45,$E$44,0)))</x:f>
        <x:v>0</x:v>
      </x:c>
      <x:c r="E200" s="31" t="n">
        <x:f>IF(D200=0,0,D200/(INDEX($I$51:$I$147,C200+1)*INDEX($H$51:$H$147,C200+1)))</x:f>
        <x:v>0</x:v>
      </x:c>
      <x:c r="F200" s="31" t="n">
        <x:f>E200*INDEX($G$51:$G$147,C200+1)</x:f>
        <x:v>0</x:v>
      </x:c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</x:row>
    <x:row r="201" ht="19" customHeight="1">
      <x:c r="A201" s="1"/>
      <x:c r="B201" s="1"/>
      <x:c r="C201" s="2" t="n">
        <x:v>41</x:v>
      </x:c>
      <x:c r="D201" s="31" t="n">
        <x:f>IF(OR(C201&gt;=$E$43,INDEX($I$51:$I$147,C201+1)&lt;=0.0000000001),0,IF($E$46=0,$E$44/MIN($E$43,COUNTIF($I$51:$I$110,"&gt;0.0000000001")),IF(C201=$E$45,$E$44,0)))</x:f>
        <x:v>0</x:v>
      </x:c>
      <x:c r="E201" s="31" t="n">
        <x:f>IF(D201=0,0,D201/(INDEX($I$51:$I$147,C201+1)*INDEX($H$51:$H$147,C201+1)))</x:f>
        <x:v>0</x:v>
      </x:c>
      <x:c r="F201" s="31" t="n">
        <x:f>E201*INDEX($G$51:$G$147,C201+1)</x:f>
        <x:v>0</x:v>
      </x:c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</x:row>
    <x:row r="202" ht="19" customHeight="1">
      <x:c r="A202" s="1"/>
      <x:c r="B202" s="1"/>
      <x:c r="C202" s="2" t="n">
        <x:v>42</x:v>
      </x:c>
      <x:c r="D202" s="31" t="n">
        <x:f>IF(OR(C202&gt;=$E$43,INDEX($I$51:$I$147,C202+1)&lt;=0.0000000001),0,IF($E$46=0,$E$44/MIN($E$43,COUNTIF($I$51:$I$110,"&gt;0.0000000001")),IF(C202=$E$45,$E$44,0)))</x:f>
        <x:v>0</x:v>
      </x:c>
      <x:c r="E202" s="31" t="n">
        <x:f>IF(D202=0,0,D202/(INDEX($I$51:$I$147,C202+1)*INDEX($H$51:$H$147,C202+1)))</x:f>
        <x:v>0</x:v>
      </x:c>
      <x:c r="F202" s="31" t="n">
        <x:f>E202*INDEX($G$51:$G$147,C202+1)</x:f>
        <x:v>0</x:v>
      </x:c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</x:row>
    <x:row r="203" ht="19" customHeight="1">
      <x:c r="A203" s="1"/>
      <x:c r="B203" s="1"/>
      <x:c r="C203" s="2" t="n">
        <x:v>43</x:v>
      </x:c>
      <x:c r="D203" s="31" t="n">
        <x:f>IF(OR(C203&gt;=$E$43,INDEX($I$51:$I$147,C203+1)&lt;=0.0000000001),0,IF($E$46=0,$E$44/MIN($E$43,COUNTIF($I$51:$I$110,"&gt;0.0000000001")),IF(C203=$E$45,$E$44,0)))</x:f>
        <x:v>0</x:v>
      </x:c>
      <x:c r="E203" s="31" t="n">
        <x:f>IF(D203=0,0,D203/(INDEX($I$51:$I$147,C203+1)*INDEX($H$51:$H$147,C203+1)))</x:f>
        <x:v>0</x:v>
      </x:c>
      <x:c r="F203" s="31" t="n">
        <x:f>E203*INDEX($G$51:$G$147,C203+1)</x:f>
        <x:v>0</x:v>
      </x:c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</x:row>
    <x:row r="204" ht="19" customHeight="1">
      <x:c r="A204" s="1"/>
      <x:c r="B204" s="1"/>
      <x:c r="C204" s="2" t="n">
        <x:v>44</x:v>
      </x:c>
      <x:c r="D204" s="31" t="n">
        <x:f>IF(OR(C204&gt;=$E$43,INDEX($I$51:$I$147,C204+1)&lt;=0.0000000001),0,IF($E$46=0,$E$44/MIN($E$43,COUNTIF($I$51:$I$110,"&gt;0.0000000001")),IF(C204=$E$45,$E$44,0)))</x:f>
        <x:v>0</x:v>
      </x:c>
      <x:c r="E204" s="31" t="n">
        <x:f>IF(D204=0,0,D204/(INDEX($I$51:$I$147,C204+1)*INDEX($H$51:$H$147,C204+1)))</x:f>
        <x:v>0</x:v>
      </x:c>
      <x:c r="F204" s="31" t="n">
        <x:f>E204*INDEX($G$51:$G$147,C204+1)</x:f>
        <x:v>0</x:v>
      </x:c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</x:row>
    <x:row r="205" ht="19" customHeight="1">
      <x:c r="A205" s="1"/>
      <x:c r="B205" s="1"/>
      <x:c r="C205" s="2" t="n">
        <x:v>45</x:v>
      </x:c>
      <x:c r="D205" s="31" t="n">
        <x:f>IF(OR(C205&gt;=$E$43,INDEX($I$51:$I$147,C205+1)&lt;=0.0000000001),0,IF($E$46=0,$E$44/MIN($E$43,COUNTIF($I$51:$I$110,"&gt;0.0000000001")),IF(C205=$E$45,$E$44,0)))</x:f>
        <x:v>0</x:v>
      </x:c>
      <x:c r="E205" s="31" t="n">
        <x:f>IF(D205=0,0,D205/(INDEX($I$51:$I$147,C205+1)*INDEX($H$51:$H$147,C205+1)))</x:f>
        <x:v>0</x:v>
      </x:c>
      <x:c r="F205" s="31" t="n">
        <x:f>E205*INDEX($G$51:$G$147,C205+1)</x:f>
        <x:v>0</x:v>
      </x:c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</x:row>
    <x:row r="206" ht="19" customHeight="1">
      <x:c r="A206" s="1"/>
      <x:c r="B206" s="1"/>
      <x:c r="C206" s="2" t="n">
        <x:v>46</x:v>
      </x:c>
      <x:c r="D206" s="31" t="n">
        <x:f>IF(OR(C206&gt;=$E$43,INDEX($I$51:$I$147,C206+1)&lt;=0.0000000001),0,IF($E$46=0,$E$44/MIN($E$43,COUNTIF($I$51:$I$110,"&gt;0.0000000001")),IF(C206=$E$45,$E$44,0)))</x:f>
        <x:v>0</x:v>
      </x:c>
      <x:c r="E206" s="31" t="n">
        <x:f>IF(D206=0,0,D206/(INDEX($I$51:$I$147,C206+1)*INDEX($H$51:$H$147,C206+1)))</x:f>
        <x:v>0</x:v>
      </x:c>
      <x:c r="F206" s="31" t="n">
        <x:f>E206*INDEX($G$51:$G$147,C206+1)</x:f>
        <x:v>0</x:v>
      </x:c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</x:row>
    <x:row r="207" ht="19" customHeight="1">
      <x:c r="A207" s="1"/>
      <x:c r="B207" s="1"/>
      <x:c r="C207" s="2" t="n">
        <x:v>47</x:v>
      </x:c>
      <x:c r="D207" s="31" t="n">
        <x:f>IF(OR(C207&gt;=$E$43,INDEX($I$51:$I$147,C207+1)&lt;=0.0000000001),0,IF($E$46=0,$E$44/MIN($E$43,COUNTIF($I$51:$I$110,"&gt;0.0000000001")),IF(C207=$E$45,$E$44,0)))</x:f>
        <x:v>0</x:v>
      </x:c>
      <x:c r="E207" s="31" t="n">
        <x:f>IF(D207=0,0,D207/(INDEX($I$51:$I$147,C207+1)*INDEX($H$51:$H$147,C207+1)))</x:f>
        <x:v>0</x:v>
      </x:c>
      <x:c r="F207" s="31" t="n">
        <x:f>E207*INDEX($G$51:$G$147,C207+1)</x:f>
        <x:v>0</x:v>
      </x:c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</x:row>
    <x:row r="208" ht="19" customHeight="1">
      <x:c r="A208" s="1"/>
      <x:c r="B208" s="1"/>
      <x:c r="C208" s="2" t="n">
        <x:v>48</x:v>
      </x:c>
      <x:c r="D208" s="31" t="n">
        <x:f>IF(OR(C208&gt;=$E$43,INDEX($I$51:$I$147,C208+1)&lt;=0.0000000001),0,IF($E$46=0,$E$44/MIN($E$43,COUNTIF($I$51:$I$110,"&gt;0.0000000001")),IF(C208=$E$45,$E$44,0)))</x:f>
        <x:v>0</x:v>
      </x:c>
      <x:c r="E208" s="31" t="n">
        <x:f>IF(D208=0,0,D208/(INDEX($I$51:$I$147,C208+1)*INDEX($H$51:$H$147,C208+1)))</x:f>
        <x:v>0</x:v>
      </x:c>
      <x:c r="F208" s="31" t="n">
        <x:f>E208*INDEX($G$51:$G$147,C208+1)</x:f>
        <x:v>0</x:v>
      </x:c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</x:row>
    <x:row r="209" ht="19" customHeight="1">
      <x:c r="A209" s="1"/>
      <x:c r="B209" s="1"/>
      <x:c r="C209" s="2" t="n">
        <x:v>49</x:v>
      </x:c>
      <x:c r="D209" s="31" t="n">
        <x:f>IF(OR(C209&gt;=$E$43,INDEX($I$51:$I$147,C209+1)&lt;=0.0000000001),0,IF($E$46=0,$E$44/MIN($E$43,COUNTIF($I$51:$I$110,"&gt;0.0000000001")),IF(C209=$E$45,$E$44,0)))</x:f>
        <x:v>0</x:v>
      </x:c>
      <x:c r="E209" s="31" t="n">
        <x:f>IF(D209=0,0,D209/(INDEX($I$51:$I$147,C209+1)*INDEX($H$51:$H$147,C209+1)))</x:f>
        <x:v>0</x:v>
      </x:c>
      <x:c r="F209" s="31" t="n">
        <x:f>E209*INDEX($G$51:$G$147,C209+1)</x:f>
        <x:v>0</x:v>
      </x:c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</x:row>
    <x:row r="210" ht="19" customHeight="1">
      <x:c r="A210" s="1"/>
      <x:c r="B210" s="1"/>
      <x:c r="C210" s="2" t="n">
        <x:v>50</x:v>
      </x:c>
      <x:c r="D210" s="31" t="n">
        <x:f>IF(OR(C210&gt;=$E$43,INDEX($I$51:$I$147,C210+1)&lt;=0.0000000001),0,IF($E$46=0,$E$44/MIN($E$43,COUNTIF($I$51:$I$110,"&gt;0.0000000001")),IF(C210=$E$45,$E$44,0)))</x:f>
        <x:v>0</x:v>
      </x:c>
      <x:c r="E210" s="31" t="n">
        <x:f>IF(D210=0,0,D210/(INDEX($I$51:$I$147,C210+1)*INDEX($H$51:$H$147,C210+1)))</x:f>
        <x:v>0</x:v>
      </x:c>
      <x:c r="F210" s="31" t="n">
        <x:f>E210*INDEX($G$51:$G$147,C210+1)</x:f>
        <x:v>0</x:v>
      </x:c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</x:row>
    <x:row r="211" ht="19" customHeight="1">
      <x:c r="A211" s="1"/>
      <x:c r="B211" s="1"/>
      <x:c r="C211" s="2" t="n">
        <x:v>51</x:v>
      </x:c>
      <x:c r="D211" s="31" t="n">
        <x:f>IF(OR(C211&gt;=$E$43,INDEX($I$51:$I$147,C211+1)&lt;=0.0000000001),0,IF($E$46=0,$E$44/MIN($E$43,COUNTIF($I$51:$I$110,"&gt;0.0000000001")),IF(C211=$E$45,$E$44,0)))</x:f>
        <x:v>0</x:v>
      </x:c>
      <x:c r="E211" s="31" t="n">
        <x:f>IF(D211=0,0,D211/(INDEX($I$51:$I$147,C211+1)*INDEX($H$51:$H$147,C211+1)))</x:f>
        <x:v>0</x:v>
      </x:c>
      <x:c r="F211" s="31" t="n">
        <x:f>E211*INDEX($G$51:$G$147,C211+1)</x:f>
        <x:v>0</x:v>
      </x:c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</x:row>
    <x:row r="212" ht="19" customHeight="1">
      <x:c r="A212" s="1"/>
      <x:c r="B212" s="1"/>
      <x:c r="C212" s="2" t="n">
        <x:v>52</x:v>
      </x:c>
      <x:c r="D212" s="31" t="n">
        <x:f>IF(OR(C212&gt;=$E$43,INDEX($I$51:$I$147,C212+1)&lt;=0.0000000001),0,IF($E$46=0,$E$44/MIN($E$43,COUNTIF($I$51:$I$110,"&gt;0.0000000001")),IF(C212=$E$45,$E$44,0)))</x:f>
        <x:v>0</x:v>
      </x:c>
      <x:c r="E212" s="31" t="n">
        <x:f>IF(D212=0,0,D212/(INDEX($I$51:$I$147,C212+1)*INDEX($H$51:$H$147,C212+1)))</x:f>
        <x:v>0</x:v>
      </x:c>
      <x:c r="F212" s="31" t="n">
        <x:f>E212*INDEX($G$51:$G$147,C212+1)</x:f>
        <x:v>0</x:v>
      </x:c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</x:row>
    <x:row r="213" ht="19" customHeight="1">
      <x:c r="A213" s="1"/>
      <x:c r="B213" s="1"/>
      <x:c r="C213" s="2" t="n">
        <x:v>53</x:v>
      </x:c>
      <x:c r="D213" s="31" t="n">
        <x:f>IF(OR(C213&gt;=$E$43,INDEX($I$51:$I$147,C213+1)&lt;=0.0000000001),0,IF($E$46=0,$E$44/MIN($E$43,COUNTIF($I$51:$I$110,"&gt;0.0000000001")),IF(C213=$E$45,$E$44,0)))</x:f>
        <x:v>0</x:v>
      </x:c>
      <x:c r="E213" s="31" t="n">
        <x:f>IF(D213=0,0,D213/(INDEX($I$51:$I$147,C213+1)*INDEX($H$51:$H$147,C213+1)))</x:f>
        <x:v>0</x:v>
      </x:c>
      <x:c r="F213" s="31" t="n">
        <x:f>E213*INDEX($G$51:$G$147,C213+1)</x:f>
        <x:v>0</x:v>
      </x:c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</x:row>
    <x:row r="214" ht="19" customHeight="1">
      <x:c r="A214" s="1"/>
      <x:c r="B214" s="1"/>
      <x:c r="C214" s="2" t="n">
        <x:v>54</x:v>
      </x:c>
      <x:c r="D214" s="31" t="n">
        <x:f>IF(OR(C214&gt;=$E$43,INDEX($I$51:$I$147,C214+1)&lt;=0.0000000001),0,IF($E$46=0,$E$44/MIN($E$43,COUNTIF($I$51:$I$110,"&gt;0.0000000001")),IF(C214=$E$45,$E$44,0)))</x:f>
        <x:v>0</x:v>
      </x:c>
      <x:c r="E214" s="31" t="n">
        <x:f>IF(D214=0,0,D214/(INDEX($I$51:$I$147,C214+1)*INDEX($H$51:$H$147,C214+1)))</x:f>
        <x:v>0</x:v>
      </x:c>
      <x:c r="F214" s="31" t="n">
        <x:f>E214*INDEX($G$51:$G$147,C214+1)</x:f>
        <x:v>0</x:v>
      </x:c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</x:row>
    <x:row r="215" ht="19" customHeight="1">
      <x:c r="A215" s="1"/>
      <x:c r="B215" s="1"/>
      <x:c r="C215" s="2" t="n">
        <x:v>55</x:v>
      </x:c>
      <x:c r="D215" s="31" t="n">
        <x:f>IF(OR(C215&gt;=$E$43,INDEX($I$51:$I$147,C215+1)&lt;=0.0000000001),0,IF($E$46=0,$E$44/MIN($E$43,COUNTIF($I$51:$I$110,"&gt;0.0000000001")),IF(C215=$E$45,$E$44,0)))</x:f>
        <x:v>0</x:v>
      </x:c>
      <x:c r="E215" s="31" t="n">
        <x:f>IF(D215=0,0,D215/(INDEX($I$51:$I$147,C215+1)*INDEX($H$51:$H$147,C215+1)))</x:f>
        <x:v>0</x:v>
      </x:c>
      <x:c r="F215" s="31" t="n">
        <x:f>E215*INDEX($G$51:$G$147,C215+1)</x:f>
        <x:v>0</x:v>
      </x:c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</x:row>
    <x:row r="216" ht="19" customHeight="1">
      <x:c r="A216" s="1"/>
      <x:c r="B216" s="1"/>
      <x:c r="C216" s="2" t="n">
        <x:v>56</x:v>
      </x:c>
      <x:c r="D216" s="31" t="n">
        <x:f>IF(OR(C216&gt;=$E$43,INDEX($I$51:$I$147,C216+1)&lt;=0.0000000001),0,IF($E$46=0,$E$44/MIN($E$43,COUNTIF($I$51:$I$110,"&gt;0.0000000001")),IF(C216=$E$45,$E$44,0)))</x:f>
        <x:v>0</x:v>
      </x:c>
      <x:c r="E216" s="31" t="n">
        <x:f>IF(D216=0,0,D216/(INDEX($I$51:$I$147,C216+1)*INDEX($H$51:$H$147,C216+1)))</x:f>
        <x:v>0</x:v>
      </x:c>
      <x:c r="F216" s="31" t="n">
        <x:f>E216*INDEX($G$51:$G$147,C216+1)</x:f>
        <x:v>0</x:v>
      </x:c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</x:row>
    <x:row r="217" ht="19" customHeight="1">
      <x:c r="A217" s="1"/>
      <x:c r="B217" s="1"/>
      <x:c r="C217" s="2" t="n">
        <x:v>57</x:v>
      </x:c>
      <x:c r="D217" s="31" t="n">
        <x:f>IF(OR(C217&gt;=$E$43,INDEX($I$51:$I$147,C217+1)&lt;=0.0000000001),0,IF($E$46=0,$E$44/MIN($E$43,COUNTIF($I$51:$I$110,"&gt;0.0000000001")),IF(C217=$E$45,$E$44,0)))</x:f>
        <x:v>0</x:v>
      </x:c>
      <x:c r="E217" s="31" t="n">
        <x:f>IF(D217=0,0,D217/(INDEX($I$51:$I$147,C217+1)*INDEX($H$51:$H$147,C217+1)))</x:f>
        <x:v>0</x:v>
      </x:c>
      <x:c r="F217" s="31" t="n">
        <x:f>E217*INDEX($G$51:$G$147,C217+1)</x:f>
        <x:v>0</x:v>
      </x:c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</x:row>
    <x:row r="218" ht="19" customHeight="1">
      <x:c r="A218" s="1"/>
      <x:c r="B218" s="1"/>
      <x:c r="C218" s="2" t="n">
        <x:v>58</x:v>
      </x:c>
      <x:c r="D218" s="31" t="n">
        <x:f>IF(OR(C218&gt;=$E$43,INDEX($I$51:$I$147,C218+1)&lt;=0.0000000001),0,IF($E$46=0,$E$44/MIN($E$43,COUNTIF($I$51:$I$110,"&gt;0.0000000001")),IF(C218=$E$45,$E$44,0)))</x:f>
        <x:v>0</x:v>
      </x:c>
      <x:c r="E218" s="31" t="n">
        <x:f>IF(D218=0,0,D218/(INDEX($I$51:$I$147,C218+1)*INDEX($H$51:$H$147,C218+1)))</x:f>
        <x:v>0</x:v>
      </x:c>
      <x:c r="F218" s="31" t="n">
        <x:f>E218*INDEX($G$51:$G$147,C218+1)</x:f>
        <x:v>0</x:v>
      </x:c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</x:row>
    <x:row r="219" ht="19" customHeight="1">
      <x:c r="A219" s="1"/>
      <x:c r="B219" s="1"/>
      <x:c r="C219" s="2" t="n">
        <x:v>59</x:v>
      </x:c>
      <x:c r="D219" s="31" t="n">
        <x:f>IF(OR(C219&gt;=$E$43,INDEX($I$51:$I$147,C219+1)&lt;=0.0000000001),0,IF($E$46=0,$E$44/MIN($E$43,COUNTIF($I$51:$I$110,"&gt;0.0000000001")),IF(C219=$E$45,$E$44,0)))</x:f>
        <x:v>0</x:v>
      </x:c>
      <x:c r="E219" s="31" t="n">
        <x:f>IF(D219=0,0,D219/(INDEX($I$51:$I$147,C219+1)*INDEX($H$51:$H$147,C219+1)))</x:f>
        <x:v>0</x:v>
      </x:c>
      <x:c r="F219" s="31" t="n">
        <x:f>E219*INDEX($G$51:$G$147,C219+1)</x:f>
        <x:v>0</x:v>
      </x:c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</x:row>
  </x:sheetData>
  <x:conditionalFormatting sqref="G35:AP37">
    <x:cfRule type="expression" dxfId="1" priority="1">
      <x:formula>ABS(G35)&gt;0.01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</x:cols>
  <x:sheetData>
    <x:row r="1" ht="19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</x:row>
    <x:row r="2" ht="19" customHeight="1">
      <x:c r="A2" s="1"/>
      <x:c r="B2" s="1"/>
      <x:c r="C2" s="3" t="str">
        <x:v>MK Short-Term</x:v>
      </x:c>
      <x:c r="D2" s="3"/>
      <x:c r="E2" s="3"/>
      <x:c r="F2" s="3"/>
      <x:c r="G2" s="3"/>
      <x:c r="H2" s="3"/>
      <x:c r="I2" s="3"/>
      <x:c r="J2" s="3"/>
      <x:c r="K2" s="3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</x:row>
    <x:row r="3" ht="19" customHeight="1">
      <x:c r="A3" s="1"/>
      <x:c r="B3" s="1"/>
      <x:c r="C3" s="2" t="str">
        <x:v>Exported scenario</x:v>
      </x:c>
      <x:c r="D3" s="2"/>
      <x:c r="E3" s="4" t="str">
        <x:f>'Assumptions'!$E$8</x:f>
        <x:v>Base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</x:row>
    <x:row r="4" ht="19" customHeight="1">
      <x:c r="A4" s="1"/>
      <x:c r="B4" s="1"/>
      <x:c r="C4" s="2" t="str">
        <x:v>USD thousands unless noted. Months run left to right. Detailed curve and opening cohorts below.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</x:row>
    <x:row r="5" ht="19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</x:row>
    <x:row r="6" ht="19" customHeight="1">
      <x:c r="A6" s="1"/>
      <x:c r="B6" s="1"/>
      <x:c r="C6" s="6"/>
      <x:c r="D6" s="6"/>
      <x:c r="E6" s="6" t="str">
        <x:v>Horizon total / end</x:v>
      </x:c>
      <x:c r="F6" s="6"/>
      <x:c r="G6" s="21" t="n">
        <x:v>1</x:v>
      </x:c>
      <x:c r="H6" s="21" t="n">
        <x:v>2</x:v>
      </x:c>
      <x:c r="I6" s="21" t="n">
        <x:v>3</x:v>
      </x:c>
      <x:c r="J6" s="21" t="n">
        <x:v>4</x:v>
      </x:c>
      <x:c r="K6" s="21" t="n">
        <x:v>5</x:v>
      </x:c>
      <x:c r="L6" s="21" t="n">
        <x:v>6</x:v>
      </x:c>
      <x:c r="M6" s="21" t="n">
        <x:v>7</x:v>
      </x:c>
      <x:c r="N6" s="21" t="n">
        <x:v>8</x:v>
      </x:c>
      <x:c r="O6" s="21" t="n">
        <x:v>9</x:v>
      </x:c>
      <x:c r="P6" s="21" t="n">
        <x:v>10</x:v>
      </x:c>
      <x:c r="Q6" s="21" t="n">
        <x:v>11</x:v>
      </x:c>
      <x:c r="R6" s="21" t="n">
        <x:v>12</x:v>
      </x:c>
      <x:c r="S6" s="21" t="n">
        <x:v>13</x:v>
      </x:c>
      <x:c r="T6" s="21" t="n">
        <x:v>14</x:v>
      </x:c>
      <x:c r="U6" s="21" t="n">
        <x:v>15</x:v>
      </x:c>
      <x:c r="V6" s="21" t="n">
        <x:v>16</x:v>
      </x:c>
      <x:c r="W6" s="21" t="n">
        <x:v>17</x:v>
      </x:c>
      <x:c r="X6" s="21" t="n">
        <x:v>18</x:v>
      </x:c>
      <x:c r="Y6" s="21" t="n">
        <x:v>19</x:v>
      </x:c>
      <x:c r="Z6" s="21" t="n">
        <x:v>20</x:v>
      </x:c>
      <x:c r="AA6" s="21" t="n">
        <x:v>21</x:v>
      </x:c>
      <x:c r="AB6" s="21" t="n">
        <x:v>22</x:v>
      </x:c>
      <x:c r="AC6" s="21" t="n">
        <x:v>23</x:v>
      </x:c>
      <x:c r="AD6" s="21" t="n">
        <x:v>24</x:v>
      </x:c>
      <x:c r="AE6" s="21" t="n">
        <x:v>25</x:v>
      </x:c>
      <x:c r="AF6" s="21" t="n">
        <x:v>26</x:v>
      </x:c>
      <x:c r="AG6" s="21" t="n">
        <x:v>27</x:v>
      </x:c>
      <x:c r="AH6" s="21" t="n">
        <x:v>28</x:v>
      </x:c>
      <x:c r="AI6" s="21" t="n">
        <x:v>29</x:v>
      </x:c>
      <x:c r="AJ6" s="21" t="n">
        <x:v>30</x:v>
      </x:c>
      <x:c r="AK6" s="21" t="n">
        <x:v>31</x:v>
      </x:c>
      <x:c r="AL6" s="21" t="n">
        <x:v>32</x:v>
      </x:c>
      <x:c r="AM6" s="21" t="n">
        <x:v>33</x:v>
      </x:c>
      <x:c r="AN6" s="21" t="n">
        <x:v>34</x:v>
      </x:c>
      <x:c r="AO6" s="21" t="n">
        <x:v>35</x:v>
      </x:c>
      <x:c r="AP6" s="21" t="n">
        <x:v>36</x:v>
      </x:c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</x:row>
    <x:row r="7" ht="19" customHeight="1">
      <x:c r="A7" s="1"/>
      <x:c r="B7" s="1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</x:row>
    <x:row r="8" ht="19" customHeight="1">
      <x:c r="A8" s="1"/>
      <x:c r="B8" s="1"/>
      <x:c r="C8" s="2" t="str">
        <x:v>Applications</x:v>
      </x:c>
      <x:c r="D8" s="2"/>
      <x:c r="E8" s="37" t="n">
        <x:f>SUMIFS(G8:AP8,$G$6:$AP$6,"&lt;="&amp;'Assumptions'!$E$7)</x:f>
        <x:v>143999.99999999997</x:v>
      </x:c>
      <x:c r="F8" s="2"/>
      <x:c r="G8" s="32" t="n">
        <x:f>'Assumptions'!$E$11*(1+'Assumptions'!$E$12)^(G$6-1)*INDEX('Assumptions'!$E$34:$E$45,MOD(G$6-1,12)+1)*'Assumptions'!$E$30</x:f>
        <x:v>5999.999999999999</x:v>
      </x:c>
      <x:c r="H8" s="32" t="n">
        <x:f>'Assumptions'!$E$11*(1+'Assumptions'!$E$12)^(H$6-1)*INDEX('Assumptions'!$E$34:$E$45,MOD(H$6-1,12)+1)*'Assumptions'!$E$30</x:f>
        <x:v>5999.999999999999</x:v>
      </x:c>
      <x:c r="I8" s="32" t="n">
        <x:f>'Assumptions'!$E$11*(1+'Assumptions'!$E$12)^(I$6-1)*INDEX('Assumptions'!$E$34:$E$45,MOD(I$6-1,12)+1)*'Assumptions'!$E$30</x:f>
        <x:v>5999.999999999999</x:v>
      </x:c>
      <x:c r="J8" s="32" t="n">
        <x:f>'Assumptions'!$E$11*(1+'Assumptions'!$E$12)^(J$6-1)*INDEX('Assumptions'!$E$34:$E$45,MOD(J$6-1,12)+1)*'Assumptions'!$E$30</x:f>
        <x:v>5999.999999999999</x:v>
      </x:c>
      <x:c r="K8" s="32" t="n">
        <x:f>'Assumptions'!$E$11*(1+'Assumptions'!$E$12)^(K$6-1)*INDEX('Assumptions'!$E$34:$E$45,MOD(K$6-1,12)+1)*'Assumptions'!$E$30</x:f>
        <x:v>5999.999999999999</x:v>
      </x:c>
      <x:c r="L8" s="32" t="n">
        <x:f>'Assumptions'!$E$11*(1+'Assumptions'!$E$12)^(L$6-1)*INDEX('Assumptions'!$E$34:$E$45,MOD(L$6-1,12)+1)*'Assumptions'!$E$30</x:f>
        <x:v>5999.999999999999</x:v>
      </x:c>
      <x:c r="M8" s="32" t="n">
        <x:f>'Assumptions'!$E$11*(1+'Assumptions'!$E$12)^(M$6-1)*INDEX('Assumptions'!$E$34:$E$45,MOD(M$6-1,12)+1)*'Assumptions'!$E$30</x:f>
        <x:v>5999.999999999999</x:v>
      </x:c>
      <x:c r="N8" s="32" t="n">
        <x:f>'Assumptions'!$E$11*(1+'Assumptions'!$E$12)^(N$6-1)*INDEX('Assumptions'!$E$34:$E$45,MOD(N$6-1,12)+1)*'Assumptions'!$E$30</x:f>
        <x:v>5999.999999999999</x:v>
      </x:c>
      <x:c r="O8" s="32" t="n">
        <x:f>'Assumptions'!$E$11*(1+'Assumptions'!$E$12)^(O$6-1)*INDEX('Assumptions'!$E$34:$E$45,MOD(O$6-1,12)+1)*'Assumptions'!$E$30</x:f>
        <x:v>5999.999999999999</x:v>
      </x:c>
      <x:c r="P8" s="32" t="n">
        <x:f>'Assumptions'!$E$11*(1+'Assumptions'!$E$12)^(P$6-1)*INDEX('Assumptions'!$E$34:$E$45,MOD(P$6-1,12)+1)*'Assumptions'!$E$30</x:f>
        <x:v>5999.999999999999</x:v>
      </x:c>
      <x:c r="Q8" s="32" t="n">
        <x:f>'Assumptions'!$E$11*(1+'Assumptions'!$E$12)^(Q$6-1)*INDEX('Assumptions'!$E$34:$E$45,MOD(Q$6-1,12)+1)*'Assumptions'!$E$30</x:f>
        <x:v>5999.999999999999</x:v>
      </x:c>
      <x:c r="R8" s="32" t="n">
        <x:f>'Assumptions'!$E$11*(1+'Assumptions'!$E$12)^(R$6-1)*INDEX('Assumptions'!$E$34:$E$45,MOD(R$6-1,12)+1)*'Assumptions'!$E$30</x:f>
        <x:v>5999.999999999999</x:v>
      </x:c>
      <x:c r="S8" s="32" t="n">
        <x:f>'Assumptions'!$E$11*(1+'Assumptions'!$E$12)^(S$6-1)*INDEX('Assumptions'!$E$34:$E$45,MOD(S$6-1,12)+1)*'Assumptions'!$E$30</x:f>
        <x:v>5999.999999999999</x:v>
      </x:c>
      <x:c r="T8" s="32" t="n">
        <x:f>'Assumptions'!$E$11*(1+'Assumptions'!$E$12)^(T$6-1)*INDEX('Assumptions'!$E$34:$E$45,MOD(T$6-1,12)+1)*'Assumptions'!$E$30</x:f>
        <x:v>5999.999999999999</x:v>
      </x:c>
      <x:c r="U8" s="32" t="n">
        <x:f>'Assumptions'!$E$11*(1+'Assumptions'!$E$12)^(U$6-1)*INDEX('Assumptions'!$E$34:$E$45,MOD(U$6-1,12)+1)*'Assumptions'!$E$30</x:f>
        <x:v>5999.999999999999</x:v>
      </x:c>
      <x:c r="V8" s="32" t="n">
        <x:f>'Assumptions'!$E$11*(1+'Assumptions'!$E$12)^(V$6-1)*INDEX('Assumptions'!$E$34:$E$45,MOD(V$6-1,12)+1)*'Assumptions'!$E$30</x:f>
        <x:v>5999.999999999999</x:v>
      </x:c>
      <x:c r="W8" s="32" t="n">
        <x:f>'Assumptions'!$E$11*(1+'Assumptions'!$E$12)^(W$6-1)*INDEX('Assumptions'!$E$34:$E$45,MOD(W$6-1,12)+1)*'Assumptions'!$E$30</x:f>
        <x:v>5999.999999999999</x:v>
      </x:c>
      <x:c r="X8" s="32" t="n">
        <x:f>'Assumptions'!$E$11*(1+'Assumptions'!$E$12)^(X$6-1)*INDEX('Assumptions'!$E$34:$E$45,MOD(X$6-1,12)+1)*'Assumptions'!$E$30</x:f>
        <x:v>5999.999999999999</x:v>
      </x:c>
      <x:c r="Y8" s="32" t="n">
        <x:f>'Assumptions'!$E$11*(1+'Assumptions'!$E$12)^(Y$6-1)*INDEX('Assumptions'!$E$34:$E$45,MOD(Y$6-1,12)+1)*'Assumptions'!$E$30</x:f>
        <x:v>5999.999999999999</x:v>
      </x:c>
      <x:c r="Z8" s="32" t="n">
        <x:f>'Assumptions'!$E$11*(1+'Assumptions'!$E$12)^(Z$6-1)*INDEX('Assumptions'!$E$34:$E$45,MOD(Z$6-1,12)+1)*'Assumptions'!$E$30</x:f>
        <x:v>5999.999999999999</x:v>
      </x:c>
      <x:c r="AA8" s="32" t="n">
        <x:f>'Assumptions'!$E$11*(1+'Assumptions'!$E$12)^(AA$6-1)*INDEX('Assumptions'!$E$34:$E$45,MOD(AA$6-1,12)+1)*'Assumptions'!$E$30</x:f>
        <x:v>5999.999999999999</x:v>
      </x:c>
      <x:c r="AB8" s="32" t="n">
        <x:f>'Assumptions'!$E$11*(1+'Assumptions'!$E$12)^(AB$6-1)*INDEX('Assumptions'!$E$34:$E$45,MOD(AB$6-1,12)+1)*'Assumptions'!$E$30</x:f>
        <x:v>5999.999999999999</x:v>
      </x:c>
      <x:c r="AC8" s="32" t="n">
        <x:f>'Assumptions'!$E$11*(1+'Assumptions'!$E$12)^(AC$6-1)*INDEX('Assumptions'!$E$34:$E$45,MOD(AC$6-1,12)+1)*'Assumptions'!$E$30</x:f>
        <x:v>5999.999999999999</x:v>
      </x:c>
      <x:c r="AD8" s="32" t="n">
        <x:f>'Assumptions'!$E$11*(1+'Assumptions'!$E$12)^(AD$6-1)*INDEX('Assumptions'!$E$34:$E$45,MOD(AD$6-1,12)+1)*'Assumptions'!$E$30</x:f>
        <x:v>5999.999999999999</x:v>
      </x:c>
      <x:c r="AE8" s="32" t="n">
        <x:f>'Assumptions'!$E$11*(1+'Assumptions'!$E$12)^(AE$6-1)*INDEX('Assumptions'!$E$34:$E$45,MOD(AE$6-1,12)+1)*'Assumptions'!$E$30</x:f>
        <x:v>5999.999999999999</x:v>
      </x:c>
      <x:c r="AF8" s="32" t="n">
        <x:f>'Assumptions'!$E$11*(1+'Assumptions'!$E$12)^(AF$6-1)*INDEX('Assumptions'!$E$34:$E$45,MOD(AF$6-1,12)+1)*'Assumptions'!$E$30</x:f>
        <x:v>5999.999999999999</x:v>
      </x:c>
      <x:c r="AG8" s="32" t="n">
        <x:f>'Assumptions'!$E$11*(1+'Assumptions'!$E$12)^(AG$6-1)*INDEX('Assumptions'!$E$34:$E$45,MOD(AG$6-1,12)+1)*'Assumptions'!$E$30</x:f>
        <x:v>5999.999999999999</x:v>
      </x:c>
      <x:c r="AH8" s="32" t="n">
        <x:f>'Assumptions'!$E$11*(1+'Assumptions'!$E$12)^(AH$6-1)*INDEX('Assumptions'!$E$34:$E$45,MOD(AH$6-1,12)+1)*'Assumptions'!$E$30</x:f>
        <x:v>5999.999999999999</x:v>
      </x:c>
      <x:c r="AI8" s="32" t="n">
        <x:f>'Assumptions'!$E$11*(1+'Assumptions'!$E$12)^(AI$6-1)*INDEX('Assumptions'!$E$34:$E$45,MOD(AI$6-1,12)+1)*'Assumptions'!$E$30</x:f>
        <x:v>5999.999999999999</x:v>
      </x:c>
      <x:c r="AJ8" s="32" t="n">
        <x:f>'Assumptions'!$E$11*(1+'Assumptions'!$E$12)^(AJ$6-1)*INDEX('Assumptions'!$E$34:$E$45,MOD(AJ$6-1,12)+1)*'Assumptions'!$E$30</x:f>
        <x:v>5999.999999999999</x:v>
      </x:c>
      <x:c r="AK8" s="32" t="n">
        <x:f>'Assumptions'!$E$11*(1+'Assumptions'!$E$12)^(AK$6-1)*INDEX('Assumptions'!$E$34:$E$45,MOD(AK$6-1,12)+1)*'Assumptions'!$E$30</x:f>
        <x:v>5999.999999999999</x:v>
      </x:c>
      <x:c r="AL8" s="32" t="n">
        <x:f>'Assumptions'!$E$11*(1+'Assumptions'!$E$12)^(AL$6-1)*INDEX('Assumptions'!$E$34:$E$45,MOD(AL$6-1,12)+1)*'Assumptions'!$E$30</x:f>
        <x:v>5999.999999999999</x:v>
      </x:c>
      <x:c r="AM8" s="32" t="n">
        <x:f>'Assumptions'!$E$11*(1+'Assumptions'!$E$12)^(AM$6-1)*INDEX('Assumptions'!$E$34:$E$45,MOD(AM$6-1,12)+1)*'Assumptions'!$E$30</x:f>
        <x:v>5999.999999999999</x:v>
      </x:c>
      <x:c r="AN8" s="32" t="n">
        <x:f>'Assumptions'!$E$11*(1+'Assumptions'!$E$12)^(AN$6-1)*INDEX('Assumptions'!$E$34:$E$45,MOD(AN$6-1,12)+1)*'Assumptions'!$E$30</x:f>
        <x:v>5999.999999999999</x:v>
      </x:c>
      <x:c r="AO8" s="32" t="n">
        <x:f>'Assumptions'!$E$11*(1+'Assumptions'!$E$12)^(AO$6-1)*INDEX('Assumptions'!$E$34:$E$45,MOD(AO$6-1,12)+1)*'Assumptions'!$E$30</x:f>
        <x:v>5999.999999999999</x:v>
      </x:c>
      <x:c r="AP8" s="32" t="n">
        <x:f>'Assumptions'!$E$11*(1+'Assumptions'!$E$12)^(AP$6-1)*INDEX('Assumptions'!$E$34:$E$45,MOD(AP$6-1,12)+1)*'Assumptions'!$E$30</x:f>
        <x:v>5999.999999999999</x:v>
      </x:c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</x:row>
    <x:row r="9" ht="19" customHeight="1">
      <x:c r="A9" s="1"/>
      <x:c r="B9" s="1"/>
      <x:c r="C9" s="2" t="str">
        <x:v>Approval rate</x:v>
      </x:c>
      <x:c r="D9" s="2"/>
      <x:c r="E9" s="35"/>
      <x:c r="F9" s="2"/>
      <x:c r="G9" s="33" t="n">
        <x:f>'Assumptions'!$E$13</x:f>
        <x:v>0.3</x:v>
      </x:c>
      <x:c r="H9" s="33" t="n">
        <x:f>'Assumptions'!$E$13</x:f>
        <x:v>0.3</x:v>
      </x:c>
      <x:c r="I9" s="33" t="n">
        <x:f>'Assumptions'!$E$13</x:f>
        <x:v>0.3</x:v>
      </x:c>
      <x:c r="J9" s="33" t="n">
        <x:f>'Assumptions'!$E$13</x:f>
        <x:v>0.3</x:v>
      </x:c>
      <x:c r="K9" s="33" t="n">
        <x:f>'Assumptions'!$E$13</x:f>
        <x:v>0.3</x:v>
      </x:c>
      <x:c r="L9" s="33" t="n">
        <x:f>'Assumptions'!$E$13</x:f>
        <x:v>0.3</x:v>
      </x:c>
      <x:c r="M9" s="33" t="n">
        <x:f>'Assumptions'!$E$13</x:f>
        <x:v>0.3</x:v>
      </x:c>
      <x:c r="N9" s="33" t="n">
        <x:f>'Assumptions'!$E$13</x:f>
        <x:v>0.3</x:v>
      </x:c>
      <x:c r="O9" s="33" t="n">
        <x:f>'Assumptions'!$E$13</x:f>
        <x:v>0.3</x:v>
      </x:c>
      <x:c r="P9" s="33" t="n">
        <x:f>'Assumptions'!$E$13</x:f>
        <x:v>0.3</x:v>
      </x:c>
      <x:c r="Q9" s="33" t="n">
        <x:f>'Assumptions'!$E$13</x:f>
        <x:v>0.3</x:v>
      </x:c>
      <x:c r="R9" s="33" t="n">
        <x:f>'Assumptions'!$E$13</x:f>
        <x:v>0.3</x:v>
      </x:c>
      <x:c r="S9" s="33" t="n">
        <x:f>'Assumptions'!$E$13</x:f>
        <x:v>0.3</x:v>
      </x:c>
      <x:c r="T9" s="33" t="n">
        <x:f>'Assumptions'!$E$13</x:f>
        <x:v>0.3</x:v>
      </x:c>
      <x:c r="U9" s="33" t="n">
        <x:f>'Assumptions'!$E$13</x:f>
        <x:v>0.3</x:v>
      </x:c>
      <x:c r="V9" s="33" t="n">
        <x:f>'Assumptions'!$E$13</x:f>
        <x:v>0.3</x:v>
      </x:c>
      <x:c r="W9" s="33" t="n">
        <x:f>'Assumptions'!$E$13</x:f>
        <x:v>0.3</x:v>
      </x:c>
      <x:c r="X9" s="33" t="n">
        <x:f>'Assumptions'!$E$13</x:f>
        <x:v>0.3</x:v>
      </x:c>
      <x:c r="Y9" s="33" t="n">
        <x:f>'Assumptions'!$E$13</x:f>
        <x:v>0.3</x:v>
      </x:c>
      <x:c r="Z9" s="33" t="n">
        <x:f>'Assumptions'!$E$13</x:f>
        <x:v>0.3</x:v>
      </x:c>
      <x:c r="AA9" s="33" t="n">
        <x:f>'Assumptions'!$E$13</x:f>
        <x:v>0.3</x:v>
      </x:c>
      <x:c r="AB9" s="33" t="n">
        <x:f>'Assumptions'!$E$13</x:f>
        <x:v>0.3</x:v>
      </x:c>
      <x:c r="AC9" s="33" t="n">
        <x:f>'Assumptions'!$E$13</x:f>
        <x:v>0.3</x:v>
      </x:c>
      <x:c r="AD9" s="33" t="n">
        <x:f>'Assumptions'!$E$13</x:f>
        <x:v>0.3</x:v>
      </x:c>
      <x:c r="AE9" s="33" t="n">
        <x:f>'Assumptions'!$E$13</x:f>
        <x:v>0.3</x:v>
      </x:c>
      <x:c r="AF9" s="33" t="n">
        <x:f>'Assumptions'!$E$13</x:f>
        <x:v>0.3</x:v>
      </x:c>
      <x:c r="AG9" s="33" t="n">
        <x:f>'Assumptions'!$E$13</x:f>
        <x:v>0.3</x:v>
      </x:c>
      <x:c r="AH9" s="33" t="n">
        <x:f>'Assumptions'!$E$13</x:f>
        <x:v>0.3</x:v>
      </x:c>
      <x:c r="AI9" s="33" t="n">
        <x:f>'Assumptions'!$E$13</x:f>
        <x:v>0.3</x:v>
      </x:c>
      <x:c r="AJ9" s="33" t="n">
        <x:f>'Assumptions'!$E$13</x:f>
        <x:v>0.3</x:v>
      </x:c>
      <x:c r="AK9" s="33" t="n">
        <x:f>'Assumptions'!$E$13</x:f>
        <x:v>0.3</x:v>
      </x:c>
      <x:c r="AL9" s="33" t="n">
        <x:f>'Assumptions'!$E$13</x:f>
        <x:v>0.3</x:v>
      </x:c>
      <x:c r="AM9" s="33" t="n">
        <x:f>'Assumptions'!$E$13</x:f>
        <x:v>0.3</x:v>
      </x:c>
      <x:c r="AN9" s="33" t="n">
        <x:f>'Assumptions'!$E$13</x:f>
        <x:v>0.3</x:v>
      </x:c>
      <x:c r="AO9" s="33" t="n">
        <x:f>'Assumptions'!$E$13</x:f>
        <x:v>0.3</x:v>
      </x:c>
      <x:c r="AP9" s="33" t="n">
        <x:f>'Assumptions'!$E$13</x:f>
        <x:v>0.3</x:v>
      </x:c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</x:row>
    <x:row r="10" ht="19" customHeight="1">
      <x:c r="A10" s="1"/>
      <x:c r="B10" s="1"/>
      <x:c r="C10" s="2" t="str">
        <x:v>Average loan size ($)</x:v>
      </x:c>
      <x:c r="D10" s="2"/>
      <x:c r="E10" s="35"/>
      <x:c r="F10" s="2"/>
      <x:c r="G10" s="34" t="n">
        <x:f>'Assumptions'!$E$14</x:f>
        <x:v>1500</x:v>
      </x:c>
      <x:c r="H10" s="34" t="n">
        <x:f>'Assumptions'!$E$14</x:f>
        <x:v>1500</x:v>
      </x:c>
      <x:c r="I10" s="34" t="n">
        <x:f>'Assumptions'!$E$14</x:f>
        <x:v>1500</x:v>
      </x:c>
      <x:c r="J10" s="34" t="n">
        <x:f>'Assumptions'!$E$14</x:f>
        <x:v>1500</x:v>
      </x:c>
      <x:c r="K10" s="34" t="n">
        <x:f>'Assumptions'!$E$14</x:f>
        <x:v>1500</x:v>
      </x:c>
      <x:c r="L10" s="34" t="n">
        <x:f>'Assumptions'!$E$14</x:f>
        <x:v>1500</x:v>
      </x:c>
      <x:c r="M10" s="34" t="n">
        <x:f>'Assumptions'!$E$14</x:f>
        <x:v>1500</x:v>
      </x:c>
      <x:c r="N10" s="34" t="n">
        <x:f>'Assumptions'!$E$14</x:f>
        <x:v>1500</x:v>
      </x:c>
      <x:c r="O10" s="34" t="n">
        <x:f>'Assumptions'!$E$14</x:f>
        <x:v>1500</x:v>
      </x:c>
      <x:c r="P10" s="34" t="n">
        <x:f>'Assumptions'!$E$14</x:f>
        <x:v>1500</x:v>
      </x:c>
      <x:c r="Q10" s="34" t="n">
        <x:f>'Assumptions'!$E$14</x:f>
        <x:v>1500</x:v>
      </x:c>
      <x:c r="R10" s="34" t="n">
        <x:f>'Assumptions'!$E$14</x:f>
        <x:v>1500</x:v>
      </x:c>
      <x:c r="S10" s="34" t="n">
        <x:f>'Assumptions'!$E$14</x:f>
        <x:v>1500</x:v>
      </x:c>
      <x:c r="T10" s="34" t="n">
        <x:f>'Assumptions'!$E$14</x:f>
        <x:v>1500</x:v>
      </x:c>
      <x:c r="U10" s="34" t="n">
        <x:f>'Assumptions'!$E$14</x:f>
        <x:v>1500</x:v>
      </x:c>
      <x:c r="V10" s="34" t="n">
        <x:f>'Assumptions'!$E$14</x:f>
        <x:v>1500</x:v>
      </x:c>
      <x:c r="W10" s="34" t="n">
        <x:f>'Assumptions'!$E$14</x:f>
        <x:v>1500</x:v>
      </x:c>
      <x:c r="X10" s="34" t="n">
        <x:f>'Assumptions'!$E$14</x:f>
        <x:v>1500</x:v>
      </x:c>
      <x:c r="Y10" s="34" t="n">
        <x:f>'Assumptions'!$E$14</x:f>
        <x:v>1500</x:v>
      </x:c>
      <x:c r="Z10" s="34" t="n">
        <x:f>'Assumptions'!$E$14</x:f>
        <x:v>1500</x:v>
      </x:c>
      <x:c r="AA10" s="34" t="n">
        <x:f>'Assumptions'!$E$14</x:f>
        <x:v>1500</x:v>
      </x:c>
      <x:c r="AB10" s="34" t="n">
        <x:f>'Assumptions'!$E$14</x:f>
        <x:v>1500</x:v>
      </x:c>
      <x:c r="AC10" s="34" t="n">
        <x:f>'Assumptions'!$E$14</x:f>
        <x:v>1500</x:v>
      </x:c>
      <x:c r="AD10" s="34" t="n">
        <x:f>'Assumptions'!$E$14</x:f>
        <x:v>1500</x:v>
      </x:c>
      <x:c r="AE10" s="34" t="n">
        <x:f>'Assumptions'!$E$14</x:f>
        <x:v>1500</x:v>
      </x:c>
      <x:c r="AF10" s="34" t="n">
        <x:f>'Assumptions'!$E$14</x:f>
        <x:v>1500</x:v>
      </x:c>
      <x:c r="AG10" s="34" t="n">
        <x:f>'Assumptions'!$E$14</x:f>
        <x:v>1500</x:v>
      </x:c>
      <x:c r="AH10" s="34" t="n">
        <x:f>'Assumptions'!$E$14</x:f>
        <x:v>1500</x:v>
      </x:c>
      <x:c r="AI10" s="34" t="n">
        <x:f>'Assumptions'!$E$14</x:f>
        <x:v>1500</x:v>
      </x:c>
      <x:c r="AJ10" s="34" t="n">
        <x:f>'Assumptions'!$E$14</x:f>
        <x:v>1500</x:v>
      </x:c>
      <x:c r="AK10" s="34" t="n">
        <x:f>'Assumptions'!$E$14</x:f>
        <x:v>1500</x:v>
      </x:c>
      <x:c r="AL10" s="34" t="n">
        <x:f>'Assumptions'!$E$14</x:f>
        <x:v>1500</x:v>
      </x:c>
      <x:c r="AM10" s="34" t="n">
        <x:f>'Assumptions'!$E$14</x:f>
        <x:v>1500</x:v>
      </x:c>
      <x:c r="AN10" s="34" t="n">
        <x:f>'Assumptions'!$E$14</x:f>
        <x:v>1500</x:v>
      </x:c>
      <x:c r="AO10" s="34" t="n">
        <x:f>'Assumptions'!$E$14</x:f>
        <x:v>1500</x:v>
      </x:c>
      <x:c r="AP10" s="34" t="n">
        <x:f>'Assumptions'!$E$14</x:f>
        <x:v>1500</x:v>
      </x:c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</x:row>
    <x:row r="11" ht="19" customHeight="1">
      <x:c r="A11" s="1"/>
      <x:c r="B11" s="1"/>
      <x:c r="C11" s="42" t="str">
        <x:v>Originations</x:v>
      </x:c>
      <x:c r="D11" s="42"/>
      <x:c r="E11" s="43" t="n">
        <x:f>SUMIFS(G11:AP11,$G$6:$AP$6,"&lt;="&amp;'Assumptions'!$E$7)</x:f>
        <x:v>64799999.99999999</x:v>
      </x:c>
      <x:c r="F11" s="42"/>
      <x:c r="G11" s="43" t="n">
        <x:f>G8*G9*G10</x:f>
        <x:v>2699999.9999999995</x:v>
      </x:c>
      <x:c r="H11" s="43" t="n">
        <x:f>H8*H9*H10</x:f>
        <x:v>2699999.9999999995</x:v>
      </x:c>
      <x:c r="I11" s="43" t="n">
        <x:f>I8*I9*I10</x:f>
        <x:v>2699999.9999999995</x:v>
      </x:c>
      <x:c r="J11" s="43" t="n">
        <x:f>J8*J9*J10</x:f>
        <x:v>2699999.9999999995</x:v>
      </x:c>
      <x:c r="K11" s="43" t="n">
        <x:f>K8*K9*K10</x:f>
        <x:v>2699999.9999999995</x:v>
      </x:c>
      <x:c r="L11" s="43" t="n">
        <x:f>L8*L9*L10</x:f>
        <x:v>2699999.9999999995</x:v>
      </x:c>
      <x:c r="M11" s="43" t="n">
        <x:f>M8*M9*M10</x:f>
        <x:v>2699999.9999999995</x:v>
      </x:c>
      <x:c r="N11" s="43" t="n">
        <x:f>N8*N9*N10</x:f>
        <x:v>2699999.9999999995</x:v>
      </x:c>
      <x:c r="O11" s="43" t="n">
        <x:f>O8*O9*O10</x:f>
        <x:v>2699999.9999999995</x:v>
      </x:c>
      <x:c r="P11" s="43" t="n">
        <x:f>P8*P9*P10</x:f>
        <x:v>2699999.9999999995</x:v>
      </x:c>
      <x:c r="Q11" s="43" t="n">
        <x:f>Q8*Q9*Q10</x:f>
        <x:v>2699999.9999999995</x:v>
      </x:c>
      <x:c r="R11" s="43" t="n">
        <x:f>R8*R9*R10</x:f>
        <x:v>2699999.9999999995</x:v>
      </x:c>
      <x:c r="S11" s="43" t="n">
        <x:f>S8*S9*S10</x:f>
        <x:v>2699999.9999999995</x:v>
      </x:c>
      <x:c r="T11" s="43" t="n">
        <x:f>T8*T9*T10</x:f>
        <x:v>2699999.9999999995</x:v>
      </x:c>
      <x:c r="U11" s="43" t="n">
        <x:f>U8*U9*U10</x:f>
        <x:v>2699999.9999999995</x:v>
      </x:c>
      <x:c r="V11" s="43" t="n">
        <x:f>V8*V9*V10</x:f>
        <x:v>2699999.9999999995</x:v>
      </x:c>
      <x:c r="W11" s="43" t="n">
        <x:f>W8*W9*W10</x:f>
        <x:v>2699999.9999999995</x:v>
      </x:c>
      <x:c r="X11" s="43" t="n">
        <x:f>X8*X9*X10</x:f>
        <x:v>2699999.9999999995</x:v>
      </x:c>
      <x:c r="Y11" s="43" t="n">
        <x:f>Y8*Y9*Y10</x:f>
        <x:v>2699999.9999999995</x:v>
      </x:c>
      <x:c r="Z11" s="43" t="n">
        <x:f>Z8*Z9*Z10</x:f>
        <x:v>2699999.9999999995</x:v>
      </x:c>
      <x:c r="AA11" s="43" t="n">
        <x:f>AA8*AA9*AA10</x:f>
        <x:v>2699999.9999999995</x:v>
      </x:c>
      <x:c r="AB11" s="43" t="n">
        <x:f>AB8*AB9*AB10</x:f>
        <x:v>2699999.9999999995</x:v>
      </x:c>
      <x:c r="AC11" s="43" t="n">
        <x:f>AC8*AC9*AC10</x:f>
        <x:v>2699999.9999999995</x:v>
      </x:c>
      <x:c r="AD11" s="43" t="n">
        <x:f>AD8*AD9*AD10</x:f>
        <x:v>2699999.9999999995</x:v>
      </x:c>
      <x:c r="AE11" s="43" t="n">
        <x:f>AE8*AE9*AE10</x:f>
        <x:v>2699999.9999999995</x:v>
      </x:c>
      <x:c r="AF11" s="43" t="n">
        <x:f>AF8*AF9*AF10</x:f>
        <x:v>2699999.9999999995</x:v>
      </x:c>
      <x:c r="AG11" s="43" t="n">
        <x:f>AG8*AG9*AG10</x:f>
        <x:v>2699999.9999999995</x:v>
      </x:c>
      <x:c r="AH11" s="43" t="n">
        <x:f>AH8*AH9*AH10</x:f>
        <x:v>2699999.9999999995</x:v>
      </x:c>
      <x:c r="AI11" s="43" t="n">
        <x:f>AI8*AI9*AI10</x:f>
        <x:v>2699999.9999999995</x:v>
      </x:c>
      <x:c r="AJ11" s="43" t="n">
        <x:f>AJ8*AJ9*AJ10</x:f>
        <x:v>2699999.9999999995</x:v>
      </x:c>
      <x:c r="AK11" s="43" t="n">
        <x:f>AK8*AK9*AK10</x:f>
        <x:v>2699999.9999999995</x:v>
      </x:c>
      <x:c r="AL11" s="43" t="n">
        <x:f>AL8*AL9*AL10</x:f>
        <x:v>2699999.9999999995</x:v>
      </x:c>
      <x:c r="AM11" s="43" t="n">
        <x:f>AM8*AM9*AM10</x:f>
        <x:v>2699999.9999999995</x:v>
      </x:c>
      <x:c r="AN11" s="43" t="n">
        <x:f>AN8*AN9*AN10</x:f>
        <x:v>2699999.9999999995</x:v>
      </x:c>
      <x:c r="AO11" s="43" t="n">
        <x:f>AO8*AO9*AO10</x:f>
        <x:v>2699999.9999999995</x:v>
      </x:c>
      <x:c r="AP11" s="43" t="n">
        <x:f>AP8*AP9*AP10</x:f>
        <x:v>2699999.9999999995</x:v>
      </x:c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</x:row>
    <x:row r="12" ht="19" customHeight="1">
      <x:c r="A12" s="1"/>
      <x:c r="B12" s="1"/>
      <x:c r="C12" s="2"/>
      <x:c r="D12" s="2"/>
      <x:c r="E12" s="35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</x:row>
    <x:row r="13" ht="19" customHeight="1">
      <x:c r="A13" s="1"/>
      <x:c r="B13" s="1"/>
      <x:c r="C13" s="2" t="str">
        <x:v>Beginning gross CLAB</x:v>
      </x:c>
      <x:c r="D13" s="2"/>
      <x:c r="E13" s="35" t="n">
        <x:f>G13</x:f>
        <x:v>51119999.999999985</x:v>
      </x:c>
      <x:c r="F13" s="2"/>
      <x:c r="G13" s="35" t="n">
        <x:f>$E$44</x:f>
        <x:v>51119999.999999985</x:v>
      </x:c>
      <x:c r="H13" s="35" t="n">
        <x:f>G16</x:f>
        <x:v>22066768.359046992</x:v>
      </x:c>
      <x:c r="I13" s="35" t="n">
        <x:f>H16</x:f>
        <x:v>11304550.31931281</x:v>
      </x:c>
      <x:c r="J13" s="35" t="n">
        <x:f>I16</x:f>
        <x:v>7216862.046772918</x:v>
      </x:c>
      <x:c r="K13" s="35" t="n">
        <x:f>J16</x:f>
        <x:v>5813273.155863315</x:v>
      </x:c>
      <x:c r="L13" s="35" t="n">
        <x:f>K16</x:f>
        <x:v>5454885.454701951</x:v>
      </x:c>
      <x:c r="M13" s="35" t="n">
        <x:f>L16</x:f>
        <x:v>5454885.454701951</x:v>
      </x:c>
      <x:c r="N13" s="35" t="n">
        <x:f>M16</x:f>
        <x:v>5454885.454701951</x:v>
      </x:c>
      <x:c r="O13" s="35" t="n">
        <x:f>N16</x:f>
        <x:v>5454885.454701951</x:v>
      </x:c>
      <x:c r="P13" s="35" t="n">
        <x:f>O16</x:f>
        <x:v>5454885.454701951</x:v>
      </x:c>
      <x:c r="Q13" s="35" t="n">
        <x:f>P16</x:f>
        <x:v>5454885.454701951</x:v>
      </x:c>
      <x:c r="R13" s="35" t="n">
        <x:f>Q16</x:f>
        <x:v>5454885.454701951</x:v>
      </x:c>
      <x:c r="S13" s="35" t="n">
        <x:f>R16</x:f>
        <x:v>5454885.454701951</x:v>
      </x:c>
      <x:c r="T13" s="35" t="n">
        <x:f>S16</x:f>
        <x:v>5454885.454701951</x:v>
      </x:c>
      <x:c r="U13" s="35" t="n">
        <x:f>T16</x:f>
        <x:v>5454885.454701951</x:v>
      </x:c>
      <x:c r="V13" s="35" t="n">
        <x:f>U16</x:f>
        <x:v>5454885.454701951</x:v>
      </x:c>
      <x:c r="W13" s="35" t="n">
        <x:f>V16</x:f>
        <x:v>5454885.454701951</x:v>
      </x:c>
      <x:c r="X13" s="35" t="n">
        <x:f>W16</x:f>
        <x:v>5454885.454701951</x:v>
      </x:c>
      <x:c r="Y13" s="35" t="n">
        <x:f>X16</x:f>
        <x:v>5454885.454701951</x:v>
      </x:c>
      <x:c r="Z13" s="35" t="n">
        <x:f>Y16</x:f>
        <x:v>5454885.454701951</x:v>
      </x:c>
      <x:c r="AA13" s="35" t="n">
        <x:f>Z16</x:f>
        <x:v>5454885.454701951</x:v>
      </x:c>
      <x:c r="AB13" s="35" t="n">
        <x:f>AA16</x:f>
        <x:v>5454885.454701951</x:v>
      </x:c>
      <x:c r="AC13" s="35" t="n">
        <x:f>AB16</x:f>
        <x:v>5454885.454701951</x:v>
      </x:c>
      <x:c r="AD13" s="35" t="n">
        <x:f>AC16</x:f>
        <x:v>5454885.454701951</x:v>
      </x:c>
      <x:c r="AE13" s="35" t="n">
        <x:f>AD16</x:f>
        <x:v>5454885.454701951</x:v>
      </x:c>
      <x:c r="AF13" s="35" t="n">
        <x:f>AE16</x:f>
        <x:v>5454885.454701951</x:v>
      </x:c>
      <x:c r="AG13" s="35" t="n">
        <x:f>AF16</x:f>
        <x:v>5454885.454701951</x:v>
      </x:c>
      <x:c r="AH13" s="35" t="n">
        <x:f>AG16</x:f>
        <x:v>5454885.454701951</x:v>
      </x:c>
      <x:c r="AI13" s="35" t="n">
        <x:f>AH16</x:f>
        <x:v>5454885.454701951</x:v>
      </x:c>
      <x:c r="AJ13" s="35" t="n">
        <x:f>AI16</x:f>
        <x:v>5454885.454701951</x:v>
      </x:c>
      <x:c r="AK13" s="35" t="n">
        <x:f>AJ16</x:f>
        <x:v>5454885.454701951</x:v>
      </x:c>
      <x:c r="AL13" s="35" t="n">
        <x:f>AK16</x:f>
        <x:v>5454885.454701951</x:v>
      </x:c>
      <x:c r="AM13" s="35" t="n">
        <x:f>AL16</x:f>
        <x:v>5454885.454701951</x:v>
      </x:c>
      <x:c r="AN13" s="35" t="n">
        <x:f>AM16</x:f>
        <x:v>5454885.454701951</x:v>
      </x:c>
      <x:c r="AO13" s="35" t="n">
        <x:f>AN16</x:f>
        <x:v>5454885.454701951</x:v>
      </x:c>
      <x:c r="AP13" s="35" t="n">
        <x:f>AO16</x:f>
        <x:v>5454885.454701951</x:v>
      </x:c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</x:row>
    <x:row r="14" ht="19" customHeight="1">
      <x:c r="A14" s="1"/>
      <x:c r="B14" s="1"/>
      <x:c r="C14" s="2" t="str">
        <x:v>Principal repayments</x:v>
      </x:c>
      <x:c r="D14" s="2"/>
      <x:c r="E14" s="35" t="n">
        <x:f>SUMIFS(G14:AP14,$G$6:$AP$6,"&lt;="&amp;'Assumptions'!$E$7)</x:f>
        <x:v>72231641.57907844</x:v>
      </x:c>
      <x:c r="F14" s="2"/>
      <x:c r="G14" s="35" t="n">
        <x:f>SUM(G29:G30)</x:f>
        <x:v>20454113.450241525</x:v>
      </x:c>
      <x:c r="H14" s="35" t="n">
        <x:f>SUM(H29:H30)</x:f>
        <x:v>8682218.178936336</x:v>
      </x:c>
      <x:c r="I14" s="35" t="n">
        <x:f>SUM(I29:I30)</x:f>
        <x:v>4391555.515789839</x:v>
      </x:c>
      <x:c r="J14" s="35" t="n">
        <x:f>SUM(J29:J30)</x:f>
        <x:v>2676547.7500947043</x:v>
      </x:c>
      <x:c r="K14" s="35" t="n">
        <x:f>SUM(K29:K30)</x:f>
        <x:v>2010831.755172461</x:v>
      </x:c>
      <x:c r="L14" s="35" t="n">
        <x:f>SUM(L29:L30)</x:f>
        <x:v>1790335.522570717</x:v>
      </x:c>
      <x:c r="M14" s="35" t="n">
        <x:f>SUM(M29:M30)</x:f>
        <x:v>1790335.522570717</x:v>
      </x:c>
      <x:c r="N14" s="35" t="n">
        <x:f>SUM(N29:N30)</x:f>
        <x:v>1790335.522570717</x:v>
      </x:c>
      <x:c r="O14" s="35" t="n">
        <x:f>SUM(O29:O30)</x:f>
        <x:v>1790335.522570717</x:v>
      </x:c>
      <x:c r="P14" s="35" t="n">
        <x:f>SUM(P29:P30)</x:f>
        <x:v>1790335.522570717</x:v>
      </x:c>
      <x:c r="Q14" s="35" t="n">
        <x:f>SUM(Q29:Q30)</x:f>
        <x:v>1790335.522570717</x:v>
      </x:c>
      <x:c r="R14" s="35" t="n">
        <x:f>SUM(R29:R30)</x:f>
        <x:v>1790335.522570717</x:v>
      </x:c>
      <x:c r="S14" s="35" t="n">
        <x:f>SUM(S29:S30)</x:f>
        <x:v>1790335.522570717</x:v>
      </x:c>
      <x:c r="T14" s="35" t="n">
        <x:f>SUM(T29:T30)</x:f>
        <x:v>1790335.522570717</x:v>
      </x:c>
      <x:c r="U14" s="35" t="n">
        <x:f>SUM(U29:U30)</x:f>
        <x:v>1790335.522570717</x:v>
      </x:c>
      <x:c r="V14" s="35" t="n">
        <x:f>SUM(V29:V30)</x:f>
        <x:v>1790335.522570717</x:v>
      </x:c>
      <x:c r="W14" s="35" t="n">
        <x:f>SUM(W29:W30)</x:f>
        <x:v>1790335.522570717</x:v>
      </x:c>
      <x:c r="X14" s="35" t="n">
        <x:f>SUM(X29:X30)</x:f>
        <x:v>1790335.522570717</x:v>
      </x:c>
      <x:c r="Y14" s="35" t="n">
        <x:f>SUM(Y29:Y30)</x:f>
        <x:v>1790335.522570717</x:v>
      </x:c>
      <x:c r="Z14" s="35" t="n">
        <x:f>SUM(Z29:Z30)</x:f>
        <x:v>1790335.522570717</x:v>
      </x:c>
      <x:c r="AA14" s="35" t="n">
        <x:f>SUM(AA29:AA30)</x:f>
        <x:v>1790335.522570717</x:v>
      </x:c>
      <x:c r="AB14" s="35" t="n">
        <x:f>SUM(AB29:AB30)</x:f>
        <x:v>1790335.522570717</x:v>
      </x:c>
      <x:c r="AC14" s="35" t="n">
        <x:f>SUM(AC29:AC30)</x:f>
        <x:v>1790335.522570717</x:v>
      </x:c>
      <x:c r="AD14" s="35" t="n">
        <x:f>SUM(AD29:AD30)</x:f>
        <x:v>1790335.522570717</x:v>
      </x:c>
      <x:c r="AE14" s="35" t="n">
        <x:f>SUM(AE29:AE30)</x:f>
        <x:v>1790335.522570717</x:v>
      </x:c>
      <x:c r="AF14" s="35" t="n">
        <x:f>SUM(AF29:AF30)</x:f>
        <x:v>1790335.522570717</x:v>
      </x:c>
      <x:c r="AG14" s="35" t="n">
        <x:f>SUM(AG29:AG30)</x:f>
        <x:v>1790335.522570717</x:v>
      </x:c>
      <x:c r="AH14" s="35" t="n">
        <x:f>SUM(AH29:AH30)</x:f>
        <x:v>1790335.522570717</x:v>
      </x:c>
      <x:c r="AI14" s="35" t="n">
        <x:f>SUM(AI29:AI30)</x:f>
        <x:v>1790335.522570717</x:v>
      </x:c>
      <x:c r="AJ14" s="35" t="n">
        <x:f>SUM(AJ29:AJ30)</x:f>
        <x:v>1790335.522570717</x:v>
      </x:c>
      <x:c r="AK14" s="35" t="n">
        <x:f>SUM(AK29:AK30)</x:f>
        <x:v>1790335.522570717</x:v>
      </x:c>
      <x:c r="AL14" s="35" t="n">
        <x:f>SUM(AL29:AL30)</x:f>
        <x:v>1790335.522570717</x:v>
      </x:c>
      <x:c r="AM14" s="35" t="n">
        <x:f>SUM(AM29:AM30)</x:f>
        <x:v>1790335.522570717</x:v>
      </x:c>
      <x:c r="AN14" s="35" t="n">
        <x:f>SUM(AN29:AN30)</x:f>
        <x:v>1790335.522570717</x:v>
      </x:c>
      <x:c r="AO14" s="35" t="n">
        <x:f>SUM(AO29:AO30)</x:f>
        <x:v>1790335.522570717</x:v>
      </x:c>
      <x:c r="AP14" s="35" t="n">
        <x:f>SUM(AP29:AP30)</x:f>
        <x:v>1790335.522570717</x:v>
      </x:c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</x:row>
    <x:row r="15" ht="19" customHeight="1">
      <x:c r="A15" s="1"/>
      <x:c r="B15" s="1"/>
      <x:c r="C15" s="2" t="str">
        <x:v>Charge-offs</x:v>
      </x:c>
      <x:c r="D15" s="2"/>
      <x:c r="E15" s="35" t="n">
        <x:f>SUMIFS(G15:AP15,$G$6:$AP$6,"&lt;="&amp;'Assumptions'!$E$7)</x:f>
        <x:v>38233472.96621955</x:v>
      </x:c>
      <x:c r="F15" s="2"/>
      <x:c r="G15" s="35" t="n">
        <x:f>SUM(G27:G28)</x:f>
        <x:v>11299118.190711468</x:v>
      </x:c>
      <x:c r="H15" s="35" t="n">
        <x:f>SUM(H27:H28)</x:f>
        <x:v>4779999.860797844</x:v>
      </x:c>
      <x:c r="I15" s="35" t="n">
        <x:f>SUM(I27:I28)</x:f>
        <x:v>2396132.7567500533</x:v>
      </x:c>
      <x:c r="J15" s="35" t="n">
        <x:f>SUM(J27:J28)</x:f>
        <x:v>1427041.1408148988</x:v>
      </x:c>
      <x:c r="K15" s="35" t="n">
        <x:f>SUM(K27:K28)</x:f>
        <x:v>1047555.9459889032</x:v>
      </x:c>
      <x:c r="L15" s="35" t="n">
        <x:f>SUM(L27:L28)</x:f>
        <x:v>909664.4774292824</x:v>
      </x:c>
      <x:c r="M15" s="35" t="n">
        <x:f>SUM(M27:M28)</x:f>
        <x:v>909664.4774292824</x:v>
      </x:c>
      <x:c r="N15" s="35" t="n">
        <x:f>SUM(N27:N28)</x:f>
        <x:v>909664.4774292824</x:v>
      </x:c>
      <x:c r="O15" s="35" t="n">
        <x:f>SUM(O27:O28)</x:f>
        <x:v>909664.4774292824</x:v>
      </x:c>
      <x:c r="P15" s="35" t="n">
        <x:f>SUM(P27:P28)</x:f>
        <x:v>909664.4774292824</x:v>
      </x:c>
      <x:c r="Q15" s="35" t="n">
        <x:f>SUM(Q27:Q28)</x:f>
        <x:v>909664.4774292824</x:v>
      </x:c>
      <x:c r="R15" s="35" t="n">
        <x:f>SUM(R27:R28)</x:f>
        <x:v>909664.4774292824</x:v>
      </x:c>
      <x:c r="S15" s="35" t="n">
        <x:f>SUM(S27:S28)</x:f>
        <x:v>909664.4774292824</x:v>
      </x:c>
      <x:c r="T15" s="35" t="n">
        <x:f>SUM(T27:T28)</x:f>
        <x:v>909664.4774292824</x:v>
      </x:c>
      <x:c r="U15" s="35" t="n">
        <x:f>SUM(U27:U28)</x:f>
        <x:v>909664.4774292824</x:v>
      </x:c>
      <x:c r="V15" s="35" t="n">
        <x:f>SUM(V27:V28)</x:f>
        <x:v>909664.4774292824</x:v>
      </x:c>
      <x:c r="W15" s="35" t="n">
        <x:f>SUM(W27:W28)</x:f>
        <x:v>909664.4774292824</x:v>
      </x:c>
      <x:c r="X15" s="35" t="n">
        <x:f>SUM(X27:X28)</x:f>
        <x:v>909664.4774292824</x:v>
      </x:c>
      <x:c r="Y15" s="35" t="n">
        <x:f>SUM(Y27:Y28)</x:f>
        <x:v>909664.4774292824</x:v>
      </x:c>
      <x:c r="Z15" s="35" t="n">
        <x:f>SUM(Z27:Z28)</x:f>
        <x:v>909664.4774292824</x:v>
      </x:c>
      <x:c r="AA15" s="35" t="n">
        <x:f>SUM(AA27:AA28)</x:f>
        <x:v>909664.4774292824</x:v>
      </x:c>
      <x:c r="AB15" s="35" t="n">
        <x:f>SUM(AB27:AB28)</x:f>
        <x:v>909664.4774292824</x:v>
      </x:c>
      <x:c r="AC15" s="35" t="n">
        <x:f>SUM(AC27:AC28)</x:f>
        <x:v>909664.4774292824</x:v>
      </x:c>
      <x:c r="AD15" s="35" t="n">
        <x:f>SUM(AD27:AD28)</x:f>
        <x:v>909664.4774292824</x:v>
      </x:c>
      <x:c r="AE15" s="35" t="n">
        <x:f>SUM(AE27:AE28)</x:f>
        <x:v>909664.4774292824</x:v>
      </x:c>
      <x:c r="AF15" s="35" t="n">
        <x:f>SUM(AF27:AF28)</x:f>
        <x:v>909664.4774292824</x:v>
      </x:c>
      <x:c r="AG15" s="35" t="n">
        <x:f>SUM(AG27:AG28)</x:f>
        <x:v>909664.4774292824</x:v>
      </x:c>
      <x:c r="AH15" s="35" t="n">
        <x:f>SUM(AH27:AH28)</x:f>
        <x:v>909664.4774292824</x:v>
      </x:c>
      <x:c r="AI15" s="35" t="n">
        <x:f>SUM(AI27:AI28)</x:f>
        <x:v>909664.4774292824</x:v>
      </x:c>
      <x:c r="AJ15" s="35" t="n">
        <x:f>SUM(AJ27:AJ28)</x:f>
        <x:v>909664.4774292824</x:v>
      </x:c>
      <x:c r="AK15" s="35" t="n">
        <x:f>SUM(AK27:AK28)</x:f>
        <x:v>909664.4774292824</x:v>
      </x:c>
      <x:c r="AL15" s="35" t="n">
        <x:f>SUM(AL27:AL28)</x:f>
        <x:v>909664.4774292824</x:v>
      </x:c>
      <x:c r="AM15" s="35" t="n">
        <x:f>SUM(AM27:AM28)</x:f>
        <x:v>909664.4774292824</x:v>
      </x:c>
      <x:c r="AN15" s="35" t="n">
        <x:f>SUM(AN27:AN28)</x:f>
        <x:v>909664.4774292824</x:v>
      </x:c>
      <x:c r="AO15" s="35" t="n">
        <x:f>SUM(AO27:AO28)</x:f>
        <x:v>909664.4774292824</x:v>
      </x:c>
      <x:c r="AP15" s="35" t="n">
        <x:f>SUM(AP27:AP28)</x:f>
        <x:v>909664.4774292824</x:v>
      </x:c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</x:row>
    <x:row r="16" ht="19" customHeight="1">
      <x:c r="A16" s="1"/>
      <x:c r="B16" s="1"/>
      <x:c r="C16" s="42" t="str">
        <x:v>Ending gross CLAB</x:v>
      </x:c>
      <x:c r="D16" s="42"/>
      <x:c r="E16" s="43" t="n">
        <x:f>INDEX(G16:AP16,1,'Assumptions'!$E$7)</x:f>
        <x:v>5454885.454701951</x:v>
      </x:c>
      <x:c r="F16" s="42"/>
      <x:c r="G16" s="43" t="n">
        <x:f>G13+G11-G14-G15</x:f>
        <x:v>22066768.359046992</x:v>
      </x:c>
      <x:c r="H16" s="43" t="n">
        <x:f>H13+H11-H14-H15</x:f>
        <x:v>11304550.31931281</x:v>
      </x:c>
      <x:c r="I16" s="43" t="n">
        <x:f>I13+I11-I14-I15</x:f>
        <x:v>7216862.046772918</x:v>
      </x:c>
      <x:c r="J16" s="43" t="n">
        <x:f>J13+J11-J14-J15</x:f>
        <x:v>5813273.155863315</x:v>
      </x:c>
      <x:c r="K16" s="43" t="n">
        <x:f>K13+K11-K14-K15</x:f>
        <x:v>5454885.454701951</x:v>
      </x:c>
      <x:c r="L16" s="43" t="n">
        <x:f>L13+L11-L14-L15</x:f>
        <x:v>5454885.454701951</x:v>
      </x:c>
      <x:c r="M16" s="43" t="n">
        <x:f>M13+M11-M14-M15</x:f>
        <x:v>5454885.454701951</x:v>
      </x:c>
      <x:c r="N16" s="43" t="n">
        <x:f>N13+N11-N14-N15</x:f>
        <x:v>5454885.454701951</x:v>
      </x:c>
      <x:c r="O16" s="43" t="n">
        <x:f>O13+O11-O14-O15</x:f>
        <x:v>5454885.454701951</x:v>
      </x:c>
      <x:c r="P16" s="43" t="n">
        <x:f>P13+P11-P14-P15</x:f>
        <x:v>5454885.454701951</x:v>
      </x:c>
      <x:c r="Q16" s="43" t="n">
        <x:f>Q13+Q11-Q14-Q15</x:f>
        <x:v>5454885.454701951</x:v>
      </x:c>
      <x:c r="R16" s="43" t="n">
        <x:f>R13+R11-R14-R15</x:f>
        <x:v>5454885.454701951</x:v>
      </x:c>
      <x:c r="S16" s="43" t="n">
        <x:f>S13+S11-S14-S15</x:f>
        <x:v>5454885.454701951</x:v>
      </x:c>
      <x:c r="T16" s="43" t="n">
        <x:f>T13+T11-T14-T15</x:f>
        <x:v>5454885.454701951</x:v>
      </x:c>
      <x:c r="U16" s="43" t="n">
        <x:f>U13+U11-U14-U15</x:f>
        <x:v>5454885.454701951</x:v>
      </x:c>
      <x:c r="V16" s="43" t="n">
        <x:f>V13+V11-V14-V15</x:f>
        <x:v>5454885.454701951</x:v>
      </x:c>
      <x:c r="W16" s="43" t="n">
        <x:f>W13+W11-W14-W15</x:f>
        <x:v>5454885.454701951</x:v>
      </x:c>
      <x:c r="X16" s="43" t="n">
        <x:f>X13+X11-X14-X15</x:f>
        <x:v>5454885.454701951</x:v>
      </x:c>
      <x:c r="Y16" s="43" t="n">
        <x:f>Y13+Y11-Y14-Y15</x:f>
        <x:v>5454885.454701951</x:v>
      </x:c>
      <x:c r="Z16" s="43" t="n">
        <x:f>Z13+Z11-Z14-Z15</x:f>
        <x:v>5454885.454701951</x:v>
      </x:c>
      <x:c r="AA16" s="43" t="n">
        <x:f>AA13+AA11-AA14-AA15</x:f>
        <x:v>5454885.454701951</x:v>
      </x:c>
      <x:c r="AB16" s="43" t="n">
        <x:f>AB13+AB11-AB14-AB15</x:f>
        <x:v>5454885.454701951</x:v>
      </x:c>
      <x:c r="AC16" s="43" t="n">
        <x:f>AC13+AC11-AC14-AC15</x:f>
        <x:v>5454885.454701951</x:v>
      </x:c>
      <x:c r="AD16" s="43" t="n">
        <x:f>AD13+AD11-AD14-AD15</x:f>
        <x:v>5454885.454701951</x:v>
      </x:c>
      <x:c r="AE16" s="43" t="n">
        <x:f>AE13+AE11-AE14-AE15</x:f>
        <x:v>5454885.454701951</x:v>
      </x:c>
      <x:c r="AF16" s="43" t="n">
        <x:f>AF13+AF11-AF14-AF15</x:f>
        <x:v>5454885.454701951</x:v>
      </x:c>
      <x:c r="AG16" s="43" t="n">
        <x:f>AG13+AG11-AG14-AG15</x:f>
        <x:v>5454885.454701951</x:v>
      </x:c>
      <x:c r="AH16" s="43" t="n">
        <x:f>AH13+AH11-AH14-AH15</x:f>
        <x:v>5454885.454701951</x:v>
      </x:c>
      <x:c r="AI16" s="43" t="n">
        <x:f>AI13+AI11-AI14-AI15</x:f>
        <x:v>5454885.454701951</x:v>
      </x:c>
      <x:c r="AJ16" s="43" t="n">
        <x:f>AJ13+AJ11-AJ14-AJ15</x:f>
        <x:v>5454885.454701951</x:v>
      </x:c>
      <x:c r="AK16" s="43" t="n">
        <x:f>AK13+AK11-AK14-AK15</x:f>
        <x:v>5454885.454701951</x:v>
      </x:c>
      <x:c r="AL16" s="43" t="n">
        <x:f>AL13+AL11-AL14-AL15</x:f>
        <x:v>5454885.454701951</x:v>
      </x:c>
      <x:c r="AM16" s="43" t="n">
        <x:f>AM13+AM11-AM14-AM15</x:f>
        <x:v>5454885.454701951</x:v>
      </x:c>
      <x:c r="AN16" s="43" t="n">
        <x:f>AN13+AN11-AN14-AN15</x:f>
        <x:v>5454885.454701951</x:v>
      </x:c>
      <x:c r="AO16" s="43" t="n">
        <x:f>AO13+AO11-AO14-AO15</x:f>
        <x:v>5454885.454701951</x:v>
      </x:c>
      <x:c r="AP16" s="43" t="n">
        <x:f>AP13+AP11-AP14-AP15</x:f>
        <x:v>5454885.454701951</x:v>
      </x:c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</x:row>
    <x:row r="17" ht="19" customHeight="1">
      <x:c r="A17" s="1"/>
      <x:c r="B17" s="1"/>
      <x:c r="C17" s="2"/>
      <x:c r="D17" s="2"/>
      <x:c r="E17" s="35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</x:row>
    <x:row r="18" ht="19" customHeight="1">
      <x:c r="A18" s="1"/>
      <x:c r="B18" s="1"/>
      <x:c r="C18" s="2" t="str">
        <x:v>Beginning reserve</x:v>
      </x:c>
      <x:c r="D18" s="2"/>
      <x:c r="E18" s="35" t="n">
        <x:f>G18</x:f>
        <x:v>18286667.133780576</x:v>
      </x:c>
      <x:c r="F18" s="2"/>
      <x:c r="G18" s="35" t="n">
        <x:f>$E$48</x:f>
        <x:v>18286667.133780576</x:v>
      </x:c>
      <x:c r="H18" s="35" t="n">
        <x:f>G20</x:f>
        <x:v>7897213.42049839</x:v>
      </x:c>
      <x:c r="I18" s="35" t="n">
        <x:f>H20</x:f>
        <x:v>4026878.037129828</x:v>
      </x:c>
      <x:c r="J18" s="35" t="n">
        <x:f>I20</x:f>
        <x:v>2540409.7578090574</x:v>
      </x:c>
      <x:c r="K18" s="35" t="n">
        <x:f>J20</x:f>
        <x:v>2023033.094423441</x:v>
      </x:c>
      <x:c r="L18" s="35" t="n">
        <x:f>K20</x:f>
        <x:v>1885141.6258638203</x:v>
      </x:c>
      <x:c r="M18" s="35" t="n">
        <x:f>L20</x:f>
        <x:v>1885141.6258638203</x:v>
      </x:c>
      <x:c r="N18" s="35" t="n">
        <x:f>M20</x:f>
        <x:v>1885141.6258638203</x:v>
      </x:c>
      <x:c r="O18" s="35" t="n">
        <x:f>N20</x:f>
        <x:v>1885141.6258638203</x:v>
      </x:c>
      <x:c r="P18" s="35" t="n">
        <x:f>O20</x:f>
        <x:v>1885141.6258638203</x:v>
      </x:c>
      <x:c r="Q18" s="35" t="n">
        <x:f>P20</x:f>
        <x:v>1885141.6258638203</x:v>
      </x:c>
      <x:c r="R18" s="35" t="n">
        <x:f>Q20</x:f>
        <x:v>1885141.6258638203</x:v>
      </x:c>
      <x:c r="S18" s="35" t="n">
        <x:f>R20</x:f>
        <x:v>1885141.6258638203</x:v>
      </x:c>
      <x:c r="T18" s="35" t="n">
        <x:f>S20</x:f>
        <x:v>1885141.6258638203</x:v>
      </x:c>
      <x:c r="U18" s="35" t="n">
        <x:f>T20</x:f>
        <x:v>1885141.6258638203</x:v>
      </x:c>
      <x:c r="V18" s="35" t="n">
        <x:f>U20</x:f>
        <x:v>1885141.6258638203</x:v>
      </x:c>
      <x:c r="W18" s="35" t="n">
        <x:f>V20</x:f>
        <x:v>1885141.6258638203</x:v>
      </x:c>
      <x:c r="X18" s="35" t="n">
        <x:f>W20</x:f>
        <x:v>1885141.6258638203</x:v>
      </x:c>
      <x:c r="Y18" s="35" t="n">
        <x:f>X20</x:f>
        <x:v>1885141.6258638203</x:v>
      </x:c>
      <x:c r="Z18" s="35" t="n">
        <x:f>Y20</x:f>
        <x:v>1885141.6258638203</x:v>
      </x:c>
      <x:c r="AA18" s="35" t="n">
        <x:f>Z20</x:f>
        <x:v>1885141.6258638203</x:v>
      </x:c>
      <x:c r="AB18" s="35" t="n">
        <x:f>AA20</x:f>
        <x:v>1885141.6258638203</x:v>
      </x:c>
      <x:c r="AC18" s="35" t="n">
        <x:f>AB20</x:f>
        <x:v>1885141.6258638203</x:v>
      </x:c>
      <x:c r="AD18" s="35" t="n">
        <x:f>AC20</x:f>
        <x:v>1885141.6258638203</x:v>
      </x:c>
      <x:c r="AE18" s="35" t="n">
        <x:f>AD20</x:f>
        <x:v>1885141.6258638203</x:v>
      </x:c>
      <x:c r="AF18" s="35" t="n">
        <x:f>AE20</x:f>
        <x:v>1885141.6258638203</x:v>
      </x:c>
      <x:c r="AG18" s="35" t="n">
        <x:f>AF20</x:f>
        <x:v>1885141.6258638203</x:v>
      </x:c>
      <x:c r="AH18" s="35" t="n">
        <x:f>AG20</x:f>
        <x:v>1885141.6258638203</x:v>
      </x:c>
      <x:c r="AI18" s="35" t="n">
        <x:f>AH20</x:f>
        <x:v>1885141.6258638203</x:v>
      </x:c>
      <x:c r="AJ18" s="35" t="n">
        <x:f>AI20</x:f>
        <x:v>1885141.6258638203</x:v>
      </x:c>
      <x:c r="AK18" s="35" t="n">
        <x:f>AJ20</x:f>
        <x:v>1885141.6258638203</x:v>
      </x:c>
      <x:c r="AL18" s="35" t="n">
        <x:f>AK20</x:f>
        <x:v>1885141.6258638203</x:v>
      </x:c>
      <x:c r="AM18" s="35" t="n">
        <x:f>AL20</x:f>
        <x:v>1885141.6258638203</x:v>
      </x:c>
      <x:c r="AN18" s="35" t="n">
        <x:f>AM20</x:f>
        <x:v>1885141.6258638203</x:v>
      </x:c>
      <x:c r="AO18" s="35" t="n">
        <x:f>AN20</x:f>
        <x:v>1885141.6258638203</x:v>
      </x:c>
      <x:c r="AP18" s="35" t="n">
        <x:f>AO20</x:f>
        <x:v>1885141.6258638203</x:v>
      </x:c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</x:row>
    <x:row r="19" ht="19" customHeight="1">
      <x:c r="A19" s="1"/>
      <x:c r="B19" s="1"/>
      <x:c r="C19" s="2" t="str">
        <x:v>New provision expense</x:v>
      </x:c>
      <x:c r="D19" s="2"/>
      <x:c r="E19" s="35" t="n">
        <x:f>SUMIFS(G19:AP19,$G$6:$AP$6,"&lt;="&amp;'Assumptions'!$E$7)</x:f>
        <x:v>21831947.458302774</x:v>
      </x:c>
      <x:c r="F19" s="2"/>
      <x:c r="G19" s="35" t="n">
        <x:f>G11*$E$49</x:f>
        <x:v>909664.4774292825</x:v>
      </x:c>
      <x:c r="H19" s="35" t="n">
        <x:f>H11*$E$49</x:f>
        <x:v>909664.4774292825</x:v>
      </x:c>
      <x:c r="I19" s="35" t="n">
        <x:f>I11*$E$49</x:f>
        <x:v>909664.4774292825</x:v>
      </x:c>
      <x:c r="J19" s="35" t="n">
        <x:f>J11*$E$49</x:f>
        <x:v>909664.4774292825</x:v>
      </x:c>
      <x:c r="K19" s="35" t="n">
        <x:f>K11*$E$49</x:f>
        <x:v>909664.4774292825</x:v>
      </x:c>
      <x:c r="L19" s="35" t="n">
        <x:f>L11*$E$49</x:f>
        <x:v>909664.4774292825</x:v>
      </x:c>
      <x:c r="M19" s="35" t="n">
        <x:f>M11*$E$49</x:f>
        <x:v>909664.4774292825</x:v>
      </x:c>
      <x:c r="N19" s="35" t="n">
        <x:f>N11*$E$49</x:f>
        <x:v>909664.4774292825</x:v>
      </x:c>
      <x:c r="O19" s="35" t="n">
        <x:f>O11*$E$49</x:f>
        <x:v>909664.4774292825</x:v>
      </x:c>
      <x:c r="P19" s="35" t="n">
        <x:f>P11*$E$49</x:f>
        <x:v>909664.4774292825</x:v>
      </x:c>
      <x:c r="Q19" s="35" t="n">
        <x:f>Q11*$E$49</x:f>
        <x:v>909664.4774292825</x:v>
      </x:c>
      <x:c r="R19" s="35" t="n">
        <x:f>R11*$E$49</x:f>
        <x:v>909664.4774292825</x:v>
      </x:c>
      <x:c r="S19" s="35" t="n">
        <x:f>S11*$E$49</x:f>
        <x:v>909664.4774292825</x:v>
      </x:c>
      <x:c r="T19" s="35" t="n">
        <x:f>T11*$E$49</x:f>
        <x:v>909664.4774292825</x:v>
      </x:c>
      <x:c r="U19" s="35" t="n">
        <x:f>U11*$E$49</x:f>
        <x:v>909664.4774292825</x:v>
      </x:c>
      <x:c r="V19" s="35" t="n">
        <x:f>V11*$E$49</x:f>
        <x:v>909664.4774292825</x:v>
      </x:c>
      <x:c r="W19" s="35" t="n">
        <x:f>W11*$E$49</x:f>
        <x:v>909664.4774292825</x:v>
      </x:c>
      <x:c r="X19" s="35" t="n">
        <x:f>X11*$E$49</x:f>
        <x:v>909664.4774292825</x:v>
      </x:c>
      <x:c r="Y19" s="35" t="n">
        <x:f>Y11*$E$49</x:f>
        <x:v>909664.4774292825</x:v>
      </x:c>
      <x:c r="Z19" s="35" t="n">
        <x:f>Z11*$E$49</x:f>
        <x:v>909664.4774292825</x:v>
      </x:c>
      <x:c r="AA19" s="35" t="n">
        <x:f>AA11*$E$49</x:f>
        <x:v>909664.4774292825</x:v>
      </x:c>
      <x:c r="AB19" s="35" t="n">
        <x:f>AB11*$E$49</x:f>
        <x:v>909664.4774292825</x:v>
      </x:c>
      <x:c r="AC19" s="35" t="n">
        <x:f>AC11*$E$49</x:f>
        <x:v>909664.4774292825</x:v>
      </x:c>
      <x:c r="AD19" s="35" t="n">
        <x:f>AD11*$E$49</x:f>
        <x:v>909664.4774292825</x:v>
      </x:c>
      <x:c r="AE19" s="35" t="n">
        <x:f>AE11*$E$49</x:f>
        <x:v>909664.4774292825</x:v>
      </x:c>
      <x:c r="AF19" s="35" t="n">
        <x:f>AF11*$E$49</x:f>
        <x:v>909664.4774292825</x:v>
      </x:c>
      <x:c r="AG19" s="35" t="n">
        <x:f>AG11*$E$49</x:f>
        <x:v>909664.4774292825</x:v>
      </x:c>
      <x:c r="AH19" s="35" t="n">
        <x:f>AH11*$E$49</x:f>
        <x:v>909664.4774292825</x:v>
      </x:c>
      <x:c r="AI19" s="35" t="n">
        <x:f>AI11*$E$49</x:f>
        <x:v>909664.4774292825</x:v>
      </x:c>
      <x:c r="AJ19" s="35" t="n">
        <x:f>AJ11*$E$49</x:f>
        <x:v>909664.4774292825</x:v>
      </x:c>
      <x:c r="AK19" s="35" t="n">
        <x:f>AK11*$E$49</x:f>
        <x:v>909664.4774292825</x:v>
      </x:c>
      <x:c r="AL19" s="35" t="n">
        <x:f>AL11*$E$49</x:f>
        <x:v>909664.4774292825</x:v>
      </x:c>
      <x:c r="AM19" s="35" t="n">
        <x:f>AM11*$E$49</x:f>
        <x:v>909664.4774292825</x:v>
      </x:c>
      <x:c r="AN19" s="35" t="n">
        <x:f>AN11*$E$49</x:f>
        <x:v>909664.4774292825</x:v>
      </x:c>
      <x:c r="AO19" s="35" t="n">
        <x:f>AO11*$E$49</x:f>
        <x:v>909664.4774292825</x:v>
      </x:c>
      <x:c r="AP19" s="35" t="n">
        <x:f>AP11*$E$49</x:f>
        <x:v>909664.4774292825</x:v>
      </x:c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</x:row>
    <x:row r="20" ht="19" customHeight="1">
      <x:c r="A20" s="1"/>
      <x:c r="B20" s="1"/>
      <x:c r="C20" s="42" t="str">
        <x:v>Ending reserve</x:v>
      </x:c>
      <x:c r="D20" s="42"/>
      <x:c r="E20" s="43" t="n">
        <x:f>INDEX(G20:AP20,1,'Assumptions'!$E$7)</x:f>
        <x:v>1885141.6258638203</x:v>
      </x:c>
      <x:c r="F20" s="42"/>
      <x:c r="G20" s="43" t="n">
        <x:f>G18+G19-G15</x:f>
        <x:v>7897213.42049839</x:v>
      </x:c>
      <x:c r="H20" s="43" t="n">
        <x:f>H18+H19-H15</x:f>
        <x:v>4026878.037129828</x:v>
      </x:c>
      <x:c r="I20" s="43" t="n">
        <x:f>I18+I19-I15</x:f>
        <x:v>2540409.7578090574</x:v>
      </x:c>
      <x:c r="J20" s="43" t="n">
        <x:f>J18+J19-J15</x:f>
        <x:v>2023033.094423441</x:v>
      </x:c>
      <x:c r="K20" s="43" t="n">
        <x:f>K18+K19-K15</x:f>
        <x:v>1885141.6258638203</x:v>
      </x:c>
      <x:c r="L20" s="43" t="n">
        <x:f>L18+L19-L15</x:f>
        <x:v>1885141.6258638203</x:v>
      </x:c>
      <x:c r="M20" s="43" t="n">
        <x:f>M18+M19-M15</x:f>
        <x:v>1885141.6258638203</x:v>
      </x:c>
      <x:c r="N20" s="43" t="n">
        <x:f>N18+N19-N15</x:f>
        <x:v>1885141.6258638203</x:v>
      </x:c>
      <x:c r="O20" s="43" t="n">
        <x:f>O18+O19-O15</x:f>
        <x:v>1885141.6258638203</x:v>
      </x:c>
      <x:c r="P20" s="43" t="n">
        <x:f>P18+P19-P15</x:f>
        <x:v>1885141.6258638203</x:v>
      </x:c>
      <x:c r="Q20" s="43" t="n">
        <x:f>Q18+Q19-Q15</x:f>
        <x:v>1885141.6258638203</x:v>
      </x:c>
      <x:c r="R20" s="43" t="n">
        <x:f>R18+R19-R15</x:f>
        <x:v>1885141.6258638203</x:v>
      </x:c>
      <x:c r="S20" s="43" t="n">
        <x:f>S18+S19-S15</x:f>
        <x:v>1885141.6258638203</x:v>
      </x:c>
      <x:c r="T20" s="43" t="n">
        <x:f>T18+T19-T15</x:f>
        <x:v>1885141.6258638203</x:v>
      </x:c>
      <x:c r="U20" s="43" t="n">
        <x:f>U18+U19-U15</x:f>
        <x:v>1885141.6258638203</x:v>
      </x:c>
      <x:c r="V20" s="43" t="n">
        <x:f>V18+V19-V15</x:f>
        <x:v>1885141.6258638203</x:v>
      </x:c>
      <x:c r="W20" s="43" t="n">
        <x:f>W18+W19-W15</x:f>
        <x:v>1885141.6258638203</x:v>
      </x:c>
      <x:c r="X20" s="43" t="n">
        <x:f>X18+X19-X15</x:f>
        <x:v>1885141.6258638203</x:v>
      </x:c>
      <x:c r="Y20" s="43" t="n">
        <x:f>Y18+Y19-Y15</x:f>
        <x:v>1885141.6258638203</x:v>
      </x:c>
      <x:c r="Z20" s="43" t="n">
        <x:f>Z18+Z19-Z15</x:f>
        <x:v>1885141.6258638203</x:v>
      </x:c>
      <x:c r="AA20" s="43" t="n">
        <x:f>AA18+AA19-AA15</x:f>
        <x:v>1885141.6258638203</x:v>
      </x:c>
      <x:c r="AB20" s="43" t="n">
        <x:f>AB18+AB19-AB15</x:f>
        <x:v>1885141.6258638203</x:v>
      </x:c>
      <x:c r="AC20" s="43" t="n">
        <x:f>AC18+AC19-AC15</x:f>
        <x:v>1885141.6258638203</x:v>
      </x:c>
      <x:c r="AD20" s="43" t="n">
        <x:f>AD18+AD19-AD15</x:f>
        <x:v>1885141.6258638203</x:v>
      </x:c>
      <x:c r="AE20" s="43" t="n">
        <x:f>AE18+AE19-AE15</x:f>
        <x:v>1885141.6258638203</x:v>
      </x:c>
      <x:c r="AF20" s="43" t="n">
        <x:f>AF18+AF19-AF15</x:f>
        <x:v>1885141.6258638203</x:v>
      </x:c>
      <x:c r="AG20" s="43" t="n">
        <x:f>AG18+AG19-AG15</x:f>
        <x:v>1885141.6258638203</x:v>
      </x:c>
      <x:c r="AH20" s="43" t="n">
        <x:f>AH18+AH19-AH15</x:f>
        <x:v>1885141.6258638203</x:v>
      </x:c>
      <x:c r="AI20" s="43" t="n">
        <x:f>AI18+AI19-AI15</x:f>
        <x:v>1885141.6258638203</x:v>
      </x:c>
      <x:c r="AJ20" s="43" t="n">
        <x:f>AJ18+AJ19-AJ15</x:f>
        <x:v>1885141.6258638203</x:v>
      </x:c>
      <x:c r="AK20" s="43" t="n">
        <x:f>AK18+AK19-AK15</x:f>
        <x:v>1885141.6258638203</x:v>
      </x:c>
      <x:c r="AL20" s="43" t="n">
        <x:f>AL18+AL19-AL15</x:f>
        <x:v>1885141.6258638203</x:v>
      </x:c>
      <x:c r="AM20" s="43" t="n">
        <x:f>AM18+AM19-AM15</x:f>
        <x:v>1885141.6258638203</x:v>
      </x:c>
      <x:c r="AN20" s="43" t="n">
        <x:f>AN18+AN19-AN15</x:f>
        <x:v>1885141.6258638203</x:v>
      </x:c>
      <x:c r="AO20" s="43" t="n">
        <x:f>AO18+AO19-AO15</x:f>
        <x:v>1885141.6258638203</x:v>
      </x:c>
      <x:c r="AP20" s="43" t="n">
        <x:f>AP18+AP19-AP15</x:f>
        <x:v>1885141.6258638203</x:v>
      </x:c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</x:row>
    <x:row r="21" ht="19" customHeight="1">
      <x:c r="A21" s="1"/>
      <x:c r="B21" s="1"/>
      <x:c r="C21" s="42" t="str">
        <x:v>Net CLAB</x:v>
      </x:c>
      <x:c r="D21" s="42"/>
      <x:c r="E21" s="43" t="n">
        <x:f>INDEX(G21:AP21,1,'Assumptions'!$E$7)</x:f>
        <x:v>3569743.8288381305</x:v>
      </x:c>
      <x:c r="F21" s="42"/>
      <x:c r="G21" s="43" t="n">
        <x:f>G16-G20</x:f>
        <x:v>14169554.938548602</x:v>
      </x:c>
      <x:c r="H21" s="43" t="n">
        <x:f>H16-H20</x:f>
        <x:v>7277672.282182983</x:v>
      </x:c>
      <x:c r="I21" s="43" t="n">
        <x:f>I16-I20</x:f>
        <x:v>4676452.28896386</x:v>
      </x:c>
      <x:c r="J21" s="43" t="n">
        <x:f>J16-J20</x:f>
        <x:v>3790240.0614398737</x:v>
      </x:c>
      <x:c r="K21" s="43" t="n">
        <x:f>K16-K20</x:f>
        <x:v>3569743.8288381305</x:v>
      </x:c>
      <x:c r="L21" s="43" t="n">
        <x:f>L16-L20</x:f>
        <x:v>3569743.8288381305</x:v>
      </x:c>
      <x:c r="M21" s="43" t="n">
        <x:f>M16-M20</x:f>
        <x:v>3569743.8288381305</x:v>
      </x:c>
      <x:c r="N21" s="43" t="n">
        <x:f>N16-N20</x:f>
        <x:v>3569743.8288381305</x:v>
      </x:c>
      <x:c r="O21" s="43" t="n">
        <x:f>O16-O20</x:f>
        <x:v>3569743.8288381305</x:v>
      </x:c>
      <x:c r="P21" s="43" t="n">
        <x:f>P16-P20</x:f>
        <x:v>3569743.8288381305</x:v>
      </x:c>
      <x:c r="Q21" s="43" t="n">
        <x:f>Q16-Q20</x:f>
        <x:v>3569743.8288381305</x:v>
      </x:c>
      <x:c r="R21" s="43" t="n">
        <x:f>R16-R20</x:f>
        <x:v>3569743.8288381305</x:v>
      </x:c>
      <x:c r="S21" s="43" t="n">
        <x:f>S16-S20</x:f>
        <x:v>3569743.8288381305</x:v>
      </x:c>
      <x:c r="T21" s="43" t="n">
        <x:f>T16-T20</x:f>
        <x:v>3569743.8288381305</x:v>
      </x:c>
      <x:c r="U21" s="43" t="n">
        <x:f>U16-U20</x:f>
        <x:v>3569743.8288381305</x:v>
      </x:c>
      <x:c r="V21" s="43" t="n">
        <x:f>V16-V20</x:f>
        <x:v>3569743.8288381305</x:v>
      </x:c>
      <x:c r="W21" s="43" t="n">
        <x:f>W16-W20</x:f>
        <x:v>3569743.8288381305</x:v>
      </x:c>
      <x:c r="X21" s="43" t="n">
        <x:f>X16-X20</x:f>
        <x:v>3569743.8288381305</x:v>
      </x:c>
      <x:c r="Y21" s="43" t="n">
        <x:f>Y16-Y20</x:f>
        <x:v>3569743.8288381305</x:v>
      </x:c>
      <x:c r="Z21" s="43" t="n">
        <x:f>Z16-Z20</x:f>
        <x:v>3569743.8288381305</x:v>
      </x:c>
      <x:c r="AA21" s="43" t="n">
        <x:f>AA16-AA20</x:f>
        <x:v>3569743.8288381305</x:v>
      </x:c>
      <x:c r="AB21" s="43" t="n">
        <x:f>AB16-AB20</x:f>
        <x:v>3569743.8288381305</x:v>
      </x:c>
      <x:c r="AC21" s="43" t="n">
        <x:f>AC16-AC20</x:f>
        <x:v>3569743.8288381305</x:v>
      </x:c>
      <x:c r="AD21" s="43" t="n">
        <x:f>AD16-AD20</x:f>
        <x:v>3569743.8288381305</x:v>
      </x:c>
      <x:c r="AE21" s="43" t="n">
        <x:f>AE16-AE20</x:f>
        <x:v>3569743.8288381305</x:v>
      </x:c>
      <x:c r="AF21" s="43" t="n">
        <x:f>AF16-AF20</x:f>
        <x:v>3569743.8288381305</x:v>
      </x:c>
      <x:c r="AG21" s="43" t="n">
        <x:f>AG16-AG20</x:f>
        <x:v>3569743.8288381305</x:v>
      </x:c>
      <x:c r="AH21" s="43" t="n">
        <x:f>AH16-AH20</x:f>
        <x:v>3569743.8288381305</x:v>
      </x:c>
      <x:c r="AI21" s="43" t="n">
        <x:f>AI16-AI20</x:f>
        <x:v>3569743.8288381305</x:v>
      </x:c>
      <x:c r="AJ21" s="43" t="n">
        <x:f>AJ16-AJ20</x:f>
        <x:v>3569743.8288381305</x:v>
      </x:c>
      <x:c r="AK21" s="43" t="n">
        <x:f>AK16-AK20</x:f>
        <x:v>3569743.8288381305</x:v>
      </x:c>
      <x:c r="AL21" s="43" t="n">
        <x:f>AL16-AL20</x:f>
        <x:v>3569743.8288381305</x:v>
      </x:c>
      <x:c r="AM21" s="43" t="n">
        <x:f>AM16-AM20</x:f>
        <x:v>3569743.8288381305</x:v>
      </x:c>
      <x:c r="AN21" s="43" t="n">
        <x:f>AN16-AN20</x:f>
        <x:v>3569743.8288381305</x:v>
      </x:c>
      <x:c r="AO21" s="43" t="n">
        <x:f>AO16-AO20</x:f>
        <x:v>3569743.8288381305</x:v>
      </x:c>
      <x:c r="AP21" s="43" t="n">
        <x:f>AP16-AP20</x:f>
        <x:v>3569743.8288381305</x:v>
      </x:c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</x:row>
    <x:row r="22" ht="19" customHeight="1">
      <x:c r="A22" s="1"/>
      <x:c r="B22" s="1"/>
      <x:c r="C22" s="2"/>
      <x:c r="D22" s="2"/>
      <x:c r="E22" s="35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</x:row>
    <x:row r="23" ht="19" customHeight="1">
      <x:c r="A23" s="1"/>
      <x:c r="B23" s="1"/>
      <x:c r="C23" s="2" t="str">
        <x:v>Annual yield</x:v>
      </x:c>
      <x:c r="D23" s="2"/>
      <x:c r="E23" s="35"/>
      <x:c r="F23" s="2"/>
      <x:c r="G23" s="33" t="n">
        <x:f>'Assumptions'!$E$15</x:f>
        <x:v>1</x:v>
      </x:c>
      <x:c r="H23" s="33" t="n">
        <x:f>'Assumptions'!$E$15</x:f>
        <x:v>1</x:v>
      </x:c>
      <x:c r="I23" s="33" t="n">
        <x:f>'Assumptions'!$E$15</x:f>
        <x:v>1</x:v>
      </x:c>
      <x:c r="J23" s="33" t="n">
        <x:f>'Assumptions'!$E$15</x:f>
        <x:v>1</x:v>
      </x:c>
      <x:c r="K23" s="33" t="n">
        <x:f>'Assumptions'!$E$15</x:f>
        <x:v>1</x:v>
      </x:c>
      <x:c r="L23" s="33" t="n">
        <x:f>'Assumptions'!$E$15</x:f>
        <x:v>1</x:v>
      </x:c>
      <x:c r="M23" s="33" t="n">
        <x:f>'Assumptions'!$E$15</x:f>
        <x:v>1</x:v>
      </x:c>
      <x:c r="N23" s="33" t="n">
        <x:f>'Assumptions'!$E$15</x:f>
        <x:v>1</x:v>
      </x:c>
      <x:c r="O23" s="33" t="n">
        <x:f>'Assumptions'!$E$15</x:f>
        <x:v>1</x:v>
      </x:c>
      <x:c r="P23" s="33" t="n">
        <x:f>'Assumptions'!$E$15</x:f>
        <x:v>1</x:v>
      </x:c>
      <x:c r="Q23" s="33" t="n">
        <x:f>'Assumptions'!$E$15</x:f>
        <x:v>1</x:v>
      </x:c>
      <x:c r="R23" s="33" t="n">
        <x:f>'Assumptions'!$E$15</x:f>
        <x:v>1</x:v>
      </x:c>
      <x:c r="S23" s="33" t="n">
        <x:f>'Assumptions'!$E$15</x:f>
        <x:v>1</x:v>
      </x:c>
      <x:c r="T23" s="33" t="n">
        <x:f>'Assumptions'!$E$15</x:f>
        <x:v>1</x:v>
      </x:c>
      <x:c r="U23" s="33" t="n">
        <x:f>'Assumptions'!$E$15</x:f>
        <x:v>1</x:v>
      </x:c>
      <x:c r="V23" s="33" t="n">
        <x:f>'Assumptions'!$E$15</x:f>
        <x:v>1</x:v>
      </x:c>
      <x:c r="W23" s="33" t="n">
        <x:f>'Assumptions'!$E$15</x:f>
        <x:v>1</x:v>
      </x:c>
      <x:c r="X23" s="33" t="n">
        <x:f>'Assumptions'!$E$15</x:f>
        <x:v>1</x:v>
      </x:c>
      <x:c r="Y23" s="33" t="n">
        <x:f>'Assumptions'!$E$15</x:f>
        <x:v>1</x:v>
      </x:c>
      <x:c r="Z23" s="33" t="n">
        <x:f>'Assumptions'!$E$15</x:f>
        <x:v>1</x:v>
      </x:c>
      <x:c r="AA23" s="33" t="n">
        <x:f>'Assumptions'!$E$15</x:f>
        <x:v>1</x:v>
      </x:c>
      <x:c r="AB23" s="33" t="n">
        <x:f>'Assumptions'!$E$15</x:f>
        <x:v>1</x:v>
      </x:c>
      <x:c r="AC23" s="33" t="n">
        <x:f>'Assumptions'!$E$15</x:f>
        <x:v>1</x:v>
      </x:c>
      <x:c r="AD23" s="33" t="n">
        <x:f>'Assumptions'!$E$15</x:f>
        <x:v>1</x:v>
      </x:c>
      <x:c r="AE23" s="33" t="n">
        <x:f>'Assumptions'!$E$15</x:f>
        <x:v>1</x:v>
      </x:c>
      <x:c r="AF23" s="33" t="n">
        <x:f>'Assumptions'!$E$15</x:f>
        <x:v>1</x:v>
      </x:c>
      <x:c r="AG23" s="33" t="n">
        <x:f>'Assumptions'!$E$15</x:f>
        <x:v>1</x:v>
      </x:c>
      <x:c r="AH23" s="33" t="n">
        <x:f>'Assumptions'!$E$15</x:f>
        <x:v>1</x:v>
      </x:c>
      <x:c r="AI23" s="33" t="n">
        <x:f>'Assumptions'!$E$15</x:f>
        <x:v>1</x:v>
      </x:c>
      <x:c r="AJ23" s="33" t="n">
        <x:f>'Assumptions'!$E$15</x:f>
        <x:v>1</x:v>
      </x:c>
      <x:c r="AK23" s="33" t="n">
        <x:f>'Assumptions'!$E$15</x:f>
        <x:v>1</x:v>
      </x:c>
      <x:c r="AL23" s="33" t="n">
        <x:f>'Assumptions'!$E$15</x:f>
        <x:v>1</x:v>
      </x:c>
      <x:c r="AM23" s="33" t="n">
        <x:f>'Assumptions'!$E$15</x:f>
        <x:v>1</x:v>
      </x:c>
      <x:c r="AN23" s="33" t="n">
        <x:f>'Assumptions'!$E$15</x:f>
        <x:v>1</x:v>
      </x:c>
      <x:c r="AO23" s="33" t="n">
        <x:f>'Assumptions'!$E$15</x:f>
        <x:v>1</x:v>
      </x:c>
      <x:c r="AP23" s="33" t="n">
        <x:f>'Assumptions'!$E$15</x:f>
        <x:v>1</x:v>
      </x:c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</x:row>
    <x:row r="24" ht="19" customHeight="1">
      <x:c r="A24" s="1"/>
      <x:c r="B24" s="1"/>
      <x:c r="C24" s="42" t="str">
        <x:v>Revenue</x:v>
      </x:c>
      <x:c r="D24" s="42"/>
      <x:c r="E24" s="43" t="n">
        <x:f>SUMIFS(G24:AP24,$G$6:$AP$6,"&lt;="&amp;'Assumptions'!$E$7)</x:f>
        <x:v>13577567.04617614</x:v>
      </x:c>
      <x:c r="F24" s="42"/>
      <x:c r="G24" s="43" t="n">
        <x:f>(G13-G15)*G23/12</x:f>
        <x:v>3318406.8174407096</x:v>
      </x:c>
      <x:c r="H24" s="43" t="n">
        <x:f>(H13-H15)*H23/12</x:f>
        <x:v>1440564.0415207623</x:v>
      </x:c>
      <x:c r="I24" s="43" t="n">
        <x:f>(I13-I15)*I23/12</x:f>
        <x:v>742368.1302135632</x:v>
      </x:c>
      <x:c r="J24" s="43" t="n">
        <x:f>(J13-J15)*J23/12</x:f>
        <x:v>482485.0754965016</x:v>
      </x:c>
      <x:c r="K24" s="43" t="n">
        <x:f>(K13-K15)*K23/12</x:f>
        <x:v>397143.10082286765</x:v>
      </x:c>
      <x:c r="L24" s="43" t="n">
        <x:f>(L13-L15)*L23/12</x:f>
        <x:v>378768.4147727224</x:v>
      </x:c>
      <x:c r="M24" s="43" t="n">
        <x:f>(M13-M15)*M23/12</x:f>
        <x:v>378768.4147727224</x:v>
      </x:c>
      <x:c r="N24" s="43" t="n">
        <x:f>(N13-N15)*N23/12</x:f>
        <x:v>378768.4147727224</x:v>
      </x:c>
      <x:c r="O24" s="43" t="n">
        <x:f>(O13-O15)*O23/12</x:f>
        <x:v>378768.4147727224</x:v>
      </x:c>
      <x:c r="P24" s="43" t="n">
        <x:f>(P13-P15)*P23/12</x:f>
        <x:v>378768.4147727224</x:v>
      </x:c>
      <x:c r="Q24" s="43" t="n">
        <x:f>(Q13-Q15)*Q23/12</x:f>
        <x:v>378768.4147727224</x:v>
      </x:c>
      <x:c r="R24" s="43" t="n">
        <x:f>(R13-R15)*R23/12</x:f>
        <x:v>378768.4147727224</x:v>
      </x:c>
      <x:c r="S24" s="43" t="n">
        <x:f>(S13-S15)*S23/12</x:f>
        <x:v>378768.4147727224</x:v>
      </x:c>
      <x:c r="T24" s="43" t="n">
        <x:f>(T13-T15)*T23/12</x:f>
        <x:v>378768.4147727224</x:v>
      </x:c>
      <x:c r="U24" s="43" t="n">
        <x:f>(U13-U15)*U23/12</x:f>
        <x:v>378768.4147727224</x:v>
      </x:c>
      <x:c r="V24" s="43" t="n">
        <x:f>(V13-V15)*V23/12</x:f>
        <x:v>378768.4147727224</x:v>
      </x:c>
      <x:c r="W24" s="43" t="n">
        <x:f>(W13-W15)*W23/12</x:f>
        <x:v>378768.4147727224</x:v>
      </x:c>
      <x:c r="X24" s="43" t="n">
        <x:f>(X13-X15)*X23/12</x:f>
        <x:v>378768.4147727224</x:v>
      </x:c>
      <x:c r="Y24" s="43" t="n">
        <x:f>(Y13-Y15)*Y23/12</x:f>
        <x:v>378768.4147727224</x:v>
      </x:c>
      <x:c r="Z24" s="43" t="n">
        <x:f>(Z13-Z15)*Z23/12</x:f>
        <x:v>378768.4147727224</x:v>
      </x:c>
      <x:c r="AA24" s="43" t="n">
        <x:f>(AA13-AA15)*AA23/12</x:f>
        <x:v>378768.4147727224</x:v>
      </x:c>
      <x:c r="AB24" s="43" t="n">
        <x:f>(AB13-AB15)*AB23/12</x:f>
        <x:v>378768.4147727224</x:v>
      </x:c>
      <x:c r="AC24" s="43" t="n">
        <x:f>(AC13-AC15)*AC23/12</x:f>
        <x:v>378768.4147727224</x:v>
      </x:c>
      <x:c r="AD24" s="43" t="n">
        <x:f>(AD13-AD15)*AD23/12</x:f>
        <x:v>378768.4147727224</x:v>
      </x:c>
      <x:c r="AE24" s="43" t="n">
        <x:f>(AE13-AE15)*AE23/12</x:f>
        <x:v>378768.4147727224</x:v>
      </x:c>
      <x:c r="AF24" s="43" t="n">
        <x:f>(AF13-AF15)*AF23/12</x:f>
        <x:v>378768.4147727224</x:v>
      </x:c>
      <x:c r="AG24" s="43" t="n">
        <x:f>(AG13-AG15)*AG23/12</x:f>
        <x:v>378768.4147727224</x:v>
      </x:c>
      <x:c r="AH24" s="43" t="n">
        <x:f>(AH13-AH15)*AH23/12</x:f>
        <x:v>378768.4147727224</x:v>
      </x:c>
      <x:c r="AI24" s="43" t="n">
        <x:f>(AI13-AI15)*AI23/12</x:f>
        <x:v>378768.4147727224</x:v>
      </x:c>
      <x:c r="AJ24" s="43" t="n">
        <x:f>(AJ13-AJ15)*AJ23/12</x:f>
        <x:v>378768.4147727224</x:v>
      </x:c>
      <x:c r="AK24" s="43" t="n">
        <x:f>(AK13-AK15)*AK23/12</x:f>
        <x:v>378768.4147727224</x:v>
      </x:c>
      <x:c r="AL24" s="43" t="n">
        <x:f>(AL13-AL15)*AL23/12</x:f>
        <x:v>378768.4147727224</x:v>
      </x:c>
      <x:c r="AM24" s="43" t="n">
        <x:f>(AM13-AM15)*AM23/12</x:f>
        <x:v>378768.4147727224</x:v>
      </x:c>
      <x:c r="AN24" s="43" t="n">
        <x:f>(AN13-AN15)*AN23/12</x:f>
        <x:v>378768.4147727224</x:v>
      </x:c>
      <x:c r="AO24" s="43" t="n">
        <x:f>(AO13-AO15)*AO23/12</x:f>
        <x:v>378768.4147727224</x:v>
      </x:c>
      <x:c r="AP24" s="43" t="n">
        <x:f>(AP13-AP15)*AP23/12</x:f>
        <x:v>378768.4147727224</x:v>
      </x:c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</x:row>
    <x:row r="25" ht="19" customHeight="1">
      <x:c r="A25" s="1"/>
      <x:c r="B25" s="1"/>
      <x:c r="C25" s="46" t="str">
        <x:v>Net revenue</x:v>
      </x:c>
      <x:c r="D25" s="46"/>
      <x:c r="E25" s="47" t="n">
        <x:f>SUMIFS(G25:AP25,$G$6:$AP$6,"&lt;="&amp;'Assumptions'!$E$7)</x:f>
        <x:v>-8254380.412126648</x:v>
      </x:c>
      <x:c r="F25" s="46"/>
      <x:c r="G25" s="47" t="n">
        <x:f>G24-G19</x:f>
        <x:v>2408742.340011427</x:v>
      </x:c>
      <x:c r="H25" s="47" t="n">
        <x:f>H24-H19</x:f>
        <x:v>530899.5640914798</x:v>
      </x:c>
      <x:c r="I25" s="47" t="n">
        <x:f>I24-I19</x:f>
        <x:v>-167296.3472157193</x:v>
      </x:c>
      <x:c r="J25" s="47" t="n">
        <x:f>J24-J19</x:f>
        <x:v>-427179.4019327809</x:v>
      </x:c>
      <x:c r="K25" s="47" t="n">
        <x:f>K24-K19</x:f>
        <x:v>-512521.37660641485</x:v>
      </x:c>
      <x:c r="L25" s="47" t="n">
        <x:f>L24-L19</x:f>
        <x:v>-530896.0626565601</x:v>
      </x:c>
      <x:c r="M25" s="47" t="n">
        <x:f>M24-M19</x:f>
        <x:v>-530896.0626565601</x:v>
      </x:c>
      <x:c r="N25" s="47" t="n">
        <x:f>N24-N19</x:f>
        <x:v>-530896.0626565601</x:v>
      </x:c>
      <x:c r="O25" s="47" t="n">
        <x:f>O24-O19</x:f>
        <x:v>-530896.0626565601</x:v>
      </x:c>
      <x:c r="P25" s="47" t="n">
        <x:f>P24-P19</x:f>
        <x:v>-530896.0626565601</x:v>
      </x:c>
      <x:c r="Q25" s="47" t="n">
        <x:f>Q24-Q19</x:f>
        <x:v>-530896.0626565601</x:v>
      </x:c>
      <x:c r="R25" s="47" t="n">
        <x:f>R24-R19</x:f>
        <x:v>-530896.0626565601</x:v>
      </x:c>
      <x:c r="S25" s="47" t="n">
        <x:f>S24-S19</x:f>
        <x:v>-530896.0626565601</x:v>
      </x:c>
      <x:c r="T25" s="47" t="n">
        <x:f>T24-T19</x:f>
        <x:v>-530896.0626565601</x:v>
      </x:c>
      <x:c r="U25" s="47" t="n">
        <x:f>U24-U19</x:f>
        <x:v>-530896.0626565601</x:v>
      </x:c>
      <x:c r="V25" s="47" t="n">
        <x:f>V24-V19</x:f>
        <x:v>-530896.0626565601</x:v>
      </x:c>
      <x:c r="W25" s="47" t="n">
        <x:f>W24-W19</x:f>
        <x:v>-530896.0626565601</x:v>
      </x:c>
      <x:c r="X25" s="47" t="n">
        <x:f>X24-X19</x:f>
        <x:v>-530896.0626565601</x:v>
      </x:c>
      <x:c r="Y25" s="47" t="n">
        <x:f>Y24-Y19</x:f>
        <x:v>-530896.0626565601</x:v>
      </x:c>
      <x:c r="Z25" s="47" t="n">
        <x:f>Z24-Z19</x:f>
        <x:v>-530896.0626565601</x:v>
      </x:c>
      <x:c r="AA25" s="47" t="n">
        <x:f>AA24-AA19</x:f>
        <x:v>-530896.0626565601</x:v>
      </x:c>
      <x:c r="AB25" s="47" t="n">
        <x:f>AB24-AB19</x:f>
        <x:v>-530896.0626565601</x:v>
      </x:c>
      <x:c r="AC25" s="47" t="n">
        <x:f>AC24-AC19</x:f>
        <x:v>-530896.0626565601</x:v>
      </x:c>
      <x:c r="AD25" s="47" t="n">
        <x:f>AD24-AD19</x:f>
        <x:v>-530896.0626565601</x:v>
      </x:c>
      <x:c r="AE25" s="47" t="n">
        <x:f>AE24-AE19</x:f>
        <x:v>-530896.0626565601</x:v>
      </x:c>
      <x:c r="AF25" s="47" t="n">
        <x:f>AF24-AF19</x:f>
        <x:v>-530896.0626565601</x:v>
      </x:c>
      <x:c r="AG25" s="47" t="n">
        <x:f>AG24-AG19</x:f>
        <x:v>-530896.0626565601</x:v>
      </x:c>
      <x:c r="AH25" s="47" t="n">
        <x:f>AH24-AH19</x:f>
        <x:v>-530896.0626565601</x:v>
      </x:c>
      <x:c r="AI25" s="47" t="n">
        <x:f>AI24-AI19</x:f>
        <x:v>-530896.0626565601</x:v>
      </x:c>
      <x:c r="AJ25" s="47" t="n">
        <x:f>AJ24-AJ19</x:f>
        <x:v>-530896.0626565601</x:v>
      </x:c>
      <x:c r="AK25" s="47" t="n">
        <x:f>AK24-AK19</x:f>
        <x:v>-530896.0626565601</x:v>
      </x:c>
      <x:c r="AL25" s="47" t="n">
        <x:f>AL24-AL19</x:f>
        <x:v>-530896.0626565601</x:v>
      </x:c>
      <x:c r="AM25" s="47" t="n">
        <x:f>AM24-AM19</x:f>
        <x:v>-530896.0626565601</x:v>
      </x:c>
      <x:c r="AN25" s="47" t="n">
        <x:f>AN24-AN19</x:f>
        <x:v>-530896.0626565601</x:v>
      </x:c>
      <x:c r="AO25" s="47" t="n">
        <x:f>AO24-AO19</x:f>
        <x:v>-530896.0626565601</x:v>
      </x:c>
      <x:c r="AP25" s="47" t="n">
        <x:f>AP24-AP19</x:f>
        <x:v>-530896.0626565601</x:v>
      </x:c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</x:row>
    <x:row r="26" ht="19" customHeight="1">
      <x:c r="A26" s="1"/>
      <x:c r="B26" s="1"/>
      <x:c r="C26" s="2"/>
      <x:c r="D26" s="2"/>
      <x:c r="E26" s="35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</x:row>
    <x:row r="27" ht="19" customHeight="1">
      <x:c r="A27" s="1"/>
      <x:c r="B27" s="1"/>
      <x:c r="C27" s="2" t="str">
        <x:v>Opening-book charge-offs</x:v>
      </x:c>
      <x:c r="D27" s="2"/>
      <x:c r="E27" s="35" t="n">
        <x:f>SUMIFS(G27:AP27,$G$6:$AP$6,"&lt;="&amp;'Assumptions'!$E$7)</x:f>
        <x:v>18286667.133780576</x:v>
      </x:c>
      <x:c r="F27" s="2"/>
      <x:c r="G27" s="35" t="n">
        <x:f>SUMPRODUCT($E$160:$E$219,$E$52:$E$111)</x:f>
        <x:v>11299118.190711468</x:v>
      </x:c>
      <x:c r="H27" s="35" t="n">
        <x:f>SUMPRODUCT($E$160:$E$219,$E$53:$E$112)</x:f>
        <x:v>4388671.377240998</x:v>
      </x:c>
      <x:c r="I27" s="35" t="n">
        <x:f>SUMPRODUCT($E$160:$E$219,$E$54:$E$113)</x:f>
        <x:v>1763191.335193011</x:v>
      </x:c>
      <x:c r="J27" s="35" t="n">
        <x:f>SUMPRODUCT($E$160:$E$219,$E$55:$E$114)</x:f>
        <x:v>648312.1776641319</x:v>
      </x:c>
      <x:c r="K27" s="35" t="n">
        <x:f>SUMPRODUCT($E$160:$E$219,$E$56:$E$115)</x:f>
        <x:v>187374.05297096787</x:v>
      </x:c>
      <x:c r="L27" s="35" t="n">
        <x:f>SUMPRODUCT($E$160:$E$219,$E$57:$E$116)</x:f>
        <x:v>0</x:v>
      </x:c>
      <x:c r="M27" s="35" t="n">
        <x:f>SUMPRODUCT($E$160:$E$219,$E$58:$E$117)</x:f>
        <x:v>0</x:v>
      </x:c>
      <x:c r="N27" s="35" t="n">
        <x:f>SUMPRODUCT($E$160:$E$219,$E$59:$E$118)</x:f>
        <x:v>0</x:v>
      </x:c>
      <x:c r="O27" s="35" t="n">
        <x:f>SUMPRODUCT($E$160:$E$219,$E$60:$E$119)</x:f>
        <x:v>0</x:v>
      </x:c>
      <x:c r="P27" s="35" t="n">
        <x:f>SUMPRODUCT($E$160:$E$219,$E$61:$E$120)</x:f>
        <x:v>0</x:v>
      </x:c>
      <x:c r="Q27" s="35" t="n">
        <x:f>SUMPRODUCT($E$160:$E$219,$E$62:$E$121)</x:f>
        <x:v>0</x:v>
      </x:c>
      <x:c r="R27" s="35" t="n">
        <x:f>SUMPRODUCT($E$160:$E$219,$E$63:$E$122)</x:f>
        <x:v>0</x:v>
      </x:c>
      <x:c r="S27" s="35" t="n">
        <x:f>SUMPRODUCT($E$160:$E$219,$E$64:$E$123)</x:f>
        <x:v>0</x:v>
      </x:c>
      <x:c r="T27" s="35" t="n">
        <x:f>SUMPRODUCT($E$160:$E$219,$E$65:$E$124)</x:f>
        <x:v>0</x:v>
      </x:c>
      <x:c r="U27" s="35" t="n">
        <x:f>SUMPRODUCT($E$160:$E$219,$E$66:$E$125)</x:f>
        <x:v>0</x:v>
      </x:c>
      <x:c r="V27" s="35" t="n">
        <x:f>SUMPRODUCT($E$160:$E$219,$E$67:$E$126)</x:f>
        <x:v>0</x:v>
      </x:c>
      <x:c r="W27" s="35" t="n">
        <x:f>SUMPRODUCT($E$160:$E$219,$E$68:$E$127)</x:f>
        <x:v>0</x:v>
      </x:c>
      <x:c r="X27" s="35" t="n">
        <x:f>SUMPRODUCT($E$160:$E$219,$E$69:$E$128)</x:f>
        <x:v>0</x:v>
      </x:c>
      <x:c r="Y27" s="35" t="n">
        <x:f>SUMPRODUCT($E$160:$E$219,$E$70:$E$129)</x:f>
        <x:v>0</x:v>
      </x:c>
      <x:c r="Z27" s="35" t="n">
        <x:f>SUMPRODUCT($E$160:$E$219,$E$71:$E$130)</x:f>
        <x:v>0</x:v>
      </x:c>
      <x:c r="AA27" s="35" t="n">
        <x:f>SUMPRODUCT($E$160:$E$219,$E$72:$E$131)</x:f>
        <x:v>0</x:v>
      </x:c>
      <x:c r="AB27" s="35" t="n">
        <x:f>SUMPRODUCT($E$160:$E$219,$E$73:$E$132)</x:f>
        <x:v>0</x:v>
      </x:c>
      <x:c r="AC27" s="35" t="n">
        <x:f>SUMPRODUCT($E$160:$E$219,$E$74:$E$133)</x:f>
        <x:v>0</x:v>
      </x:c>
      <x:c r="AD27" s="35" t="n">
        <x:f>SUMPRODUCT($E$160:$E$219,$E$75:$E$134)</x:f>
        <x:v>0</x:v>
      </x:c>
      <x:c r="AE27" s="35" t="n">
        <x:f>SUMPRODUCT($E$160:$E$219,$E$76:$E$135)</x:f>
        <x:v>0</x:v>
      </x:c>
      <x:c r="AF27" s="35" t="n">
        <x:f>SUMPRODUCT($E$160:$E$219,$E$77:$E$136)</x:f>
        <x:v>0</x:v>
      </x:c>
      <x:c r="AG27" s="35" t="n">
        <x:f>SUMPRODUCT($E$160:$E$219,$E$78:$E$137)</x:f>
        <x:v>0</x:v>
      </x:c>
      <x:c r="AH27" s="35" t="n">
        <x:f>SUMPRODUCT($E$160:$E$219,$E$79:$E$138)</x:f>
        <x:v>0</x:v>
      </x:c>
      <x:c r="AI27" s="35" t="n">
        <x:f>SUMPRODUCT($E$160:$E$219,$E$80:$E$139)</x:f>
        <x:v>0</x:v>
      </x:c>
      <x:c r="AJ27" s="35" t="n">
        <x:f>SUMPRODUCT($E$160:$E$219,$E$81:$E$140)</x:f>
        <x:v>0</x:v>
      </x:c>
      <x:c r="AK27" s="35" t="n">
        <x:f>SUMPRODUCT($E$160:$E$219,$E$82:$E$141)</x:f>
        <x:v>0</x:v>
      </x:c>
      <x:c r="AL27" s="35" t="n">
        <x:f>SUMPRODUCT($E$160:$E$219,$E$83:$E$142)</x:f>
        <x:v>0</x:v>
      </x:c>
      <x:c r="AM27" s="35" t="n">
        <x:f>SUMPRODUCT($E$160:$E$219,$E$84:$E$143)</x:f>
        <x:v>0</x:v>
      </x:c>
      <x:c r="AN27" s="35" t="n">
        <x:f>SUMPRODUCT($E$160:$E$219,$E$85:$E$144)</x:f>
        <x:v>0</x:v>
      </x:c>
      <x:c r="AO27" s="35" t="n">
        <x:f>SUMPRODUCT($E$160:$E$219,$E$86:$E$145)</x:f>
        <x:v>0</x:v>
      </x:c>
      <x:c r="AP27" s="35" t="n">
        <x:f>SUMPRODUCT($E$160:$E$219,$E$87:$E$146)</x:f>
        <x:v>0</x:v>
      </x:c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</x:row>
    <x:row r="28" ht="19" customHeight="1">
      <x:c r="A28" s="1"/>
      <x:c r="B28" s="1"/>
      <x:c r="C28" s="2" t="str">
        <x:v>New-book charge-offs</x:v>
      </x:c>
      <x:c r="D28" s="2"/>
      <x:c r="E28" s="35" t="n">
        <x:f>SUMIFS(G28:AP28,$G$6:$AP$6,"&lt;="&amp;'Assumptions'!$E$7)</x:f>
        <x:v>19946805.83243895</x:v>
      </x:c>
      <x:c r="F28" s="2"/>
      <x:c r="G28" s="35" t="n">
        <x:f>SUMPRODUCT($G$11:G11,$CY$150:$CY$150)</x:f>
        <x:v>0</x:v>
      </x:c>
      <x:c r="H28" s="35" t="n">
        <x:f>SUMPRODUCT($G$11:H11,$CX$150:$CY$150)</x:f>
        <x:v>391328.483556846</x:v>
      </x:c>
      <x:c r="I28" s="35" t="n">
        <x:f>SUMPRODUCT($G$11:I11,$CW$150:$CY$150)</x:f>
        <x:v>632941.4215570424</x:v>
      </x:c>
      <x:c r="J28" s="35" t="n">
        <x:f>SUMPRODUCT($G$11:J11,$CV$150:$CY$150)</x:f>
        <x:v>778728.9631507669</x:v>
      </x:c>
      <x:c r="K28" s="35" t="n">
        <x:f>SUMPRODUCT($G$11:K11,$CU$150:$CY$150)</x:f>
        <x:v>860181.8930179353</x:v>
      </x:c>
      <x:c r="L28" s="35" t="n">
        <x:f>SUMPRODUCT($G$11:L11,$CT$150:$CY$150)</x:f>
        <x:v>909664.4774292824</x:v>
      </x:c>
      <x:c r="M28" s="35" t="n">
        <x:f>SUMPRODUCT($G$11:M11,$CS$150:$CY$150)</x:f>
        <x:v>909664.4774292824</x:v>
      </x:c>
      <x:c r="N28" s="35" t="n">
        <x:f>SUMPRODUCT($G$11:N11,$CR$150:$CY$150)</x:f>
        <x:v>909664.4774292824</x:v>
      </x:c>
      <x:c r="O28" s="35" t="n">
        <x:f>SUMPRODUCT($G$11:O11,$CQ$150:$CY$150)</x:f>
        <x:v>909664.4774292824</x:v>
      </x:c>
      <x:c r="P28" s="35" t="n">
        <x:f>SUMPRODUCT($G$11:P11,$CP$150:$CY$150)</x:f>
        <x:v>909664.4774292824</x:v>
      </x:c>
      <x:c r="Q28" s="35" t="n">
        <x:f>SUMPRODUCT($G$11:Q11,$CO$150:$CY$150)</x:f>
        <x:v>909664.4774292824</x:v>
      </x:c>
      <x:c r="R28" s="35" t="n">
        <x:f>SUMPRODUCT($G$11:R11,$CN$150:$CY$150)</x:f>
        <x:v>909664.4774292824</x:v>
      </x:c>
      <x:c r="S28" s="35" t="n">
        <x:f>SUMPRODUCT($G$11:S11,$CM$150:$CY$150)</x:f>
        <x:v>909664.4774292824</x:v>
      </x:c>
      <x:c r="T28" s="35" t="n">
        <x:f>SUMPRODUCT($G$11:T11,$CL$150:$CY$150)</x:f>
        <x:v>909664.4774292824</x:v>
      </x:c>
      <x:c r="U28" s="35" t="n">
        <x:f>SUMPRODUCT($G$11:U11,$CK$150:$CY$150)</x:f>
        <x:v>909664.4774292824</x:v>
      </x:c>
      <x:c r="V28" s="35" t="n">
        <x:f>SUMPRODUCT($G$11:V11,$CJ$150:$CY$150)</x:f>
        <x:v>909664.4774292824</x:v>
      </x:c>
      <x:c r="W28" s="35" t="n">
        <x:f>SUMPRODUCT($G$11:W11,$CI$150:$CY$150)</x:f>
        <x:v>909664.4774292824</x:v>
      </x:c>
      <x:c r="X28" s="35" t="n">
        <x:f>SUMPRODUCT($G$11:X11,$CH$150:$CY$150)</x:f>
        <x:v>909664.4774292824</x:v>
      </x:c>
      <x:c r="Y28" s="35" t="n">
        <x:f>SUMPRODUCT($G$11:Y11,$CG$150:$CY$150)</x:f>
        <x:v>909664.4774292824</x:v>
      </x:c>
      <x:c r="Z28" s="35" t="n">
        <x:f>SUMPRODUCT($G$11:Z11,$CF$150:$CY$150)</x:f>
        <x:v>909664.4774292824</x:v>
      </x:c>
      <x:c r="AA28" s="35" t="n">
        <x:f>SUMPRODUCT($G$11:AA11,$CE$150:$CY$150)</x:f>
        <x:v>909664.4774292824</x:v>
      </x:c>
      <x:c r="AB28" s="35" t="n">
        <x:f>SUMPRODUCT($G$11:AB11,$CD$150:$CY$150)</x:f>
        <x:v>909664.4774292824</x:v>
      </x:c>
      <x:c r="AC28" s="35" t="n">
        <x:f>SUMPRODUCT($G$11:AC11,$CC$150:$CY$150)</x:f>
        <x:v>909664.4774292824</x:v>
      </x:c>
      <x:c r="AD28" s="35" t="n">
        <x:f>SUMPRODUCT($G$11:AD11,$CB$150:$CY$150)</x:f>
        <x:v>909664.4774292824</x:v>
      </x:c>
      <x:c r="AE28" s="35" t="n">
        <x:f>SUMPRODUCT($G$11:AE11,$CA$150:$CY$150)</x:f>
        <x:v>909664.4774292824</x:v>
      </x:c>
      <x:c r="AF28" s="35" t="n">
        <x:f>SUMPRODUCT($G$11:AF11,$BZ$150:$CY$150)</x:f>
        <x:v>909664.4774292824</x:v>
      </x:c>
      <x:c r="AG28" s="35" t="n">
        <x:f>SUMPRODUCT($G$11:AG11,$BY$150:$CY$150)</x:f>
        <x:v>909664.4774292824</x:v>
      </x:c>
      <x:c r="AH28" s="35" t="n">
        <x:f>SUMPRODUCT($G$11:AH11,$BX$150:$CY$150)</x:f>
        <x:v>909664.4774292824</x:v>
      </x:c>
      <x:c r="AI28" s="35" t="n">
        <x:f>SUMPRODUCT($G$11:AI11,$BW$150:$CY$150)</x:f>
        <x:v>909664.4774292824</x:v>
      </x:c>
      <x:c r="AJ28" s="35" t="n">
        <x:f>SUMPRODUCT($G$11:AJ11,$BV$150:$CY$150)</x:f>
        <x:v>909664.4774292824</x:v>
      </x:c>
      <x:c r="AK28" s="35" t="n">
        <x:f>SUMPRODUCT($G$11:AK11,$BU$150:$CY$150)</x:f>
        <x:v>909664.4774292824</x:v>
      </x:c>
      <x:c r="AL28" s="35" t="n">
        <x:f>SUMPRODUCT($G$11:AL11,$BT$150:$CY$150)</x:f>
        <x:v>909664.4774292824</x:v>
      </x:c>
      <x:c r="AM28" s="35" t="n">
        <x:f>SUMPRODUCT($G$11:AM11,$BS$150:$CY$150)</x:f>
        <x:v>909664.4774292824</x:v>
      </x:c>
      <x:c r="AN28" s="35" t="n">
        <x:f>SUMPRODUCT($G$11:AN11,$BR$150:$CY$150)</x:f>
        <x:v>909664.4774292824</x:v>
      </x:c>
      <x:c r="AO28" s="35" t="n">
        <x:f>SUMPRODUCT($G$11:AO11,$BQ$150:$CY$150)</x:f>
        <x:v>909664.4774292824</x:v>
      </x:c>
      <x:c r="AP28" s="35" t="n">
        <x:f>SUMPRODUCT($G$11:AP11,$BP$150:$CY$150)</x:f>
        <x:v>909664.4774292824</x:v>
      </x:c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</x:row>
    <x:row r="29" ht="19" customHeight="1">
      <x:c r="A29" s="1"/>
      <x:c r="B29" s="1"/>
      <x:c r="C29" s="2" t="str">
        <x:v>Opening-book repayments</x:v>
      </x:c>
      <x:c r="D29" s="2"/>
      <x:c r="E29" s="35" t="n">
        <x:f>SUMIFS(G29:AP29,$G$6:$AP$6,"&lt;="&amp;'Assumptions'!$E$7)</x:f>
        <x:v>32833332.866219405</x:v>
      </x:c>
      <x:c r="F29" s="2"/>
      <x:c r="G29" s="35" t="n">
        <x:f>SUMPRODUCT($E$160:$E$219,$F$52:$F$111)</x:f>
        <x:v>20454113.450241525</x:v>
      </x:c>
      <x:c r="H29" s="35" t="n">
        <x:f>SUMPRODUCT($E$160:$E$219,$F$53:$F$112)</x:f>
        <x:v>7862055.208606657</x:v>
      </x:c>
      <x:c r="I29" s="35" t="n">
        <x:f>SUMPRODUCT($E$160:$E$219,$F$54:$F$113)</x:f>
        <x:v>3100821.4709697706</x:v>
      </x:c>
      <x:c r="J29" s="35" t="n">
        <x:f>SUMPRODUCT($E$160:$E$219,$F$55:$F$114)</x:f>
        <x:v>1116721.0614785089</x:v>
      </x:c>
      <x:c r="K29" s="35" t="n">
        <x:f>SUMPRODUCT($E$160:$E$219,$F$56:$F$115)</x:f>
        <x:v>299621.6749229443</x:v>
      </x:c>
      <x:c r="L29" s="35" t="n">
        <x:f>SUMPRODUCT($E$160:$E$219,$F$57:$F$116)</x:f>
        <x:v>0</x:v>
      </x:c>
      <x:c r="M29" s="35" t="n">
        <x:f>SUMPRODUCT($E$160:$E$219,$F$58:$F$117)</x:f>
        <x:v>0</x:v>
      </x:c>
      <x:c r="N29" s="35" t="n">
        <x:f>SUMPRODUCT($E$160:$E$219,$F$59:$F$118)</x:f>
        <x:v>0</x:v>
      </x:c>
      <x:c r="O29" s="35" t="n">
        <x:f>SUMPRODUCT($E$160:$E$219,$F$60:$F$119)</x:f>
        <x:v>0</x:v>
      </x:c>
      <x:c r="P29" s="35" t="n">
        <x:f>SUMPRODUCT($E$160:$E$219,$F$61:$F$120)</x:f>
        <x:v>0</x:v>
      </x:c>
      <x:c r="Q29" s="35" t="n">
        <x:f>SUMPRODUCT($E$160:$E$219,$F$62:$F$121)</x:f>
        <x:v>0</x:v>
      </x:c>
      <x:c r="R29" s="35" t="n">
        <x:f>SUMPRODUCT($E$160:$E$219,$F$63:$F$122)</x:f>
        <x:v>0</x:v>
      </x:c>
      <x:c r="S29" s="35" t="n">
        <x:f>SUMPRODUCT($E$160:$E$219,$F$64:$F$123)</x:f>
        <x:v>0</x:v>
      </x:c>
      <x:c r="T29" s="35" t="n">
        <x:f>SUMPRODUCT($E$160:$E$219,$F$65:$F$124)</x:f>
        <x:v>0</x:v>
      </x:c>
      <x:c r="U29" s="35" t="n">
        <x:f>SUMPRODUCT($E$160:$E$219,$F$66:$F$125)</x:f>
        <x:v>0</x:v>
      </x:c>
      <x:c r="V29" s="35" t="n">
        <x:f>SUMPRODUCT($E$160:$E$219,$F$67:$F$126)</x:f>
        <x:v>0</x:v>
      </x:c>
      <x:c r="W29" s="35" t="n">
        <x:f>SUMPRODUCT($E$160:$E$219,$F$68:$F$127)</x:f>
        <x:v>0</x:v>
      </x:c>
      <x:c r="X29" s="35" t="n">
        <x:f>SUMPRODUCT($E$160:$E$219,$F$69:$F$128)</x:f>
        <x:v>0</x:v>
      </x:c>
      <x:c r="Y29" s="35" t="n">
        <x:f>SUMPRODUCT($E$160:$E$219,$F$70:$F$129)</x:f>
        <x:v>0</x:v>
      </x:c>
      <x:c r="Z29" s="35" t="n">
        <x:f>SUMPRODUCT($E$160:$E$219,$F$71:$F$130)</x:f>
        <x:v>0</x:v>
      </x:c>
      <x:c r="AA29" s="35" t="n">
        <x:f>SUMPRODUCT($E$160:$E$219,$F$72:$F$131)</x:f>
        <x:v>0</x:v>
      </x:c>
      <x:c r="AB29" s="35" t="n">
        <x:f>SUMPRODUCT($E$160:$E$219,$F$73:$F$132)</x:f>
        <x:v>0</x:v>
      </x:c>
      <x:c r="AC29" s="35" t="n">
        <x:f>SUMPRODUCT($E$160:$E$219,$F$74:$F$133)</x:f>
        <x:v>0</x:v>
      </x:c>
      <x:c r="AD29" s="35" t="n">
        <x:f>SUMPRODUCT($E$160:$E$219,$F$75:$F$134)</x:f>
        <x:v>0</x:v>
      </x:c>
      <x:c r="AE29" s="35" t="n">
        <x:f>SUMPRODUCT($E$160:$E$219,$F$76:$F$135)</x:f>
        <x:v>0</x:v>
      </x:c>
      <x:c r="AF29" s="35" t="n">
        <x:f>SUMPRODUCT($E$160:$E$219,$F$77:$F$136)</x:f>
        <x:v>0</x:v>
      </x:c>
      <x:c r="AG29" s="35" t="n">
        <x:f>SUMPRODUCT($E$160:$E$219,$F$78:$F$137)</x:f>
        <x:v>0</x:v>
      </x:c>
      <x:c r="AH29" s="35" t="n">
        <x:f>SUMPRODUCT($E$160:$E$219,$F$79:$F$138)</x:f>
        <x:v>0</x:v>
      </x:c>
      <x:c r="AI29" s="35" t="n">
        <x:f>SUMPRODUCT($E$160:$E$219,$F$80:$F$139)</x:f>
        <x:v>0</x:v>
      </x:c>
      <x:c r="AJ29" s="35" t="n">
        <x:f>SUMPRODUCT($E$160:$E$219,$F$81:$F$140)</x:f>
        <x:v>0</x:v>
      </x:c>
      <x:c r="AK29" s="35" t="n">
        <x:f>SUMPRODUCT($E$160:$E$219,$F$82:$F$141)</x:f>
        <x:v>0</x:v>
      </x:c>
      <x:c r="AL29" s="35" t="n">
        <x:f>SUMPRODUCT($E$160:$E$219,$F$83:$F$142)</x:f>
        <x:v>0</x:v>
      </x:c>
      <x:c r="AM29" s="35" t="n">
        <x:f>SUMPRODUCT($E$160:$E$219,$F$84:$F$143)</x:f>
        <x:v>0</x:v>
      </x:c>
      <x:c r="AN29" s="35" t="n">
        <x:f>SUMPRODUCT($E$160:$E$219,$F$85:$F$144)</x:f>
        <x:v>0</x:v>
      </x:c>
      <x:c r="AO29" s="35" t="n">
        <x:f>SUMPRODUCT($E$160:$E$219,$F$86:$F$145)</x:f>
        <x:v>0</x:v>
      </x:c>
      <x:c r="AP29" s="35" t="n">
        <x:f>SUMPRODUCT($E$160:$E$219,$F$87:$F$146)</x:f>
        <x:v>0</x:v>
      </x:c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</x:row>
    <x:row r="30" ht="19" customHeight="1">
      <x:c r="A30" s="1"/>
      <x:c r="B30" s="1"/>
      <x:c r="C30" s="2" t="str">
        <x:v>New-book repayments</x:v>
      </x:c>
      <x:c r="D30" s="2"/>
      <x:c r="E30" s="35" t="n">
        <x:f>SUMIFS(G30:AP30,$G$6:$AP$6,"&lt;="&amp;'Assumptions'!$E$7)</x:f>
        <x:v>39398308.71285908</x:v>
      </x:c>
      <x:c r="F30" s="2"/>
      <x:c r="G30" s="35" t="n">
        <x:f>SUMPRODUCT($G$11:G11,$CY$151:$CY$151)</x:f>
        <x:v>0</x:v>
      </x:c>
      <x:c r="H30" s="35" t="n">
        <x:f>SUMPRODUCT($G$11:H11,$CX$151:$CY$151)</x:f>
        <x:v>820162.9703296791</x:v>
      </x:c>
      <x:c r="I30" s="35" t="n">
        <x:f>SUMPRODUCT($G$11:I11,$CW$151:$CY$151)</x:f>
        <x:v>1290734.0448200686</x:v>
      </x:c>
      <x:c r="J30" s="35" t="n">
        <x:f>SUMPRODUCT($G$11:J11,$CV$151:$CY$151)</x:f>
        <x:v>1559826.6886161955</x:v>
      </x:c>
      <x:c r="K30" s="35" t="n">
        <x:f>SUMPRODUCT($G$11:K11,$CU$151:$CY$151)</x:f>
        <x:v>1711210.0802495168</x:v>
      </x:c>
      <x:c r="L30" s="35" t="n">
        <x:f>SUMPRODUCT($G$11:L11,$CT$151:$CY$151)</x:f>
        <x:v>1790335.522570717</x:v>
      </x:c>
      <x:c r="M30" s="35" t="n">
        <x:f>SUMPRODUCT($G$11:M11,$CS$151:$CY$151)</x:f>
        <x:v>1790335.522570717</x:v>
      </x:c>
      <x:c r="N30" s="35" t="n">
        <x:f>SUMPRODUCT($G$11:N11,$CR$151:$CY$151)</x:f>
        <x:v>1790335.522570717</x:v>
      </x:c>
      <x:c r="O30" s="35" t="n">
        <x:f>SUMPRODUCT($G$11:O11,$CQ$151:$CY$151)</x:f>
        <x:v>1790335.522570717</x:v>
      </x:c>
      <x:c r="P30" s="35" t="n">
        <x:f>SUMPRODUCT($G$11:P11,$CP$151:$CY$151)</x:f>
        <x:v>1790335.522570717</x:v>
      </x:c>
      <x:c r="Q30" s="35" t="n">
        <x:f>SUMPRODUCT($G$11:Q11,$CO$151:$CY$151)</x:f>
        <x:v>1790335.522570717</x:v>
      </x:c>
      <x:c r="R30" s="35" t="n">
        <x:f>SUMPRODUCT($G$11:R11,$CN$151:$CY$151)</x:f>
        <x:v>1790335.522570717</x:v>
      </x:c>
      <x:c r="S30" s="35" t="n">
        <x:f>SUMPRODUCT($G$11:S11,$CM$151:$CY$151)</x:f>
        <x:v>1790335.522570717</x:v>
      </x:c>
      <x:c r="T30" s="35" t="n">
        <x:f>SUMPRODUCT($G$11:T11,$CL$151:$CY$151)</x:f>
        <x:v>1790335.522570717</x:v>
      </x:c>
      <x:c r="U30" s="35" t="n">
        <x:f>SUMPRODUCT($G$11:U11,$CK$151:$CY$151)</x:f>
        <x:v>1790335.522570717</x:v>
      </x:c>
      <x:c r="V30" s="35" t="n">
        <x:f>SUMPRODUCT($G$11:V11,$CJ$151:$CY$151)</x:f>
        <x:v>1790335.522570717</x:v>
      </x:c>
      <x:c r="W30" s="35" t="n">
        <x:f>SUMPRODUCT($G$11:W11,$CI$151:$CY$151)</x:f>
        <x:v>1790335.522570717</x:v>
      </x:c>
      <x:c r="X30" s="35" t="n">
        <x:f>SUMPRODUCT($G$11:X11,$CH$151:$CY$151)</x:f>
        <x:v>1790335.522570717</x:v>
      </x:c>
      <x:c r="Y30" s="35" t="n">
        <x:f>SUMPRODUCT($G$11:Y11,$CG$151:$CY$151)</x:f>
        <x:v>1790335.522570717</x:v>
      </x:c>
      <x:c r="Z30" s="35" t="n">
        <x:f>SUMPRODUCT($G$11:Z11,$CF$151:$CY$151)</x:f>
        <x:v>1790335.522570717</x:v>
      </x:c>
      <x:c r="AA30" s="35" t="n">
        <x:f>SUMPRODUCT($G$11:AA11,$CE$151:$CY$151)</x:f>
        <x:v>1790335.522570717</x:v>
      </x:c>
      <x:c r="AB30" s="35" t="n">
        <x:f>SUMPRODUCT($G$11:AB11,$CD$151:$CY$151)</x:f>
        <x:v>1790335.522570717</x:v>
      </x:c>
      <x:c r="AC30" s="35" t="n">
        <x:f>SUMPRODUCT($G$11:AC11,$CC$151:$CY$151)</x:f>
        <x:v>1790335.522570717</x:v>
      </x:c>
      <x:c r="AD30" s="35" t="n">
        <x:f>SUMPRODUCT($G$11:AD11,$CB$151:$CY$151)</x:f>
        <x:v>1790335.522570717</x:v>
      </x:c>
      <x:c r="AE30" s="35" t="n">
        <x:f>SUMPRODUCT($G$11:AE11,$CA$151:$CY$151)</x:f>
        <x:v>1790335.522570717</x:v>
      </x:c>
      <x:c r="AF30" s="35" t="n">
        <x:f>SUMPRODUCT($G$11:AF11,$BZ$151:$CY$151)</x:f>
        <x:v>1790335.522570717</x:v>
      </x:c>
      <x:c r="AG30" s="35" t="n">
        <x:f>SUMPRODUCT($G$11:AG11,$BY$151:$CY$151)</x:f>
        <x:v>1790335.522570717</x:v>
      </x:c>
      <x:c r="AH30" s="35" t="n">
        <x:f>SUMPRODUCT($G$11:AH11,$BX$151:$CY$151)</x:f>
        <x:v>1790335.522570717</x:v>
      </x:c>
      <x:c r="AI30" s="35" t="n">
        <x:f>SUMPRODUCT($G$11:AI11,$BW$151:$CY$151)</x:f>
        <x:v>1790335.522570717</x:v>
      </x:c>
      <x:c r="AJ30" s="35" t="n">
        <x:f>SUMPRODUCT($G$11:AJ11,$BV$151:$CY$151)</x:f>
        <x:v>1790335.522570717</x:v>
      </x:c>
      <x:c r="AK30" s="35" t="n">
        <x:f>SUMPRODUCT($G$11:AK11,$BU$151:$CY$151)</x:f>
        <x:v>1790335.522570717</x:v>
      </x:c>
      <x:c r="AL30" s="35" t="n">
        <x:f>SUMPRODUCT($G$11:AL11,$BT$151:$CY$151)</x:f>
        <x:v>1790335.522570717</x:v>
      </x:c>
      <x:c r="AM30" s="35" t="n">
        <x:f>SUMPRODUCT($G$11:AM11,$BS$151:$CY$151)</x:f>
        <x:v>1790335.522570717</x:v>
      </x:c>
      <x:c r="AN30" s="35" t="n">
        <x:f>SUMPRODUCT($G$11:AN11,$BR$151:$CY$151)</x:f>
        <x:v>1790335.522570717</x:v>
      </x:c>
      <x:c r="AO30" s="35" t="n">
        <x:f>SUMPRODUCT($G$11:AO11,$BQ$151:$CY$151)</x:f>
        <x:v>1790335.522570717</x:v>
      </x:c>
      <x:c r="AP30" s="35" t="n">
        <x:f>SUMPRODUCT($G$11:AP11,$BP$151:$CY$151)</x:f>
        <x:v>1790335.522570717</x:v>
      </x:c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</x:row>
    <x:row r="31" ht="19" customHeight="1">
      <x:c r="A31" s="1"/>
      <x:c r="B31" s="1"/>
      <x:c r="C31" s="2"/>
      <x:c r="D31" s="2"/>
      <x:c r="E31" s="35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</x:row>
    <x:row r="32" ht="19" customHeight="1">
      <x:c r="A32" s="1"/>
      <x:c r="B32" s="1"/>
      <x:c r="C32" s="2" t="str">
        <x:v>Opening-book revenue</x:v>
      </x:c>
      <x:c r="D32" s="2"/>
      <x:c r="E32" s="35" t="n">
        <x:f>SUMIFS(G32:AP32,$G$6:$AP$6,"&lt;="&amp;'Assumptions'!$E$7)</x:f>
        <x:v>5171263.974449684</x:v>
      </x:c>
      <x:c r="F32" s="2"/>
      <x:c r="G32" s="35" t="n">
        <x:f>($E$44-G27)*G23/12</x:f>
        <x:v>3318406.8174407096</x:v>
      </x:c>
      <x:c r="H32" s="35" t="n">
        <x:f>(G34-H27)*H23/12</x:f>
        <x:v>1248174.748483833</x:v>
      </x:c>
      <x:c r="I32" s="35" t="n">
        <x:f>(H34-I27)*I23/12</x:f>
        <x:v>446070.8698338606</x:v>
      </x:c>
      <x:c r="J32" s="35" t="n">
        <x:f>(I34-J27)*J23/12</x:f>
        <x:v>133643.06578103543</x:v>
      </x:c>
      <x:c r="K32" s="35" t="n">
        <x:f>(J34-K27)*K23/12</x:f>
        <x:v>24968.472910245695</x:v>
      </x:c>
      <x:c r="L32" s="35" t="n">
        <x:f>(K34-L27)*L23/12</x:f>
        <x:v>3.395446886618932e-10</x:v>
      </x:c>
      <x:c r="M32" s="35" t="n">
        <x:f>(L34-M27)*M23/12</x:f>
        <x:v>3.395446886618932e-10</x:v>
      </x:c>
      <x:c r="N32" s="35" t="n">
        <x:f>(M34-N27)*N23/12</x:f>
        <x:v>3.395446886618932e-10</x:v>
      </x:c>
      <x:c r="O32" s="35" t="n">
        <x:f>(N34-O27)*O23/12</x:f>
        <x:v>3.395446886618932e-10</x:v>
      </x:c>
      <x:c r="P32" s="35" t="n">
        <x:f>(O34-P27)*P23/12</x:f>
        <x:v>3.395446886618932e-10</x:v>
      </x:c>
      <x:c r="Q32" s="35" t="n">
        <x:f>(P34-Q27)*Q23/12</x:f>
        <x:v>3.395446886618932e-10</x:v>
      </x:c>
      <x:c r="R32" s="35" t="n">
        <x:f>(Q34-R27)*R23/12</x:f>
        <x:v>3.395446886618932e-10</x:v>
      </x:c>
      <x:c r="S32" s="35" t="n">
        <x:f>(R34-S27)*S23/12</x:f>
        <x:v>3.395446886618932e-10</x:v>
      </x:c>
      <x:c r="T32" s="35" t="n">
        <x:f>(S34-T27)*T23/12</x:f>
        <x:v>3.395446886618932e-10</x:v>
      </x:c>
      <x:c r="U32" s="35" t="n">
        <x:f>(T34-U27)*U23/12</x:f>
        <x:v>3.395446886618932e-10</x:v>
      </x:c>
      <x:c r="V32" s="35" t="n">
        <x:f>(U34-V27)*V23/12</x:f>
        <x:v>3.395446886618932e-10</x:v>
      </x:c>
      <x:c r="W32" s="35" t="n">
        <x:f>(V34-W27)*W23/12</x:f>
        <x:v>3.395446886618932e-10</x:v>
      </x:c>
      <x:c r="X32" s="35" t="n">
        <x:f>(W34-X27)*X23/12</x:f>
        <x:v>3.395446886618932e-10</x:v>
      </x:c>
      <x:c r="Y32" s="35" t="n">
        <x:f>(X34-Y27)*Y23/12</x:f>
        <x:v>3.395446886618932e-10</x:v>
      </x:c>
      <x:c r="Z32" s="35" t="n">
        <x:f>(Y34-Z27)*Z23/12</x:f>
        <x:v>3.395446886618932e-10</x:v>
      </x:c>
      <x:c r="AA32" s="35" t="n">
        <x:f>(Z34-AA27)*AA23/12</x:f>
        <x:v>3.395446886618932e-10</x:v>
      </x:c>
      <x:c r="AB32" s="35" t="n">
        <x:f>(AA34-AB27)*AB23/12</x:f>
        <x:v>3.395446886618932e-10</x:v>
      </x:c>
      <x:c r="AC32" s="35" t="n">
        <x:f>(AB34-AC27)*AC23/12</x:f>
        <x:v>3.395446886618932e-10</x:v>
      </x:c>
      <x:c r="AD32" s="35" t="n">
        <x:f>(AC34-AD27)*AD23/12</x:f>
        <x:v>3.395446886618932e-10</x:v>
      </x:c>
      <x:c r="AE32" s="35" t="n">
        <x:f>(AD34-AE27)*AE23/12</x:f>
        <x:v>3.395446886618932e-10</x:v>
      </x:c>
      <x:c r="AF32" s="35" t="n">
        <x:f>(AE34-AF27)*AF23/12</x:f>
        <x:v>3.395446886618932e-10</x:v>
      </x:c>
      <x:c r="AG32" s="35" t="n">
        <x:f>(AF34-AG27)*AG23/12</x:f>
        <x:v>3.395446886618932e-10</x:v>
      </x:c>
      <x:c r="AH32" s="35" t="n">
        <x:f>(AG34-AH27)*AH23/12</x:f>
        <x:v>3.395446886618932e-10</x:v>
      </x:c>
      <x:c r="AI32" s="35" t="n">
        <x:f>(AH34-AI27)*AI23/12</x:f>
        <x:v>3.395446886618932e-10</x:v>
      </x:c>
      <x:c r="AJ32" s="35" t="n">
        <x:f>(AI34-AJ27)*AJ23/12</x:f>
        <x:v>3.395446886618932e-10</x:v>
      </x:c>
      <x:c r="AK32" s="35" t="n">
        <x:f>(AJ34-AK27)*AK23/12</x:f>
        <x:v>3.395446886618932e-10</x:v>
      </x:c>
      <x:c r="AL32" s="35" t="n">
        <x:f>(AK34-AL27)*AL23/12</x:f>
        <x:v>3.395446886618932e-10</x:v>
      </x:c>
      <x:c r="AM32" s="35" t="n">
        <x:f>(AL34-AM27)*AM23/12</x:f>
        <x:v>3.395446886618932e-10</x:v>
      </x:c>
      <x:c r="AN32" s="35" t="n">
        <x:f>(AM34-AN27)*AN23/12</x:f>
        <x:v>3.395446886618932e-10</x:v>
      </x:c>
      <x:c r="AO32" s="35" t="n">
        <x:f>(AN34-AO27)*AO23/12</x:f>
        <x:v>3.395446886618932e-10</x:v>
      </x:c>
      <x:c r="AP32" s="35" t="n">
        <x:f>(AO34-AP27)*AP23/12</x:f>
        <x:v>3.395446886618932e-10</x:v>
      </x:c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</x:row>
    <x:row r="33" ht="19" customHeight="1">
      <x:c r="A33" s="1"/>
      <x:c r="B33" s="1"/>
      <x:c r="C33" s="2" t="str">
        <x:v>New-book revenue</x:v>
      </x:c>
      <x:c r="D33" s="2"/>
      <x:c r="E33" s="35" t="n">
        <x:f>SUMIFS(G33:AP33,$G$6:$AP$6,"&lt;="&amp;'Assumptions'!$E$7)</x:f>
        <x:v>8406303.071726438</x:v>
      </x:c>
      <x:c r="F33" s="2"/>
      <x:c r="G33" s="35" t="n">
        <x:f>G24-G32</x:f>
        <x:v>0</x:v>
      </x:c>
      <x:c r="H33" s="35" t="n">
        <x:f>H24-H32</x:f>
        <x:v>192389.29303692933</x:v>
      </x:c>
      <x:c r="I33" s="35" t="n">
        <x:f>I24-I32</x:f>
        <x:v>296297.2603797026</x:v>
      </x:c>
      <x:c r="J33" s="35" t="n">
        <x:f>J24-J32</x:f>
        <x:v>348842.0097154662</x:v>
      </x:c>
      <x:c r="K33" s="35" t="n">
        <x:f>K24-K32</x:f>
        <x:v>372174.62791262195</x:v>
      </x:c>
      <x:c r="L33" s="35" t="n">
        <x:f>L24-L32</x:f>
        <x:v>378768.41477272206</x:v>
      </x:c>
      <x:c r="M33" s="35" t="n">
        <x:f>M24-M32</x:f>
        <x:v>378768.41477272206</x:v>
      </x:c>
      <x:c r="N33" s="35" t="n">
        <x:f>N24-N32</x:f>
        <x:v>378768.41477272206</x:v>
      </x:c>
      <x:c r="O33" s="35" t="n">
        <x:f>O24-O32</x:f>
        <x:v>378768.41477272206</x:v>
      </x:c>
      <x:c r="P33" s="35" t="n">
        <x:f>P24-P32</x:f>
        <x:v>378768.41477272206</x:v>
      </x:c>
      <x:c r="Q33" s="35" t="n">
        <x:f>Q24-Q32</x:f>
        <x:v>378768.41477272206</x:v>
      </x:c>
      <x:c r="R33" s="35" t="n">
        <x:f>R24-R32</x:f>
        <x:v>378768.41477272206</x:v>
      </x:c>
      <x:c r="S33" s="35" t="n">
        <x:f>S24-S32</x:f>
        <x:v>378768.41477272206</x:v>
      </x:c>
      <x:c r="T33" s="35" t="n">
        <x:f>T24-T32</x:f>
        <x:v>378768.41477272206</x:v>
      </x:c>
      <x:c r="U33" s="35" t="n">
        <x:f>U24-U32</x:f>
        <x:v>378768.41477272206</x:v>
      </x:c>
      <x:c r="V33" s="35" t="n">
        <x:f>V24-V32</x:f>
        <x:v>378768.41477272206</x:v>
      </x:c>
      <x:c r="W33" s="35" t="n">
        <x:f>W24-W32</x:f>
        <x:v>378768.41477272206</x:v>
      </x:c>
      <x:c r="X33" s="35" t="n">
        <x:f>X24-X32</x:f>
        <x:v>378768.41477272206</x:v>
      </x:c>
      <x:c r="Y33" s="35" t="n">
        <x:f>Y24-Y32</x:f>
        <x:v>378768.41477272206</x:v>
      </x:c>
      <x:c r="Z33" s="35" t="n">
        <x:f>Z24-Z32</x:f>
        <x:v>378768.41477272206</x:v>
      </x:c>
      <x:c r="AA33" s="35" t="n">
        <x:f>AA24-AA32</x:f>
        <x:v>378768.41477272206</x:v>
      </x:c>
      <x:c r="AB33" s="35" t="n">
        <x:f>AB24-AB32</x:f>
        <x:v>378768.41477272206</x:v>
      </x:c>
      <x:c r="AC33" s="35" t="n">
        <x:f>AC24-AC32</x:f>
        <x:v>378768.41477272206</x:v>
      </x:c>
      <x:c r="AD33" s="35" t="n">
        <x:f>AD24-AD32</x:f>
        <x:v>378768.41477272206</x:v>
      </x:c>
      <x:c r="AE33" s="35" t="n">
        <x:f>AE24-AE32</x:f>
        <x:v>378768.41477272206</x:v>
      </x:c>
      <x:c r="AF33" s="35" t="n">
        <x:f>AF24-AF32</x:f>
        <x:v>378768.41477272206</x:v>
      </x:c>
      <x:c r="AG33" s="35" t="n">
        <x:f>AG24-AG32</x:f>
        <x:v>378768.41477272206</x:v>
      </x:c>
      <x:c r="AH33" s="35" t="n">
        <x:f>AH24-AH32</x:f>
        <x:v>378768.41477272206</x:v>
      </x:c>
      <x:c r="AI33" s="35" t="n">
        <x:f>AI24-AI32</x:f>
        <x:v>378768.41477272206</x:v>
      </x:c>
      <x:c r="AJ33" s="35" t="n">
        <x:f>AJ24-AJ32</x:f>
        <x:v>378768.41477272206</x:v>
      </x:c>
      <x:c r="AK33" s="35" t="n">
        <x:f>AK24-AK32</x:f>
        <x:v>378768.41477272206</x:v>
      </x:c>
      <x:c r="AL33" s="35" t="n">
        <x:f>AL24-AL32</x:f>
        <x:v>378768.41477272206</x:v>
      </x:c>
      <x:c r="AM33" s="35" t="n">
        <x:f>AM24-AM32</x:f>
        <x:v>378768.41477272206</x:v>
      </x:c>
      <x:c r="AN33" s="35" t="n">
        <x:f>AN24-AN32</x:f>
        <x:v>378768.41477272206</x:v>
      </x:c>
      <x:c r="AO33" s="35" t="n">
        <x:f>AO24-AO32</x:f>
        <x:v>378768.41477272206</x:v>
      </x:c>
      <x:c r="AP33" s="35" t="n">
        <x:f>AP24-AP32</x:f>
        <x:v>378768.41477272206</x:v>
      </x:c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</x:row>
    <x:row r="34" ht="19" customHeight="1">
      <x:c r="A34" s="1"/>
      <x:c r="B34" s="1"/>
      <x:c r="C34" s="2" t="str">
        <x:v>Opening-book ending CLAB</x:v>
      </x:c>
      <x:c r="D34" s="2"/>
      <x:c r="E34" s="35" t="n">
        <x:f>INDEX(G34:AP34,1,'Assumptions'!$E$7)</x:f>
        <x:v>4.0745362639427185e-9</x:v>
      </x:c>
      <x:c r="F34" s="2"/>
      <x:c r="G34" s="35" t="n">
        <x:f>$E$44-G27-G29</x:f>
        <x:v>19366768.359046992</x:v>
      </x:c>
      <x:c r="H34" s="35" t="n">
        <x:f>G34-H27-H29</x:f>
        <x:v>7116041.7731993385</x:v>
      </x:c>
      <x:c r="I34" s="35" t="n">
        <x:f>H34-I27-I29</x:f>
        <x:v>2252028.967036557</x:v>
      </x:c>
      <x:c r="J34" s="35" t="n">
        <x:f>I34-J27-J29</x:f>
        <x:v>486995.7278939162</x:v>
      </x:c>
      <x:c r="K34" s="35" t="n">
        <x:f>J34-K27-K29</x:f>
        <x:v>4.0745362639427185e-9</x:v>
      </x:c>
      <x:c r="L34" s="35" t="n">
        <x:f>K34-L27-L29</x:f>
        <x:v>4.0745362639427185e-9</x:v>
      </x:c>
      <x:c r="M34" s="35" t="n">
        <x:f>L34-M27-M29</x:f>
        <x:v>4.0745362639427185e-9</x:v>
      </x:c>
      <x:c r="N34" s="35" t="n">
        <x:f>M34-N27-N29</x:f>
        <x:v>4.0745362639427185e-9</x:v>
      </x:c>
      <x:c r="O34" s="35" t="n">
        <x:f>N34-O27-O29</x:f>
        <x:v>4.0745362639427185e-9</x:v>
      </x:c>
      <x:c r="P34" s="35" t="n">
        <x:f>O34-P27-P29</x:f>
        <x:v>4.0745362639427185e-9</x:v>
      </x:c>
      <x:c r="Q34" s="35" t="n">
        <x:f>P34-Q27-Q29</x:f>
        <x:v>4.0745362639427185e-9</x:v>
      </x:c>
      <x:c r="R34" s="35" t="n">
        <x:f>Q34-R27-R29</x:f>
        <x:v>4.0745362639427185e-9</x:v>
      </x:c>
      <x:c r="S34" s="35" t="n">
        <x:f>R34-S27-S29</x:f>
        <x:v>4.0745362639427185e-9</x:v>
      </x:c>
      <x:c r="T34" s="35" t="n">
        <x:f>S34-T27-T29</x:f>
        <x:v>4.0745362639427185e-9</x:v>
      </x:c>
      <x:c r="U34" s="35" t="n">
        <x:f>T34-U27-U29</x:f>
        <x:v>4.0745362639427185e-9</x:v>
      </x:c>
      <x:c r="V34" s="35" t="n">
        <x:f>U34-V27-V29</x:f>
        <x:v>4.0745362639427185e-9</x:v>
      </x:c>
      <x:c r="W34" s="35" t="n">
        <x:f>V34-W27-W29</x:f>
        <x:v>4.0745362639427185e-9</x:v>
      </x:c>
      <x:c r="X34" s="35" t="n">
        <x:f>W34-X27-X29</x:f>
        <x:v>4.0745362639427185e-9</x:v>
      </x:c>
      <x:c r="Y34" s="35" t="n">
        <x:f>X34-Y27-Y29</x:f>
        <x:v>4.0745362639427185e-9</x:v>
      </x:c>
      <x:c r="Z34" s="35" t="n">
        <x:f>Y34-Z27-Z29</x:f>
        <x:v>4.0745362639427185e-9</x:v>
      </x:c>
      <x:c r="AA34" s="35" t="n">
        <x:f>Z34-AA27-AA29</x:f>
        <x:v>4.0745362639427185e-9</x:v>
      </x:c>
      <x:c r="AB34" s="35" t="n">
        <x:f>AA34-AB27-AB29</x:f>
        <x:v>4.0745362639427185e-9</x:v>
      </x:c>
      <x:c r="AC34" s="35" t="n">
        <x:f>AB34-AC27-AC29</x:f>
        <x:v>4.0745362639427185e-9</x:v>
      </x:c>
      <x:c r="AD34" s="35" t="n">
        <x:f>AC34-AD27-AD29</x:f>
        <x:v>4.0745362639427185e-9</x:v>
      </x:c>
      <x:c r="AE34" s="35" t="n">
        <x:f>AD34-AE27-AE29</x:f>
        <x:v>4.0745362639427185e-9</x:v>
      </x:c>
      <x:c r="AF34" s="35" t="n">
        <x:f>AE34-AF27-AF29</x:f>
        <x:v>4.0745362639427185e-9</x:v>
      </x:c>
      <x:c r="AG34" s="35" t="n">
        <x:f>AF34-AG27-AG29</x:f>
        <x:v>4.0745362639427185e-9</x:v>
      </x:c>
      <x:c r="AH34" s="35" t="n">
        <x:f>AG34-AH27-AH29</x:f>
        <x:v>4.0745362639427185e-9</x:v>
      </x:c>
      <x:c r="AI34" s="35" t="n">
        <x:f>AH34-AI27-AI29</x:f>
        <x:v>4.0745362639427185e-9</x:v>
      </x:c>
      <x:c r="AJ34" s="35" t="n">
        <x:f>AI34-AJ27-AJ29</x:f>
        <x:v>4.0745362639427185e-9</x:v>
      </x:c>
      <x:c r="AK34" s="35" t="n">
        <x:f>AJ34-AK27-AK29</x:f>
        <x:v>4.0745362639427185e-9</x:v>
      </x:c>
      <x:c r="AL34" s="35" t="n">
        <x:f>AK34-AL27-AL29</x:f>
        <x:v>4.0745362639427185e-9</x:v>
      </x:c>
      <x:c r="AM34" s="35" t="n">
        <x:f>AL34-AM27-AM29</x:f>
        <x:v>4.0745362639427185e-9</x:v>
      </x:c>
      <x:c r="AN34" s="35" t="n">
        <x:f>AM34-AN27-AN29</x:f>
        <x:v>4.0745362639427185e-9</x:v>
      </x:c>
      <x:c r="AO34" s="35" t="n">
        <x:f>AN34-AO27-AO29</x:f>
        <x:v>4.0745362639427185e-9</x:v>
      </x:c>
      <x:c r="AP34" s="35" t="n">
        <x:f>AO34-AP27-AP29</x:f>
        <x:v>4.0745362639427185e-9</x:v>
      </x:c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</x:row>
    <x:row r="35" ht="19" customHeight="1">
      <x:c r="A35" s="1"/>
      <x:c r="B35" s="1"/>
      <x:c r="C35" s="2" t="str">
        <x:v>Gross CLAB check ($)</x:v>
      </x:c>
      <x:c r="D35" s="2"/>
      <x:c r="E35" s="35"/>
      <x:c r="F35" s="2"/>
      <x:c r="G35" s="36" t="n">
        <x:f>G13+G11-G14-G15-G16</x:f>
        <x:v>0</x:v>
      </x:c>
      <x:c r="H35" s="36" t="n">
        <x:f>H13+H11-H14-H15-H16</x:f>
        <x:v>0</x:v>
      </x:c>
      <x:c r="I35" s="36" t="n">
        <x:f>I13+I11-I14-I15-I16</x:f>
        <x:v>0</x:v>
      </x:c>
      <x:c r="J35" s="36" t="n">
        <x:f>J13+J11-J14-J15-J16</x:f>
        <x:v>0</x:v>
      </x:c>
      <x:c r="K35" s="36" t="n">
        <x:f>K13+K11-K14-K15-K16</x:f>
        <x:v>0</x:v>
      </x:c>
      <x:c r="L35" s="36" t="n">
        <x:f>L13+L11-L14-L15-L16</x:f>
        <x:v>0</x:v>
      </x:c>
      <x:c r="M35" s="36" t="n">
        <x:f>M13+M11-M14-M15-M16</x:f>
        <x:v>0</x:v>
      </x:c>
      <x:c r="N35" s="36" t="n">
        <x:f>N13+N11-N14-N15-N16</x:f>
        <x:v>0</x:v>
      </x:c>
      <x:c r="O35" s="36" t="n">
        <x:f>O13+O11-O14-O15-O16</x:f>
        <x:v>0</x:v>
      </x:c>
      <x:c r="P35" s="36" t="n">
        <x:f>P13+P11-P14-P15-P16</x:f>
        <x:v>0</x:v>
      </x:c>
      <x:c r="Q35" s="36" t="n">
        <x:f>Q13+Q11-Q14-Q15-Q16</x:f>
        <x:v>0</x:v>
      </x:c>
      <x:c r="R35" s="36" t="n">
        <x:f>R13+R11-R14-R15-R16</x:f>
        <x:v>0</x:v>
      </x:c>
      <x:c r="S35" s="36" t="n">
        <x:f>S13+S11-S14-S15-S16</x:f>
        <x:v>0</x:v>
      </x:c>
      <x:c r="T35" s="36" t="n">
        <x:f>T13+T11-T14-T15-T16</x:f>
        <x:v>0</x:v>
      </x:c>
      <x:c r="U35" s="36" t="n">
        <x:f>U13+U11-U14-U15-U16</x:f>
        <x:v>0</x:v>
      </x:c>
      <x:c r="V35" s="36" t="n">
        <x:f>V13+V11-V14-V15-V16</x:f>
        <x:v>0</x:v>
      </x:c>
      <x:c r="W35" s="36" t="n">
        <x:f>W13+W11-W14-W15-W16</x:f>
        <x:v>0</x:v>
      </x:c>
      <x:c r="X35" s="36" t="n">
        <x:f>X13+X11-X14-X15-X16</x:f>
        <x:v>0</x:v>
      </x:c>
      <x:c r="Y35" s="36" t="n">
        <x:f>Y13+Y11-Y14-Y15-Y16</x:f>
        <x:v>0</x:v>
      </x:c>
      <x:c r="Z35" s="36" t="n">
        <x:f>Z13+Z11-Z14-Z15-Z16</x:f>
        <x:v>0</x:v>
      </x:c>
      <x:c r="AA35" s="36" t="n">
        <x:f>AA13+AA11-AA14-AA15-AA16</x:f>
        <x:v>0</x:v>
      </x:c>
      <x:c r="AB35" s="36" t="n">
        <x:f>AB13+AB11-AB14-AB15-AB16</x:f>
        <x:v>0</x:v>
      </x:c>
      <x:c r="AC35" s="36" t="n">
        <x:f>AC13+AC11-AC14-AC15-AC16</x:f>
        <x:v>0</x:v>
      </x:c>
      <x:c r="AD35" s="36" t="n">
        <x:f>AD13+AD11-AD14-AD15-AD16</x:f>
        <x:v>0</x:v>
      </x:c>
      <x:c r="AE35" s="36" t="n">
        <x:f>AE13+AE11-AE14-AE15-AE16</x:f>
        <x:v>0</x:v>
      </x:c>
      <x:c r="AF35" s="36" t="n">
        <x:f>AF13+AF11-AF14-AF15-AF16</x:f>
        <x:v>0</x:v>
      </x:c>
      <x:c r="AG35" s="36" t="n">
        <x:f>AG13+AG11-AG14-AG15-AG16</x:f>
        <x:v>0</x:v>
      </x:c>
      <x:c r="AH35" s="36" t="n">
        <x:f>AH13+AH11-AH14-AH15-AH16</x:f>
        <x:v>0</x:v>
      </x:c>
      <x:c r="AI35" s="36" t="n">
        <x:f>AI13+AI11-AI14-AI15-AI16</x:f>
        <x:v>0</x:v>
      </x:c>
      <x:c r="AJ35" s="36" t="n">
        <x:f>AJ13+AJ11-AJ14-AJ15-AJ16</x:f>
        <x:v>0</x:v>
      </x:c>
      <x:c r="AK35" s="36" t="n">
        <x:f>AK13+AK11-AK14-AK15-AK16</x:f>
        <x:v>0</x:v>
      </x:c>
      <x:c r="AL35" s="36" t="n">
        <x:f>AL13+AL11-AL14-AL15-AL16</x:f>
        <x:v>0</x:v>
      </x:c>
      <x:c r="AM35" s="36" t="n">
        <x:f>AM13+AM11-AM14-AM15-AM16</x:f>
        <x:v>0</x:v>
      </x:c>
      <x:c r="AN35" s="36" t="n">
        <x:f>AN13+AN11-AN14-AN15-AN16</x:f>
        <x:v>0</x:v>
      </x:c>
      <x:c r="AO35" s="36" t="n">
        <x:f>AO13+AO11-AO14-AO15-AO16</x:f>
        <x:v>0</x:v>
      </x:c>
      <x:c r="AP35" s="36" t="n">
        <x:f>AP13+AP11-AP14-AP15-AP16</x:f>
        <x:v>0</x:v>
      </x:c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</x:row>
    <x:row r="36" ht="19" customHeight="1">
      <x:c r="A36" s="1"/>
      <x:c r="B36" s="1"/>
      <x:c r="C36" s="2" t="str">
        <x:v>Reserve check ($)</x:v>
      </x:c>
      <x:c r="D36" s="2"/>
      <x:c r="E36" s="35"/>
      <x:c r="F36" s="2"/>
      <x:c r="G36" s="36" t="n">
        <x:f>G18+G19-G15-G20</x:f>
        <x:v>0</x:v>
      </x:c>
      <x:c r="H36" s="36" t="n">
        <x:f>H18+H19-H15-H20</x:f>
        <x:v>0</x:v>
      </x:c>
      <x:c r="I36" s="36" t="n">
        <x:f>I18+I19-I15-I20</x:f>
        <x:v>0</x:v>
      </x:c>
      <x:c r="J36" s="36" t="n">
        <x:f>J18+J19-J15-J20</x:f>
        <x:v>0</x:v>
      </x:c>
      <x:c r="K36" s="36" t="n">
        <x:f>K18+K19-K15-K20</x:f>
        <x:v>0</x:v>
      </x:c>
      <x:c r="L36" s="36" t="n">
        <x:f>L18+L19-L15-L20</x:f>
        <x:v>0</x:v>
      </x:c>
      <x:c r="M36" s="36" t="n">
        <x:f>M18+M19-M15-M20</x:f>
        <x:v>0</x:v>
      </x:c>
      <x:c r="N36" s="36" t="n">
        <x:f>N18+N19-N15-N20</x:f>
        <x:v>0</x:v>
      </x:c>
      <x:c r="O36" s="36" t="n">
        <x:f>O18+O19-O15-O20</x:f>
        <x:v>0</x:v>
      </x:c>
      <x:c r="P36" s="36" t="n">
        <x:f>P18+P19-P15-P20</x:f>
        <x:v>0</x:v>
      </x:c>
      <x:c r="Q36" s="36" t="n">
        <x:f>Q18+Q19-Q15-Q20</x:f>
        <x:v>0</x:v>
      </x:c>
      <x:c r="R36" s="36" t="n">
        <x:f>R18+R19-R15-R20</x:f>
        <x:v>0</x:v>
      </x:c>
      <x:c r="S36" s="36" t="n">
        <x:f>S18+S19-S15-S20</x:f>
        <x:v>0</x:v>
      </x:c>
      <x:c r="T36" s="36" t="n">
        <x:f>T18+T19-T15-T20</x:f>
        <x:v>0</x:v>
      </x:c>
      <x:c r="U36" s="36" t="n">
        <x:f>U18+U19-U15-U20</x:f>
        <x:v>0</x:v>
      </x:c>
      <x:c r="V36" s="36" t="n">
        <x:f>V18+V19-V15-V20</x:f>
        <x:v>0</x:v>
      </x:c>
      <x:c r="W36" s="36" t="n">
        <x:f>W18+W19-W15-W20</x:f>
        <x:v>0</x:v>
      </x:c>
      <x:c r="X36" s="36" t="n">
        <x:f>X18+X19-X15-X20</x:f>
        <x:v>0</x:v>
      </x:c>
      <x:c r="Y36" s="36" t="n">
        <x:f>Y18+Y19-Y15-Y20</x:f>
        <x:v>0</x:v>
      </x:c>
      <x:c r="Z36" s="36" t="n">
        <x:f>Z18+Z19-Z15-Z20</x:f>
        <x:v>0</x:v>
      </x:c>
      <x:c r="AA36" s="36" t="n">
        <x:f>AA18+AA19-AA15-AA20</x:f>
        <x:v>0</x:v>
      </x:c>
      <x:c r="AB36" s="36" t="n">
        <x:f>AB18+AB19-AB15-AB20</x:f>
        <x:v>0</x:v>
      </x:c>
      <x:c r="AC36" s="36" t="n">
        <x:f>AC18+AC19-AC15-AC20</x:f>
        <x:v>0</x:v>
      </x:c>
      <x:c r="AD36" s="36" t="n">
        <x:f>AD18+AD19-AD15-AD20</x:f>
        <x:v>0</x:v>
      </x:c>
      <x:c r="AE36" s="36" t="n">
        <x:f>AE18+AE19-AE15-AE20</x:f>
        <x:v>0</x:v>
      </x:c>
      <x:c r="AF36" s="36" t="n">
        <x:f>AF18+AF19-AF15-AF20</x:f>
        <x:v>0</x:v>
      </x:c>
      <x:c r="AG36" s="36" t="n">
        <x:f>AG18+AG19-AG15-AG20</x:f>
        <x:v>0</x:v>
      </x:c>
      <x:c r="AH36" s="36" t="n">
        <x:f>AH18+AH19-AH15-AH20</x:f>
        <x:v>0</x:v>
      </x:c>
      <x:c r="AI36" s="36" t="n">
        <x:f>AI18+AI19-AI15-AI20</x:f>
        <x:v>0</x:v>
      </x:c>
      <x:c r="AJ36" s="36" t="n">
        <x:f>AJ18+AJ19-AJ15-AJ20</x:f>
        <x:v>0</x:v>
      </x:c>
      <x:c r="AK36" s="36" t="n">
        <x:f>AK18+AK19-AK15-AK20</x:f>
        <x:v>0</x:v>
      </x:c>
      <x:c r="AL36" s="36" t="n">
        <x:f>AL18+AL19-AL15-AL20</x:f>
        <x:v>0</x:v>
      </x:c>
      <x:c r="AM36" s="36" t="n">
        <x:f>AM18+AM19-AM15-AM20</x:f>
        <x:v>0</x:v>
      </x:c>
      <x:c r="AN36" s="36" t="n">
        <x:f>AN18+AN19-AN15-AN20</x:f>
        <x:v>0</x:v>
      </x:c>
      <x:c r="AO36" s="36" t="n">
        <x:f>AO18+AO19-AO15-AO20</x:f>
        <x:v>0</x:v>
      </x:c>
      <x:c r="AP36" s="36" t="n">
        <x:f>AP18+AP19-AP15-AP20</x:f>
        <x:v>0</x:v>
      </x:c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</x:row>
    <x:row r="37" ht="19" customHeight="1">
      <x:c r="A37" s="1"/>
      <x:c r="B37" s="1"/>
      <x:c r="C37" s="2" t="str">
        <x:v>Net revenue check ($)</x:v>
      </x:c>
      <x:c r="D37" s="2"/>
      <x:c r="E37" s="35"/>
      <x:c r="F37" s="2"/>
      <x:c r="G37" s="36" t="n">
        <x:f>G24-G19-G25</x:f>
        <x:v>0</x:v>
      </x:c>
      <x:c r="H37" s="36" t="n">
        <x:f>H24-H19-H25</x:f>
        <x:v>0</x:v>
      </x:c>
      <x:c r="I37" s="36" t="n">
        <x:f>I24-I19-I25</x:f>
        <x:v>0</x:v>
      </x:c>
      <x:c r="J37" s="36" t="n">
        <x:f>J24-J19-J25</x:f>
        <x:v>0</x:v>
      </x:c>
      <x:c r="K37" s="36" t="n">
        <x:f>K24-K19-K25</x:f>
        <x:v>0</x:v>
      </x:c>
      <x:c r="L37" s="36" t="n">
        <x:f>L24-L19-L25</x:f>
        <x:v>0</x:v>
      </x:c>
      <x:c r="M37" s="36" t="n">
        <x:f>M24-M19-M25</x:f>
        <x:v>0</x:v>
      </x:c>
      <x:c r="N37" s="36" t="n">
        <x:f>N24-N19-N25</x:f>
        <x:v>0</x:v>
      </x:c>
      <x:c r="O37" s="36" t="n">
        <x:f>O24-O19-O25</x:f>
        <x:v>0</x:v>
      </x:c>
      <x:c r="P37" s="36" t="n">
        <x:f>P24-P19-P25</x:f>
        <x:v>0</x:v>
      </x:c>
      <x:c r="Q37" s="36" t="n">
        <x:f>Q24-Q19-Q25</x:f>
        <x:v>0</x:v>
      </x:c>
      <x:c r="R37" s="36" t="n">
        <x:f>R24-R19-R25</x:f>
        <x:v>0</x:v>
      </x:c>
      <x:c r="S37" s="36" t="n">
        <x:f>S24-S19-S25</x:f>
        <x:v>0</x:v>
      </x:c>
      <x:c r="T37" s="36" t="n">
        <x:f>T24-T19-T25</x:f>
        <x:v>0</x:v>
      </x:c>
      <x:c r="U37" s="36" t="n">
        <x:f>U24-U19-U25</x:f>
        <x:v>0</x:v>
      </x:c>
      <x:c r="V37" s="36" t="n">
        <x:f>V24-V19-V25</x:f>
        <x:v>0</x:v>
      </x:c>
      <x:c r="W37" s="36" t="n">
        <x:f>W24-W19-W25</x:f>
        <x:v>0</x:v>
      </x:c>
      <x:c r="X37" s="36" t="n">
        <x:f>X24-X19-X25</x:f>
        <x:v>0</x:v>
      </x:c>
      <x:c r="Y37" s="36" t="n">
        <x:f>Y24-Y19-Y25</x:f>
        <x:v>0</x:v>
      </x:c>
      <x:c r="Z37" s="36" t="n">
        <x:f>Z24-Z19-Z25</x:f>
        <x:v>0</x:v>
      </x:c>
      <x:c r="AA37" s="36" t="n">
        <x:f>AA24-AA19-AA25</x:f>
        <x:v>0</x:v>
      </x:c>
      <x:c r="AB37" s="36" t="n">
        <x:f>AB24-AB19-AB25</x:f>
        <x:v>0</x:v>
      </x:c>
      <x:c r="AC37" s="36" t="n">
        <x:f>AC24-AC19-AC25</x:f>
        <x:v>0</x:v>
      </x:c>
      <x:c r="AD37" s="36" t="n">
        <x:f>AD24-AD19-AD25</x:f>
        <x:v>0</x:v>
      </x:c>
      <x:c r="AE37" s="36" t="n">
        <x:f>AE24-AE19-AE25</x:f>
        <x:v>0</x:v>
      </x:c>
      <x:c r="AF37" s="36" t="n">
        <x:f>AF24-AF19-AF25</x:f>
        <x:v>0</x:v>
      </x:c>
      <x:c r="AG37" s="36" t="n">
        <x:f>AG24-AG19-AG25</x:f>
        <x:v>0</x:v>
      </x:c>
      <x:c r="AH37" s="36" t="n">
        <x:f>AH24-AH19-AH25</x:f>
        <x:v>0</x:v>
      </x:c>
      <x:c r="AI37" s="36" t="n">
        <x:f>AI24-AI19-AI25</x:f>
        <x:v>0</x:v>
      </x:c>
      <x:c r="AJ37" s="36" t="n">
        <x:f>AJ24-AJ19-AJ25</x:f>
        <x:v>0</x:v>
      </x:c>
      <x:c r="AK37" s="36" t="n">
        <x:f>AK24-AK19-AK25</x:f>
        <x:v>0</x:v>
      </x:c>
      <x:c r="AL37" s="36" t="n">
        <x:f>AL24-AL19-AL25</x:f>
        <x:v>0</x:v>
      </x:c>
      <x:c r="AM37" s="36" t="n">
        <x:f>AM24-AM19-AM25</x:f>
        <x:v>0</x:v>
      </x:c>
      <x:c r="AN37" s="36" t="n">
        <x:f>AN24-AN19-AN25</x:f>
        <x:v>0</x:v>
      </x:c>
      <x:c r="AO37" s="36" t="n">
        <x:f>AO24-AO19-AO25</x:f>
        <x:v>0</x:v>
      </x:c>
      <x:c r="AP37" s="36" t="n">
        <x:f>AP24-AP19-AP25</x:f>
        <x:v>0</x:v>
      </x:c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</x:row>
    <x:row r="38" ht="19" customHeight="1">
      <x:c r="A38" s="1"/>
      <x:c r="B38" s="1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</x:row>
    <x:row r="39" ht="19" customHeight="1">
      <x:c r="A39" s="1"/>
      <x:c r="B39" s="1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</x:row>
    <x:row r="40" ht="19" customHeight="1">
      <x:c r="A40" s="1"/>
      <x:c r="B40" s="1"/>
      <x:c r="C40" s="2" t="str">
        <x:v>Applied default rate</x:v>
      </x:c>
      <x:c r="D40" s="2"/>
      <x:c r="E40" s="22" t="n">
        <x:f>'Assumptions'!F58</x:f>
        <x:v>0.36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</x:row>
    <x:row r="41" ht="19" customHeight="1">
      <x:c r="A41" s="1"/>
      <x:c r="B41" s="1"/>
      <x:c r="C41" s="2" t="str">
        <x:v>Applied midpoint</x:v>
      </x:c>
      <x:c r="D41" s="2"/>
      <x:c r="E41" s="24" t="n">
        <x:f>'Assumptions'!F59</x:f>
        <x:v>5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</x:row>
    <x:row r="42" ht="19" customHeight="1">
      <x:c r="A42" s="1"/>
      <x:c r="B42" s="1"/>
      <x:c r="C42" s="2" t="str">
        <x:v>Monthly contractual rate</x:v>
      </x:c>
      <x:c r="D42" s="2"/>
      <x:c r="E42" s="22" t="n">
        <x:f>'Assumptions'!E15/12</x:f>
        <x:v>0.08333333333333333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</x:row>
    <x:row r="43" ht="19" customHeight="1">
      <x:c r="A43" s="1"/>
      <x:c r="B43" s="1"/>
      <x:c r="C43" s="2" t="str">
        <x:v>Term</x:v>
      </x:c>
      <x:c r="D43" s="2"/>
      <x:c r="E43" s="4" t="n">
        <x:f>'Assumptions'!E16</x:f>
        <x:v>12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</x:row>
    <x:row r="44" ht="19" customHeight="1">
      <x:c r="A44" s="1"/>
      <x:c r="B44" s="1"/>
      <x:c r="C44" s="2" t="str">
        <x:v>Opening gross CLAB</x:v>
      </x:c>
      <x:c r="D44" s="2"/>
      <x:c r="E44" s="25" t="n">
        <x:f>'Assumptions'!E17*'Assumptions'!$E$30</x:f>
        <x:v>51119999.999999985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</x:row>
    <x:row r="45" ht="19" customHeight="1">
      <x:c r="A45" s="1"/>
      <x:c r="B45" s="1"/>
      <x:c r="C45" s="2" t="str">
        <x:v>Single cohort age</x:v>
      </x:c>
      <x:c r="D45" s="2"/>
      <x:c r="E45" s="4" t="n">
        <x:f>'Assumptions'!E19</x:f>
        <x:v>3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</x:row>
    <x:row r="46" ht="19" customHeight="1">
      <x:c r="A46" s="1"/>
      <x:c r="B46" s="1"/>
      <x:c r="C46" s="2" t="str">
        <x:v>Age mix</x:v>
      </x:c>
      <x:c r="D46" s="2"/>
      <x:c r="E46" s="4" t="n">
        <x:f>'Assumptions'!E18</x:f>
        <x:v>0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</x:row>
    <x:row r="47" ht="19" customHeight="1">
      <x:c r="A47" s="1"/>
      <x:c r="B47" s="1"/>
      <x:c r="C47" s="2" t="str">
        <x:v>Steepness</x:v>
      </x:c>
      <x:c r="D47" s="2"/>
      <x:c r="E47" s="24" t="n">
        <x:f>'Assumptions'!E27</x:f>
        <x:v>0.55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</x:row>
    <x:row r="48" ht="19" customHeight="1">
      <x:c r="A48" s="1"/>
      <x:c r="B48" s="1"/>
      <x:c r="C48" s="2" t="str">
        <x:v>Opening expected-loss reserve</x:v>
      </x:c>
      <x:c r="D48" s="2"/>
      <x:c r="E48" s="26" t="n">
        <x:f>SUM(F160:F219)</x:f>
        <x:v>18286667.133780576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</x:row>
    <x:row r="49" ht="19" customHeight="1">
      <x:c r="A49" s="1"/>
      <x:c r="B49" s="1"/>
      <x:c r="C49" s="2" t="str">
        <x:v>New-loan lifetime loss per $1</x:v>
      </x:c>
      <x:c r="D49" s="2"/>
      <x:c r="E49" s="23" t="n">
        <x:f>SUM(E51:E147)</x:f>
        <x:v>0.3369127694182528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</x:row>
    <x:row r="50" ht="32" customHeight="1">
      <x:c r="A50" s="1"/>
      <x:c r="B50" s="1"/>
      <x:c r="C50" s="29" t="str">
        <x:v>MOB</x:v>
      </x:c>
      <x:c r="D50" s="29" t="str">
        <x:v>Cumulative default</x:v>
      </x:c>
      <x:c r="E50" s="29" t="str">
        <x:v>Charge-off / $1</x:v>
      </x:c>
      <x:c r="F50" s="29" t="str">
        <x:v>Repayment / $1</x:v>
      </x:c>
      <x:c r="G50" s="29" t="str">
        <x:v>Future loss / $1</x:v>
      </x:c>
      <x:c r="H50" s="29" t="str">
        <x:v>Scheduled balance / $1</x:v>
      </x:c>
      <x:c r="I50" s="29" t="str">
        <x:v>Survival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</x:row>
    <x:row r="51" ht="19" customHeight="1">
      <x:c r="A51" s="1"/>
      <x:c r="B51" s="1"/>
      <x:c r="C51" s="2" t="n">
        <x:v>0</x:v>
      </x:c>
      <x:c r="D51" s="30" t="n">
        <x:f>$E$40*INDEX('Assumptions'!$F$65:$F$101,MIN(C51,36)+1)</x:f>
        <x:v>0</x:v>
      </x:c>
      <x:c r="E51" s="30" t="n">
        <x:f>0</x:f>
        <x:v>0</x:v>
      </x:c>
      <x:c r="F51" s="30" t="n">
        <x:f>0</x:f>
        <x:v>0</x:v>
      </x:c>
      <x:c r="G51" s="30" t="n">
        <x:f>SUM(E52:E147)</x:f>
        <x:v>0.3369127694182528</x:v>
      </x:c>
      <x:c r="H51" s="30" t="n">
        <x:f>IF($E$42=0,1-MIN(C51,$E$43)/$E$43,((1+$E$42)^$E$43-(1+$E$42)^MIN(C51,$E$43))/((1+$E$42)^$E$43-1))</x:f>
        <x:v>1</x:v>
      </x:c>
      <x:c r="I51" s="30" t="n">
        <x:f>MAX(0,1-D51-J51)</x:f>
        <x:v>1</x:v>
      </x:c>
      <x:c r="J51" s="2" t="n">
        <x:f>(1-$E$40)*INDEX('Assumptions'!$I$65:$I$101,MIN(C51,36)+1)</x:f>
        <x:v>0</x:v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</x:row>
    <x:row r="52" ht="19" customHeight="1">
      <x:c r="A52" s="1"/>
      <x:c r="B52" s="1"/>
      <x:c r="C52" s="2" t="n">
        <x:v>1</x:v>
      </x:c>
      <x:c r="D52" s="30" t="n">
        <x:f>$E$40*INDEX('Assumptions'!$F$65:$F$101,MIN(C52,36)+1)</x:f>
        <x:v>0.14493647539142446</x:v>
      </x:c>
      <x:c r="E52" s="30" t="n">
        <x:f>(D52-D51)*H51</x:f>
        <x:v>0.14493647539142446</x:v>
      </x:c>
      <x:c r="F52" s="30" t="n">
        <x:f>(1-D52-J51)*(H51-H52)+(J52-J51)*H52</x:f>
        <x:v>0.30376406308506637</x:v>
      </x:c>
      <x:c r="G52" s="30" t="n">
        <x:f>SUM(E53:E147)</x:f>
        <x:v>0.1919762940268284</x:v>
      </x:c>
      <x:c r="H52" s="30" t="n">
        <x:f>IF($E$42=0,1-MIN(C52,$E$43)/$E$43,((1+$E$42)^$E$43-(1+$E$42)^MIN(C52,$E$43))/((1+$E$42)^$E$43-1))</x:f>
        <x:v>0.9483375634505021</x:v>
      </x:c>
      <x:c r="I52" s="30" t="n">
        <x:f>MAX(0,1-D52-J52)</x:f>
        <x:v>0.5813325157316558</x:v>
      </x:c>
      <x:c r="J52" s="2" t="n">
        <x:f>(1-$E$40)*INDEX('Assumptions'!$I$65:$I$101,MIN(C52,36)+1)</x:f>
        <x:v>0.27373100887691976</x:v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</x:row>
    <x:row r="53" ht="19" customHeight="1">
      <x:c r="A53" s="1"/>
      <x:c r="B53" s="1"/>
      <x:c r="C53" s="2" t="n">
        <x:v>2</x:v>
      </x:c>
      <x:c r="D53" s="30" t="n">
        <x:f>$E$40*INDEX('Assumptions'!$F$65:$F$101,MIN(C53,36)+1)</x:f>
        <x:v>0.2392976783873414</x:v>
      </x:c>
      <x:c r="E53" s="30" t="n">
        <x:f>(D53-D52)*H52</x:f>
        <x:v>0.08948627333340609</x:v>
      </x:c>
      <x:c r="F53" s="30" t="n">
        <x:f>(1-D53-J52)*(H52-H53)+(J53-J52)*H53</x:f>
        <x:v>0.17428558314458875</x:v>
      </x:c>
      <x:c r="G53" s="30" t="n">
        <x:f>SUM(E54:E147)</x:f>
        <x:v>0.10249002069342227</x:v>
      </x:c>
      <x:c r="H53" s="30" t="n">
        <x:f>IF($E$42=0,1-MIN(C53,$E$43)/$E$43,((1+$E$42)^$E$43-(1+$E$42)^MIN(C53,$E$43))/((1+$E$42)^$E$43-1))</x:f>
        <x:v>0.8923699238552127</x:v>
      </x:c>
      <x:c r="I53" s="30" t="n">
        <x:f>MAX(0,1-D53-J53)</x:f>
        <x:v>0.32220674112742254</x:v>
      </x:c>
      <x:c r="J53" s="2" t="n">
        <x:f>(1-$E$40)*INDEX('Assumptions'!$I$65:$I$101,MIN(C53,36)+1)</x:f>
        <x:v>0.43849558048523607</x:v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</x:row>
    <x:row r="54" ht="19" customHeight="1">
      <x:c r="A54" s="1"/>
      <x:c r="B54" s="1"/>
      <x:c r="C54" s="2" t="n">
        <x:v>3</x:v>
      </x:c>
      <x:c r="D54" s="30" t="n">
        <x:f>$E$40*INDEX('Assumptions'!$F$65:$F$101,MIN(C54,36)+1)</x:f>
        <x:v>0.2998055286992198</x:v>
      </x:c>
      <x:c r="E54" s="30" t="n">
        <x:f>(D54-D53)*H53</x:f>
        <x:v>0.05399538577545353</x:v>
      </x:c>
      <x:c r="F54" s="30" t="n">
        <x:f>(1-D54-J53)*(H53-H54)+(J54-J53)*H54</x:f>
        <x:v>0.09966394214671363</x:v>
      </x:c>
      <x:c r="G54" s="30" t="n">
        <x:f>SUM(E55:E147)</x:f>
        <x:v>0.04849463491796875</x:v>
      </x:c>
      <x:c r="H54" s="30" t="n">
        <x:f>IF($E$42=0,1-MIN(C54,$E$43)/$E$43,((1+$E$42)^$E$43-(1+$E$42)^MIN(C54,$E$43))/((1+$E$42)^$E$43-1))</x:f>
        <x:v>0.8317383142936492</x:v>
      </x:c>
      <x:c r="I54" s="30" t="n">
        <x:f>MAX(0,1-D54-J54)</x:f>
        <x:v>0.16094999451484238</x:v>
      </x:c>
      <x:c r="J54" s="2" t="n">
        <x:f>(1-$E$40)*INDEX('Assumptions'!$I$65:$I$101,MIN(C54,36)+1)</x:f>
        <x:v>0.5392444767859378</x:v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</x:row>
    <x:row r="55" ht="19" customHeight="1">
      <x:c r="A55" s="1"/>
      <x:c r="B55" s="1"/>
      <x:c r="C55" s="2" t="n">
        <x:v>4</x:v>
      </x:c>
      <x:c r="D55" s="30" t="n">
        <x:f>$E$40*INDEX('Assumptions'!$F$65:$F$101,MIN(C55,36)+1)</x:f>
        <x:v>0.3360762538590615</x:v>
      </x:c>
      <x:c r="E55" s="30" t="n">
        <x:f>(D55-D54)*H54</x:f>
        <x:v>0.030167751802654984</x:v>
      </x:c>
      <x:c r="F55" s="30" t="n">
        <x:f>(1-D55-J54)*(H54-H55)+(J55-J54)*H55</x:f>
        <x:v>0.056067922827156114</x:v>
      </x:c>
      <x:c r="G55" s="30" t="n">
        <x:f>SUM(E56:E147)</x:f>
        <x:v>0.018326883115313764</x:v>
      </x:c>
      <x:c r="H55" s="30" t="n">
        <x:f>IF($E$42=0,1-MIN(C55,$E$43)/$E$43,((1+$E$42)^$E$43-(1+$E$42)^MIN(C55,$E$43))/((1+$E$42)^$E$43-1))</x:f>
        <x:v>0.7660540706019554</x:v>
      </x:c>
      <x:c r="I55" s="30" t="n">
        <x:f>MAX(0,1-D55-J55)</x:f>
        <x:v>0.062179165050460394</x:v>
      </x:c>
      <x:c r="J55" s="2" t="n">
        <x:f>(1-$E$40)*INDEX('Assumptions'!$I$65:$I$101,MIN(C55,36)+1)</x:f>
        <x:v>0.6017445810904781</x:v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</x:row>
    <x:row r="56" ht="19" customHeight="1">
      <x:c r="A56" s="1"/>
      <x:c r="B56" s="1"/>
      <x:c r="C56" s="2" t="n">
        <x:v>5</x:v>
      </x:c>
      <x:c r="D56" s="30" t="n">
        <x:f>$E$40*INDEX('Assumptions'!$F$65:$F$101,MIN(C56,36)+1)</x:f>
        <x:v>0.36</x:v>
      </x:c>
      <x:c r="E56" s="30" t="n">
        <x:f>(D56-D55)*H55</x:f>
        <x:v>0.018326883115313764</x:v>
      </x:c>
      <x:c r="F56" s="30" t="n">
        <x:f>(1-D56-J55)*(H55-H56)+(J56-J55)*H56</x:f>
        <x:v>0.02930571937822226</x:v>
      </x:c>
      <x:c r="G56" s="30" t="n">
        <x:f>SUM(E57:E147)</x:f>
        <x:v>0</x:v>
      </x:c>
      <x:c r="H56" s="30" t="n">
        <x:f>IF($E$42=0,1-MIN(C56,$E$43)/$E$43,((1+$E$42)^$E$43-(1+$E$42)^MIN(C56,$E$43))/((1+$E$42)^$E$43-1))</x:f>
        <x:v>0.6948961399359538</x:v>
      </x:c>
      <x:c r="I56" s="30" t="n">
        <x:f>MAX(0,1-D56-J56)</x:f>
        <x:v>0</x:v>
      </x:c>
      <x:c r="J56" s="2" t="n">
        <x:f>(1-$E$40)*INDEX('Assumptions'!$I$65:$I$101,MIN(C56,36)+1)</x:f>
        <x:v>0.64</x:v>
      </x:c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</x:row>
    <x:row r="57" ht="19" customHeight="1">
      <x:c r="A57" s="1"/>
      <x:c r="B57" s="1"/>
      <x:c r="C57" s="2" t="n">
        <x:v>6</x:v>
      </x:c>
      <x:c r="D57" s="30" t="n">
        <x:f>$E$40*INDEX('Assumptions'!$F$65:$F$101,MIN(C57,36)+1)</x:f>
        <x:v>0.36</x:v>
      </x:c>
      <x:c r="E57" s="30" t="n">
        <x:f>(D57-D56)*H56</x:f>
        <x:v>0</x:v>
      </x:c>
      <x:c r="F57" s="30" t="n">
        <x:f>(1-D57-J56)*(H56-H57)+(J57-J56)*H57</x:f>
        <x:v>0</x:v>
      </x:c>
      <x:c r="G57" s="30" t="n">
        <x:f>SUM(E58:E147)</x:f>
        <x:v>0</x:v>
      </x:c>
      <x:c r="H57" s="30" t="n">
        <x:f>IF($E$42=0,1-MIN(C57,$E$43)/$E$43,((1+$E$42)^$E$43-(1+$E$42)^MIN(C57,$E$43))/((1+$E$42)^$E$43-1))</x:f>
        <x:v>0.617808381714452</x:v>
      </x:c>
      <x:c r="I57" s="30" t="n">
        <x:f>MAX(0,1-D57-J57)</x:f>
        <x:v>0</x:v>
      </x:c>
      <x:c r="J57" s="2" t="n">
        <x:f>(1-$E$40)*INDEX('Assumptions'!$I$65:$I$101,MIN(C57,36)+1)</x:f>
        <x:v>0.64</x:v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</x:row>
    <x:row r="58" ht="19" customHeight="1">
      <x:c r="A58" s="1"/>
      <x:c r="B58" s="1"/>
      <x:c r="C58" s="2" t="n">
        <x:v>7</x:v>
      </x:c>
      <x:c r="D58" s="30" t="n">
        <x:f>$E$40*INDEX('Assumptions'!$F$65:$F$101,MIN(C58,36)+1)</x:f>
        <x:v>0.36</x:v>
      </x:c>
      <x:c r="E58" s="30" t="n">
        <x:f>(D58-D57)*H57</x:f>
        <x:v>0</x:v>
      </x:c>
      <x:c r="F58" s="30" t="n">
        <x:f>(1-D58-J57)*(H57-H58)+(J58-J57)*H58</x:f>
        <x:v>0</x:v>
      </x:c>
      <x:c r="G58" s="30" t="n">
        <x:f>SUM(E59:E147)</x:f>
        <x:v>0</x:v>
      </x:c>
      <x:c r="H58" s="30" t="n">
        <x:f>IF($E$42=0,1-MIN(C58,$E$43)/$E$43,((1+$E$42)^$E$43-(1+$E$42)^MIN(C58,$E$43))/((1+$E$42)^$E$43-1))</x:f>
        <x:v>0.5342966436411585</x:v>
      </x:c>
      <x:c r="I58" s="30" t="n">
        <x:f>MAX(0,1-D58-J58)</x:f>
        <x:v>0</x:v>
      </x:c>
      <x:c r="J58" s="2" t="n">
        <x:f>(1-$E$40)*INDEX('Assumptions'!$I$65:$I$101,MIN(C58,36)+1)</x:f>
        <x:v>0.64</x:v>
      </x:c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</x:row>
    <x:row r="59" ht="19" customHeight="1">
      <x:c r="A59" s="1"/>
      <x:c r="B59" s="1"/>
      <x:c r="C59" s="2" t="n">
        <x:v>8</x:v>
      </x:c>
      <x:c r="D59" s="30" t="n">
        <x:f>$E$40*INDEX('Assumptions'!$F$65:$F$101,MIN(C59,36)+1)</x:f>
        <x:v>0.36</x:v>
      </x:c>
      <x:c r="E59" s="30" t="n">
        <x:f>(D59-D58)*H58</x:f>
        <x:v>0</x:v>
      </x:c>
      <x:c r="F59" s="30" t="n">
        <x:f>(1-D59-J58)*(H58-H59)+(J59-J58)*H59</x:f>
        <x:v>0</x:v>
      </x:c>
      <x:c r="G59" s="30" t="n">
        <x:f>SUM(E60:E147)</x:f>
        <x:v>0</x:v>
      </x:c>
      <x:c r="H59" s="30" t="n">
        <x:f>IF($E$42=0,1-MIN(C59,$E$43)/$E$43,((1+$E$42)^$E$43-(1+$E$42)^MIN(C59,$E$43))/((1+$E$42)^$E$43-1))</x:f>
        <x:v>0.44382559406175714</x:v>
      </x:c>
      <x:c r="I59" s="30" t="n">
        <x:f>MAX(0,1-D59-J59)</x:f>
        <x:v>0</x:v>
      </x:c>
      <x:c r="J59" s="2" t="n">
        <x:f>(1-$E$40)*INDEX('Assumptions'!$I$65:$I$101,MIN(C59,36)+1)</x:f>
        <x:v>0.64</x:v>
      </x:c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</x:row>
    <x:row r="60" ht="19" customHeight="1">
      <x:c r="A60" s="1"/>
      <x:c r="B60" s="1"/>
      <x:c r="C60" s="2" t="n">
        <x:v>9</x:v>
      </x:c>
      <x:c r="D60" s="30" t="n">
        <x:f>$E$40*INDEX('Assumptions'!$F$65:$F$101,MIN(C60,36)+1)</x:f>
        <x:v>0.36</x:v>
      </x:c>
      <x:c r="E60" s="30" t="n">
        <x:f>(D60-D59)*H59</x:f>
        <x:v>0</x:v>
      </x:c>
      <x:c r="F60" s="30" t="n">
        <x:f>(1-D60-J59)*(H59-H60)+(J60-J59)*H60</x:f>
        <x:v>0</x:v>
      </x:c>
      <x:c r="G60" s="30" t="n">
        <x:f>SUM(E61:E147)</x:f>
        <x:v>0</x:v>
      </x:c>
      <x:c r="H60" s="30" t="n">
        <x:f>IF($E$42=0,1-MIN(C60,$E$43)/$E$43,((1+$E$42)^$E$43-(1+$E$42)^MIN(C60,$E$43))/((1+$E$42)^$E$43-1))</x:f>
        <x:v>0.34581529035073894</x:v>
      </x:c>
      <x:c r="I60" s="30" t="n">
        <x:f>MAX(0,1-D60-J60)</x:f>
        <x:v>0</x:v>
      </x:c>
      <x:c r="J60" s="2" t="n">
        <x:f>(1-$E$40)*INDEX('Assumptions'!$I$65:$I$101,MIN(C60,36)+1)</x:f>
        <x:v>0.64</x:v>
      </x:c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</x:row>
    <x:row r="61" ht="19" customHeight="1">
      <x:c r="A61" s="1"/>
      <x:c r="B61" s="1"/>
      <x:c r="C61" s="2" t="n">
        <x:v>10</x:v>
      </x:c>
      <x:c r="D61" s="30" t="n">
        <x:f>$E$40*INDEX('Assumptions'!$F$65:$F$101,MIN(C61,36)+1)</x:f>
        <x:v>0.36</x:v>
      </x:c>
      <x:c r="E61" s="30" t="n">
        <x:f>(D61-D60)*H60</x:f>
        <x:v>0</x:v>
      </x:c>
      <x:c r="F61" s="30" t="n">
        <x:f>(1-D61-J60)*(H60-H61)+(J61-J60)*H61</x:f>
        <x:v>0</x:v>
      </x:c>
      <x:c r="G61" s="30" t="n">
        <x:f>SUM(E62:E147)</x:f>
        <x:v>0</x:v>
      </x:c>
      <x:c r="H61" s="30" t="n">
        <x:f>IF($E$42=0,1-MIN(C61,$E$43)/$E$43,((1+$E$42)^$E$43-(1+$E$42)^MIN(C61,$E$43))/((1+$E$42)^$E$43-1))</x:f>
        <x:v>0.23963746133046956</x:v>
      </x:c>
      <x:c r="I61" s="30" t="n">
        <x:f>MAX(0,1-D61-J61)</x:f>
        <x:v>0</x:v>
      </x:c>
      <x:c r="J61" s="2" t="n">
        <x:f>(1-$E$40)*INDEX('Assumptions'!$I$65:$I$101,MIN(C61,36)+1)</x:f>
        <x:v>0.64</x:v>
      </x:c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</x:row>
    <x:row r="62" ht="19" customHeight="1">
      <x:c r="A62" s="1"/>
      <x:c r="B62" s="1"/>
      <x:c r="C62" s="2" t="n">
        <x:v>11</x:v>
      </x:c>
      <x:c r="D62" s="30" t="n">
        <x:f>$E$40*INDEX('Assumptions'!$F$65:$F$101,MIN(C62,36)+1)</x:f>
        <x:v>0.36</x:v>
      </x:c>
      <x:c r="E62" s="30" t="n">
        <x:f>(D62-D61)*H61</x:f>
        <x:v>0</x:v>
      </x:c>
      <x:c r="F62" s="30" t="n">
        <x:f>(1-D62-J61)*(H61-H62)+(J62-J61)*H62</x:f>
        <x:v>0</x:v>
      </x:c>
      <x:c r="G62" s="30" t="n">
        <x:f>SUM(E63:E147)</x:f>
        <x:v>0</x:v>
      </x:c>
      <x:c r="H62" s="30" t="n">
        <x:f>IF($E$42=0,1-MIN(C62,$E$43)/$E$43,((1+$E$42)^$E$43-(1+$E$42)^MIN(C62,$E$43))/((1+$E$42)^$E$43-1))</x:f>
        <x:v>0.12461147989184414</x:v>
      </x:c>
      <x:c r="I62" s="30" t="n">
        <x:f>MAX(0,1-D62-J62)</x:f>
        <x:v>0</x:v>
      </x:c>
      <x:c r="J62" s="2" t="n">
        <x:f>(1-$E$40)*INDEX('Assumptions'!$I$65:$I$101,MIN(C62,36)+1)</x:f>
        <x:v>0.64</x:v>
      </x:c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</x:row>
    <x:row r="63" ht="19" customHeight="1">
      <x:c r="A63" s="1"/>
      <x:c r="B63" s="1"/>
      <x:c r="C63" s="2" t="n">
        <x:v>12</x:v>
      </x:c>
      <x:c r="D63" s="30" t="n">
        <x:f>$E$40*INDEX('Assumptions'!$F$65:$F$101,MIN(C63,36)+1)</x:f>
        <x:v>0.36</x:v>
      </x:c>
      <x:c r="E63" s="30" t="n">
        <x:f>(D63-D62)*H62</x:f>
        <x:v>0</x:v>
      </x:c>
      <x:c r="F63" s="30" t="n">
        <x:f>(1-D63-J62)*(H62-H63)+(J63-J62)*H63</x:f>
        <x:v>0</x:v>
      </x:c>
      <x:c r="G63" s="30" t="n">
        <x:f>SUM(E64:E147)</x:f>
        <x:v>0</x:v>
      </x:c>
      <x:c r="H63" s="30" t="n">
        <x:f>IF($E$42=0,1-MIN(C63,$E$43)/$E$43,((1+$E$42)^$E$43-(1+$E$42)^MIN(C63,$E$43))/((1+$E$42)^$E$43-1))</x:f>
        <x:v>0</x:v>
      </x:c>
      <x:c r="I63" s="30" t="n">
        <x:f>MAX(0,1-D63-J63)</x:f>
        <x:v>0</x:v>
      </x:c>
      <x:c r="J63" s="2" t="n">
        <x:f>(1-$E$40)*INDEX('Assumptions'!$I$65:$I$101,MIN(C63,36)+1)</x:f>
        <x:v>0.64</x:v>
      </x:c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</x:row>
    <x:row r="64" ht="19" customHeight="1">
      <x:c r="A64" s="1"/>
      <x:c r="B64" s="1"/>
      <x:c r="C64" s="2" t="n">
        <x:v>13</x:v>
      </x:c>
      <x:c r="D64" s="30" t="n">
        <x:f>$E$40*INDEX('Assumptions'!$F$65:$F$101,MIN(C64,36)+1)</x:f>
        <x:v>0.36</x:v>
      </x:c>
      <x:c r="E64" s="30" t="n">
        <x:f>(D64-D63)*H63</x:f>
        <x:v>0</x:v>
      </x:c>
      <x:c r="F64" s="30" t="n">
        <x:f>(1-D64-J63)*(H63-H64)+(J64-J63)*H64</x:f>
        <x:v>0</x:v>
      </x:c>
      <x:c r="G64" s="30" t="n">
        <x:f>SUM(E65:E147)</x:f>
        <x:v>0</x:v>
      </x:c>
      <x:c r="H64" s="30" t="n">
        <x:f>IF($E$42=0,1-MIN(C64,$E$43)/$E$43,((1+$E$42)^$E$43-(1+$E$42)^MIN(C64,$E$43))/((1+$E$42)^$E$43-1))</x:f>
        <x:v>0</x:v>
      </x:c>
      <x:c r="I64" s="30" t="n">
        <x:f>MAX(0,1-D64-J64)</x:f>
        <x:v>0</x:v>
      </x:c>
      <x:c r="J64" s="2" t="n">
        <x:f>(1-$E$40)*INDEX('Assumptions'!$I$65:$I$101,MIN(C64,36)+1)</x:f>
        <x:v>0.64</x:v>
      </x:c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</x:row>
    <x:row r="65" ht="19" customHeight="1">
      <x:c r="A65" s="1"/>
      <x:c r="B65" s="1"/>
      <x:c r="C65" s="2" t="n">
        <x:v>14</x:v>
      </x:c>
      <x:c r="D65" s="30" t="n">
        <x:f>$E$40*INDEX('Assumptions'!$F$65:$F$101,MIN(C65,36)+1)</x:f>
        <x:v>0.36</x:v>
      </x:c>
      <x:c r="E65" s="30" t="n">
        <x:f>(D65-D64)*H64</x:f>
        <x:v>0</x:v>
      </x:c>
      <x:c r="F65" s="30" t="n">
        <x:f>(1-D65-J64)*(H64-H65)+(J65-J64)*H65</x:f>
        <x:v>0</x:v>
      </x:c>
      <x:c r="G65" s="30" t="n">
        <x:f>SUM(E66:E147)</x:f>
        <x:v>0</x:v>
      </x:c>
      <x:c r="H65" s="30" t="n">
        <x:f>IF($E$42=0,1-MIN(C65,$E$43)/$E$43,((1+$E$42)^$E$43-(1+$E$42)^MIN(C65,$E$43))/((1+$E$42)^$E$43-1))</x:f>
        <x:v>0</x:v>
      </x:c>
      <x:c r="I65" s="30" t="n">
        <x:f>MAX(0,1-D65-J65)</x:f>
        <x:v>0</x:v>
      </x:c>
      <x:c r="J65" s="2" t="n">
        <x:f>(1-$E$40)*INDEX('Assumptions'!$I$65:$I$101,MIN(C65,36)+1)</x:f>
        <x:v>0.64</x:v>
      </x:c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</x:row>
    <x:row r="66" ht="19" customHeight="1">
      <x:c r="A66" s="1"/>
      <x:c r="B66" s="1"/>
      <x:c r="C66" s="2" t="n">
        <x:v>15</x:v>
      </x:c>
      <x:c r="D66" s="30" t="n">
        <x:f>$E$40*INDEX('Assumptions'!$F$65:$F$101,MIN(C66,36)+1)</x:f>
        <x:v>0.36</x:v>
      </x:c>
      <x:c r="E66" s="30" t="n">
        <x:f>(D66-D65)*H65</x:f>
        <x:v>0</x:v>
      </x:c>
      <x:c r="F66" s="30" t="n">
        <x:f>(1-D66-J65)*(H65-H66)+(J66-J65)*H66</x:f>
        <x:v>0</x:v>
      </x:c>
      <x:c r="G66" s="30" t="n">
        <x:f>SUM(E67:E147)</x:f>
        <x:v>0</x:v>
      </x:c>
      <x:c r="H66" s="30" t="n">
        <x:f>IF($E$42=0,1-MIN(C66,$E$43)/$E$43,((1+$E$42)^$E$43-(1+$E$42)^MIN(C66,$E$43))/((1+$E$42)^$E$43-1))</x:f>
        <x:v>0</x:v>
      </x:c>
      <x:c r="I66" s="30" t="n">
        <x:f>MAX(0,1-D66-J66)</x:f>
        <x:v>0</x:v>
      </x:c>
      <x:c r="J66" s="2" t="n">
        <x:f>(1-$E$40)*INDEX('Assumptions'!$I$65:$I$101,MIN(C66,36)+1)</x:f>
        <x:v>0.64</x:v>
      </x:c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</x:row>
    <x:row r="67" ht="19" customHeight="1">
      <x:c r="A67" s="1"/>
      <x:c r="B67" s="1"/>
      <x:c r="C67" s="2" t="n">
        <x:v>16</x:v>
      </x:c>
      <x:c r="D67" s="30" t="n">
        <x:f>$E$40*INDEX('Assumptions'!$F$65:$F$101,MIN(C67,36)+1)</x:f>
        <x:v>0.36</x:v>
      </x:c>
      <x:c r="E67" s="30" t="n">
        <x:f>(D67-D66)*H66</x:f>
        <x:v>0</x:v>
      </x:c>
      <x:c r="F67" s="30" t="n">
        <x:f>(1-D67-J66)*(H66-H67)+(J67-J66)*H67</x:f>
        <x:v>0</x:v>
      </x:c>
      <x:c r="G67" s="30" t="n">
        <x:f>SUM(E68:E147)</x:f>
        <x:v>0</x:v>
      </x:c>
      <x:c r="H67" s="30" t="n">
        <x:f>IF($E$42=0,1-MIN(C67,$E$43)/$E$43,((1+$E$42)^$E$43-(1+$E$42)^MIN(C67,$E$43))/((1+$E$42)^$E$43-1))</x:f>
        <x:v>0</x:v>
      </x:c>
      <x:c r="I67" s="30" t="n">
        <x:f>MAX(0,1-D67-J67)</x:f>
        <x:v>0</x:v>
      </x:c>
      <x:c r="J67" s="2" t="n">
        <x:f>(1-$E$40)*INDEX('Assumptions'!$I$65:$I$101,MIN(C67,36)+1)</x:f>
        <x:v>0.64</x:v>
      </x:c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</x:row>
    <x:row r="68" ht="19" customHeight="1">
      <x:c r="A68" s="1"/>
      <x:c r="B68" s="1"/>
      <x:c r="C68" s="2" t="n">
        <x:v>17</x:v>
      </x:c>
      <x:c r="D68" s="30" t="n">
        <x:f>$E$40*INDEX('Assumptions'!$F$65:$F$101,MIN(C68,36)+1)</x:f>
        <x:v>0.36</x:v>
      </x:c>
      <x:c r="E68" s="30" t="n">
        <x:f>(D68-D67)*H67</x:f>
        <x:v>0</x:v>
      </x:c>
      <x:c r="F68" s="30" t="n">
        <x:f>(1-D68-J67)*(H67-H68)+(J68-J67)*H68</x:f>
        <x:v>0</x:v>
      </x:c>
      <x:c r="G68" s="30" t="n">
        <x:f>SUM(E69:E147)</x:f>
        <x:v>0</x:v>
      </x:c>
      <x:c r="H68" s="30" t="n">
        <x:f>IF($E$42=0,1-MIN(C68,$E$43)/$E$43,((1+$E$42)^$E$43-(1+$E$42)^MIN(C68,$E$43))/((1+$E$42)^$E$43-1))</x:f>
        <x:v>0</x:v>
      </x:c>
      <x:c r="I68" s="30" t="n">
        <x:f>MAX(0,1-D68-J68)</x:f>
        <x:v>0</x:v>
      </x:c>
      <x:c r="J68" s="2" t="n">
        <x:f>(1-$E$40)*INDEX('Assumptions'!$I$65:$I$101,MIN(C68,36)+1)</x:f>
        <x:v>0.64</x:v>
      </x:c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</x:row>
    <x:row r="69" ht="19" customHeight="1">
      <x:c r="A69" s="1"/>
      <x:c r="B69" s="1"/>
      <x:c r="C69" s="2" t="n">
        <x:v>18</x:v>
      </x:c>
      <x:c r="D69" s="30" t="n">
        <x:f>$E$40*INDEX('Assumptions'!$F$65:$F$101,MIN(C69,36)+1)</x:f>
        <x:v>0.36</x:v>
      </x:c>
      <x:c r="E69" s="30" t="n">
        <x:f>(D69-D68)*H68</x:f>
        <x:v>0</x:v>
      </x:c>
      <x:c r="F69" s="30" t="n">
        <x:f>(1-D69-J68)*(H68-H69)+(J69-J68)*H69</x:f>
        <x:v>0</x:v>
      </x:c>
      <x:c r="G69" s="30" t="n">
        <x:f>SUM(E70:E147)</x:f>
        <x:v>0</x:v>
      </x:c>
      <x:c r="H69" s="30" t="n">
        <x:f>IF($E$42=0,1-MIN(C69,$E$43)/$E$43,((1+$E$42)^$E$43-(1+$E$42)^MIN(C69,$E$43))/((1+$E$42)^$E$43-1))</x:f>
        <x:v>0</x:v>
      </x:c>
      <x:c r="I69" s="30" t="n">
        <x:f>MAX(0,1-D69-J69)</x:f>
        <x:v>0</x:v>
      </x:c>
      <x:c r="J69" s="2" t="n">
        <x:f>(1-$E$40)*INDEX('Assumptions'!$I$65:$I$101,MIN(C69,36)+1)</x:f>
        <x:v>0.64</x:v>
      </x:c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</x:row>
    <x:row r="70" ht="19" customHeight="1">
      <x:c r="A70" s="1"/>
      <x:c r="B70" s="1"/>
      <x:c r="C70" s="2" t="n">
        <x:v>19</x:v>
      </x:c>
      <x:c r="D70" s="30" t="n">
        <x:f>$E$40*INDEX('Assumptions'!$F$65:$F$101,MIN(C70,36)+1)</x:f>
        <x:v>0.36</x:v>
      </x:c>
      <x:c r="E70" s="30" t="n">
        <x:f>(D70-D69)*H69</x:f>
        <x:v>0</x:v>
      </x:c>
      <x:c r="F70" s="30" t="n">
        <x:f>(1-D70-J69)*(H69-H70)+(J70-J69)*H70</x:f>
        <x:v>0</x:v>
      </x:c>
      <x:c r="G70" s="30" t="n">
        <x:f>SUM(E71:E147)</x:f>
        <x:v>0</x:v>
      </x:c>
      <x:c r="H70" s="30" t="n">
        <x:f>IF($E$42=0,1-MIN(C70,$E$43)/$E$43,((1+$E$42)^$E$43-(1+$E$42)^MIN(C70,$E$43))/((1+$E$42)^$E$43-1))</x:f>
        <x:v>0</x:v>
      </x:c>
      <x:c r="I70" s="30" t="n">
        <x:f>MAX(0,1-D70-J70)</x:f>
        <x:v>0</x:v>
      </x:c>
      <x:c r="J70" s="2" t="n">
        <x:f>(1-$E$40)*INDEX('Assumptions'!$I$65:$I$101,MIN(C70,36)+1)</x:f>
        <x:v>0.64</x:v>
      </x:c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</x:row>
    <x:row r="71" ht="19" customHeight="1">
      <x:c r="A71" s="1"/>
      <x:c r="B71" s="1"/>
      <x:c r="C71" s="2" t="n">
        <x:v>20</x:v>
      </x:c>
      <x:c r="D71" s="30" t="n">
        <x:f>$E$40*INDEX('Assumptions'!$F$65:$F$101,MIN(C71,36)+1)</x:f>
        <x:v>0.36</x:v>
      </x:c>
      <x:c r="E71" s="30" t="n">
        <x:f>(D71-D70)*H70</x:f>
        <x:v>0</x:v>
      </x:c>
      <x:c r="F71" s="30" t="n">
        <x:f>(1-D71-J70)*(H70-H71)+(J71-J70)*H71</x:f>
        <x:v>0</x:v>
      </x:c>
      <x:c r="G71" s="30" t="n">
        <x:f>SUM(E72:E147)</x:f>
        <x:v>0</x:v>
      </x:c>
      <x:c r="H71" s="30" t="n">
        <x:f>IF($E$42=0,1-MIN(C71,$E$43)/$E$43,((1+$E$42)^$E$43-(1+$E$42)^MIN(C71,$E$43))/((1+$E$42)^$E$43-1))</x:f>
        <x:v>0</x:v>
      </x:c>
      <x:c r="I71" s="30" t="n">
        <x:f>MAX(0,1-D71-J71)</x:f>
        <x:v>0</x:v>
      </x:c>
      <x:c r="J71" s="2" t="n">
        <x:f>(1-$E$40)*INDEX('Assumptions'!$I$65:$I$101,MIN(C71,36)+1)</x:f>
        <x:v>0.64</x:v>
      </x:c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</x:row>
    <x:row r="72" ht="19" customHeight="1">
      <x:c r="A72" s="1"/>
      <x:c r="B72" s="1"/>
      <x:c r="C72" s="2" t="n">
        <x:v>21</x:v>
      </x:c>
      <x:c r="D72" s="30" t="n">
        <x:f>$E$40*INDEX('Assumptions'!$F$65:$F$101,MIN(C72,36)+1)</x:f>
        <x:v>0.36</x:v>
      </x:c>
      <x:c r="E72" s="30" t="n">
        <x:f>(D72-D71)*H71</x:f>
        <x:v>0</x:v>
      </x:c>
      <x:c r="F72" s="30" t="n">
        <x:f>(1-D72-J71)*(H71-H72)+(J72-J71)*H72</x:f>
        <x:v>0</x:v>
      </x:c>
      <x:c r="G72" s="30" t="n">
        <x:f>SUM(E73:E147)</x:f>
        <x:v>0</x:v>
      </x:c>
      <x:c r="H72" s="30" t="n">
        <x:f>IF($E$42=0,1-MIN(C72,$E$43)/$E$43,((1+$E$42)^$E$43-(1+$E$42)^MIN(C72,$E$43))/((1+$E$42)^$E$43-1))</x:f>
        <x:v>0</x:v>
      </x:c>
      <x:c r="I72" s="30" t="n">
        <x:f>MAX(0,1-D72-J72)</x:f>
        <x:v>0</x:v>
      </x:c>
      <x:c r="J72" s="2" t="n">
        <x:f>(1-$E$40)*INDEX('Assumptions'!$I$65:$I$101,MIN(C72,36)+1)</x:f>
        <x:v>0.64</x:v>
      </x:c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</x:row>
    <x:row r="73" ht="19" customHeight="1">
      <x:c r="A73" s="1"/>
      <x:c r="B73" s="1"/>
      <x:c r="C73" s="2" t="n">
        <x:v>22</x:v>
      </x:c>
      <x:c r="D73" s="30" t="n">
        <x:f>$E$40*INDEX('Assumptions'!$F$65:$F$101,MIN(C73,36)+1)</x:f>
        <x:v>0.36</x:v>
      </x:c>
      <x:c r="E73" s="30" t="n">
        <x:f>(D73-D72)*H72</x:f>
        <x:v>0</x:v>
      </x:c>
      <x:c r="F73" s="30" t="n">
        <x:f>(1-D73-J72)*(H72-H73)+(J73-J72)*H73</x:f>
        <x:v>0</x:v>
      </x:c>
      <x:c r="G73" s="30" t="n">
        <x:f>SUM(E74:E147)</x:f>
        <x:v>0</x:v>
      </x:c>
      <x:c r="H73" s="30" t="n">
        <x:f>IF($E$42=0,1-MIN(C73,$E$43)/$E$43,((1+$E$42)^$E$43-(1+$E$42)^MIN(C73,$E$43))/((1+$E$42)^$E$43-1))</x:f>
        <x:v>0</x:v>
      </x:c>
      <x:c r="I73" s="30" t="n">
        <x:f>MAX(0,1-D73-J73)</x:f>
        <x:v>0</x:v>
      </x:c>
      <x:c r="J73" s="2" t="n">
        <x:f>(1-$E$40)*INDEX('Assumptions'!$I$65:$I$101,MIN(C73,36)+1)</x:f>
        <x:v>0.64</x:v>
      </x:c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</x:row>
    <x:row r="74" ht="19" customHeight="1">
      <x:c r="A74" s="1"/>
      <x:c r="B74" s="1"/>
      <x:c r="C74" s="2" t="n">
        <x:v>23</x:v>
      </x:c>
      <x:c r="D74" s="30" t="n">
        <x:f>$E$40*INDEX('Assumptions'!$F$65:$F$101,MIN(C74,36)+1)</x:f>
        <x:v>0.36</x:v>
      </x:c>
      <x:c r="E74" s="30" t="n">
        <x:f>(D74-D73)*H73</x:f>
        <x:v>0</x:v>
      </x:c>
      <x:c r="F74" s="30" t="n">
        <x:f>(1-D74-J73)*(H73-H74)+(J74-J73)*H74</x:f>
        <x:v>0</x:v>
      </x:c>
      <x:c r="G74" s="30" t="n">
        <x:f>SUM(E75:E147)</x:f>
        <x:v>0</x:v>
      </x:c>
      <x:c r="H74" s="30" t="n">
        <x:f>IF($E$42=0,1-MIN(C74,$E$43)/$E$43,((1+$E$42)^$E$43-(1+$E$42)^MIN(C74,$E$43))/((1+$E$42)^$E$43-1))</x:f>
        <x:v>0</x:v>
      </x:c>
      <x:c r="I74" s="30" t="n">
        <x:f>MAX(0,1-D74-J74)</x:f>
        <x:v>0</x:v>
      </x:c>
      <x:c r="J74" s="2" t="n">
        <x:f>(1-$E$40)*INDEX('Assumptions'!$I$65:$I$101,MIN(C74,36)+1)</x:f>
        <x:v>0.64</x:v>
      </x:c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</x:row>
    <x:row r="75" ht="19" customHeight="1">
      <x:c r="A75" s="1"/>
      <x:c r="B75" s="1"/>
      <x:c r="C75" s="2" t="n">
        <x:v>24</x:v>
      </x:c>
      <x:c r="D75" s="30" t="n">
        <x:f>$E$40*INDEX('Assumptions'!$F$65:$F$101,MIN(C75,36)+1)</x:f>
        <x:v>0.36</x:v>
      </x:c>
      <x:c r="E75" s="30" t="n">
        <x:f>(D75-D74)*H74</x:f>
        <x:v>0</x:v>
      </x:c>
      <x:c r="F75" s="30" t="n">
        <x:f>(1-D75-J74)*(H74-H75)+(J75-J74)*H75</x:f>
        <x:v>0</x:v>
      </x:c>
      <x:c r="G75" s="30" t="n">
        <x:f>SUM(E76:E147)</x:f>
        <x:v>0</x:v>
      </x:c>
      <x:c r="H75" s="30" t="n">
        <x:f>IF($E$42=0,1-MIN(C75,$E$43)/$E$43,((1+$E$42)^$E$43-(1+$E$42)^MIN(C75,$E$43))/((1+$E$42)^$E$43-1))</x:f>
        <x:v>0</x:v>
      </x:c>
      <x:c r="I75" s="30" t="n">
        <x:f>MAX(0,1-D75-J75)</x:f>
        <x:v>0</x:v>
      </x:c>
      <x:c r="J75" s="2" t="n">
        <x:f>(1-$E$40)*INDEX('Assumptions'!$I$65:$I$101,MIN(C75,36)+1)</x:f>
        <x:v>0.64</x:v>
      </x:c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</x:row>
    <x:row r="76" ht="19" customHeight="1">
      <x:c r="A76" s="1"/>
      <x:c r="B76" s="1"/>
      <x:c r="C76" s="2" t="n">
        <x:v>25</x:v>
      </x:c>
      <x:c r="D76" s="30" t="n">
        <x:f>$E$40*INDEX('Assumptions'!$F$65:$F$101,MIN(C76,36)+1)</x:f>
        <x:v>0.36</x:v>
      </x:c>
      <x:c r="E76" s="30" t="n">
        <x:f>(D76-D75)*H75</x:f>
        <x:v>0</x:v>
      </x:c>
      <x:c r="F76" s="30" t="n">
        <x:f>(1-D76-J75)*(H75-H76)+(J76-J75)*H76</x:f>
        <x:v>0</x:v>
      </x:c>
      <x:c r="G76" s="30" t="n">
        <x:f>SUM(E77:E147)</x:f>
        <x:v>0</x:v>
      </x:c>
      <x:c r="H76" s="30" t="n">
        <x:f>IF($E$42=0,1-MIN(C76,$E$43)/$E$43,((1+$E$42)^$E$43-(1+$E$42)^MIN(C76,$E$43))/((1+$E$42)^$E$43-1))</x:f>
        <x:v>0</x:v>
      </x:c>
      <x:c r="I76" s="30" t="n">
        <x:f>MAX(0,1-D76-J76)</x:f>
        <x:v>0</x:v>
      </x:c>
      <x:c r="J76" s="2" t="n">
        <x:f>(1-$E$40)*INDEX('Assumptions'!$I$65:$I$101,MIN(C76,36)+1)</x:f>
        <x:v>0.64</x:v>
      </x:c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</x:row>
    <x:row r="77" ht="19" customHeight="1">
      <x:c r="A77" s="1"/>
      <x:c r="B77" s="1"/>
      <x:c r="C77" s="2" t="n">
        <x:v>26</x:v>
      </x:c>
      <x:c r="D77" s="30" t="n">
        <x:f>$E$40*INDEX('Assumptions'!$F$65:$F$101,MIN(C77,36)+1)</x:f>
        <x:v>0.36</x:v>
      </x:c>
      <x:c r="E77" s="30" t="n">
        <x:f>(D77-D76)*H76</x:f>
        <x:v>0</x:v>
      </x:c>
      <x:c r="F77" s="30" t="n">
        <x:f>(1-D77-J76)*(H76-H77)+(J77-J76)*H77</x:f>
        <x:v>0</x:v>
      </x:c>
      <x:c r="G77" s="30" t="n">
        <x:f>SUM(E78:E147)</x:f>
        <x:v>0</x:v>
      </x:c>
      <x:c r="H77" s="30" t="n">
        <x:f>IF($E$42=0,1-MIN(C77,$E$43)/$E$43,((1+$E$42)^$E$43-(1+$E$42)^MIN(C77,$E$43))/((1+$E$42)^$E$43-1))</x:f>
        <x:v>0</x:v>
      </x:c>
      <x:c r="I77" s="30" t="n">
        <x:f>MAX(0,1-D77-J77)</x:f>
        <x:v>0</x:v>
      </x:c>
      <x:c r="J77" s="2" t="n">
        <x:f>(1-$E$40)*INDEX('Assumptions'!$I$65:$I$101,MIN(C77,36)+1)</x:f>
        <x:v>0.64</x:v>
      </x:c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</x:row>
    <x:row r="78" ht="19" customHeight="1">
      <x:c r="A78" s="1"/>
      <x:c r="B78" s="1"/>
      <x:c r="C78" s="2" t="n">
        <x:v>27</x:v>
      </x:c>
      <x:c r="D78" s="30" t="n">
        <x:f>$E$40*INDEX('Assumptions'!$F$65:$F$101,MIN(C78,36)+1)</x:f>
        <x:v>0.36</x:v>
      </x:c>
      <x:c r="E78" s="30" t="n">
        <x:f>(D78-D77)*H77</x:f>
        <x:v>0</x:v>
      </x:c>
      <x:c r="F78" s="30" t="n">
        <x:f>(1-D78-J77)*(H77-H78)+(J78-J77)*H78</x:f>
        <x:v>0</x:v>
      </x:c>
      <x:c r="G78" s="30" t="n">
        <x:f>SUM(E79:E147)</x:f>
        <x:v>0</x:v>
      </x:c>
      <x:c r="H78" s="30" t="n">
        <x:f>IF($E$42=0,1-MIN(C78,$E$43)/$E$43,((1+$E$42)^$E$43-(1+$E$42)^MIN(C78,$E$43))/((1+$E$42)^$E$43-1))</x:f>
        <x:v>0</x:v>
      </x:c>
      <x:c r="I78" s="30" t="n">
        <x:f>MAX(0,1-D78-J78)</x:f>
        <x:v>0</x:v>
      </x:c>
      <x:c r="J78" s="2" t="n">
        <x:f>(1-$E$40)*INDEX('Assumptions'!$I$65:$I$101,MIN(C78,36)+1)</x:f>
        <x:v>0.64</x:v>
      </x:c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</x:row>
    <x:row r="79" ht="19" customHeight="1">
      <x:c r="A79" s="1"/>
      <x:c r="B79" s="1"/>
      <x:c r="C79" s="2" t="n">
        <x:v>28</x:v>
      </x:c>
      <x:c r="D79" s="30" t="n">
        <x:f>$E$40*INDEX('Assumptions'!$F$65:$F$101,MIN(C79,36)+1)</x:f>
        <x:v>0.36</x:v>
      </x:c>
      <x:c r="E79" s="30" t="n">
        <x:f>(D79-D78)*H78</x:f>
        <x:v>0</x:v>
      </x:c>
      <x:c r="F79" s="30" t="n">
        <x:f>(1-D79-J78)*(H78-H79)+(J79-J78)*H79</x:f>
        <x:v>0</x:v>
      </x:c>
      <x:c r="G79" s="30" t="n">
        <x:f>SUM(E80:E147)</x:f>
        <x:v>0</x:v>
      </x:c>
      <x:c r="H79" s="30" t="n">
        <x:f>IF($E$42=0,1-MIN(C79,$E$43)/$E$43,((1+$E$42)^$E$43-(1+$E$42)^MIN(C79,$E$43))/((1+$E$42)^$E$43-1))</x:f>
        <x:v>0</x:v>
      </x:c>
      <x:c r="I79" s="30" t="n">
        <x:f>MAX(0,1-D79-J79)</x:f>
        <x:v>0</x:v>
      </x:c>
      <x:c r="J79" s="2" t="n">
        <x:f>(1-$E$40)*INDEX('Assumptions'!$I$65:$I$101,MIN(C79,36)+1)</x:f>
        <x:v>0.64</x:v>
      </x:c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</x:row>
    <x:row r="80" ht="19" customHeight="1">
      <x:c r="A80" s="1"/>
      <x:c r="B80" s="1"/>
      <x:c r="C80" s="2" t="n">
        <x:v>29</x:v>
      </x:c>
      <x:c r="D80" s="30" t="n">
        <x:f>$E$40*INDEX('Assumptions'!$F$65:$F$101,MIN(C80,36)+1)</x:f>
        <x:v>0.36</x:v>
      </x:c>
      <x:c r="E80" s="30" t="n">
        <x:f>(D80-D79)*H79</x:f>
        <x:v>0</x:v>
      </x:c>
      <x:c r="F80" s="30" t="n">
        <x:f>(1-D80-J79)*(H79-H80)+(J80-J79)*H80</x:f>
        <x:v>0</x:v>
      </x:c>
      <x:c r="G80" s="30" t="n">
        <x:f>SUM(E81:E147)</x:f>
        <x:v>0</x:v>
      </x:c>
      <x:c r="H80" s="30" t="n">
        <x:f>IF($E$42=0,1-MIN(C80,$E$43)/$E$43,((1+$E$42)^$E$43-(1+$E$42)^MIN(C80,$E$43))/((1+$E$42)^$E$43-1))</x:f>
        <x:v>0</x:v>
      </x:c>
      <x:c r="I80" s="30" t="n">
        <x:f>MAX(0,1-D80-J80)</x:f>
        <x:v>0</x:v>
      </x:c>
      <x:c r="J80" s="2" t="n">
        <x:f>(1-$E$40)*INDEX('Assumptions'!$I$65:$I$101,MIN(C80,36)+1)</x:f>
        <x:v>0.64</x:v>
      </x:c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</x:row>
    <x:row r="81" ht="19" customHeight="1">
      <x:c r="A81" s="1"/>
      <x:c r="B81" s="1"/>
      <x:c r="C81" s="2" t="n">
        <x:v>30</x:v>
      </x:c>
      <x:c r="D81" s="30" t="n">
        <x:f>$E$40*INDEX('Assumptions'!$F$65:$F$101,MIN(C81,36)+1)</x:f>
        <x:v>0.36</x:v>
      </x:c>
      <x:c r="E81" s="30" t="n">
        <x:f>(D81-D80)*H80</x:f>
        <x:v>0</x:v>
      </x:c>
      <x:c r="F81" s="30" t="n">
        <x:f>(1-D81-J80)*(H80-H81)+(J81-J80)*H81</x:f>
        <x:v>0</x:v>
      </x:c>
      <x:c r="G81" s="30" t="n">
        <x:f>SUM(E82:E147)</x:f>
        <x:v>0</x:v>
      </x:c>
      <x:c r="H81" s="30" t="n">
        <x:f>IF($E$42=0,1-MIN(C81,$E$43)/$E$43,((1+$E$42)^$E$43-(1+$E$42)^MIN(C81,$E$43))/((1+$E$42)^$E$43-1))</x:f>
        <x:v>0</x:v>
      </x:c>
      <x:c r="I81" s="30" t="n">
        <x:f>MAX(0,1-D81-J81)</x:f>
        <x:v>0</x:v>
      </x:c>
      <x:c r="J81" s="2" t="n">
        <x:f>(1-$E$40)*INDEX('Assumptions'!$I$65:$I$101,MIN(C81,36)+1)</x:f>
        <x:v>0.64</x:v>
      </x:c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</x:row>
    <x:row r="82" ht="19" customHeight="1">
      <x:c r="A82" s="1"/>
      <x:c r="B82" s="1"/>
      <x:c r="C82" s="2" t="n">
        <x:v>31</x:v>
      </x:c>
      <x:c r="D82" s="30" t="n">
        <x:f>$E$40*INDEX('Assumptions'!$F$65:$F$101,MIN(C82,36)+1)</x:f>
        <x:v>0.36</x:v>
      </x:c>
      <x:c r="E82" s="30" t="n">
        <x:f>(D82-D81)*H81</x:f>
        <x:v>0</x:v>
      </x:c>
      <x:c r="F82" s="30" t="n">
        <x:f>(1-D82-J81)*(H81-H82)+(J82-J81)*H82</x:f>
        <x:v>0</x:v>
      </x:c>
      <x:c r="G82" s="30" t="n">
        <x:f>SUM(E83:E147)</x:f>
        <x:v>0</x:v>
      </x:c>
      <x:c r="H82" s="30" t="n">
        <x:f>IF($E$42=0,1-MIN(C82,$E$43)/$E$43,((1+$E$42)^$E$43-(1+$E$42)^MIN(C82,$E$43))/((1+$E$42)^$E$43-1))</x:f>
        <x:v>0</x:v>
      </x:c>
      <x:c r="I82" s="30" t="n">
        <x:f>MAX(0,1-D82-J82)</x:f>
        <x:v>0</x:v>
      </x:c>
      <x:c r="J82" s="2" t="n">
        <x:f>(1-$E$40)*INDEX('Assumptions'!$I$65:$I$101,MIN(C82,36)+1)</x:f>
        <x:v>0.64</x:v>
      </x:c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</x:row>
    <x:row r="83" ht="19" customHeight="1">
      <x:c r="A83" s="1"/>
      <x:c r="B83" s="1"/>
      <x:c r="C83" s="2" t="n">
        <x:v>32</x:v>
      </x:c>
      <x:c r="D83" s="30" t="n">
        <x:f>$E$40*INDEX('Assumptions'!$F$65:$F$101,MIN(C83,36)+1)</x:f>
        <x:v>0.36</x:v>
      </x:c>
      <x:c r="E83" s="30" t="n">
        <x:f>(D83-D82)*H82</x:f>
        <x:v>0</x:v>
      </x:c>
      <x:c r="F83" s="30" t="n">
        <x:f>(1-D83-J82)*(H82-H83)+(J83-J82)*H83</x:f>
        <x:v>0</x:v>
      </x:c>
      <x:c r="G83" s="30" t="n">
        <x:f>SUM(E84:E147)</x:f>
        <x:v>0</x:v>
      </x:c>
      <x:c r="H83" s="30" t="n">
        <x:f>IF($E$42=0,1-MIN(C83,$E$43)/$E$43,((1+$E$42)^$E$43-(1+$E$42)^MIN(C83,$E$43))/((1+$E$42)^$E$43-1))</x:f>
        <x:v>0</x:v>
      </x:c>
      <x:c r="I83" s="30" t="n">
        <x:f>MAX(0,1-D83-J83)</x:f>
        <x:v>0</x:v>
      </x:c>
      <x:c r="J83" s="2" t="n">
        <x:f>(1-$E$40)*INDEX('Assumptions'!$I$65:$I$101,MIN(C83,36)+1)</x:f>
        <x:v>0.64</x:v>
      </x:c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</x:row>
    <x:row r="84" ht="19" customHeight="1">
      <x:c r="A84" s="1"/>
      <x:c r="B84" s="1"/>
      <x:c r="C84" s="2" t="n">
        <x:v>33</x:v>
      </x:c>
      <x:c r="D84" s="30" t="n">
        <x:f>$E$40*INDEX('Assumptions'!$F$65:$F$101,MIN(C84,36)+1)</x:f>
        <x:v>0.36</x:v>
      </x:c>
      <x:c r="E84" s="30" t="n">
        <x:f>(D84-D83)*H83</x:f>
        <x:v>0</x:v>
      </x:c>
      <x:c r="F84" s="30" t="n">
        <x:f>(1-D84-J83)*(H83-H84)+(J84-J83)*H84</x:f>
        <x:v>0</x:v>
      </x:c>
      <x:c r="G84" s="30" t="n">
        <x:f>SUM(E85:E147)</x:f>
        <x:v>0</x:v>
      </x:c>
      <x:c r="H84" s="30" t="n">
        <x:f>IF($E$42=0,1-MIN(C84,$E$43)/$E$43,((1+$E$42)^$E$43-(1+$E$42)^MIN(C84,$E$43))/((1+$E$42)^$E$43-1))</x:f>
        <x:v>0</x:v>
      </x:c>
      <x:c r="I84" s="30" t="n">
        <x:f>MAX(0,1-D84-J84)</x:f>
        <x:v>0</x:v>
      </x:c>
      <x:c r="J84" s="2" t="n">
        <x:f>(1-$E$40)*INDEX('Assumptions'!$I$65:$I$101,MIN(C84,36)+1)</x:f>
        <x:v>0.64</x:v>
      </x:c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</x:row>
    <x:row r="85" ht="19" customHeight="1">
      <x:c r="A85" s="1"/>
      <x:c r="B85" s="1"/>
      <x:c r="C85" s="2" t="n">
        <x:v>34</x:v>
      </x:c>
      <x:c r="D85" s="30" t="n">
        <x:f>$E$40*INDEX('Assumptions'!$F$65:$F$101,MIN(C85,36)+1)</x:f>
        <x:v>0.36</x:v>
      </x:c>
      <x:c r="E85" s="30" t="n">
        <x:f>(D85-D84)*H84</x:f>
        <x:v>0</x:v>
      </x:c>
      <x:c r="F85" s="30" t="n">
        <x:f>(1-D85-J84)*(H84-H85)+(J85-J84)*H85</x:f>
        <x:v>0</x:v>
      </x:c>
      <x:c r="G85" s="30" t="n">
        <x:f>SUM(E86:E147)</x:f>
        <x:v>0</x:v>
      </x:c>
      <x:c r="H85" s="30" t="n">
        <x:f>IF($E$42=0,1-MIN(C85,$E$43)/$E$43,((1+$E$42)^$E$43-(1+$E$42)^MIN(C85,$E$43))/((1+$E$42)^$E$43-1))</x:f>
        <x:v>0</x:v>
      </x:c>
      <x:c r="I85" s="30" t="n">
        <x:f>MAX(0,1-D85-J85)</x:f>
        <x:v>0</x:v>
      </x:c>
      <x:c r="J85" s="2" t="n">
        <x:f>(1-$E$40)*INDEX('Assumptions'!$I$65:$I$101,MIN(C85,36)+1)</x:f>
        <x:v>0.64</x:v>
      </x:c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</x:row>
    <x:row r="86" ht="19" customHeight="1">
      <x:c r="A86" s="1"/>
      <x:c r="B86" s="1"/>
      <x:c r="C86" s="2" t="n">
        <x:v>35</x:v>
      </x:c>
      <x:c r="D86" s="30" t="n">
        <x:f>$E$40*INDEX('Assumptions'!$F$65:$F$101,MIN(C86,36)+1)</x:f>
        <x:v>0.36</x:v>
      </x:c>
      <x:c r="E86" s="30" t="n">
        <x:f>(D86-D85)*H85</x:f>
        <x:v>0</x:v>
      </x:c>
      <x:c r="F86" s="30" t="n">
        <x:f>(1-D86-J85)*(H85-H86)+(J86-J85)*H86</x:f>
        <x:v>0</x:v>
      </x:c>
      <x:c r="G86" s="30" t="n">
        <x:f>SUM(E87:E147)</x:f>
        <x:v>0</x:v>
      </x:c>
      <x:c r="H86" s="30" t="n">
        <x:f>IF($E$42=0,1-MIN(C86,$E$43)/$E$43,((1+$E$42)^$E$43-(1+$E$42)^MIN(C86,$E$43))/((1+$E$42)^$E$43-1))</x:f>
        <x:v>0</x:v>
      </x:c>
      <x:c r="I86" s="30" t="n">
        <x:f>MAX(0,1-D86-J86)</x:f>
        <x:v>0</x:v>
      </x:c>
      <x:c r="J86" s="2" t="n">
        <x:f>(1-$E$40)*INDEX('Assumptions'!$I$65:$I$101,MIN(C86,36)+1)</x:f>
        <x:v>0.64</x:v>
      </x:c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</x:row>
    <x:row r="87" ht="19" customHeight="1">
      <x:c r="A87" s="1"/>
      <x:c r="B87" s="1"/>
      <x:c r="C87" s="2" t="n">
        <x:v>36</x:v>
      </x:c>
      <x:c r="D87" s="30" t="n">
        <x:f>$E$40*INDEX('Assumptions'!$F$65:$F$101,MIN(C87,36)+1)</x:f>
        <x:v>0.36</x:v>
      </x:c>
      <x:c r="E87" s="30" t="n">
        <x:f>(D87-D86)*H86</x:f>
        <x:v>0</x:v>
      </x:c>
      <x:c r="F87" s="30" t="n">
        <x:f>(1-D87-J86)*(H86-H87)+(J87-J86)*H87</x:f>
        <x:v>0</x:v>
      </x:c>
      <x:c r="G87" s="30" t="n">
        <x:f>SUM(E88:E147)</x:f>
        <x:v>0</x:v>
      </x:c>
      <x:c r="H87" s="30" t="n">
        <x:f>IF($E$42=0,1-MIN(C87,$E$43)/$E$43,((1+$E$42)^$E$43-(1+$E$42)^MIN(C87,$E$43))/((1+$E$42)^$E$43-1))</x:f>
        <x:v>0</x:v>
      </x:c>
      <x:c r="I87" s="30" t="n">
        <x:f>MAX(0,1-D87-J87)</x:f>
        <x:v>0</x:v>
      </x:c>
      <x:c r="J87" s="2" t="n">
        <x:f>(1-$E$40)*INDEX('Assumptions'!$I$65:$I$101,MIN(C87,36)+1)</x:f>
        <x:v>0.64</x:v>
      </x:c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</x:row>
    <x:row r="88" ht="19" customHeight="1">
      <x:c r="A88" s="1"/>
      <x:c r="B88" s="1"/>
      <x:c r="C88" s="2" t="n">
        <x:v>37</x:v>
      </x:c>
      <x:c r="D88" s="30" t="n">
        <x:f>$E$40*INDEX('Assumptions'!$F$65:$F$101,MIN(C88,36)+1)</x:f>
        <x:v>0.36</x:v>
      </x:c>
      <x:c r="E88" s="30" t="n">
        <x:f>(D88-D87)*H87</x:f>
        <x:v>0</x:v>
      </x:c>
      <x:c r="F88" s="30" t="n">
        <x:f>(1-D88-J87)*(H87-H88)+(J88-J87)*H88</x:f>
        <x:v>0</x:v>
      </x:c>
      <x:c r="G88" s="30" t="n">
        <x:f>SUM(E89:E147)</x:f>
        <x:v>0</x:v>
      </x:c>
      <x:c r="H88" s="30" t="n">
        <x:f>IF($E$42=0,1-MIN(C88,$E$43)/$E$43,((1+$E$42)^$E$43-(1+$E$42)^MIN(C88,$E$43))/((1+$E$42)^$E$43-1))</x:f>
        <x:v>0</x:v>
      </x:c>
      <x:c r="I88" s="30" t="n">
        <x:f>MAX(0,1-D88-J88)</x:f>
        <x:v>0</x:v>
      </x:c>
      <x:c r="J88" s="2" t="n">
        <x:f>(1-$E$40)*INDEX('Assumptions'!$I$65:$I$101,MIN(C88,36)+1)</x:f>
        <x:v>0.64</x:v>
      </x:c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</x:row>
    <x:row r="89" ht="19" customHeight="1">
      <x:c r="A89" s="1"/>
      <x:c r="B89" s="1"/>
      <x:c r="C89" s="2" t="n">
        <x:v>38</x:v>
      </x:c>
      <x:c r="D89" s="30" t="n">
        <x:f>$E$40*INDEX('Assumptions'!$F$65:$F$101,MIN(C89,36)+1)</x:f>
        <x:v>0.36</x:v>
      </x:c>
      <x:c r="E89" s="30" t="n">
        <x:f>(D89-D88)*H88</x:f>
        <x:v>0</x:v>
      </x:c>
      <x:c r="F89" s="30" t="n">
        <x:f>(1-D89-J88)*(H88-H89)+(J89-J88)*H89</x:f>
        <x:v>0</x:v>
      </x:c>
      <x:c r="G89" s="30" t="n">
        <x:f>SUM(E90:E147)</x:f>
        <x:v>0</x:v>
      </x:c>
      <x:c r="H89" s="30" t="n">
        <x:f>IF($E$42=0,1-MIN(C89,$E$43)/$E$43,((1+$E$42)^$E$43-(1+$E$42)^MIN(C89,$E$43))/((1+$E$42)^$E$43-1))</x:f>
        <x:v>0</x:v>
      </x:c>
      <x:c r="I89" s="30" t="n">
        <x:f>MAX(0,1-D89-J89)</x:f>
        <x:v>0</x:v>
      </x:c>
      <x:c r="J89" s="2" t="n">
        <x:f>(1-$E$40)*INDEX('Assumptions'!$I$65:$I$101,MIN(C89,36)+1)</x:f>
        <x:v>0.64</x:v>
      </x:c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</x:row>
    <x:row r="90" ht="19" customHeight="1">
      <x:c r="A90" s="1"/>
      <x:c r="B90" s="1"/>
      <x:c r="C90" s="2" t="n">
        <x:v>39</x:v>
      </x:c>
      <x:c r="D90" s="30" t="n">
        <x:f>$E$40*INDEX('Assumptions'!$F$65:$F$101,MIN(C90,36)+1)</x:f>
        <x:v>0.36</x:v>
      </x:c>
      <x:c r="E90" s="30" t="n">
        <x:f>(D90-D89)*H89</x:f>
        <x:v>0</x:v>
      </x:c>
      <x:c r="F90" s="30" t="n">
        <x:f>(1-D90-J89)*(H89-H90)+(J90-J89)*H90</x:f>
        <x:v>0</x:v>
      </x:c>
      <x:c r="G90" s="30" t="n">
        <x:f>SUM(E91:E147)</x:f>
        <x:v>0</x:v>
      </x:c>
      <x:c r="H90" s="30" t="n">
        <x:f>IF($E$42=0,1-MIN(C90,$E$43)/$E$43,((1+$E$42)^$E$43-(1+$E$42)^MIN(C90,$E$43))/((1+$E$42)^$E$43-1))</x:f>
        <x:v>0</x:v>
      </x:c>
      <x:c r="I90" s="30" t="n">
        <x:f>MAX(0,1-D90-J90)</x:f>
        <x:v>0</x:v>
      </x:c>
      <x:c r="J90" s="2" t="n">
        <x:f>(1-$E$40)*INDEX('Assumptions'!$I$65:$I$101,MIN(C90,36)+1)</x:f>
        <x:v>0.64</x:v>
      </x:c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</x:row>
    <x:row r="91" ht="19" customHeight="1">
      <x:c r="A91" s="1"/>
      <x:c r="B91" s="1"/>
      <x:c r="C91" s="2" t="n">
        <x:v>40</x:v>
      </x:c>
      <x:c r="D91" s="30" t="n">
        <x:f>$E$40*INDEX('Assumptions'!$F$65:$F$101,MIN(C91,36)+1)</x:f>
        <x:v>0.36</x:v>
      </x:c>
      <x:c r="E91" s="30" t="n">
        <x:f>(D91-D90)*H90</x:f>
        <x:v>0</x:v>
      </x:c>
      <x:c r="F91" s="30" t="n">
        <x:f>(1-D91-J90)*(H90-H91)+(J91-J90)*H91</x:f>
        <x:v>0</x:v>
      </x:c>
      <x:c r="G91" s="30" t="n">
        <x:f>SUM(E92:E147)</x:f>
        <x:v>0</x:v>
      </x:c>
      <x:c r="H91" s="30" t="n">
        <x:f>IF($E$42=0,1-MIN(C91,$E$43)/$E$43,((1+$E$42)^$E$43-(1+$E$42)^MIN(C91,$E$43))/((1+$E$42)^$E$43-1))</x:f>
        <x:v>0</x:v>
      </x:c>
      <x:c r="I91" s="30" t="n">
        <x:f>MAX(0,1-D91-J91)</x:f>
        <x:v>0</x:v>
      </x:c>
      <x:c r="J91" s="2" t="n">
        <x:f>(1-$E$40)*INDEX('Assumptions'!$I$65:$I$101,MIN(C91,36)+1)</x:f>
        <x:v>0.64</x:v>
      </x:c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</x:row>
    <x:row r="92" ht="19" customHeight="1">
      <x:c r="A92" s="1"/>
      <x:c r="B92" s="1"/>
      <x:c r="C92" s="2" t="n">
        <x:v>41</x:v>
      </x:c>
      <x:c r="D92" s="30" t="n">
        <x:f>$E$40*INDEX('Assumptions'!$F$65:$F$101,MIN(C92,36)+1)</x:f>
        <x:v>0.36</x:v>
      </x:c>
      <x:c r="E92" s="30" t="n">
        <x:f>(D92-D91)*H91</x:f>
        <x:v>0</x:v>
      </x:c>
      <x:c r="F92" s="30" t="n">
        <x:f>(1-D92-J91)*(H91-H92)+(J92-J91)*H92</x:f>
        <x:v>0</x:v>
      </x:c>
      <x:c r="G92" s="30" t="n">
        <x:f>SUM(E93:E147)</x:f>
        <x:v>0</x:v>
      </x:c>
      <x:c r="H92" s="30" t="n">
        <x:f>IF($E$42=0,1-MIN(C92,$E$43)/$E$43,((1+$E$42)^$E$43-(1+$E$42)^MIN(C92,$E$43))/((1+$E$42)^$E$43-1))</x:f>
        <x:v>0</x:v>
      </x:c>
      <x:c r="I92" s="30" t="n">
        <x:f>MAX(0,1-D92-J92)</x:f>
        <x:v>0</x:v>
      </x:c>
      <x:c r="J92" s="2" t="n">
        <x:f>(1-$E$40)*INDEX('Assumptions'!$I$65:$I$101,MIN(C92,36)+1)</x:f>
        <x:v>0.64</x:v>
      </x:c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</x:row>
    <x:row r="93" ht="19" customHeight="1">
      <x:c r="A93" s="1"/>
      <x:c r="B93" s="1"/>
      <x:c r="C93" s="2" t="n">
        <x:v>42</x:v>
      </x:c>
      <x:c r="D93" s="30" t="n">
        <x:f>$E$40*INDEX('Assumptions'!$F$65:$F$101,MIN(C93,36)+1)</x:f>
        <x:v>0.36</x:v>
      </x:c>
      <x:c r="E93" s="30" t="n">
        <x:f>(D93-D92)*H92</x:f>
        <x:v>0</x:v>
      </x:c>
      <x:c r="F93" s="30" t="n">
        <x:f>(1-D93-J92)*(H92-H93)+(J93-J92)*H93</x:f>
        <x:v>0</x:v>
      </x:c>
      <x:c r="G93" s="30" t="n">
        <x:f>SUM(E94:E147)</x:f>
        <x:v>0</x:v>
      </x:c>
      <x:c r="H93" s="30" t="n">
        <x:f>IF($E$42=0,1-MIN(C93,$E$43)/$E$43,((1+$E$42)^$E$43-(1+$E$42)^MIN(C93,$E$43))/((1+$E$42)^$E$43-1))</x:f>
        <x:v>0</x:v>
      </x:c>
      <x:c r="I93" s="30" t="n">
        <x:f>MAX(0,1-D93-J93)</x:f>
        <x:v>0</x:v>
      </x:c>
      <x:c r="J93" s="2" t="n">
        <x:f>(1-$E$40)*INDEX('Assumptions'!$I$65:$I$101,MIN(C93,36)+1)</x:f>
        <x:v>0.64</x:v>
      </x:c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</x:row>
    <x:row r="94" ht="19" customHeight="1">
      <x:c r="A94" s="1"/>
      <x:c r="B94" s="1"/>
      <x:c r="C94" s="2" t="n">
        <x:v>43</x:v>
      </x:c>
      <x:c r="D94" s="30" t="n">
        <x:f>$E$40*INDEX('Assumptions'!$F$65:$F$101,MIN(C94,36)+1)</x:f>
        <x:v>0.36</x:v>
      </x:c>
      <x:c r="E94" s="30" t="n">
        <x:f>(D94-D93)*H93</x:f>
        <x:v>0</x:v>
      </x:c>
      <x:c r="F94" s="30" t="n">
        <x:f>(1-D94-J93)*(H93-H94)+(J94-J93)*H94</x:f>
        <x:v>0</x:v>
      </x:c>
      <x:c r="G94" s="30" t="n">
        <x:f>SUM(E95:E147)</x:f>
        <x:v>0</x:v>
      </x:c>
      <x:c r="H94" s="30" t="n">
        <x:f>IF($E$42=0,1-MIN(C94,$E$43)/$E$43,((1+$E$42)^$E$43-(1+$E$42)^MIN(C94,$E$43))/((1+$E$42)^$E$43-1))</x:f>
        <x:v>0</x:v>
      </x:c>
      <x:c r="I94" s="30" t="n">
        <x:f>MAX(0,1-D94-J94)</x:f>
        <x:v>0</x:v>
      </x:c>
      <x:c r="J94" s="2" t="n">
        <x:f>(1-$E$40)*INDEX('Assumptions'!$I$65:$I$101,MIN(C94,36)+1)</x:f>
        <x:v>0.64</x:v>
      </x:c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</x:row>
    <x:row r="95" ht="19" customHeight="1">
      <x:c r="A95" s="1"/>
      <x:c r="B95" s="1"/>
      <x:c r="C95" s="2" t="n">
        <x:v>44</x:v>
      </x:c>
      <x:c r="D95" s="30" t="n">
        <x:f>$E$40*INDEX('Assumptions'!$F$65:$F$101,MIN(C95,36)+1)</x:f>
        <x:v>0.36</x:v>
      </x:c>
      <x:c r="E95" s="30" t="n">
        <x:f>(D95-D94)*H94</x:f>
        <x:v>0</x:v>
      </x:c>
      <x:c r="F95" s="30" t="n">
        <x:f>(1-D95-J94)*(H94-H95)+(J95-J94)*H95</x:f>
        <x:v>0</x:v>
      </x:c>
      <x:c r="G95" s="30" t="n">
        <x:f>SUM(E96:E147)</x:f>
        <x:v>0</x:v>
      </x:c>
      <x:c r="H95" s="30" t="n">
        <x:f>IF($E$42=0,1-MIN(C95,$E$43)/$E$43,((1+$E$42)^$E$43-(1+$E$42)^MIN(C95,$E$43))/((1+$E$42)^$E$43-1))</x:f>
        <x:v>0</x:v>
      </x:c>
      <x:c r="I95" s="30" t="n">
        <x:f>MAX(0,1-D95-J95)</x:f>
        <x:v>0</x:v>
      </x:c>
      <x:c r="J95" s="2" t="n">
        <x:f>(1-$E$40)*INDEX('Assumptions'!$I$65:$I$101,MIN(C95,36)+1)</x:f>
        <x:v>0.64</x:v>
      </x:c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</x:row>
    <x:row r="96" ht="19" customHeight="1">
      <x:c r="A96" s="1"/>
      <x:c r="B96" s="1"/>
      <x:c r="C96" s="2" t="n">
        <x:v>45</x:v>
      </x:c>
      <x:c r="D96" s="30" t="n">
        <x:f>$E$40*INDEX('Assumptions'!$F$65:$F$101,MIN(C96,36)+1)</x:f>
        <x:v>0.36</x:v>
      </x:c>
      <x:c r="E96" s="30" t="n">
        <x:f>(D96-D95)*H95</x:f>
        <x:v>0</x:v>
      </x:c>
      <x:c r="F96" s="30" t="n">
        <x:f>(1-D96-J95)*(H95-H96)+(J96-J95)*H96</x:f>
        <x:v>0</x:v>
      </x:c>
      <x:c r="G96" s="30" t="n">
        <x:f>SUM(E97:E147)</x:f>
        <x:v>0</x:v>
      </x:c>
      <x:c r="H96" s="30" t="n">
        <x:f>IF($E$42=0,1-MIN(C96,$E$43)/$E$43,((1+$E$42)^$E$43-(1+$E$42)^MIN(C96,$E$43))/((1+$E$42)^$E$43-1))</x:f>
        <x:v>0</x:v>
      </x:c>
      <x:c r="I96" s="30" t="n">
        <x:f>MAX(0,1-D96-J96)</x:f>
        <x:v>0</x:v>
      </x:c>
      <x:c r="J96" s="2" t="n">
        <x:f>(1-$E$40)*INDEX('Assumptions'!$I$65:$I$101,MIN(C96,36)+1)</x:f>
        <x:v>0.64</x:v>
      </x:c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</x:row>
    <x:row r="97" ht="19" customHeight="1">
      <x:c r="A97" s="1"/>
      <x:c r="B97" s="1"/>
      <x:c r="C97" s="2" t="n">
        <x:v>46</x:v>
      </x:c>
      <x:c r="D97" s="30" t="n">
        <x:f>$E$40*INDEX('Assumptions'!$F$65:$F$101,MIN(C97,36)+1)</x:f>
        <x:v>0.36</x:v>
      </x:c>
      <x:c r="E97" s="30" t="n">
        <x:f>(D97-D96)*H96</x:f>
        <x:v>0</x:v>
      </x:c>
      <x:c r="F97" s="30" t="n">
        <x:f>(1-D97-J96)*(H96-H97)+(J97-J96)*H97</x:f>
        <x:v>0</x:v>
      </x:c>
      <x:c r="G97" s="30" t="n">
        <x:f>SUM(E98:E147)</x:f>
        <x:v>0</x:v>
      </x:c>
      <x:c r="H97" s="30" t="n">
        <x:f>IF($E$42=0,1-MIN(C97,$E$43)/$E$43,((1+$E$42)^$E$43-(1+$E$42)^MIN(C97,$E$43))/((1+$E$42)^$E$43-1))</x:f>
        <x:v>0</x:v>
      </x:c>
      <x:c r="I97" s="30" t="n">
        <x:f>MAX(0,1-D97-J97)</x:f>
        <x:v>0</x:v>
      </x:c>
      <x:c r="J97" s="2" t="n">
        <x:f>(1-$E$40)*INDEX('Assumptions'!$I$65:$I$101,MIN(C97,36)+1)</x:f>
        <x:v>0.64</x:v>
      </x:c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</x:row>
    <x:row r="98" ht="19" customHeight="1">
      <x:c r="A98" s="1"/>
      <x:c r="B98" s="1"/>
      <x:c r="C98" s="2" t="n">
        <x:v>47</x:v>
      </x:c>
      <x:c r="D98" s="30" t="n">
        <x:f>$E$40*INDEX('Assumptions'!$F$65:$F$101,MIN(C98,36)+1)</x:f>
        <x:v>0.36</x:v>
      </x:c>
      <x:c r="E98" s="30" t="n">
        <x:f>(D98-D97)*H97</x:f>
        <x:v>0</x:v>
      </x:c>
      <x:c r="F98" s="30" t="n">
        <x:f>(1-D98-J97)*(H97-H98)+(J98-J97)*H98</x:f>
        <x:v>0</x:v>
      </x:c>
      <x:c r="G98" s="30" t="n">
        <x:f>SUM(E99:E147)</x:f>
        <x:v>0</x:v>
      </x:c>
      <x:c r="H98" s="30" t="n">
        <x:f>IF($E$42=0,1-MIN(C98,$E$43)/$E$43,((1+$E$42)^$E$43-(1+$E$42)^MIN(C98,$E$43))/((1+$E$42)^$E$43-1))</x:f>
        <x:v>0</x:v>
      </x:c>
      <x:c r="I98" s="30" t="n">
        <x:f>MAX(0,1-D98-J98)</x:f>
        <x:v>0</x:v>
      </x:c>
      <x:c r="J98" s="2" t="n">
        <x:f>(1-$E$40)*INDEX('Assumptions'!$I$65:$I$101,MIN(C98,36)+1)</x:f>
        <x:v>0.64</x:v>
      </x:c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</x:row>
    <x:row r="99" ht="19" customHeight="1">
      <x:c r="A99" s="1"/>
      <x:c r="B99" s="1"/>
      <x:c r="C99" s="2" t="n">
        <x:v>48</x:v>
      </x:c>
      <x:c r="D99" s="30" t="n">
        <x:f>$E$40*INDEX('Assumptions'!$F$65:$F$101,MIN(C99,36)+1)</x:f>
        <x:v>0.36</x:v>
      </x:c>
      <x:c r="E99" s="30" t="n">
        <x:f>(D99-D98)*H98</x:f>
        <x:v>0</x:v>
      </x:c>
      <x:c r="F99" s="30" t="n">
        <x:f>(1-D99-J98)*(H98-H99)+(J99-J98)*H99</x:f>
        <x:v>0</x:v>
      </x:c>
      <x:c r="G99" s="30" t="n">
        <x:f>SUM(E100:E147)</x:f>
        <x:v>0</x:v>
      </x:c>
      <x:c r="H99" s="30" t="n">
        <x:f>IF($E$42=0,1-MIN(C99,$E$43)/$E$43,((1+$E$42)^$E$43-(1+$E$42)^MIN(C99,$E$43))/((1+$E$42)^$E$43-1))</x:f>
        <x:v>0</x:v>
      </x:c>
      <x:c r="I99" s="30" t="n">
        <x:f>MAX(0,1-D99-J99)</x:f>
        <x:v>0</x:v>
      </x:c>
      <x:c r="J99" s="2" t="n">
        <x:f>(1-$E$40)*INDEX('Assumptions'!$I$65:$I$101,MIN(C99,36)+1)</x:f>
        <x:v>0.64</x:v>
      </x:c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</x:row>
    <x:row r="100" ht="19" customHeight="1">
      <x:c r="A100" s="1"/>
      <x:c r="B100" s="1"/>
      <x:c r="C100" s="2" t="n">
        <x:v>49</x:v>
      </x:c>
      <x:c r="D100" s="30" t="n">
        <x:f>$E$40*INDEX('Assumptions'!$F$65:$F$101,MIN(C100,36)+1)</x:f>
        <x:v>0.36</x:v>
      </x:c>
      <x:c r="E100" s="30" t="n">
        <x:f>(D100-D99)*H99</x:f>
        <x:v>0</x:v>
      </x:c>
      <x:c r="F100" s="30" t="n">
        <x:f>(1-D100-J99)*(H99-H100)+(J100-J99)*H100</x:f>
        <x:v>0</x:v>
      </x:c>
      <x:c r="G100" s="30" t="n">
        <x:f>SUM(E101:E147)</x:f>
        <x:v>0</x:v>
      </x:c>
      <x:c r="H100" s="30" t="n">
        <x:f>IF($E$42=0,1-MIN(C100,$E$43)/$E$43,((1+$E$42)^$E$43-(1+$E$42)^MIN(C100,$E$43))/((1+$E$42)^$E$43-1))</x:f>
        <x:v>0</x:v>
      </x:c>
      <x:c r="I100" s="30" t="n">
        <x:f>MAX(0,1-D100-J100)</x:f>
        <x:v>0</x:v>
      </x:c>
      <x:c r="J100" s="2" t="n">
        <x:f>(1-$E$40)*INDEX('Assumptions'!$I$65:$I$101,MIN(C100,36)+1)</x:f>
        <x:v>0.64</x:v>
      </x:c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</x:row>
    <x:row r="101" ht="19" customHeight="1">
      <x:c r="A101" s="1"/>
      <x:c r="B101" s="1"/>
      <x:c r="C101" s="2" t="n">
        <x:v>50</x:v>
      </x:c>
      <x:c r="D101" s="30" t="n">
        <x:f>$E$40*INDEX('Assumptions'!$F$65:$F$101,MIN(C101,36)+1)</x:f>
        <x:v>0.36</x:v>
      </x:c>
      <x:c r="E101" s="30" t="n">
        <x:f>(D101-D100)*H100</x:f>
        <x:v>0</x:v>
      </x:c>
      <x:c r="F101" s="30" t="n">
        <x:f>(1-D101-J100)*(H100-H101)+(J101-J100)*H101</x:f>
        <x:v>0</x:v>
      </x:c>
      <x:c r="G101" s="30" t="n">
        <x:f>SUM(E102:E147)</x:f>
        <x:v>0</x:v>
      </x:c>
      <x:c r="H101" s="30" t="n">
        <x:f>IF($E$42=0,1-MIN(C101,$E$43)/$E$43,((1+$E$42)^$E$43-(1+$E$42)^MIN(C101,$E$43))/((1+$E$42)^$E$43-1))</x:f>
        <x:v>0</x:v>
      </x:c>
      <x:c r="I101" s="30" t="n">
        <x:f>MAX(0,1-D101-J101)</x:f>
        <x:v>0</x:v>
      </x:c>
      <x:c r="J101" s="2" t="n">
        <x:f>(1-$E$40)*INDEX('Assumptions'!$I$65:$I$101,MIN(C101,36)+1)</x:f>
        <x:v>0.64</x:v>
      </x:c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</x:row>
    <x:row r="102" ht="19" customHeight="1">
      <x:c r="A102" s="1"/>
      <x:c r="B102" s="1"/>
      <x:c r="C102" s="2" t="n">
        <x:v>51</x:v>
      </x:c>
      <x:c r="D102" s="30" t="n">
        <x:f>$E$40*INDEX('Assumptions'!$F$65:$F$101,MIN(C102,36)+1)</x:f>
        <x:v>0.36</x:v>
      </x:c>
      <x:c r="E102" s="30" t="n">
        <x:f>(D102-D101)*H101</x:f>
        <x:v>0</x:v>
      </x:c>
      <x:c r="F102" s="30" t="n">
        <x:f>(1-D102-J101)*(H101-H102)+(J102-J101)*H102</x:f>
        <x:v>0</x:v>
      </x:c>
      <x:c r="G102" s="30" t="n">
        <x:f>SUM(E103:E147)</x:f>
        <x:v>0</x:v>
      </x:c>
      <x:c r="H102" s="30" t="n">
        <x:f>IF($E$42=0,1-MIN(C102,$E$43)/$E$43,((1+$E$42)^$E$43-(1+$E$42)^MIN(C102,$E$43))/((1+$E$42)^$E$43-1))</x:f>
        <x:v>0</x:v>
      </x:c>
      <x:c r="I102" s="30" t="n">
        <x:f>MAX(0,1-D102-J102)</x:f>
        <x:v>0</x:v>
      </x:c>
      <x:c r="J102" s="2" t="n">
        <x:f>(1-$E$40)*INDEX('Assumptions'!$I$65:$I$101,MIN(C102,36)+1)</x:f>
        <x:v>0.64</x:v>
      </x:c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</x:row>
    <x:row r="103" ht="19" customHeight="1">
      <x:c r="A103" s="1"/>
      <x:c r="B103" s="1"/>
      <x:c r="C103" s="2" t="n">
        <x:v>52</x:v>
      </x:c>
      <x:c r="D103" s="30" t="n">
        <x:f>$E$40*INDEX('Assumptions'!$F$65:$F$101,MIN(C103,36)+1)</x:f>
        <x:v>0.36</x:v>
      </x:c>
      <x:c r="E103" s="30" t="n">
        <x:f>(D103-D102)*H102</x:f>
        <x:v>0</x:v>
      </x:c>
      <x:c r="F103" s="30" t="n">
        <x:f>(1-D103-J102)*(H102-H103)+(J103-J102)*H103</x:f>
        <x:v>0</x:v>
      </x:c>
      <x:c r="G103" s="30" t="n">
        <x:f>SUM(E104:E147)</x:f>
        <x:v>0</x:v>
      </x:c>
      <x:c r="H103" s="30" t="n">
        <x:f>IF($E$42=0,1-MIN(C103,$E$43)/$E$43,((1+$E$42)^$E$43-(1+$E$42)^MIN(C103,$E$43))/((1+$E$42)^$E$43-1))</x:f>
        <x:v>0</x:v>
      </x:c>
      <x:c r="I103" s="30" t="n">
        <x:f>MAX(0,1-D103-J103)</x:f>
        <x:v>0</x:v>
      </x:c>
      <x:c r="J103" s="2" t="n">
        <x:f>(1-$E$40)*INDEX('Assumptions'!$I$65:$I$101,MIN(C103,36)+1)</x:f>
        <x:v>0.64</x:v>
      </x:c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</x:row>
    <x:row r="104" ht="19" customHeight="1">
      <x:c r="A104" s="1"/>
      <x:c r="B104" s="1"/>
      <x:c r="C104" s="2" t="n">
        <x:v>53</x:v>
      </x:c>
      <x:c r="D104" s="30" t="n">
        <x:f>$E$40*INDEX('Assumptions'!$F$65:$F$101,MIN(C104,36)+1)</x:f>
        <x:v>0.36</x:v>
      </x:c>
      <x:c r="E104" s="30" t="n">
        <x:f>(D104-D103)*H103</x:f>
        <x:v>0</x:v>
      </x:c>
      <x:c r="F104" s="30" t="n">
        <x:f>(1-D104-J103)*(H103-H104)+(J104-J103)*H104</x:f>
        <x:v>0</x:v>
      </x:c>
      <x:c r="G104" s="30" t="n">
        <x:f>SUM(E105:E147)</x:f>
        <x:v>0</x:v>
      </x:c>
      <x:c r="H104" s="30" t="n">
        <x:f>IF($E$42=0,1-MIN(C104,$E$43)/$E$43,((1+$E$42)^$E$43-(1+$E$42)^MIN(C104,$E$43))/((1+$E$42)^$E$43-1))</x:f>
        <x:v>0</x:v>
      </x:c>
      <x:c r="I104" s="30" t="n">
        <x:f>MAX(0,1-D104-J104)</x:f>
        <x:v>0</x:v>
      </x:c>
      <x:c r="J104" s="2" t="n">
        <x:f>(1-$E$40)*INDEX('Assumptions'!$I$65:$I$101,MIN(C104,36)+1)</x:f>
        <x:v>0.64</x:v>
      </x:c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</x:row>
    <x:row r="105" ht="19" customHeight="1">
      <x:c r="A105" s="1"/>
      <x:c r="B105" s="1"/>
      <x:c r="C105" s="2" t="n">
        <x:v>54</x:v>
      </x:c>
      <x:c r="D105" s="30" t="n">
        <x:f>$E$40*INDEX('Assumptions'!$F$65:$F$101,MIN(C105,36)+1)</x:f>
        <x:v>0.36</x:v>
      </x:c>
      <x:c r="E105" s="30" t="n">
        <x:f>(D105-D104)*H104</x:f>
        <x:v>0</x:v>
      </x:c>
      <x:c r="F105" s="30" t="n">
        <x:f>(1-D105-J104)*(H104-H105)+(J105-J104)*H105</x:f>
        <x:v>0</x:v>
      </x:c>
      <x:c r="G105" s="30" t="n">
        <x:f>SUM(E106:E147)</x:f>
        <x:v>0</x:v>
      </x:c>
      <x:c r="H105" s="30" t="n">
        <x:f>IF($E$42=0,1-MIN(C105,$E$43)/$E$43,((1+$E$42)^$E$43-(1+$E$42)^MIN(C105,$E$43))/((1+$E$42)^$E$43-1))</x:f>
        <x:v>0</x:v>
      </x:c>
      <x:c r="I105" s="30" t="n">
        <x:f>MAX(0,1-D105-J105)</x:f>
        <x:v>0</x:v>
      </x:c>
      <x:c r="J105" s="2" t="n">
        <x:f>(1-$E$40)*INDEX('Assumptions'!$I$65:$I$101,MIN(C105,36)+1)</x:f>
        <x:v>0.64</x:v>
      </x:c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</x:row>
    <x:row r="106" ht="19" customHeight="1">
      <x:c r="A106" s="1"/>
      <x:c r="B106" s="1"/>
      <x:c r="C106" s="2" t="n">
        <x:v>55</x:v>
      </x:c>
      <x:c r="D106" s="30" t="n">
        <x:f>$E$40*INDEX('Assumptions'!$F$65:$F$101,MIN(C106,36)+1)</x:f>
        <x:v>0.36</x:v>
      </x:c>
      <x:c r="E106" s="30" t="n">
        <x:f>(D106-D105)*H105</x:f>
        <x:v>0</x:v>
      </x:c>
      <x:c r="F106" s="30" t="n">
        <x:f>(1-D106-J105)*(H105-H106)+(J106-J105)*H106</x:f>
        <x:v>0</x:v>
      </x:c>
      <x:c r="G106" s="30" t="n">
        <x:f>SUM(E107:E147)</x:f>
        <x:v>0</x:v>
      </x:c>
      <x:c r="H106" s="30" t="n">
        <x:f>IF($E$42=0,1-MIN(C106,$E$43)/$E$43,((1+$E$42)^$E$43-(1+$E$42)^MIN(C106,$E$43))/((1+$E$42)^$E$43-1))</x:f>
        <x:v>0</x:v>
      </x:c>
      <x:c r="I106" s="30" t="n">
        <x:f>MAX(0,1-D106-J106)</x:f>
        <x:v>0</x:v>
      </x:c>
      <x:c r="J106" s="2" t="n">
        <x:f>(1-$E$40)*INDEX('Assumptions'!$I$65:$I$101,MIN(C106,36)+1)</x:f>
        <x:v>0.64</x:v>
      </x:c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</x:row>
    <x:row r="107" ht="19" customHeight="1">
      <x:c r="A107" s="1"/>
      <x:c r="B107" s="1"/>
      <x:c r="C107" s="2" t="n">
        <x:v>56</x:v>
      </x:c>
      <x:c r="D107" s="30" t="n">
        <x:f>$E$40*INDEX('Assumptions'!$F$65:$F$101,MIN(C107,36)+1)</x:f>
        <x:v>0.36</x:v>
      </x:c>
      <x:c r="E107" s="30" t="n">
        <x:f>(D107-D106)*H106</x:f>
        <x:v>0</x:v>
      </x:c>
      <x:c r="F107" s="30" t="n">
        <x:f>(1-D107-J106)*(H106-H107)+(J107-J106)*H107</x:f>
        <x:v>0</x:v>
      </x:c>
      <x:c r="G107" s="30" t="n">
        <x:f>SUM(E108:E147)</x:f>
        <x:v>0</x:v>
      </x:c>
      <x:c r="H107" s="30" t="n">
        <x:f>IF($E$42=0,1-MIN(C107,$E$43)/$E$43,((1+$E$42)^$E$43-(1+$E$42)^MIN(C107,$E$43))/((1+$E$42)^$E$43-1))</x:f>
        <x:v>0</x:v>
      </x:c>
      <x:c r="I107" s="30" t="n">
        <x:f>MAX(0,1-D107-J107)</x:f>
        <x:v>0</x:v>
      </x:c>
      <x:c r="J107" s="2" t="n">
        <x:f>(1-$E$40)*INDEX('Assumptions'!$I$65:$I$101,MIN(C107,36)+1)</x:f>
        <x:v>0.64</x:v>
      </x:c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</x:row>
    <x:row r="108" ht="19" customHeight="1">
      <x:c r="A108" s="1"/>
      <x:c r="B108" s="1"/>
      <x:c r="C108" s="2" t="n">
        <x:v>57</x:v>
      </x:c>
      <x:c r="D108" s="30" t="n">
        <x:f>$E$40*INDEX('Assumptions'!$F$65:$F$101,MIN(C108,36)+1)</x:f>
        <x:v>0.36</x:v>
      </x:c>
      <x:c r="E108" s="30" t="n">
        <x:f>(D108-D107)*H107</x:f>
        <x:v>0</x:v>
      </x:c>
      <x:c r="F108" s="30" t="n">
        <x:f>(1-D108-J107)*(H107-H108)+(J108-J107)*H108</x:f>
        <x:v>0</x:v>
      </x:c>
      <x:c r="G108" s="30" t="n">
        <x:f>SUM(E109:E147)</x:f>
        <x:v>0</x:v>
      </x:c>
      <x:c r="H108" s="30" t="n">
        <x:f>IF($E$42=0,1-MIN(C108,$E$43)/$E$43,((1+$E$42)^$E$43-(1+$E$42)^MIN(C108,$E$43))/((1+$E$42)^$E$43-1))</x:f>
        <x:v>0</x:v>
      </x:c>
      <x:c r="I108" s="30" t="n">
        <x:f>MAX(0,1-D108-J108)</x:f>
        <x:v>0</x:v>
      </x:c>
      <x:c r="J108" s="2" t="n">
        <x:f>(1-$E$40)*INDEX('Assumptions'!$I$65:$I$101,MIN(C108,36)+1)</x:f>
        <x:v>0.64</x:v>
      </x:c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</x:row>
    <x:row r="109" ht="19" customHeight="1">
      <x:c r="A109" s="1"/>
      <x:c r="B109" s="1"/>
      <x:c r="C109" s="2" t="n">
        <x:v>58</x:v>
      </x:c>
      <x:c r="D109" s="30" t="n">
        <x:f>$E$40*INDEX('Assumptions'!$F$65:$F$101,MIN(C109,36)+1)</x:f>
        <x:v>0.36</x:v>
      </x:c>
      <x:c r="E109" s="30" t="n">
        <x:f>(D109-D108)*H108</x:f>
        <x:v>0</x:v>
      </x:c>
      <x:c r="F109" s="30" t="n">
        <x:f>(1-D109-J108)*(H108-H109)+(J109-J108)*H109</x:f>
        <x:v>0</x:v>
      </x:c>
      <x:c r="G109" s="30" t="n">
        <x:f>SUM(E110:E147)</x:f>
        <x:v>0</x:v>
      </x:c>
      <x:c r="H109" s="30" t="n">
        <x:f>IF($E$42=0,1-MIN(C109,$E$43)/$E$43,((1+$E$42)^$E$43-(1+$E$42)^MIN(C109,$E$43))/((1+$E$42)^$E$43-1))</x:f>
        <x:v>0</x:v>
      </x:c>
      <x:c r="I109" s="30" t="n">
        <x:f>MAX(0,1-D109-J109)</x:f>
        <x:v>0</x:v>
      </x:c>
      <x:c r="J109" s="2" t="n">
        <x:f>(1-$E$40)*INDEX('Assumptions'!$I$65:$I$101,MIN(C109,36)+1)</x:f>
        <x:v>0.64</x:v>
      </x:c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</x:row>
    <x:row r="110" ht="19" customHeight="1">
      <x:c r="A110" s="1"/>
      <x:c r="B110" s="1"/>
      <x:c r="C110" s="2" t="n">
        <x:v>59</x:v>
      </x:c>
      <x:c r="D110" s="30" t="n">
        <x:f>$E$40*INDEX('Assumptions'!$F$65:$F$101,MIN(C110,36)+1)</x:f>
        <x:v>0.36</x:v>
      </x:c>
      <x:c r="E110" s="30" t="n">
        <x:f>(D110-D109)*H109</x:f>
        <x:v>0</x:v>
      </x:c>
      <x:c r="F110" s="30" t="n">
        <x:f>(1-D110-J109)*(H109-H110)+(J110-J109)*H110</x:f>
        <x:v>0</x:v>
      </x:c>
      <x:c r="G110" s="30" t="n">
        <x:f>SUM(E111:E147)</x:f>
        <x:v>0</x:v>
      </x:c>
      <x:c r="H110" s="30" t="n">
        <x:f>IF($E$42=0,1-MIN(C110,$E$43)/$E$43,((1+$E$42)^$E$43-(1+$E$42)^MIN(C110,$E$43))/((1+$E$42)^$E$43-1))</x:f>
        <x:v>0</x:v>
      </x:c>
      <x:c r="I110" s="30" t="n">
        <x:f>MAX(0,1-D110-J110)</x:f>
        <x:v>0</x:v>
      </x:c>
      <x:c r="J110" s="2" t="n">
        <x:f>(1-$E$40)*INDEX('Assumptions'!$I$65:$I$101,MIN(C110,36)+1)</x:f>
        <x:v>0.64</x:v>
      </x:c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</x:row>
    <x:row r="111" ht="19" customHeight="1">
      <x:c r="A111" s="1"/>
      <x:c r="B111" s="1"/>
      <x:c r="C111" s="2" t="n">
        <x:v>60</x:v>
      </x:c>
      <x:c r="D111" s="30" t="n">
        <x:f>$E$40*INDEX('Assumptions'!$F$65:$F$101,MIN(C111,36)+1)</x:f>
        <x:v>0.36</x:v>
      </x:c>
      <x:c r="E111" s="30" t="n">
        <x:f>(D111-D110)*H110</x:f>
        <x:v>0</x:v>
      </x:c>
      <x:c r="F111" s="30" t="n">
        <x:f>(1-D111-J110)*(H110-H111)+(J111-J110)*H111</x:f>
        <x:v>0</x:v>
      </x:c>
      <x:c r="G111" s="30" t="n">
        <x:f>SUM(E112:E147)</x:f>
        <x:v>0</x:v>
      </x:c>
      <x:c r="H111" s="30" t="n">
        <x:f>IF($E$42=0,1-MIN(C111,$E$43)/$E$43,((1+$E$42)^$E$43-(1+$E$42)^MIN(C111,$E$43))/((1+$E$42)^$E$43-1))</x:f>
        <x:v>0</x:v>
      </x:c>
      <x:c r="I111" s="30" t="n">
        <x:f>MAX(0,1-D111-J111)</x:f>
        <x:v>0</x:v>
      </x:c>
      <x:c r="J111" s="2" t="n">
        <x:f>(1-$E$40)*INDEX('Assumptions'!$I$65:$I$101,MIN(C111,36)+1)</x:f>
        <x:v>0.64</x:v>
      </x:c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</x:row>
    <x:row r="112" ht="19" customHeight="1">
      <x:c r="A112" s="1"/>
      <x:c r="B112" s="1"/>
      <x:c r="C112" s="2" t="n">
        <x:v>61</x:v>
      </x:c>
      <x:c r="D112" s="30" t="n">
        <x:f>$E$40*INDEX('Assumptions'!$F$65:$F$101,MIN(C112,36)+1)</x:f>
        <x:v>0.36</x:v>
      </x:c>
      <x:c r="E112" s="30" t="n">
        <x:f>(D112-D111)*H111</x:f>
        <x:v>0</x:v>
      </x:c>
      <x:c r="F112" s="30" t="n">
        <x:f>(1-D112-J111)*(H111-H112)+(J112-J111)*H112</x:f>
        <x:v>0</x:v>
      </x:c>
      <x:c r="G112" s="30" t="n">
        <x:f>SUM(E113:E147)</x:f>
        <x:v>0</x:v>
      </x:c>
      <x:c r="H112" s="30" t="n">
        <x:f>IF($E$42=0,1-MIN(C112,$E$43)/$E$43,((1+$E$42)^$E$43-(1+$E$42)^MIN(C112,$E$43))/((1+$E$42)^$E$43-1))</x:f>
        <x:v>0</x:v>
      </x:c>
      <x:c r="I112" s="30" t="n">
        <x:f>MAX(0,1-D112-J112)</x:f>
        <x:v>0</x:v>
      </x:c>
      <x:c r="J112" s="2" t="n">
        <x:f>(1-$E$40)*INDEX('Assumptions'!$I$65:$I$101,MIN(C112,36)+1)</x:f>
        <x:v>0.64</x:v>
      </x:c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</x:row>
    <x:row r="113" ht="19" customHeight="1">
      <x:c r="A113" s="1"/>
      <x:c r="B113" s="1"/>
      <x:c r="C113" s="2" t="n">
        <x:v>62</x:v>
      </x:c>
      <x:c r="D113" s="30" t="n">
        <x:f>$E$40*INDEX('Assumptions'!$F$65:$F$101,MIN(C113,36)+1)</x:f>
        <x:v>0.36</x:v>
      </x:c>
      <x:c r="E113" s="30" t="n">
        <x:f>(D113-D112)*H112</x:f>
        <x:v>0</x:v>
      </x:c>
      <x:c r="F113" s="30" t="n">
        <x:f>(1-D113-J112)*(H112-H113)+(J113-J112)*H113</x:f>
        <x:v>0</x:v>
      </x:c>
      <x:c r="G113" s="30" t="n">
        <x:f>SUM(E114:E147)</x:f>
        <x:v>0</x:v>
      </x:c>
      <x:c r="H113" s="30" t="n">
        <x:f>IF($E$42=0,1-MIN(C113,$E$43)/$E$43,((1+$E$42)^$E$43-(1+$E$42)^MIN(C113,$E$43))/((1+$E$42)^$E$43-1))</x:f>
        <x:v>0</x:v>
      </x:c>
      <x:c r="I113" s="30" t="n">
        <x:f>MAX(0,1-D113-J113)</x:f>
        <x:v>0</x:v>
      </x:c>
      <x:c r="J113" s="2" t="n">
        <x:f>(1-$E$40)*INDEX('Assumptions'!$I$65:$I$101,MIN(C113,36)+1)</x:f>
        <x:v>0.64</x:v>
      </x:c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</x:row>
    <x:row r="114" ht="19" customHeight="1">
      <x:c r="A114" s="1"/>
      <x:c r="B114" s="1"/>
      <x:c r="C114" s="2" t="n">
        <x:v>63</x:v>
      </x:c>
      <x:c r="D114" s="30" t="n">
        <x:f>$E$40*INDEX('Assumptions'!$F$65:$F$101,MIN(C114,36)+1)</x:f>
        <x:v>0.36</x:v>
      </x:c>
      <x:c r="E114" s="30" t="n">
        <x:f>(D114-D113)*H113</x:f>
        <x:v>0</x:v>
      </x:c>
      <x:c r="F114" s="30" t="n">
        <x:f>(1-D114-J113)*(H113-H114)+(J114-J113)*H114</x:f>
        <x:v>0</x:v>
      </x:c>
      <x:c r="G114" s="30" t="n">
        <x:f>SUM(E115:E147)</x:f>
        <x:v>0</x:v>
      </x:c>
      <x:c r="H114" s="30" t="n">
        <x:f>IF($E$42=0,1-MIN(C114,$E$43)/$E$43,((1+$E$42)^$E$43-(1+$E$42)^MIN(C114,$E$43))/((1+$E$42)^$E$43-1))</x:f>
        <x:v>0</x:v>
      </x:c>
      <x:c r="I114" s="30" t="n">
        <x:f>MAX(0,1-D114-J114)</x:f>
        <x:v>0</x:v>
      </x:c>
      <x:c r="J114" s="2" t="n">
        <x:f>(1-$E$40)*INDEX('Assumptions'!$I$65:$I$101,MIN(C114,36)+1)</x:f>
        <x:v>0.64</x:v>
      </x:c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</x:row>
    <x:row r="115" ht="19" customHeight="1">
      <x:c r="A115" s="1"/>
      <x:c r="B115" s="1"/>
      <x:c r="C115" s="2" t="n">
        <x:v>64</x:v>
      </x:c>
      <x:c r="D115" s="30" t="n">
        <x:f>$E$40*INDEX('Assumptions'!$F$65:$F$101,MIN(C115,36)+1)</x:f>
        <x:v>0.36</x:v>
      </x:c>
      <x:c r="E115" s="30" t="n">
        <x:f>(D115-D114)*H114</x:f>
        <x:v>0</x:v>
      </x:c>
      <x:c r="F115" s="30" t="n">
        <x:f>(1-D115-J114)*(H114-H115)+(J115-J114)*H115</x:f>
        <x:v>0</x:v>
      </x:c>
      <x:c r="G115" s="30" t="n">
        <x:f>SUM(E116:E147)</x:f>
        <x:v>0</x:v>
      </x:c>
      <x:c r="H115" s="30" t="n">
        <x:f>IF($E$42=0,1-MIN(C115,$E$43)/$E$43,((1+$E$42)^$E$43-(1+$E$42)^MIN(C115,$E$43))/((1+$E$42)^$E$43-1))</x:f>
        <x:v>0</x:v>
      </x:c>
      <x:c r="I115" s="30" t="n">
        <x:f>MAX(0,1-D115-J115)</x:f>
        <x:v>0</x:v>
      </x:c>
      <x:c r="J115" s="2" t="n">
        <x:f>(1-$E$40)*INDEX('Assumptions'!$I$65:$I$101,MIN(C115,36)+1)</x:f>
        <x:v>0.64</x:v>
      </x:c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</x:row>
    <x:row r="116" ht="19" customHeight="1">
      <x:c r="A116" s="1"/>
      <x:c r="B116" s="1"/>
      <x:c r="C116" s="2" t="n">
        <x:v>65</x:v>
      </x:c>
      <x:c r="D116" s="30" t="n">
        <x:f>$E$40*INDEX('Assumptions'!$F$65:$F$101,MIN(C116,36)+1)</x:f>
        <x:v>0.36</x:v>
      </x:c>
      <x:c r="E116" s="30" t="n">
        <x:f>(D116-D115)*H115</x:f>
        <x:v>0</x:v>
      </x:c>
      <x:c r="F116" s="30" t="n">
        <x:f>(1-D116-J115)*(H115-H116)+(J116-J115)*H116</x:f>
        <x:v>0</x:v>
      </x:c>
      <x:c r="G116" s="30" t="n">
        <x:f>SUM(E117:E147)</x:f>
        <x:v>0</x:v>
      </x:c>
      <x:c r="H116" s="30" t="n">
        <x:f>IF($E$42=0,1-MIN(C116,$E$43)/$E$43,((1+$E$42)^$E$43-(1+$E$42)^MIN(C116,$E$43))/((1+$E$42)^$E$43-1))</x:f>
        <x:v>0</x:v>
      </x:c>
      <x:c r="I116" s="30" t="n">
        <x:f>MAX(0,1-D116-J116)</x:f>
        <x:v>0</x:v>
      </x:c>
      <x:c r="J116" s="2" t="n">
        <x:f>(1-$E$40)*INDEX('Assumptions'!$I$65:$I$101,MIN(C116,36)+1)</x:f>
        <x:v>0.64</x:v>
      </x:c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</x:row>
    <x:row r="117" ht="19" customHeight="1">
      <x:c r="A117" s="1"/>
      <x:c r="B117" s="1"/>
      <x:c r="C117" s="2" t="n">
        <x:v>66</x:v>
      </x:c>
      <x:c r="D117" s="30" t="n">
        <x:f>$E$40*INDEX('Assumptions'!$F$65:$F$101,MIN(C117,36)+1)</x:f>
        <x:v>0.36</x:v>
      </x:c>
      <x:c r="E117" s="30" t="n">
        <x:f>(D117-D116)*H116</x:f>
        <x:v>0</x:v>
      </x:c>
      <x:c r="F117" s="30" t="n">
        <x:f>(1-D117-J116)*(H116-H117)+(J117-J116)*H117</x:f>
        <x:v>0</x:v>
      </x:c>
      <x:c r="G117" s="30" t="n">
        <x:f>SUM(E118:E147)</x:f>
        <x:v>0</x:v>
      </x:c>
      <x:c r="H117" s="30" t="n">
        <x:f>IF($E$42=0,1-MIN(C117,$E$43)/$E$43,((1+$E$42)^$E$43-(1+$E$42)^MIN(C117,$E$43))/((1+$E$42)^$E$43-1))</x:f>
        <x:v>0</x:v>
      </x:c>
      <x:c r="I117" s="30" t="n">
        <x:f>MAX(0,1-D117-J117)</x:f>
        <x:v>0</x:v>
      </x:c>
      <x:c r="J117" s="2" t="n">
        <x:f>(1-$E$40)*INDEX('Assumptions'!$I$65:$I$101,MIN(C117,36)+1)</x:f>
        <x:v>0.64</x:v>
      </x:c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</x:row>
    <x:row r="118" ht="19" customHeight="1">
      <x:c r="A118" s="1"/>
      <x:c r="B118" s="1"/>
      <x:c r="C118" s="2" t="n">
        <x:v>67</x:v>
      </x:c>
      <x:c r="D118" s="30" t="n">
        <x:f>$E$40*INDEX('Assumptions'!$F$65:$F$101,MIN(C118,36)+1)</x:f>
        <x:v>0.36</x:v>
      </x:c>
      <x:c r="E118" s="30" t="n">
        <x:f>(D118-D117)*H117</x:f>
        <x:v>0</x:v>
      </x:c>
      <x:c r="F118" s="30" t="n">
        <x:f>(1-D118-J117)*(H117-H118)+(J118-J117)*H118</x:f>
        <x:v>0</x:v>
      </x:c>
      <x:c r="G118" s="30" t="n">
        <x:f>SUM(E119:E147)</x:f>
        <x:v>0</x:v>
      </x:c>
      <x:c r="H118" s="30" t="n">
        <x:f>IF($E$42=0,1-MIN(C118,$E$43)/$E$43,((1+$E$42)^$E$43-(1+$E$42)^MIN(C118,$E$43))/((1+$E$42)^$E$43-1))</x:f>
        <x:v>0</x:v>
      </x:c>
      <x:c r="I118" s="30" t="n">
        <x:f>MAX(0,1-D118-J118)</x:f>
        <x:v>0</x:v>
      </x:c>
      <x:c r="J118" s="2" t="n">
        <x:f>(1-$E$40)*INDEX('Assumptions'!$I$65:$I$101,MIN(C118,36)+1)</x:f>
        <x:v>0.64</x:v>
      </x:c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</x:row>
    <x:row r="119" ht="19" customHeight="1">
      <x:c r="A119" s="1"/>
      <x:c r="B119" s="1"/>
      <x:c r="C119" s="2" t="n">
        <x:v>68</x:v>
      </x:c>
      <x:c r="D119" s="30" t="n">
        <x:f>$E$40*INDEX('Assumptions'!$F$65:$F$101,MIN(C119,36)+1)</x:f>
        <x:v>0.36</x:v>
      </x:c>
      <x:c r="E119" s="30" t="n">
        <x:f>(D119-D118)*H118</x:f>
        <x:v>0</x:v>
      </x:c>
      <x:c r="F119" s="30" t="n">
        <x:f>(1-D119-J118)*(H118-H119)+(J119-J118)*H119</x:f>
        <x:v>0</x:v>
      </x:c>
      <x:c r="G119" s="30" t="n">
        <x:f>SUM(E120:E147)</x:f>
        <x:v>0</x:v>
      </x:c>
      <x:c r="H119" s="30" t="n">
        <x:f>IF($E$42=0,1-MIN(C119,$E$43)/$E$43,((1+$E$42)^$E$43-(1+$E$42)^MIN(C119,$E$43))/((1+$E$42)^$E$43-1))</x:f>
        <x:v>0</x:v>
      </x:c>
      <x:c r="I119" s="30" t="n">
        <x:f>MAX(0,1-D119-J119)</x:f>
        <x:v>0</x:v>
      </x:c>
      <x:c r="J119" s="2" t="n">
        <x:f>(1-$E$40)*INDEX('Assumptions'!$I$65:$I$101,MIN(C119,36)+1)</x:f>
        <x:v>0.64</x:v>
      </x:c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</x:row>
    <x:row r="120" ht="19" customHeight="1">
      <x:c r="A120" s="1"/>
      <x:c r="B120" s="1"/>
      <x:c r="C120" s="2" t="n">
        <x:v>69</x:v>
      </x:c>
      <x:c r="D120" s="30" t="n">
        <x:f>$E$40*INDEX('Assumptions'!$F$65:$F$101,MIN(C120,36)+1)</x:f>
        <x:v>0.36</x:v>
      </x:c>
      <x:c r="E120" s="30" t="n">
        <x:f>(D120-D119)*H119</x:f>
        <x:v>0</x:v>
      </x:c>
      <x:c r="F120" s="30" t="n">
        <x:f>(1-D120-J119)*(H119-H120)+(J120-J119)*H120</x:f>
        <x:v>0</x:v>
      </x:c>
      <x:c r="G120" s="30" t="n">
        <x:f>SUM(E121:E147)</x:f>
        <x:v>0</x:v>
      </x:c>
      <x:c r="H120" s="30" t="n">
        <x:f>IF($E$42=0,1-MIN(C120,$E$43)/$E$43,((1+$E$42)^$E$43-(1+$E$42)^MIN(C120,$E$43))/((1+$E$42)^$E$43-1))</x:f>
        <x:v>0</x:v>
      </x:c>
      <x:c r="I120" s="30" t="n">
        <x:f>MAX(0,1-D120-J120)</x:f>
        <x:v>0</x:v>
      </x:c>
      <x:c r="J120" s="2" t="n">
        <x:f>(1-$E$40)*INDEX('Assumptions'!$I$65:$I$101,MIN(C120,36)+1)</x:f>
        <x:v>0.64</x:v>
      </x:c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</x:row>
    <x:row r="121" ht="19" customHeight="1">
      <x:c r="A121" s="1"/>
      <x:c r="B121" s="1"/>
      <x:c r="C121" s="2" t="n">
        <x:v>70</x:v>
      </x:c>
      <x:c r="D121" s="30" t="n">
        <x:f>$E$40*INDEX('Assumptions'!$F$65:$F$101,MIN(C121,36)+1)</x:f>
        <x:v>0.36</x:v>
      </x:c>
      <x:c r="E121" s="30" t="n">
        <x:f>(D121-D120)*H120</x:f>
        <x:v>0</x:v>
      </x:c>
      <x:c r="F121" s="30" t="n">
        <x:f>(1-D121-J120)*(H120-H121)+(J121-J120)*H121</x:f>
        <x:v>0</x:v>
      </x:c>
      <x:c r="G121" s="30" t="n">
        <x:f>SUM(E122:E147)</x:f>
        <x:v>0</x:v>
      </x:c>
      <x:c r="H121" s="30" t="n">
        <x:f>IF($E$42=0,1-MIN(C121,$E$43)/$E$43,((1+$E$42)^$E$43-(1+$E$42)^MIN(C121,$E$43))/((1+$E$42)^$E$43-1))</x:f>
        <x:v>0</x:v>
      </x:c>
      <x:c r="I121" s="30" t="n">
        <x:f>MAX(0,1-D121-J121)</x:f>
        <x:v>0</x:v>
      </x:c>
      <x:c r="J121" s="2" t="n">
        <x:f>(1-$E$40)*INDEX('Assumptions'!$I$65:$I$101,MIN(C121,36)+1)</x:f>
        <x:v>0.64</x:v>
      </x:c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</x:row>
    <x:row r="122" ht="19" customHeight="1">
      <x:c r="A122" s="1"/>
      <x:c r="B122" s="1"/>
      <x:c r="C122" s="2" t="n">
        <x:v>71</x:v>
      </x:c>
      <x:c r="D122" s="30" t="n">
        <x:f>$E$40*INDEX('Assumptions'!$F$65:$F$101,MIN(C122,36)+1)</x:f>
        <x:v>0.36</x:v>
      </x:c>
      <x:c r="E122" s="30" t="n">
        <x:f>(D122-D121)*H121</x:f>
        <x:v>0</x:v>
      </x:c>
      <x:c r="F122" s="30" t="n">
        <x:f>(1-D122-J121)*(H121-H122)+(J122-J121)*H122</x:f>
        <x:v>0</x:v>
      </x:c>
      <x:c r="G122" s="30" t="n">
        <x:f>SUM(E123:E147)</x:f>
        <x:v>0</x:v>
      </x:c>
      <x:c r="H122" s="30" t="n">
        <x:f>IF($E$42=0,1-MIN(C122,$E$43)/$E$43,((1+$E$42)^$E$43-(1+$E$42)^MIN(C122,$E$43))/((1+$E$42)^$E$43-1))</x:f>
        <x:v>0</x:v>
      </x:c>
      <x:c r="I122" s="30" t="n">
        <x:f>MAX(0,1-D122-J122)</x:f>
        <x:v>0</x:v>
      </x:c>
      <x:c r="J122" s="2" t="n">
        <x:f>(1-$E$40)*INDEX('Assumptions'!$I$65:$I$101,MIN(C122,36)+1)</x:f>
        <x:v>0.64</x:v>
      </x:c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</x:row>
    <x:row r="123" ht="19" customHeight="1">
      <x:c r="A123" s="1"/>
      <x:c r="B123" s="1"/>
      <x:c r="C123" s="2" t="n">
        <x:v>72</x:v>
      </x:c>
      <x:c r="D123" s="30" t="n">
        <x:f>$E$40*INDEX('Assumptions'!$F$65:$F$101,MIN(C123,36)+1)</x:f>
        <x:v>0.36</x:v>
      </x:c>
      <x:c r="E123" s="30" t="n">
        <x:f>(D123-D122)*H122</x:f>
        <x:v>0</x:v>
      </x:c>
      <x:c r="F123" s="30" t="n">
        <x:f>(1-D123-J122)*(H122-H123)+(J123-J122)*H123</x:f>
        <x:v>0</x:v>
      </x:c>
      <x:c r="G123" s="30" t="n">
        <x:f>SUM(E124:E147)</x:f>
        <x:v>0</x:v>
      </x:c>
      <x:c r="H123" s="30" t="n">
        <x:f>IF($E$42=0,1-MIN(C123,$E$43)/$E$43,((1+$E$42)^$E$43-(1+$E$42)^MIN(C123,$E$43))/((1+$E$42)^$E$43-1))</x:f>
        <x:v>0</x:v>
      </x:c>
      <x:c r="I123" s="30" t="n">
        <x:f>MAX(0,1-D123-J123)</x:f>
        <x:v>0</x:v>
      </x:c>
      <x:c r="J123" s="2" t="n">
        <x:f>(1-$E$40)*INDEX('Assumptions'!$I$65:$I$101,MIN(C123,36)+1)</x:f>
        <x:v>0.64</x:v>
      </x:c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</x:row>
    <x:row r="124" ht="19" customHeight="1">
      <x:c r="A124" s="1"/>
      <x:c r="B124" s="1"/>
      <x:c r="C124" s="2" t="n">
        <x:v>73</x:v>
      </x:c>
      <x:c r="D124" s="30" t="n">
        <x:f>$E$40*INDEX('Assumptions'!$F$65:$F$101,MIN(C124,36)+1)</x:f>
        <x:v>0.36</x:v>
      </x:c>
      <x:c r="E124" s="30" t="n">
        <x:f>(D124-D123)*H123</x:f>
        <x:v>0</x:v>
      </x:c>
      <x:c r="F124" s="30" t="n">
        <x:f>(1-D124-J123)*(H123-H124)+(J124-J123)*H124</x:f>
        <x:v>0</x:v>
      </x:c>
      <x:c r="G124" s="30" t="n">
        <x:f>SUM(E125:E147)</x:f>
        <x:v>0</x:v>
      </x:c>
      <x:c r="H124" s="30" t="n">
        <x:f>IF($E$42=0,1-MIN(C124,$E$43)/$E$43,((1+$E$42)^$E$43-(1+$E$42)^MIN(C124,$E$43))/((1+$E$42)^$E$43-1))</x:f>
        <x:v>0</x:v>
      </x:c>
      <x:c r="I124" s="30" t="n">
        <x:f>MAX(0,1-D124-J124)</x:f>
        <x:v>0</x:v>
      </x:c>
      <x:c r="J124" s="2" t="n">
        <x:f>(1-$E$40)*INDEX('Assumptions'!$I$65:$I$101,MIN(C124,36)+1)</x:f>
        <x:v>0.64</x:v>
      </x:c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</x:row>
    <x:row r="125" ht="19" customHeight="1">
      <x:c r="A125" s="1"/>
      <x:c r="B125" s="1"/>
      <x:c r="C125" s="2" t="n">
        <x:v>74</x:v>
      </x:c>
      <x:c r="D125" s="30" t="n">
        <x:f>$E$40*INDEX('Assumptions'!$F$65:$F$101,MIN(C125,36)+1)</x:f>
        <x:v>0.36</x:v>
      </x:c>
      <x:c r="E125" s="30" t="n">
        <x:f>(D125-D124)*H124</x:f>
        <x:v>0</x:v>
      </x:c>
      <x:c r="F125" s="30" t="n">
        <x:f>(1-D125-J124)*(H124-H125)+(J125-J124)*H125</x:f>
        <x:v>0</x:v>
      </x:c>
      <x:c r="G125" s="30" t="n">
        <x:f>SUM(E126:E147)</x:f>
        <x:v>0</x:v>
      </x:c>
      <x:c r="H125" s="30" t="n">
        <x:f>IF($E$42=0,1-MIN(C125,$E$43)/$E$43,((1+$E$42)^$E$43-(1+$E$42)^MIN(C125,$E$43))/((1+$E$42)^$E$43-1))</x:f>
        <x:v>0</x:v>
      </x:c>
      <x:c r="I125" s="30" t="n">
        <x:f>MAX(0,1-D125-J125)</x:f>
        <x:v>0</x:v>
      </x:c>
      <x:c r="J125" s="2" t="n">
        <x:f>(1-$E$40)*INDEX('Assumptions'!$I$65:$I$101,MIN(C125,36)+1)</x:f>
        <x:v>0.64</x:v>
      </x:c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</x:row>
    <x:row r="126" ht="19" customHeight="1">
      <x:c r="A126" s="1"/>
      <x:c r="B126" s="1"/>
      <x:c r="C126" s="2" t="n">
        <x:v>75</x:v>
      </x:c>
      <x:c r="D126" s="30" t="n">
        <x:f>$E$40*INDEX('Assumptions'!$F$65:$F$101,MIN(C126,36)+1)</x:f>
        <x:v>0.36</x:v>
      </x:c>
      <x:c r="E126" s="30" t="n">
        <x:f>(D126-D125)*H125</x:f>
        <x:v>0</x:v>
      </x:c>
      <x:c r="F126" s="30" t="n">
        <x:f>(1-D126-J125)*(H125-H126)+(J126-J125)*H126</x:f>
        <x:v>0</x:v>
      </x:c>
      <x:c r="G126" s="30" t="n">
        <x:f>SUM(E127:E147)</x:f>
        <x:v>0</x:v>
      </x:c>
      <x:c r="H126" s="30" t="n">
        <x:f>IF($E$42=0,1-MIN(C126,$E$43)/$E$43,((1+$E$42)^$E$43-(1+$E$42)^MIN(C126,$E$43))/((1+$E$42)^$E$43-1))</x:f>
        <x:v>0</x:v>
      </x:c>
      <x:c r="I126" s="30" t="n">
        <x:f>MAX(0,1-D126-J126)</x:f>
        <x:v>0</x:v>
      </x:c>
      <x:c r="J126" s="2" t="n">
        <x:f>(1-$E$40)*INDEX('Assumptions'!$I$65:$I$101,MIN(C126,36)+1)</x:f>
        <x:v>0.64</x:v>
      </x:c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</x:row>
    <x:row r="127" ht="19" customHeight="1">
      <x:c r="A127" s="1"/>
      <x:c r="B127" s="1"/>
      <x:c r="C127" s="2" t="n">
        <x:v>76</x:v>
      </x:c>
      <x:c r="D127" s="30" t="n">
        <x:f>$E$40*INDEX('Assumptions'!$F$65:$F$101,MIN(C127,36)+1)</x:f>
        <x:v>0.36</x:v>
      </x:c>
      <x:c r="E127" s="30" t="n">
        <x:f>(D127-D126)*H126</x:f>
        <x:v>0</x:v>
      </x:c>
      <x:c r="F127" s="30" t="n">
        <x:f>(1-D127-J126)*(H126-H127)+(J127-J126)*H127</x:f>
        <x:v>0</x:v>
      </x:c>
      <x:c r="G127" s="30" t="n">
        <x:f>SUM(E128:E147)</x:f>
        <x:v>0</x:v>
      </x:c>
      <x:c r="H127" s="30" t="n">
        <x:f>IF($E$42=0,1-MIN(C127,$E$43)/$E$43,((1+$E$42)^$E$43-(1+$E$42)^MIN(C127,$E$43))/((1+$E$42)^$E$43-1))</x:f>
        <x:v>0</x:v>
      </x:c>
      <x:c r="I127" s="30" t="n">
        <x:f>MAX(0,1-D127-J127)</x:f>
        <x:v>0</x:v>
      </x:c>
      <x:c r="J127" s="2" t="n">
        <x:f>(1-$E$40)*INDEX('Assumptions'!$I$65:$I$101,MIN(C127,36)+1)</x:f>
        <x:v>0.64</x:v>
      </x:c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</x:row>
    <x:row r="128" ht="19" customHeight="1">
      <x:c r="A128" s="1"/>
      <x:c r="B128" s="1"/>
      <x:c r="C128" s="2" t="n">
        <x:v>77</x:v>
      </x:c>
      <x:c r="D128" s="30" t="n">
        <x:f>$E$40*INDEX('Assumptions'!$F$65:$F$101,MIN(C128,36)+1)</x:f>
        <x:v>0.36</x:v>
      </x:c>
      <x:c r="E128" s="30" t="n">
        <x:f>(D128-D127)*H127</x:f>
        <x:v>0</x:v>
      </x:c>
      <x:c r="F128" s="30" t="n">
        <x:f>(1-D128-J127)*(H127-H128)+(J128-J127)*H128</x:f>
        <x:v>0</x:v>
      </x:c>
      <x:c r="G128" s="30" t="n">
        <x:f>SUM(E129:E147)</x:f>
        <x:v>0</x:v>
      </x:c>
      <x:c r="H128" s="30" t="n">
        <x:f>IF($E$42=0,1-MIN(C128,$E$43)/$E$43,((1+$E$42)^$E$43-(1+$E$42)^MIN(C128,$E$43))/((1+$E$42)^$E$43-1))</x:f>
        <x:v>0</x:v>
      </x:c>
      <x:c r="I128" s="30" t="n">
        <x:f>MAX(0,1-D128-J128)</x:f>
        <x:v>0</x:v>
      </x:c>
      <x:c r="J128" s="2" t="n">
        <x:f>(1-$E$40)*INDEX('Assumptions'!$I$65:$I$101,MIN(C128,36)+1)</x:f>
        <x:v>0.64</x:v>
      </x:c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</x:row>
    <x:row r="129" ht="19" customHeight="1">
      <x:c r="A129" s="1"/>
      <x:c r="B129" s="1"/>
      <x:c r="C129" s="2" t="n">
        <x:v>78</x:v>
      </x:c>
      <x:c r="D129" s="30" t="n">
        <x:f>$E$40*INDEX('Assumptions'!$F$65:$F$101,MIN(C129,36)+1)</x:f>
        <x:v>0.36</x:v>
      </x:c>
      <x:c r="E129" s="30" t="n">
        <x:f>(D129-D128)*H128</x:f>
        <x:v>0</x:v>
      </x:c>
      <x:c r="F129" s="30" t="n">
        <x:f>(1-D129-J128)*(H128-H129)+(J129-J128)*H129</x:f>
        <x:v>0</x:v>
      </x:c>
      <x:c r="G129" s="30" t="n">
        <x:f>SUM(E130:E147)</x:f>
        <x:v>0</x:v>
      </x:c>
      <x:c r="H129" s="30" t="n">
        <x:f>IF($E$42=0,1-MIN(C129,$E$43)/$E$43,((1+$E$42)^$E$43-(1+$E$42)^MIN(C129,$E$43))/((1+$E$42)^$E$43-1))</x:f>
        <x:v>0</x:v>
      </x:c>
      <x:c r="I129" s="30" t="n">
        <x:f>MAX(0,1-D129-J129)</x:f>
        <x:v>0</x:v>
      </x:c>
      <x:c r="J129" s="2" t="n">
        <x:f>(1-$E$40)*INDEX('Assumptions'!$I$65:$I$101,MIN(C129,36)+1)</x:f>
        <x:v>0.64</x:v>
      </x:c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</x:row>
    <x:row r="130" ht="19" customHeight="1">
      <x:c r="A130" s="1"/>
      <x:c r="B130" s="1"/>
      <x:c r="C130" s="2" t="n">
        <x:v>79</x:v>
      </x:c>
      <x:c r="D130" s="30" t="n">
        <x:f>$E$40*INDEX('Assumptions'!$F$65:$F$101,MIN(C130,36)+1)</x:f>
        <x:v>0.36</x:v>
      </x:c>
      <x:c r="E130" s="30" t="n">
        <x:f>(D130-D129)*H129</x:f>
        <x:v>0</x:v>
      </x:c>
      <x:c r="F130" s="30" t="n">
        <x:f>(1-D130-J129)*(H129-H130)+(J130-J129)*H130</x:f>
        <x:v>0</x:v>
      </x:c>
      <x:c r="G130" s="30" t="n">
        <x:f>SUM(E131:E147)</x:f>
        <x:v>0</x:v>
      </x:c>
      <x:c r="H130" s="30" t="n">
        <x:f>IF($E$42=0,1-MIN(C130,$E$43)/$E$43,((1+$E$42)^$E$43-(1+$E$42)^MIN(C130,$E$43))/((1+$E$42)^$E$43-1))</x:f>
        <x:v>0</x:v>
      </x:c>
      <x:c r="I130" s="30" t="n">
        <x:f>MAX(0,1-D130-J130)</x:f>
        <x:v>0</x:v>
      </x:c>
      <x:c r="J130" s="2" t="n">
        <x:f>(1-$E$40)*INDEX('Assumptions'!$I$65:$I$101,MIN(C130,36)+1)</x:f>
        <x:v>0.64</x:v>
      </x:c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</x:row>
    <x:row r="131" ht="19" customHeight="1">
      <x:c r="A131" s="1"/>
      <x:c r="B131" s="1"/>
      <x:c r="C131" s="2" t="n">
        <x:v>80</x:v>
      </x:c>
      <x:c r="D131" s="30" t="n">
        <x:f>$E$40*INDEX('Assumptions'!$F$65:$F$101,MIN(C131,36)+1)</x:f>
        <x:v>0.36</x:v>
      </x:c>
      <x:c r="E131" s="30" t="n">
        <x:f>(D131-D130)*H130</x:f>
        <x:v>0</x:v>
      </x:c>
      <x:c r="F131" s="30" t="n">
        <x:f>(1-D131-J130)*(H130-H131)+(J131-J130)*H131</x:f>
        <x:v>0</x:v>
      </x:c>
      <x:c r="G131" s="30" t="n">
        <x:f>SUM(E132:E147)</x:f>
        <x:v>0</x:v>
      </x:c>
      <x:c r="H131" s="30" t="n">
        <x:f>IF($E$42=0,1-MIN(C131,$E$43)/$E$43,((1+$E$42)^$E$43-(1+$E$42)^MIN(C131,$E$43))/((1+$E$42)^$E$43-1))</x:f>
        <x:v>0</x:v>
      </x:c>
      <x:c r="I131" s="30" t="n">
        <x:f>MAX(0,1-D131-J131)</x:f>
        <x:v>0</x:v>
      </x:c>
      <x:c r="J131" s="2" t="n">
        <x:f>(1-$E$40)*INDEX('Assumptions'!$I$65:$I$101,MIN(C131,36)+1)</x:f>
        <x:v>0.64</x:v>
      </x:c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</x:row>
    <x:row r="132" ht="19" customHeight="1">
      <x:c r="A132" s="1"/>
      <x:c r="B132" s="1"/>
      <x:c r="C132" s="2" t="n">
        <x:v>81</x:v>
      </x:c>
      <x:c r="D132" s="30" t="n">
        <x:f>$E$40*INDEX('Assumptions'!$F$65:$F$101,MIN(C132,36)+1)</x:f>
        <x:v>0.36</x:v>
      </x:c>
      <x:c r="E132" s="30" t="n">
        <x:f>(D132-D131)*H131</x:f>
        <x:v>0</x:v>
      </x:c>
      <x:c r="F132" s="30" t="n">
        <x:f>(1-D132-J131)*(H131-H132)+(J132-J131)*H132</x:f>
        <x:v>0</x:v>
      </x:c>
      <x:c r="G132" s="30" t="n">
        <x:f>SUM(E133:E147)</x:f>
        <x:v>0</x:v>
      </x:c>
      <x:c r="H132" s="30" t="n">
        <x:f>IF($E$42=0,1-MIN(C132,$E$43)/$E$43,((1+$E$42)^$E$43-(1+$E$42)^MIN(C132,$E$43))/((1+$E$42)^$E$43-1))</x:f>
        <x:v>0</x:v>
      </x:c>
      <x:c r="I132" s="30" t="n">
        <x:f>MAX(0,1-D132-J132)</x:f>
        <x:v>0</x:v>
      </x:c>
      <x:c r="J132" s="2" t="n">
        <x:f>(1-$E$40)*INDEX('Assumptions'!$I$65:$I$101,MIN(C132,36)+1)</x:f>
        <x:v>0.64</x:v>
      </x:c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</x:row>
    <x:row r="133" ht="19" customHeight="1">
      <x:c r="A133" s="1"/>
      <x:c r="B133" s="1"/>
      <x:c r="C133" s="2" t="n">
        <x:v>82</x:v>
      </x:c>
      <x:c r="D133" s="30" t="n">
        <x:f>$E$40*INDEX('Assumptions'!$F$65:$F$101,MIN(C133,36)+1)</x:f>
        <x:v>0.36</x:v>
      </x:c>
      <x:c r="E133" s="30" t="n">
        <x:f>(D133-D132)*H132</x:f>
        <x:v>0</x:v>
      </x:c>
      <x:c r="F133" s="30" t="n">
        <x:f>(1-D133-J132)*(H132-H133)+(J133-J132)*H133</x:f>
        <x:v>0</x:v>
      </x:c>
      <x:c r="G133" s="30" t="n">
        <x:f>SUM(E134:E147)</x:f>
        <x:v>0</x:v>
      </x:c>
      <x:c r="H133" s="30" t="n">
        <x:f>IF($E$42=0,1-MIN(C133,$E$43)/$E$43,((1+$E$42)^$E$43-(1+$E$42)^MIN(C133,$E$43))/((1+$E$42)^$E$43-1))</x:f>
        <x:v>0</x:v>
      </x:c>
      <x:c r="I133" s="30" t="n">
        <x:f>MAX(0,1-D133-J133)</x:f>
        <x:v>0</x:v>
      </x:c>
      <x:c r="J133" s="2" t="n">
        <x:f>(1-$E$40)*INDEX('Assumptions'!$I$65:$I$101,MIN(C133,36)+1)</x:f>
        <x:v>0.64</x:v>
      </x:c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</x:row>
    <x:row r="134" ht="19" customHeight="1">
      <x:c r="A134" s="1"/>
      <x:c r="B134" s="1"/>
      <x:c r="C134" s="2" t="n">
        <x:v>83</x:v>
      </x:c>
      <x:c r="D134" s="30" t="n">
        <x:f>$E$40*INDEX('Assumptions'!$F$65:$F$101,MIN(C134,36)+1)</x:f>
        <x:v>0.36</x:v>
      </x:c>
      <x:c r="E134" s="30" t="n">
        <x:f>(D134-D133)*H133</x:f>
        <x:v>0</x:v>
      </x:c>
      <x:c r="F134" s="30" t="n">
        <x:f>(1-D134-J133)*(H133-H134)+(J134-J133)*H134</x:f>
        <x:v>0</x:v>
      </x:c>
      <x:c r="G134" s="30" t="n">
        <x:f>SUM(E135:E147)</x:f>
        <x:v>0</x:v>
      </x:c>
      <x:c r="H134" s="30" t="n">
        <x:f>IF($E$42=0,1-MIN(C134,$E$43)/$E$43,((1+$E$42)^$E$43-(1+$E$42)^MIN(C134,$E$43))/((1+$E$42)^$E$43-1))</x:f>
        <x:v>0</x:v>
      </x:c>
      <x:c r="I134" s="30" t="n">
        <x:f>MAX(0,1-D134-J134)</x:f>
        <x:v>0</x:v>
      </x:c>
      <x:c r="J134" s="2" t="n">
        <x:f>(1-$E$40)*INDEX('Assumptions'!$I$65:$I$101,MIN(C134,36)+1)</x:f>
        <x:v>0.64</x:v>
      </x:c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</x:row>
    <x:row r="135" ht="19" customHeight="1">
      <x:c r="A135" s="1"/>
      <x:c r="B135" s="1"/>
      <x:c r="C135" s="2" t="n">
        <x:v>84</x:v>
      </x:c>
      <x:c r="D135" s="30" t="n">
        <x:f>$E$40*INDEX('Assumptions'!$F$65:$F$101,MIN(C135,36)+1)</x:f>
        <x:v>0.36</x:v>
      </x:c>
      <x:c r="E135" s="30" t="n">
        <x:f>(D135-D134)*H134</x:f>
        <x:v>0</x:v>
      </x:c>
      <x:c r="F135" s="30" t="n">
        <x:f>(1-D135-J134)*(H134-H135)+(J135-J134)*H135</x:f>
        <x:v>0</x:v>
      </x:c>
      <x:c r="G135" s="30" t="n">
        <x:f>SUM(E136:E147)</x:f>
        <x:v>0</x:v>
      </x:c>
      <x:c r="H135" s="30" t="n">
        <x:f>IF($E$42=0,1-MIN(C135,$E$43)/$E$43,((1+$E$42)^$E$43-(1+$E$42)^MIN(C135,$E$43))/((1+$E$42)^$E$43-1))</x:f>
        <x:v>0</x:v>
      </x:c>
      <x:c r="I135" s="30" t="n">
        <x:f>MAX(0,1-D135-J135)</x:f>
        <x:v>0</x:v>
      </x:c>
      <x:c r="J135" s="2" t="n">
        <x:f>(1-$E$40)*INDEX('Assumptions'!$I$65:$I$101,MIN(C135,36)+1)</x:f>
        <x:v>0.64</x:v>
      </x:c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</x:row>
    <x:row r="136" ht="19" customHeight="1">
      <x:c r="A136" s="1"/>
      <x:c r="B136" s="1"/>
      <x:c r="C136" s="2" t="n">
        <x:v>85</x:v>
      </x:c>
      <x:c r="D136" s="30" t="n">
        <x:f>$E$40*INDEX('Assumptions'!$F$65:$F$101,MIN(C136,36)+1)</x:f>
        <x:v>0.36</x:v>
      </x:c>
      <x:c r="E136" s="30" t="n">
        <x:f>(D136-D135)*H135</x:f>
        <x:v>0</x:v>
      </x:c>
      <x:c r="F136" s="30" t="n">
        <x:f>(1-D136-J135)*(H135-H136)+(J136-J135)*H136</x:f>
        <x:v>0</x:v>
      </x:c>
      <x:c r="G136" s="30" t="n">
        <x:f>SUM(E137:E147)</x:f>
        <x:v>0</x:v>
      </x:c>
      <x:c r="H136" s="30" t="n">
        <x:f>IF($E$42=0,1-MIN(C136,$E$43)/$E$43,((1+$E$42)^$E$43-(1+$E$42)^MIN(C136,$E$43))/((1+$E$42)^$E$43-1))</x:f>
        <x:v>0</x:v>
      </x:c>
      <x:c r="I136" s="30" t="n">
        <x:f>MAX(0,1-D136-J136)</x:f>
        <x:v>0</x:v>
      </x:c>
      <x:c r="J136" s="2" t="n">
        <x:f>(1-$E$40)*INDEX('Assumptions'!$I$65:$I$101,MIN(C136,36)+1)</x:f>
        <x:v>0.64</x:v>
      </x:c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</x:row>
    <x:row r="137" ht="19" customHeight="1">
      <x:c r="A137" s="1"/>
      <x:c r="B137" s="1"/>
      <x:c r="C137" s="2" t="n">
        <x:v>86</x:v>
      </x:c>
      <x:c r="D137" s="30" t="n">
        <x:f>$E$40*INDEX('Assumptions'!$F$65:$F$101,MIN(C137,36)+1)</x:f>
        <x:v>0.36</x:v>
      </x:c>
      <x:c r="E137" s="30" t="n">
        <x:f>(D137-D136)*H136</x:f>
        <x:v>0</x:v>
      </x:c>
      <x:c r="F137" s="30" t="n">
        <x:f>(1-D137-J136)*(H136-H137)+(J137-J136)*H137</x:f>
        <x:v>0</x:v>
      </x:c>
      <x:c r="G137" s="30" t="n">
        <x:f>SUM(E138:E147)</x:f>
        <x:v>0</x:v>
      </x:c>
      <x:c r="H137" s="30" t="n">
        <x:f>IF($E$42=0,1-MIN(C137,$E$43)/$E$43,((1+$E$42)^$E$43-(1+$E$42)^MIN(C137,$E$43))/((1+$E$42)^$E$43-1))</x:f>
        <x:v>0</x:v>
      </x:c>
      <x:c r="I137" s="30" t="n">
        <x:f>MAX(0,1-D137-J137)</x:f>
        <x:v>0</x:v>
      </x:c>
      <x:c r="J137" s="2" t="n">
        <x:f>(1-$E$40)*INDEX('Assumptions'!$I$65:$I$101,MIN(C137,36)+1)</x:f>
        <x:v>0.64</x:v>
      </x:c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</x:row>
    <x:row r="138" ht="19" customHeight="1">
      <x:c r="A138" s="1"/>
      <x:c r="B138" s="1"/>
      <x:c r="C138" s="2" t="n">
        <x:v>87</x:v>
      </x:c>
      <x:c r="D138" s="30" t="n">
        <x:f>$E$40*INDEX('Assumptions'!$F$65:$F$101,MIN(C138,36)+1)</x:f>
        <x:v>0.36</x:v>
      </x:c>
      <x:c r="E138" s="30" t="n">
        <x:f>(D138-D137)*H137</x:f>
        <x:v>0</x:v>
      </x:c>
      <x:c r="F138" s="30" t="n">
        <x:f>(1-D138-J137)*(H137-H138)+(J138-J137)*H138</x:f>
        <x:v>0</x:v>
      </x:c>
      <x:c r="G138" s="30" t="n">
        <x:f>SUM(E139:E147)</x:f>
        <x:v>0</x:v>
      </x:c>
      <x:c r="H138" s="30" t="n">
        <x:f>IF($E$42=0,1-MIN(C138,$E$43)/$E$43,((1+$E$42)^$E$43-(1+$E$42)^MIN(C138,$E$43))/((1+$E$42)^$E$43-1))</x:f>
        <x:v>0</x:v>
      </x:c>
      <x:c r="I138" s="30" t="n">
        <x:f>MAX(0,1-D138-J138)</x:f>
        <x:v>0</x:v>
      </x:c>
      <x:c r="J138" s="2" t="n">
        <x:f>(1-$E$40)*INDEX('Assumptions'!$I$65:$I$101,MIN(C138,36)+1)</x:f>
        <x:v>0.64</x:v>
      </x:c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</x:row>
    <x:row r="139" ht="19" customHeight="1">
      <x:c r="A139" s="1"/>
      <x:c r="B139" s="1"/>
      <x:c r="C139" s="2" t="n">
        <x:v>88</x:v>
      </x:c>
      <x:c r="D139" s="30" t="n">
        <x:f>$E$40*INDEX('Assumptions'!$F$65:$F$101,MIN(C139,36)+1)</x:f>
        <x:v>0.36</x:v>
      </x:c>
      <x:c r="E139" s="30" t="n">
        <x:f>(D139-D138)*H138</x:f>
        <x:v>0</x:v>
      </x:c>
      <x:c r="F139" s="30" t="n">
        <x:f>(1-D139-J138)*(H138-H139)+(J139-J138)*H139</x:f>
        <x:v>0</x:v>
      </x:c>
      <x:c r="G139" s="30" t="n">
        <x:f>SUM(E140:E147)</x:f>
        <x:v>0</x:v>
      </x:c>
      <x:c r="H139" s="30" t="n">
        <x:f>IF($E$42=0,1-MIN(C139,$E$43)/$E$43,((1+$E$42)^$E$43-(1+$E$42)^MIN(C139,$E$43))/((1+$E$42)^$E$43-1))</x:f>
        <x:v>0</x:v>
      </x:c>
      <x:c r="I139" s="30" t="n">
        <x:f>MAX(0,1-D139-J139)</x:f>
        <x:v>0</x:v>
      </x:c>
      <x:c r="J139" s="2" t="n">
        <x:f>(1-$E$40)*INDEX('Assumptions'!$I$65:$I$101,MIN(C139,36)+1)</x:f>
        <x:v>0.64</x:v>
      </x:c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</x:row>
    <x:row r="140" ht="19" customHeight="1">
      <x:c r="A140" s="1"/>
      <x:c r="B140" s="1"/>
      <x:c r="C140" s="2" t="n">
        <x:v>89</x:v>
      </x:c>
      <x:c r="D140" s="30" t="n">
        <x:f>$E$40*INDEX('Assumptions'!$F$65:$F$101,MIN(C140,36)+1)</x:f>
        <x:v>0.36</x:v>
      </x:c>
      <x:c r="E140" s="30" t="n">
        <x:f>(D140-D139)*H139</x:f>
        <x:v>0</x:v>
      </x:c>
      <x:c r="F140" s="30" t="n">
        <x:f>(1-D140-J139)*(H139-H140)+(J140-J139)*H140</x:f>
        <x:v>0</x:v>
      </x:c>
      <x:c r="G140" s="30" t="n">
        <x:f>SUM(E141:E147)</x:f>
        <x:v>0</x:v>
      </x:c>
      <x:c r="H140" s="30" t="n">
        <x:f>IF($E$42=0,1-MIN(C140,$E$43)/$E$43,((1+$E$42)^$E$43-(1+$E$42)^MIN(C140,$E$43))/((1+$E$42)^$E$43-1))</x:f>
        <x:v>0</x:v>
      </x:c>
      <x:c r="I140" s="30" t="n">
        <x:f>MAX(0,1-D140-J140)</x:f>
        <x:v>0</x:v>
      </x:c>
      <x:c r="J140" s="2" t="n">
        <x:f>(1-$E$40)*INDEX('Assumptions'!$I$65:$I$101,MIN(C140,36)+1)</x:f>
        <x:v>0.64</x:v>
      </x:c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</x:row>
    <x:row r="141" ht="19" customHeight="1">
      <x:c r="A141" s="1"/>
      <x:c r="B141" s="1"/>
      <x:c r="C141" s="2" t="n">
        <x:v>90</x:v>
      </x:c>
      <x:c r="D141" s="30" t="n">
        <x:f>$E$40*INDEX('Assumptions'!$F$65:$F$101,MIN(C141,36)+1)</x:f>
        <x:v>0.36</x:v>
      </x:c>
      <x:c r="E141" s="30" t="n">
        <x:f>(D141-D140)*H140</x:f>
        <x:v>0</x:v>
      </x:c>
      <x:c r="F141" s="30" t="n">
        <x:f>(1-D141-J140)*(H140-H141)+(J141-J140)*H141</x:f>
        <x:v>0</x:v>
      </x:c>
      <x:c r="G141" s="30" t="n">
        <x:f>SUM(E142:E147)</x:f>
        <x:v>0</x:v>
      </x:c>
      <x:c r="H141" s="30" t="n">
        <x:f>IF($E$42=0,1-MIN(C141,$E$43)/$E$43,((1+$E$42)^$E$43-(1+$E$42)^MIN(C141,$E$43))/((1+$E$42)^$E$43-1))</x:f>
        <x:v>0</x:v>
      </x:c>
      <x:c r="I141" s="30" t="n">
        <x:f>MAX(0,1-D141-J141)</x:f>
        <x:v>0</x:v>
      </x:c>
      <x:c r="J141" s="2" t="n">
        <x:f>(1-$E$40)*INDEX('Assumptions'!$I$65:$I$101,MIN(C141,36)+1)</x:f>
        <x:v>0.64</x:v>
      </x:c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</x:row>
    <x:row r="142" ht="19" customHeight="1">
      <x:c r="A142" s="1"/>
      <x:c r="B142" s="1"/>
      <x:c r="C142" s="2" t="n">
        <x:v>91</x:v>
      </x:c>
      <x:c r="D142" s="30" t="n">
        <x:f>$E$40*INDEX('Assumptions'!$F$65:$F$101,MIN(C142,36)+1)</x:f>
        <x:v>0.36</x:v>
      </x:c>
      <x:c r="E142" s="30" t="n">
        <x:f>(D142-D141)*H141</x:f>
        <x:v>0</x:v>
      </x:c>
      <x:c r="F142" s="30" t="n">
        <x:f>(1-D142-J141)*(H141-H142)+(J142-J141)*H142</x:f>
        <x:v>0</x:v>
      </x:c>
      <x:c r="G142" s="30" t="n">
        <x:f>SUM(E143:E147)</x:f>
        <x:v>0</x:v>
      </x:c>
      <x:c r="H142" s="30" t="n">
        <x:f>IF($E$42=0,1-MIN(C142,$E$43)/$E$43,((1+$E$42)^$E$43-(1+$E$42)^MIN(C142,$E$43))/((1+$E$42)^$E$43-1))</x:f>
        <x:v>0</x:v>
      </x:c>
      <x:c r="I142" s="30" t="n">
        <x:f>MAX(0,1-D142-J142)</x:f>
        <x:v>0</x:v>
      </x:c>
      <x:c r="J142" s="2" t="n">
        <x:f>(1-$E$40)*INDEX('Assumptions'!$I$65:$I$101,MIN(C142,36)+1)</x:f>
        <x:v>0.64</x:v>
      </x:c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</x:row>
    <x:row r="143" ht="19" customHeight="1">
      <x:c r="A143" s="1"/>
      <x:c r="B143" s="1"/>
      <x:c r="C143" s="2" t="n">
        <x:v>92</x:v>
      </x:c>
      <x:c r="D143" s="30" t="n">
        <x:f>$E$40*INDEX('Assumptions'!$F$65:$F$101,MIN(C143,36)+1)</x:f>
        <x:v>0.36</x:v>
      </x:c>
      <x:c r="E143" s="30" t="n">
        <x:f>(D143-D142)*H142</x:f>
        <x:v>0</x:v>
      </x:c>
      <x:c r="F143" s="30" t="n">
        <x:f>(1-D143-J142)*(H142-H143)+(J143-J142)*H143</x:f>
        <x:v>0</x:v>
      </x:c>
      <x:c r="G143" s="30" t="n">
        <x:f>SUM(E144:E147)</x:f>
        <x:v>0</x:v>
      </x:c>
      <x:c r="H143" s="30" t="n">
        <x:f>IF($E$42=0,1-MIN(C143,$E$43)/$E$43,((1+$E$42)^$E$43-(1+$E$42)^MIN(C143,$E$43))/((1+$E$42)^$E$43-1))</x:f>
        <x:v>0</x:v>
      </x:c>
      <x:c r="I143" s="30" t="n">
        <x:f>MAX(0,1-D143-J143)</x:f>
        <x:v>0</x:v>
      </x:c>
      <x:c r="J143" s="2" t="n">
        <x:f>(1-$E$40)*INDEX('Assumptions'!$I$65:$I$101,MIN(C143,36)+1)</x:f>
        <x:v>0.64</x:v>
      </x:c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</x:row>
    <x:row r="144" ht="19" customHeight="1">
      <x:c r="A144" s="1"/>
      <x:c r="B144" s="1"/>
      <x:c r="C144" s="2" t="n">
        <x:v>93</x:v>
      </x:c>
      <x:c r="D144" s="30" t="n">
        <x:f>$E$40*INDEX('Assumptions'!$F$65:$F$101,MIN(C144,36)+1)</x:f>
        <x:v>0.36</x:v>
      </x:c>
      <x:c r="E144" s="30" t="n">
        <x:f>(D144-D143)*H143</x:f>
        <x:v>0</x:v>
      </x:c>
      <x:c r="F144" s="30" t="n">
        <x:f>(1-D144-J143)*(H143-H144)+(J144-J143)*H144</x:f>
        <x:v>0</x:v>
      </x:c>
      <x:c r="G144" s="30" t="n">
        <x:f>SUM(E145:E147)</x:f>
        <x:v>0</x:v>
      </x:c>
      <x:c r="H144" s="30" t="n">
        <x:f>IF($E$42=0,1-MIN(C144,$E$43)/$E$43,((1+$E$42)^$E$43-(1+$E$42)^MIN(C144,$E$43))/((1+$E$42)^$E$43-1))</x:f>
        <x:v>0</x:v>
      </x:c>
      <x:c r="I144" s="30" t="n">
        <x:f>MAX(0,1-D144-J144)</x:f>
        <x:v>0</x:v>
      </x:c>
      <x:c r="J144" s="2" t="n">
        <x:f>(1-$E$40)*INDEX('Assumptions'!$I$65:$I$101,MIN(C144,36)+1)</x:f>
        <x:v>0.64</x:v>
      </x:c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</x:row>
    <x:row r="145" ht="19" customHeight="1">
      <x:c r="A145" s="1"/>
      <x:c r="B145" s="1"/>
      <x:c r="C145" s="2" t="n">
        <x:v>94</x:v>
      </x:c>
      <x:c r="D145" s="30" t="n">
        <x:f>$E$40*INDEX('Assumptions'!$F$65:$F$101,MIN(C145,36)+1)</x:f>
        <x:v>0.36</x:v>
      </x:c>
      <x:c r="E145" s="30" t="n">
        <x:f>(D145-D144)*H144</x:f>
        <x:v>0</x:v>
      </x:c>
      <x:c r="F145" s="30" t="n">
        <x:f>(1-D145-J144)*(H144-H145)+(J145-J144)*H145</x:f>
        <x:v>0</x:v>
      </x:c>
      <x:c r="G145" s="30" t="n">
        <x:f>SUM(E146:E147)</x:f>
        <x:v>0</x:v>
      </x:c>
      <x:c r="H145" s="30" t="n">
        <x:f>IF($E$42=0,1-MIN(C145,$E$43)/$E$43,((1+$E$42)^$E$43-(1+$E$42)^MIN(C145,$E$43))/((1+$E$42)^$E$43-1))</x:f>
        <x:v>0</x:v>
      </x:c>
      <x:c r="I145" s="30" t="n">
        <x:f>MAX(0,1-D145-J145)</x:f>
        <x:v>0</x:v>
      </x:c>
      <x:c r="J145" s="2" t="n">
        <x:f>(1-$E$40)*INDEX('Assumptions'!$I$65:$I$101,MIN(C145,36)+1)</x:f>
        <x:v>0.64</x:v>
      </x:c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</x:row>
    <x:row r="146" ht="19" customHeight="1">
      <x:c r="A146" s="1"/>
      <x:c r="B146" s="1"/>
      <x:c r="C146" s="2" t="n">
        <x:v>95</x:v>
      </x:c>
      <x:c r="D146" s="30" t="n">
        <x:f>$E$40*INDEX('Assumptions'!$F$65:$F$101,MIN(C146,36)+1)</x:f>
        <x:v>0.36</x:v>
      </x:c>
      <x:c r="E146" s="30" t="n">
        <x:f>(D146-D145)*H145</x:f>
        <x:v>0</x:v>
      </x:c>
      <x:c r="F146" s="30" t="n">
        <x:f>(1-D146-J145)*(H145-H146)+(J146-J145)*H146</x:f>
        <x:v>0</x:v>
      </x:c>
      <x:c r="G146" s="30" t="n">
        <x:f>SUM(E147:E147)</x:f>
        <x:v>0</x:v>
      </x:c>
      <x:c r="H146" s="30" t="n">
        <x:f>IF($E$42=0,1-MIN(C146,$E$43)/$E$43,((1+$E$42)^$E$43-(1+$E$42)^MIN(C146,$E$43))/((1+$E$42)^$E$43-1))</x:f>
        <x:v>0</x:v>
      </x:c>
      <x:c r="I146" s="30" t="n">
        <x:f>MAX(0,1-D146-J146)</x:f>
        <x:v>0</x:v>
      </x:c>
      <x:c r="J146" s="2" t="n">
        <x:f>(1-$E$40)*INDEX('Assumptions'!$I$65:$I$101,MIN(C146,36)+1)</x:f>
        <x:v>0.64</x:v>
      </x:c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</x:row>
    <x:row r="147" ht="19" customHeight="1">
      <x:c r="A147" s="1"/>
      <x:c r="B147" s="1"/>
      <x:c r="C147" s="2" t="n">
        <x:v>96</x:v>
      </x:c>
      <x:c r="D147" s="30" t="n">
        <x:f>$E$40*INDEX('Assumptions'!$F$65:$F$101,MIN(C147,36)+1)</x:f>
        <x:v>0.36</x:v>
      </x:c>
      <x:c r="E147" s="30" t="n">
        <x:f>(D147-D146)*H146</x:f>
        <x:v>0</x:v>
      </x:c>
      <x:c r="F147" s="30" t="n">
        <x:f>(1-D147-J146)*(H146-H147)+(J147-J146)*H147</x:f>
        <x:v>0</x:v>
      </x:c>
      <x:c r="G147" s="30" t="n">
        <x:f>0</x:f>
        <x:v>0</x:v>
      </x:c>
      <x:c r="H147" s="30" t="n">
        <x:f>IF($E$42=0,1-MIN(C147,$E$43)/$E$43,((1+$E$42)^$E$43-(1+$E$42)^MIN(C147,$E$43))/((1+$E$42)^$E$43-1))</x:f>
        <x:v>0</x:v>
      </x:c>
      <x:c r="I147" s="30" t="n">
        <x:f>MAX(0,1-D147-J147)</x:f>
        <x:v>0</x:v>
      </x:c>
      <x:c r="J147" s="2" t="n">
        <x:f>(1-$E$40)*INDEX('Assumptions'!$I$65:$I$101,MIN(C147,36)+1)</x:f>
        <x:v>0.64</x:v>
      </x:c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</x:row>
    <x:row r="148" ht="19" customHeight="1">
      <x:c r="A148" s="1"/>
      <x:c r="B148" s="1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</x:row>
    <x:row r="149" ht="19" customHeight="1">
      <x:c r="A149" s="1"/>
      <x:c r="B149" s="1"/>
      <x:c r="C149" s="2" t="str">
        <x:v>Reversed age weights</x:v>
      </x:c>
      <x:c r="D149" s="2"/>
      <x:c r="E149" s="2"/>
      <x:c r="F149" s="2"/>
      <x:c r="G149" s="2" t="n">
        <x:v>96</x:v>
      </x:c>
      <x:c r="H149" s="2" t="n">
        <x:v>95</x:v>
      </x:c>
      <x:c r="I149" s="2" t="n">
        <x:v>94</x:v>
      </x:c>
      <x:c r="J149" s="2" t="n">
        <x:v>93</x:v>
      </x:c>
      <x:c r="K149" s="2" t="n">
        <x:v>92</x:v>
      </x:c>
      <x:c r="L149" s="2" t="n">
        <x:v>91</x:v>
      </x:c>
      <x:c r="M149" s="2" t="n">
        <x:v>90</x:v>
      </x:c>
      <x:c r="N149" s="2" t="n">
        <x:v>89</x:v>
      </x:c>
      <x:c r="O149" s="2" t="n">
        <x:v>88</x:v>
      </x:c>
      <x:c r="P149" s="2" t="n">
        <x:v>87</x:v>
      </x:c>
      <x:c r="Q149" s="2" t="n">
        <x:v>86</x:v>
      </x:c>
      <x:c r="R149" s="2" t="n">
        <x:v>85</x:v>
      </x:c>
      <x:c r="S149" s="2" t="n">
        <x:v>84</x:v>
      </x:c>
      <x:c r="T149" s="2" t="n">
        <x:v>83</x:v>
      </x:c>
      <x:c r="U149" s="2" t="n">
        <x:v>82</x:v>
      </x:c>
      <x:c r="V149" s="2" t="n">
        <x:v>81</x:v>
      </x:c>
      <x:c r="W149" s="2" t="n">
        <x:v>80</x:v>
      </x:c>
      <x:c r="X149" s="2" t="n">
        <x:v>79</x:v>
      </x:c>
      <x:c r="Y149" s="2" t="n">
        <x:v>78</x:v>
      </x:c>
      <x:c r="Z149" s="2" t="n">
        <x:v>77</x:v>
      </x:c>
      <x:c r="AA149" s="2" t="n">
        <x:v>76</x:v>
      </x:c>
      <x:c r="AB149" s="2" t="n">
        <x:v>75</x:v>
      </x:c>
      <x:c r="AC149" s="2" t="n">
        <x:v>74</x:v>
      </x:c>
      <x:c r="AD149" s="2" t="n">
        <x:v>73</x:v>
      </x:c>
      <x:c r="AE149" s="2" t="n">
        <x:v>72</x:v>
      </x:c>
      <x:c r="AF149" s="2" t="n">
        <x:v>71</x:v>
      </x:c>
      <x:c r="AG149" s="2" t="n">
        <x:v>70</x:v>
      </x:c>
      <x:c r="AH149" s="2" t="n">
        <x:v>69</x:v>
      </x:c>
      <x:c r="AI149" s="2" t="n">
        <x:v>68</x:v>
      </x:c>
      <x:c r="AJ149" s="2" t="n">
        <x:v>67</x:v>
      </x:c>
      <x:c r="AK149" s="2" t="n">
        <x:v>66</x:v>
      </x:c>
      <x:c r="AL149" s="2" t="n">
        <x:v>65</x:v>
      </x:c>
      <x:c r="AM149" s="2" t="n">
        <x:v>64</x:v>
      </x:c>
      <x:c r="AN149" s="2" t="n">
        <x:v>63</x:v>
      </x:c>
      <x:c r="AO149" s="2" t="n">
        <x:v>62</x:v>
      </x:c>
      <x:c r="AP149" s="2" t="n">
        <x:v>61</x:v>
      </x:c>
      <x:c r="AQ149" s="2" t="n">
        <x:v>60</x:v>
      </x:c>
      <x:c r="AR149" s="2" t="n">
        <x:v>59</x:v>
      </x:c>
      <x:c r="AS149" s="2" t="n">
        <x:v>58</x:v>
      </x:c>
      <x:c r="AT149" s="2" t="n">
        <x:v>57</x:v>
      </x:c>
      <x:c r="AU149" s="2" t="n">
        <x:v>56</x:v>
      </x:c>
      <x:c r="AV149" s="2" t="n">
        <x:v>55</x:v>
      </x:c>
      <x:c r="AW149" s="2" t="n">
        <x:v>54</x:v>
      </x:c>
      <x:c r="AX149" s="2" t="n">
        <x:v>53</x:v>
      </x:c>
      <x:c r="AY149" s="2" t="n">
        <x:v>52</x:v>
      </x:c>
      <x:c r="AZ149" s="2" t="n">
        <x:v>51</x:v>
      </x:c>
      <x:c r="BA149" s="2" t="n">
        <x:v>50</x:v>
      </x:c>
      <x:c r="BB149" s="2" t="n">
        <x:v>49</x:v>
      </x:c>
      <x:c r="BC149" s="2" t="n">
        <x:v>48</x:v>
      </x:c>
      <x:c r="BD149" s="2" t="n">
        <x:v>47</x:v>
      </x:c>
      <x:c r="BE149" s="2" t="n">
        <x:v>46</x:v>
      </x:c>
      <x:c r="BF149" s="2" t="n">
        <x:v>45</x:v>
      </x:c>
      <x:c r="BG149" s="2" t="n">
        <x:v>44</x:v>
      </x:c>
      <x:c r="BH149" s="2" t="n">
        <x:v>43</x:v>
      </x:c>
      <x:c r="BI149" s="2" t="n">
        <x:v>42</x:v>
      </x:c>
      <x:c r="BJ149" s="2" t="n">
        <x:v>41</x:v>
      </x:c>
      <x:c r="BK149" s="2" t="n">
        <x:v>40</x:v>
      </x:c>
      <x:c r="BL149" s="2" t="n">
        <x:v>39</x:v>
      </x:c>
      <x:c r="BM149" s="2" t="n">
        <x:v>38</x:v>
      </x:c>
      <x:c r="BN149" s="2" t="n">
        <x:v>37</x:v>
      </x:c>
      <x:c r="BO149" s="2" t="n">
        <x:v>36</x:v>
      </x:c>
      <x:c r="BP149" s="2" t="n">
        <x:v>35</x:v>
      </x:c>
      <x:c r="BQ149" s="2" t="n">
        <x:v>34</x:v>
      </x:c>
      <x:c r="BR149" s="2" t="n">
        <x:v>33</x:v>
      </x:c>
      <x:c r="BS149" s="2" t="n">
        <x:v>32</x:v>
      </x:c>
      <x:c r="BT149" s="2" t="n">
        <x:v>31</x:v>
      </x:c>
      <x:c r="BU149" s="2" t="n">
        <x:v>30</x:v>
      </x:c>
      <x:c r="BV149" s="2" t="n">
        <x:v>29</x:v>
      </x:c>
      <x:c r="BW149" s="2" t="n">
        <x:v>28</x:v>
      </x:c>
      <x:c r="BX149" s="2" t="n">
        <x:v>27</x:v>
      </x:c>
      <x:c r="BY149" s="2" t="n">
        <x:v>26</x:v>
      </x:c>
      <x:c r="BZ149" s="2" t="n">
        <x:v>25</x:v>
      </x:c>
      <x:c r="CA149" s="2" t="n">
        <x:v>24</x:v>
      </x:c>
      <x:c r="CB149" s="2" t="n">
        <x:v>23</x:v>
      </x:c>
      <x:c r="CC149" s="2" t="n">
        <x:v>22</x:v>
      </x:c>
      <x:c r="CD149" s="2" t="n">
        <x:v>21</x:v>
      </x:c>
      <x:c r="CE149" s="2" t="n">
        <x:v>20</x:v>
      </x:c>
      <x:c r="CF149" s="2" t="n">
        <x:v>19</x:v>
      </x:c>
      <x:c r="CG149" s="2" t="n">
        <x:v>18</x:v>
      </x:c>
      <x:c r="CH149" s="2" t="n">
        <x:v>17</x:v>
      </x:c>
      <x:c r="CI149" s="2" t="n">
        <x:v>16</x:v>
      </x:c>
      <x:c r="CJ149" s="2" t="n">
        <x:v>15</x:v>
      </x:c>
      <x:c r="CK149" s="2" t="n">
        <x:v>14</x:v>
      </x:c>
      <x:c r="CL149" s="2" t="n">
        <x:v>13</x:v>
      </x:c>
      <x:c r="CM149" s="2" t="n">
        <x:v>12</x:v>
      </x:c>
      <x:c r="CN149" s="2" t="n">
        <x:v>11</x:v>
      </x:c>
      <x:c r="CO149" s="2" t="n">
        <x:v>10</x:v>
      </x:c>
      <x:c r="CP149" s="2" t="n">
        <x:v>9</x:v>
      </x:c>
      <x:c r="CQ149" s="2" t="n">
        <x:v>8</x:v>
      </x:c>
      <x:c r="CR149" s="2" t="n">
        <x:v>7</x:v>
      </x:c>
      <x:c r="CS149" s="2" t="n">
        <x:v>6</x:v>
      </x:c>
      <x:c r="CT149" s="2" t="n">
        <x:v>5</x:v>
      </x:c>
      <x:c r="CU149" s="2" t="n">
        <x:v>4</x:v>
      </x:c>
      <x:c r="CV149" s="2" t="n">
        <x:v>3</x:v>
      </x:c>
      <x:c r="CW149" s="2" t="n">
        <x:v>2</x:v>
      </x:c>
      <x:c r="CX149" s="2" t="n">
        <x:v>1</x:v>
      </x:c>
      <x:c r="CY149" s="2" t="n">
        <x:v>0</x:v>
      </x:c>
    </x:row>
    <x:row r="150" ht="19" customHeight="1">
      <x:c r="A150" s="1"/>
      <x:c r="B150" s="1"/>
      <x:c r="C150" s="2" t="str">
        <x:v>Charge-off weights</x:v>
      </x:c>
      <x:c r="D150" s="2"/>
      <x:c r="E150" s="2"/>
      <x:c r="F150" s="2"/>
      <x:c r="G150" s="30" t="n">
        <x:f>E147</x:f>
        <x:v>0</x:v>
      </x:c>
      <x:c r="H150" s="30" t="n">
        <x:f>E146</x:f>
        <x:v>0</x:v>
      </x:c>
      <x:c r="I150" s="30" t="n">
        <x:f>E145</x:f>
        <x:v>0</x:v>
      </x:c>
      <x:c r="J150" s="30" t="n">
        <x:f>E144</x:f>
        <x:v>0</x:v>
      </x:c>
      <x:c r="K150" s="30" t="n">
        <x:f>E143</x:f>
        <x:v>0</x:v>
      </x:c>
      <x:c r="L150" s="30" t="n">
        <x:f>E142</x:f>
        <x:v>0</x:v>
      </x:c>
      <x:c r="M150" s="30" t="n">
        <x:f>E141</x:f>
        <x:v>0</x:v>
      </x:c>
      <x:c r="N150" s="30" t="n">
        <x:f>E140</x:f>
        <x:v>0</x:v>
      </x:c>
      <x:c r="O150" s="30" t="n">
        <x:f>E139</x:f>
        <x:v>0</x:v>
      </x:c>
      <x:c r="P150" s="30" t="n">
        <x:f>E138</x:f>
        <x:v>0</x:v>
      </x:c>
      <x:c r="Q150" s="30" t="n">
        <x:f>E137</x:f>
        <x:v>0</x:v>
      </x:c>
      <x:c r="R150" s="30" t="n">
        <x:f>E136</x:f>
        <x:v>0</x:v>
      </x:c>
      <x:c r="S150" s="30" t="n">
        <x:f>E135</x:f>
        <x:v>0</x:v>
      </x:c>
      <x:c r="T150" s="30" t="n">
        <x:f>E134</x:f>
        <x:v>0</x:v>
      </x:c>
      <x:c r="U150" s="30" t="n">
        <x:f>E133</x:f>
        <x:v>0</x:v>
      </x:c>
      <x:c r="V150" s="30" t="n">
        <x:f>E132</x:f>
        <x:v>0</x:v>
      </x:c>
      <x:c r="W150" s="30" t="n">
        <x:f>E131</x:f>
        <x:v>0</x:v>
      </x:c>
      <x:c r="X150" s="30" t="n">
        <x:f>E130</x:f>
        <x:v>0</x:v>
      </x:c>
      <x:c r="Y150" s="30" t="n">
        <x:f>E129</x:f>
        <x:v>0</x:v>
      </x:c>
      <x:c r="Z150" s="30" t="n">
        <x:f>E128</x:f>
        <x:v>0</x:v>
      </x:c>
      <x:c r="AA150" s="30" t="n">
        <x:f>E127</x:f>
        <x:v>0</x:v>
      </x:c>
      <x:c r="AB150" s="30" t="n">
        <x:f>E126</x:f>
        <x:v>0</x:v>
      </x:c>
      <x:c r="AC150" s="30" t="n">
        <x:f>E125</x:f>
        <x:v>0</x:v>
      </x:c>
      <x:c r="AD150" s="30" t="n">
        <x:f>E124</x:f>
        <x:v>0</x:v>
      </x:c>
      <x:c r="AE150" s="30" t="n">
        <x:f>E123</x:f>
        <x:v>0</x:v>
      </x:c>
      <x:c r="AF150" s="30" t="n">
        <x:f>E122</x:f>
        <x:v>0</x:v>
      </x:c>
      <x:c r="AG150" s="30" t="n">
        <x:f>E121</x:f>
        <x:v>0</x:v>
      </x:c>
      <x:c r="AH150" s="30" t="n">
        <x:f>E120</x:f>
        <x:v>0</x:v>
      </x:c>
      <x:c r="AI150" s="30" t="n">
        <x:f>E119</x:f>
        <x:v>0</x:v>
      </x:c>
      <x:c r="AJ150" s="30" t="n">
        <x:f>E118</x:f>
        <x:v>0</x:v>
      </x:c>
      <x:c r="AK150" s="30" t="n">
        <x:f>E117</x:f>
        <x:v>0</x:v>
      </x:c>
      <x:c r="AL150" s="30" t="n">
        <x:f>E116</x:f>
        <x:v>0</x:v>
      </x:c>
      <x:c r="AM150" s="30" t="n">
        <x:f>E115</x:f>
        <x:v>0</x:v>
      </x:c>
      <x:c r="AN150" s="30" t="n">
        <x:f>E114</x:f>
        <x:v>0</x:v>
      </x:c>
      <x:c r="AO150" s="30" t="n">
        <x:f>E113</x:f>
        <x:v>0</x:v>
      </x:c>
      <x:c r="AP150" s="30" t="n">
        <x:f>E112</x:f>
        <x:v>0</x:v>
      </x:c>
      <x:c r="AQ150" s="30" t="n">
        <x:f>E111</x:f>
        <x:v>0</x:v>
      </x:c>
      <x:c r="AR150" s="30" t="n">
        <x:f>E110</x:f>
        <x:v>0</x:v>
      </x:c>
      <x:c r="AS150" s="30" t="n">
        <x:f>E109</x:f>
        <x:v>0</x:v>
      </x:c>
      <x:c r="AT150" s="30" t="n">
        <x:f>E108</x:f>
        <x:v>0</x:v>
      </x:c>
      <x:c r="AU150" s="30" t="n">
        <x:f>E107</x:f>
        <x:v>0</x:v>
      </x:c>
      <x:c r="AV150" s="30" t="n">
        <x:f>E106</x:f>
        <x:v>0</x:v>
      </x:c>
      <x:c r="AW150" s="30" t="n">
        <x:f>E105</x:f>
        <x:v>0</x:v>
      </x:c>
      <x:c r="AX150" s="30" t="n">
        <x:f>E104</x:f>
        <x:v>0</x:v>
      </x:c>
      <x:c r="AY150" s="30" t="n">
        <x:f>E103</x:f>
        <x:v>0</x:v>
      </x:c>
      <x:c r="AZ150" s="30" t="n">
        <x:f>E102</x:f>
        <x:v>0</x:v>
      </x:c>
      <x:c r="BA150" s="30" t="n">
        <x:f>E101</x:f>
        <x:v>0</x:v>
      </x:c>
      <x:c r="BB150" s="30" t="n">
        <x:f>E100</x:f>
        <x:v>0</x:v>
      </x:c>
      <x:c r="BC150" s="30" t="n">
        <x:f>E99</x:f>
        <x:v>0</x:v>
      </x:c>
      <x:c r="BD150" s="30" t="n">
        <x:f>E98</x:f>
        <x:v>0</x:v>
      </x:c>
      <x:c r="BE150" s="30" t="n">
        <x:f>E97</x:f>
        <x:v>0</x:v>
      </x:c>
      <x:c r="BF150" s="30" t="n">
        <x:f>E96</x:f>
        <x:v>0</x:v>
      </x:c>
      <x:c r="BG150" s="30" t="n">
        <x:f>E95</x:f>
        <x:v>0</x:v>
      </x:c>
      <x:c r="BH150" s="30" t="n">
        <x:f>E94</x:f>
        <x:v>0</x:v>
      </x:c>
      <x:c r="BI150" s="30" t="n">
        <x:f>E93</x:f>
        <x:v>0</x:v>
      </x:c>
      <x:c r="BJ150" s="30" t="n">
        <x:f>E92</x:f>
        <x:v>0</x:v>
      </x:c>
      <x:c r="BK150" s="30" t="n">
        <x:f>E91</x:f>
        <x:v>0</x:v>
      </x:c>
      <x:c r="BL150" s="30" t="n">
        <x:f>E90</x:f>
        <x:v>0</x:v>
      </x:c>
      <x:c r="BM150" s="30" t="n">
        <x:f>E89</x:f>
        <x:v>0</x:v>
      </x:c>
      <x:c r="BN150" s="30" t="n">
        <x:f>E88</x:f>
        <x:v>0</x:v>
      </x:c>
      <x:c r="BO150" s="30" t="n">
        <x:f>E87</x:f>
        <x:v>0</x:v>
      </x:c>
      <x:c r="BP150" s="30" t="n">
        <x:f>E86</x:f>
        <x:v>0</x:v>
      </x:c>
      <x:c r="BQ150" s="30" t="n">
        <x:f>E85</x:f>
        <x:v>0</x:v>
      </x:c>
      <x:c r="BR150" s="30" t="n">
        <x:f>E84</x:f>
        <x:v>0</x:v>
      </x:c>
      <x:c r="BS150" s="30" t="n">
        <x:f>E83</x:f>
        <x:v>0</x:v>
      </x:c>
      <x:c r="BT150" s="30" t="n">
        <x:f>E82</x:f>
        <x:v>0</x:v>
      </x:c>
      <x:c r="BU150" s="30" t="n">
        <x:f>E81</x:f>
        <x:v>0</x:v>
      </x:c>
      <x:c r="BV150" s="30" t="n">
        <x:f>E80</x:f>
        <x:v>0</x:v>
      </x:c>
      <x:c r="BW150" s="30" t="n">
        <x:f>E79</x:f>
        <x:v>0</x:v>
      </x:c>
      <x:c r="BX150" s="30" t="n">
        <x:f>E78</x:f>
        <x:v>0</x:v>
      </x:c>
      <x:c r="BY150" s="30" t="n">
        <x:f>E77</x:f>
        <x:v>0</x:v>
      </x:c>
      <x:c r="BZ150" s="30" t="n">
        <x:f>E76</x:f>
        <x:v>0</x:v>
      </x:c>
      <x:c r="CA150" s="30" t="n">
        <x:f>E75</x:f>
        <x:v>0</x:v>
      </x:c>
      <x:c r="CB150" s="30" t="n">
        <x:f>E74</x:f>
        <x:v>0</x:v>
      </x:c>
      <x:c r="CC150" s="30" t="n">
        <x:f>E73</x:f>
        <x:v>0</x:v>
      </x:c>
      <x:c r="CD150" s="30" t="n">
        <x:f>E72</x:f>
        <x:v>0</x:v>
      </x:c>
      <x:c r="CE150" s="30" t="n">
        <x:f>E71</x:f>
        <x:v>0</x:v>
      </x:c>
      <x:c r="CF150" s="30" t="n">
        <x:f>E70</x:f>
        <x:v>0</x:v>
      </x:c>
      <x:c r="CG150" s="30" t="n">
        <x:f>E69</x:f>
        <x:v>0</x:v>
      </x:c>
      <x:c r="CH150" s="30" t="n">
        <x:f>E68</x:f>
        <x:v>0</x:v>
      </x:c>
      <x:c r="CI150" s="30" t="n">
        <x:f>E67</x:f>
        <x:v>0</x:v>
      </x:c>
      <x:c r="CJ150" s="30" t="n">
        <x:f>E66</x:f>
        <x:v>0</x:v>
      </x:c>
      <x:c r="CK150" s="30" t="n">
        <x:f>E65</x:f>
        <x:v>0</x:v>
      </x:c>
      <x:c r="CL150" s="30" t="n">
        <x:f>E64</x:f>
        <x:v>0</x:v>
      </x:c>
      <x:c r="CM150" s="30" t="n">
        <x:f>E63</x:f>
        <x:v>0</x:v>
      </x:c>
      <x:c r="CN150" s="30" t="n">
        <x:f>E62</x:f>
        <x:v>0</x:v>
      </x:c>
      <x:c r="CO150" s="30" t="n">
        <x:f>E61</x:f>
        <x:v>0</x:v>
      </x:c>
      <x:c r="CP150" s="30" t="n">
        <x:f>E60</x:f>
        <x:v>0</x:v>
      </x:c>
      <x:c r="CQ150" s="30" t="n">
        <x:f>E59</x:f>
        <x:v>0</x:v>
      </x:c>
      <x:c r="CR150" s="30" t="n">
        <x:f>E58</x:f>
        <x:v>0</x:v>
      </x:c>
      <x:c r="CS150" s="30" t="n">
        <x:f>E57</x:f>
        <x:v>0</x:v>
      </x:c>
      <x:c r="CT150" s="30" t="n">
        <x:f>E56</x:f>
        <x:v>0.018326883115313764</x:v>
      </x:c>
      <x:c r="CU150" s="30" t="n">
        <x:f>E55</x:f>
        <x:v>0.030167751802654984</x:v>
      </x:c>
      <x:c r="CV150" s="30" t="n">
        <x:f>E54</x:f>
        <x:v>0.05399538577545353</x:v>
      </x:c>
      <x:c r="CW150" s="30" t="n">
        <x:f>E53</x:f>
        <x:v>0.08948627333340609</x:v>
      </x:c>
      <x:c r="CX150" s="30" t="n">
        <x:f>E52</x:f>
        <x:v>0.14493647539142446</x:v>
      </x:c>
      <x:c r="CY150" s="30" t="n">
        <x:f>E51</x:f>
        <x:v>0</x:v>
      </x:c>
    </x:row>
    <x:row r="151" ht="19" customHeight="1">
      <x:c r="A151" s="1"/>
      <x:c r="B151" s="1"/>
      <x:c r="C151" s="2" t="str">
        <x:v>Repayment weights</x:v>
      </x:c>
      <x:c r="D151" s="2"/>
      <x:c r="E151" s="2"/>
      <x:c r="F151" s="2"/>
      <x:c r="G151" s="30" t="n">
        <x:f>F147</x:f>
        <x:v>0</x:v>
      </x:c>
      <x:c r="H151" s="30" t="n">
        <x:f>F146</x:f>
        <x:v>0</x:v>
      </x:c>
      <x:c r="I151" s="30" t="n">
        <x:f>F145</x:f>
        <x:v>0</x:v>
      </x:c>
      <x:c r="J151" s="30" t="n">
        <x:f>F144</x:f>
        <x:v>0</x:v>
      </x:c>
      <x:c r="K151" s="30" t="n">
        <x:f>F143</x:f>
        <x:v>0</x:v>
      </x:c>
      <x:c r="L151" s="30" t="n">
        <x:f>F142</x:f>
        <x:v>0</x:v>
      </x:c>
      <x:c r="M151" s="30" t="n">
        <x:f>F141</x:f>
        <x:v>0</x:v>
      </x:c>
      <x:c r="N151" s="30" t="n">
        <x:f>F140</x:f>
        <x:v>0</x:v>
      </x:c>
      <x:c r="O151" s="30" t="n">
        <x:f>F139</x:f>
        <x:v>0</x:v>
      </x:c>
      <x:c r="P151" s="30" t="n">
        <x:f>F138</x:f>
        <x:v>0</x:v>
      </x:c>
      <x:c r="Q151" s="30" t="n">
        <x:f>F137</x:f>
        <x:v>0</x:v>
      </x:c>
      <x:c r="R151" s="30" t="n">
        <x:f>F136</x:f>
        <x:v>0</x:v>
      </x:c>
      <x:c r="S151" s="30" t="n">
        <x:f>F135</x:f>
        <x:v>0</x:v>
      </x:c>
      <x:c r="T151" s="30" t="n">
        <x:f>F134</x:f>
        <x:v>0</x:v>
      </x:c>
      <x:c r="U151" s="30" t="n">
        <x:f>F133</x:f>
        <x:v>0</x:v>
      </x:c>
      <x:c r="V151" s="30" t="n">
        <x:f>F132</x:f>
        <x:v>0</x:v>
      </x:c>
      <x:c r="W151" s="30" t="n">
        <x:f>F131</x:f>
        <x:v>0</x:v>
      </x:c>
      <x:c r="X151" s="30" t="n">
        <x:f>F130</x:f>
        <x:v>0</x:v>
      </x:c>
      <x:c r="Y151" s="30" t="n">
        <x:f>F129</x:f>
        <x:v>0</x:v>
      </x:c>
      <x:c r="Z151" s="30" t="n">
        <x:f>F128</x:f>
        <x:v>0</x:v>
      </x:c>
      <x:c r="AA151" s="30" t="n">
        <x:f>F127</x:f>
        <x:v>0</x:v>
      </x:c>
      <x:c r="AB151" s="30" t="n">
        <x:f>F126</x:f>
        <x:v>0</x:v>
      </x:c>
      <x:c r="AC151" s="30" t="n">
        <x:f>F125</x:f>
        <x:v>0</x:v>
      </x:c>
      <x:c r="AD151" s="30" t="n">
        <x:f>F124</x:f>
        <x:v>0</x:v>
      </x:c>
      <x:c r="AE151" s="30" t="n">
        <x:f>F123</x:f>
        <x:v>0</x:v>
      </x:c>
      <x:c r="AF151" s="30" t="n">
        <x:f>F122</x:f>
        <x:v>0</x:v>
      </x:c>
      <x:c r="AG151" s="30" t="n">
        <x:f>F121</x:f>
        <x:v>0</x:v>
      </x:c>
      <x:c r="AH151" s="30" t="n">
        <x:f>F120</x:f>
        <x:v>0</x:v>
      </x:c>
      <x:c r="AI151" s="30" t="n">
        <x:f>F119</x:f>
        <x:v>0</x:v>
      </x:c>
      <x:c r="AJ151" s="30" t="n">
        <x:f>F118</x:f>
        <x:v>0</x:v>
      </x:c>
      <x:c r="AK151" s="30" t="n">
        <x:f>F117</x:f>
        <x:v>0</x:v>
      </x:c>
      <x:c r="AL151" s="30" t="n">
        <x:f>F116</x:f>
        <x:v>0</x:v>
      </x:c>
      <x:c r="AM151" s="30" t="n">
        <x:f>F115</x:f>
        <x:v>0</x:v>
      </x:c>
      <x:c r="AN151" s="30" t="n">
        <x:f>F114</x:f>
        <x:v>0</x:v>
      </x:c>
      <x:c r="AO151" s="30" t="n">
        <x:f>F113</x:f>
        <x:v>0</x:v>
      </x:c>
      <x:c r="AP151" s="30" t="n">
        <x:f>F112</x:f>
        <x:v>0</x:v>
      </x:c>
      <x:c r="AQ151" s="30" t="n">
        <x:f>F111</x:f>
        <x:v>0</x:v>
      </x:c>
      <x:c r="AR151" s="30" t="n">
        <x:f>F110</x:f>
        <x:v>0</x:v>
      </x:c>
      <x:c r="AS151" s="30" t="n">
        <x:f>F109</x:f>
        <x:v>0</x:v>
      </x:c>
      <x:c r="AT151" s="30" t="n">
        <x:f>F108</x:f>
        <x:v>0</x:v>
      </x:c>
      <x:c r="AU151" s="30" t="n">
        <x:f>F107</x:f>
        <x:v>0</x:v>
      </x:c>
      <x:c r="AV151" s="30" t="n">
        <x:f>F106</x:f>
        <x:v>0</x:v>
      </x:c>
      <x:c r="AW151" s="30" t="n">
        <x:f>F105</x:f>
        <x:v>0</x:v>
      </x:c>
      <x:c r="AX151" s="30" t="n">
        <x:f>F104</x:f>
        <x:v>0</x:v>
      </x:c>
      <x:c r="AY151" s="30" t="n">
        <x:f>F103</x:f>
        <x:v>0</x:v>
      </x:c>
      <x:c r="AZ151" s="30" t="n">
        <x:f>F102</x:f>
        <x:v>0</x:v>
      </x:c>
      <x:c r="BA151" s="30" t="n">
        <x:f>F101</x:f>
        <x:v>0</x:v>
      </x:c>
      <x:c r="BB151" s="30" t="n">
        <x:f>F100</x:f>
        <x:v>0</x:v>
      </x:c>
      <x:c r="BC151" s="30" t="n">
        <x:f>F99</x:f>
        <x:v>0</x:v>
      </x:c>
      <x:c r="BD151" s="30" t="n">
        <x:f>F98</x:f>
        <x:v>0</x:v>
      </x:c>
      <x:c r="BE151" s="30" t="n">
        <x:f>F97</x:f>
        <x:v>0</x:v>
      </x:c>
      <x:c r="BF151" s="30" t="n">
        <x:f>F96</x:f>
        <x:v>0</x:v>
      </x:c>
      <x:c r="BG151" s="30" t="n">
        <x:f>F95</x:f>
        <x:v>0</x:v>
      </x:c>
      <x:c r="BH151" s="30" t="n">
        <x:f>F94</x:f>
        <x:v>0</x:v>
      </x:c>
      <x:c r="BI151" s="30" t="n">
        <x:f>F93</x:f>
        <x:v>0</x:v>
      </x:c>
      <x:c r="BJ151" s="30" t="n">
        <x:f>F92</x:f>
        <x:v>0</x:v>
      </x:c>
      <x:c r="BK151" s="30" t="n">
        <x:f>F91</x:f>
        <x:v>0</x:v>
      </x:c>
      <x:c r="BL151" s="30" t="n">
        <x:f>F90</x:f>
        <x:v>0</x:v>
      </x:c>
      <x:c r="BM151" s="30" t="n">
        <x:f>F89</x:f>
        <x:v>0</x:v>
      </x:c>
      <x:c r="BN151" s="30" t="n">
        <x:f>F88</x:f>
        <x:v>0</x:v>
      </x:c>
      <x:c r="BO151" s="30" t="n">
        <x:f>F87</x:f>
        <x:v>0</x:v>
      </x:c>
      <x:c r="BP151" s="30" t="n">
        <x:f>F86</x:f>
        <x:v>0</x:v>
      </x:c>
      <x:c r="BQ151" s="30" t="n">
        <x:f>F85</x:f>
        <x:v>0</x:v>
      </x:c>
      <x:c r="BR151" s="30" t="n">
        <x:f>F84</x:f>
        <x:v>0</x:v>
      </x:c>
      <x:c r="BS151" s="30" t="n">
        <x:f>F83</x:f>
        <x:v>0</x:v>
      </x:c>
      <x:c r="BT151" s="30" t="n">
        <x:f>F82</x:f>
        <x:v>0</x:v>
      </x:c>
      <x:c r="BU151" s="30" t="n">
        <x:f>F81</x:f>
        <x:v>0</x:v>
      </x:c>
      <x:c r="BV151" s="30" t="n">
        <x:f>F80</x:f>
        <x:v>0</x:v>
      </x:c>
      <x:c r="BW151" s="30" t="n">
        <x:f>F79</x:f>
        <x:v>0</x:v>
      </x:c>
      <x:c r="BX151" s="30" t="n">
        <x:f>F78</x:f>
        <x:v>0</x:v>
      </x:c>
      <x:c r="BY151" s="30" t="n">
        <x:f>F77</x:f>
        <x:v>0</x:v>
      </x:c>
      <x:c r="BZ151" s="30" t="n">
        <x:f>F76</x:f>
        <x:v>0</x:v>
      </x:c>
      <x:c r="CA151" s="30" t="n">
        <x:f>F75</x:f>
        <x:v>0</x:v>
      </x:c>
      <x:c r="CB151" s="30" t="n">
        <x:f>F74</x:f>
        <x:v>0</x:v>
      </x:c>
      <x:c r="CC151" s="30" t="n">
        <x:f>F73</x:f>
        <x:v>0</x:v>
      </x:c>
      <x:c r="CD151" s="30" t="n">
        <x:f>F72</x:f>
        <x:v>0</x:v>
      </x:c>
      <x:c r="CE151" s="30" t="n">
        <x:f>F71</x:f>
        <x:v>0</x:v>
      </x:c>
      <x:c r="CF151" s="30" t="n">
        <x:f>F70</x:f>
        <x:v>0</x:v>
      </x:c>
      <x:c r="CG151" s="30" t="n">
        <x:f>F69</x:f>
        <x:v>0</x:v>
      </x:c>
      <x:c r="CH151" s="30" t="n">
        <x:f>F68</x:f>
        <x:v>0</x:v>
      </x:c>
      <x:c r="CI151" s="30" t="n">
        <x:f>F67</x:f>
        <x:v>0</x:v>
      </x:c>
      <x:c r="CJ151" s="30" t="n">
        <x:f>F66</x:f>
        <x:v>0</x:v>
      </x:c>
      <x:c r="CK151" s="30" t="n">
        <x:f>F65</x:f>
        <x:v>0</x:v>
      </x:c>
      <x:c r="CL151" s="30" t="n">
        <x:f>F64</x:f>
        <x:v>0</x:v>
      </x:c>
      <x:c r="CM151" s="30" t="n">
        <x:f>F63</x:f>
        <x:v>0</x:v>
      </x:c>
      <x:c r="CN151" s="30" t="n">
        <x:f>F62</x:f>
        <x:v>0</x:v>
      </x:c>
      <x:c r="CO151" s="30" t="n">
        <x:f>F61</x:f>
        <x:v>0</x:v>
      </x:c>
      <x:c r="CP151" s="30" t="n">
        <x:f>F60</x:f>
        <x:v>0</x:v>
      </x:c>
      <x:c r="CQ151" s="30" t="n">
        <x:f>F59</x:f>
        <x:v>0</x:v>
      </x:c>
      <x:c r="CR151" s="30" t="n">
        <x:f>F58</x:f>
        <x:v>0</x:v>
      </x:c>
      <x:c r="CS151" s="30" t="n">
        <x:f>F57</x:f>
        <x:v>0</x:v>
      </x:c>
      <x:c r="CT151" s="30" t="n">
        <x:f>F56</x:f>
        <x:v>0.02930571937822226</x:v>
      </x:c>
      <x:c r="CU151" s="30" t="n">
        <x:f>F55</x:f>
        <x:v>0.056067922827156114</x:v>
      </x:c>
      <x:c r="CV151" s="30" t="n">
        <x:f>F54</x:f>
        <x:v>0.09966394214671363</x:v>
      </x:c>
      <x:c r="CW151" s="30" t="n">
        <x:f>F53</x:f>
        <x:v>0.17428558314458875</x:v>
      </x:c>
      <x:c r="CX151" s="30" t="n">
        <x:f>F52</x:f>
        <x:v>0.30376406308506637</x:v>
      </x:c>
      <x:c r="CY151" s="30" t="n">
        <x:f>F51</x:f>
        <x:v>0</x:v>
      </x:c>
    </x:row>
    <x:row r="152" ht="19" customHeight="1">
      <x:c r="A152" s="1"/>
      <x:c r="B152" s="1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</x:row>
    <x:row r="153" ht="19" customHeight="1">
      <x:c r="A153" s="1"/>
      <x:c r="B153" s="1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</x:row>
    <x:row r="154" ht="19" customHeight="1">
      <x:c r="A154" s="1"/>
      <x:c r="B154" s="1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</x:row>
    <x:row r="155" ht="19" customHeight="1">
      <x:c r="A155" s="1"/>
      <x:c r="B155" s="1"/>
      <x:c r="C155" s="2" t="str">
        <x:v>Each original-equivalent exposure is conditional on survival to its opening age.</x:v>
      </x:c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</x:row>
    <x:row r="156" ht="19" customHeight="1">
      <x:c r="A156" s="1"/>
      <x:c r="B156" s="1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</x:row>
    <x:row r="157" ht="19" customHeight="1">
      <x:c r="A157" s="1"/>
      <x:c r="B157" s="1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</x:row>
    <x:row r="158" ht="19" customHeight="1">
      <x:c r="A158" s="1"/>
      <x:c r="B158" s="1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</x:row>
    <x:row r="159" ht="32" customHeight="1">
      <x:c r="A159" s="1"/>
      <x:c r="B159" s="1"/>
      <x:c r="C159" s="29" t="str">
        <x:v>Opening MOB</x:v>
      </x:c>
      <x:c r="D159" s="29" t="str">
        <x:v>Current balance ($)</x:v>
      </x:c>
      <x:c r="E159" s="29" t="str">
        <x:v>Original-equivalent ($)</x:v>
      </x:c>
      <x:c r="F159" s="29" t="str">
        <x:v>Remaining reserve ($)</x:v>
      </x:c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</x:row>
    <x:row r="160" ht="19" customHeight="1">
      <x:c r="A160" s="1"/>
      <x:c r="B160" s="1"/>
      <x:c r="C160" s="2" t="n">
        <x:v>0</x:v>
      </x:c>
      <x:c r="D160" s="31" t="n">
        <x:f>IF(OR(C160&gt;=$E$43,INDEX($I$51:$I$147,C160+1)&lt;=0.0000000001),0,IF($E$46=0,$E$44/MIN($E$43,COUNTIF($I$51:$I$110,"&gt;0.0000000001")),IF(C160=$E$45,$E$44,0)))</x:f>
        <x:v>10223999.999999996</x:v>
      </x:c>
      <x:c r="E160" s="31" t="n">
        <x:f>IF(D160=0,0,D160/(INDEX($I$51:$I$147,C160+1)*INDEX($H$51:$H$147,C160+1)))</x:f>
        <x:v>10223999.999999996</x:v>
      </x:c>
      <x:c r="F160" s="31" t="n">
        <x:f>E160*INDEX($G$51:$G$147,C160+1)</x:f>
        <x:v>3444596.1545322156</x:v>
      </x:c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</x:row>
    <x:row r="161" ht="19" customHeight="1">
      <x:c r="A161" s="1"/>
      <x:c r="B161" s="1"/>
      <x:c r="C161" s="2" t="n">
        <x:v>1</x:v>
      </x:c>
      <x:c r="D161" s="31" t="n">
        <x:f>IF(OR(C161&gt;=$E$43,INDEX($I$51:$I$147,C161+1)&lt;=0.0000000001),0,IF($E$46=0,$E$44/MIN($E$43,COUNTIF($I$51:$I$110,"&gt;0.0000000001")),IF(C161=$E$45,$E$44,0)))</x:f>
        <x:v>10223999.999999996</x:v>
      </x:c>
      <x:c r="E161" s="31" t="n">
        <x:f>IF(D161=0,0,D161/(INDEX($I$51:$I$147,C161+1)*INDEX($H$51:$H$147,C161+1)))</x:f>
        <x:v>18545274.779964596</x:v>
      </x:c>
      <x:c r="F161" s="31" t="n">
        <x:f>E161*INDEX($G$51:$G$147,C161+1)</x:f>
        <x:v>3560253.1239668084</x:v>
      </x:c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</x:row>
    <x:row r="162" ht="19" customHeight="1">
      <x:c r="A162" s="1"/>
      <x:c r="B162" s="1"/>
      <x:c r="C162" s="2" t="n">
        <x:v>2</x:v>
      </x:c>
      <x:c r="D162" s="31" t="n">
        <x:f>IF(OR(C162&gt;=$E$43,INDEX($I$51:$I$147,C162+1)&lt;=0.0000000001),0,IF($E$46=0,$E$44/MIN($E$43,COUNTIF($I$51:$I$110,"&gt;0.0000000001")),IF(C162=$E$45,$E$44,0)))</x:f>
        <x:v>10223999.999999996</x:v>
      </x:c>
      <x:c r="E162" s="31" t="n">
        <x:f>IF(D162=0,0,D162/(INDEX($I$51:$I$147,C162+1)*INDEX($H$51:$H$147,C162+1)))</x:f>
        <x:v>35558324.90720877</x:v>
      </x:c>
      <x:c r="F162" s="31" t="n">
        <x:f>E162*INDEX($G$51:$G$147,C162+1)</x:f>
        <x:v>3644373.4555632593</x:v>
      </x:c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</x:row>
    <x:row r="163" ht="19" customHeight="1">
      <x:c r="A163" s="1"/>
      <x:c r="B163" s="1"/>
      <x:c r="C163" s="2" t="n">
        <x:v>3</x:v>
      </x:c>
      <x:c r="D163" s="31" t="n">
        <x:f>IF(OR(C163&gt;=$E$43,INDEX($I$51:$I$147,C163+1)&lt;=0.0000000001),0,IF($E$46=0,$E$44/MIN($E$43,COUNTIF($I$51:$I$110,"&gt;0.0000000001")),IF(C163=$E$45,$E$44,0)))</x:f>
        <x:v>10223999.999999996</x:v>
      </x:c>
      <x:c r="E163" s="31" t="n">
        <x:f>IF(D163=0,0,D163/(INDEX($I$51:$I$147,C163+1)*INDEX($H$51:$H$147,C163+1)))</x:f>
        <x:v>76373583.19461703</x:v>
      </x:c>
      <x:c r="F163" s="31" t="n">
        <x:f>E163*INDEX($G$51:$G$147,C163+1)</x:f>
        <x:v>3703709.0344000664</x:v>
      </x:c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</x:row>
    <x:row r="164" ht="19" customHeight="1">
      <x:c r="A164" s="1"/>
      <x:c r="B164" s="1"/>
      <x:c r="C164" s="2" t="n">
        <x:v>4</x:v>
      </x:c>
      <x:c r="D164" s="31" t="n">
        <x:f>IF(OR(C164&gt;=$E$43,INDEX($I$51:$I$147,C164+1)&lt;=0.0000000001),0,IF($E$46=0,$E$44/MIN($E$43,COUNTIF($I$51:$I$110,"&gt;0.0000000001")),IF(C164=$E$45,$E$44,0)))</x:f>
        <x:v>10223999.999999996</x:v>
      </x:c>
      <x:c r="E164" s="31" t="n">
        <x:f>IF(D164=0,0,D164/(INDEX($I$51:$I$147,C164+1)*INDEX($H$51:$H$147,C164+1)))</x:f>
        <x:v>214642901.3906482</x:v>
      </x:c>
      <x:c r="F164" s="31" t="n">
        <x:f>E164*INDEX($G$51:$G$147,C164+1)</x:f>
        <x:v>3933735.3653182276</x:v>
      </x:c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</x:row>
    <x:row r="165" ht="19" customHeight="1">
      <x:c r="A165" s="1"/>
      <x:c r="B165" s="1"/>
      <x:c r="C165" s="2" t="n">
        <x:v>5</x:v>
      </x:c>
      <x:c r="D165" s="31" t="n">
        <x:f>IF(OR(C165&gt;=$E$43,INDEX($I$51:$I$147,C165+1)&lt;=0.0000000001),0,IF($E$46=0,$E$44/MIN($E$43,COUNTIF($I$51:$I$110,"&gt;0.0000000001")),IF(C165=$E$45,$E$44,0)))</x:f>
        <x:v>0</x:v>
      </x:c>
      <x:c r="E165" s="31" t="n">
        <x:f>IF(D165=0,0,D165/(INDEX($I$51:$I$147,C165+1)*INDEX($H$51:$H$147,C165+1)))</x:f>
        <x:v>0</x:v>
      </x:c>
      <x:c r="F165" s="31" t="n">
        <x:f>E165*INDEX($G$51:$G$147,C165+1)</x:f>
        <x:v>0</x:v>
      </x:c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</x:row>
    <x:row r="166" ht="19" customHeight="1">
      <x:c r="A166" s="1"/>
      <x:c r="B166" s="1"/>
      <x:c r="C166" s="2" t="n">
        <x:v>6</x:v>
      </x:c>
      <x:c r="D166" s="31" t="n">
        <x:f>IF(OR(C166&gt;=$E$43,INDEX($I$51:$I$147,C166+1)&lt;=0.0000000001),0,IF($E$46=0,$E$44/MIN($E$43,COUNTIF($I$51:$I$110,"&gt;0.0000000001")),IF(C166=$E$45,$E$44,0)))</x:f>
        <x:v>0</x:v>
      </x:c>
      <x:c r="E166" s="31" t="n">
        <x:f>IF(D166=0,0,D166/(INDEX($I$51:$I$147,C166+1)*INDEX($H$51:$H$147,C166+1)))</x:f>
        <x:v>0</x:v>
      </x:c>
      <x:c r="F166" s="31" t="n">
        <x:f>E166*INDEX($G$51:$G$147,C166+1)</x:f>
        <x:v>0</x:v>
      </x:c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</x:row>
    <x:row r="167" ht="19" customHeight="1">
      <x:c r="A167" s="1"/>
      <x:c r="B167" s="1"/>
      <x:c r="C167" s="2" t="n">
        <x:v>7</x:v>
      </x:c>
      <x:c r="D167" s="31" t="n">
        <x:f>IF(OR(C167&gt;=$E$43,INDEX($I$51:$I$147,C167+1)&lt;=0.0000000001),0,IF($E$46=0,$E$44/MIN($E$43,COUNTIF($I$51:$I$110,"&gt;0.0000000001")),IF(C167=$E$45,$E$44,0)))</x:f>
        <x:v>0</x:v>
      </x:c>
      <x:c r="E167" s="31" t="n">
        <x:f>IF(D167=0,0,D167/(INDEX($I$51:$I$147,C167+1)*INDEX($H$51:$H$147,C167+1)))</x:f>
        <x:v>0</x:v>
      </x:c>
      <x:c r="F167" s="31" t="n">
        <x:f>E167*INDEX($G$51:$G$147,C167+1)</x:f>
        <x:v>0</x:v>
      </x:c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</x:row>
    <x:row r="168" ht="19" customHeight="1">
      <x:c r="A168" s="1"/>
      <x:c r="B168" s="1"/>
      <x:c r="C168" s="2" t="n">
        <x:v>8</x:v>
      </x:c>
      <x:c r="D168" s="31" t="n">
        <x:f>IF(OR(C168&gt;=$E$43,INDEX($I$51:$I$147,C168+1)&lt;=0.0000000001),0,IF($E$46=0,$E$44/MIN($E$43,COUNTIF($I$51:$I$110,"&gt;0.0000000001")),IF(C168=$E$45,$E$44,0)))</x:f>
        <x:v>0</x:v>
      </x:c>
      <x:c r="E168" s="31" t="n">
        <x:f>IF(D168=0,0,D168/(INDEX($I$51:$I$147,C168+1)*INDEX($H$51:$H$147,C168+1)))</x:f>
        <x:v>0</x:v>
      </x:c>
      <x:c r="F168" s="31" t="n">
        <x:f>E168*INDEX($G$51:$G$147,C168+1)</x:f>
        <x:v>0</x:v>
      </x:c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</x:row>
    <x:row r="169" ht="19" customHeight="1">
      <x:c r="A169" s="1"/>
      <x:c r="B169" s="1"/>
      <x:c r="C169" s="2" t="n">
        <x:v>9</x:v>
      </x:c>
      <x:c r="D169" s="31" t="n">
        <x:f>IF(OR(C169&gt;=$E$43,INDEX($I$51:$I$147,C169+1)&lt;=0.0000000001),0,IF($E$46=0,$E$44/MIN($E$43,COUNTIF($I$51:$I$110,"&gt;0.0000000001")),IF(C169=$E$45,$E$44,0)))</x:f>
        <x:v>0</x:v>
      </x:c>
      <x:c r="E169" s="31" t="n">
        <x:f>IF(D169=0,0,D169/(INDEX($I$51:$I$147,C169+1)*INDEX($H$51:$H$147,C169+1)))</x:f>
        <x:v>0</x:v>
      </x:c>
      <x:c r="F169" s="31" t="n">
        <x:f>E169*INDEX($G$51:$G$147,C169+1)</x:f>
        <x:v>0</x:v>
      </x:c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</x:row>
    <x:row r="170" ht="19" customHeight="1">
      <x:c r="A170" s="1"/>
      <x:c r="B170" s="1"/>
      <x:c r="C170" s="2" t="n">
        <x:v>10</x:v>
      </x:c>
      <x:c r="D170" s="31" t="n">
        <x:f>IF(OR(C170&gt;=$E$43,INDEX($I$51:$I$147,C170+1)&lt;=0.0000000001),0,IF($E$46=0,$E$44/MIN($E$43,COUNTIF($I$51:$I$110,"&gt;0.0000000001")),IF(C170=$E$45,$E$44,0)))</x:f>
        <x:v>0</x:v>
      </x:c>
      <x:c r="E170" s="31" t="n">
        <x:f>IF(D170=0,0,D170/(INDEX($I$51:$I$147,C170+1)*INDEX($H$51:$H$147,C170+1)))</x:f>
        <x:v>0</x:v>
      </x:c>
      <x:c r="F170" s="31" t="n">
        <x:f>E170*INDEX($G$51:$G$147,C170+1)</x:f>
        <x:v>0</x:v>
      </x:c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</x:row>
    <x:row r="171" ht="19" customHeight="1">
      <x:c r="A171" s="1"/>
      <x:c r="B171" s="1"/>
      <x:c r="C171" s="2" t="n">
        <x:v>11</x:v>
      </x:c>
      <x:c r="D171" s="31" t="n">
        <x:f>IF(OR(C171&gt;=$E$43,INDEX($I$51:$I$147,C171+1)&lt;=0.0000000001),0,IF($E$46=0,$E$44/MIN($E$43,COUNTIF($I$51:$I$110,"&gt;0.0000000001")),IF(C171=$E$45,$E$44,0)))</x:f>
        <x:v>0</x:v>
      </x:c>
      <x:c r="E171" s="31" t="n">
        <x:f>IF(D171=0,0,D171/(INDEX($I$51:$I$147,C171+1)*INDEX($H$51:$H$147,C171+1)))</x:f>
        <x:v>0</x:v>
      </x:c>
      <x:c r="F171" s="31" t="n">
        <x:f>E171*INDEX($G$51:$G$147,C171+1)</x:f>
        <x:v>0</x:v>
      </x:c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</x:row>
    <x:row r="172" ht="19" customHeight="1">
      <x:c r="A172" s="1"/>
      <x:c r="B172" s="1"/>
      <x:c r="C172" s="2" t="n">
        <x:v>12</x:v>
      </x:c>
      <x:c r="D172" s="31" t="n">
        <x:f>IF(OR(C172&gt;=$E$43,INDEX($I$51:$I$147,C172+1)&lt;=0.0000000001),0,IF($E$46=0,$E$44/MIN($E$43,COUNTIF($I$51:$I$110,"&gt;0.0000000001")),IF(C172=$E$45,$E$44,0)))</x:f>
        <x:v>0</x:v>
      </x:c>
      <x:c r="E172" s="31" t="n">
        <x:f>IF(D172=0,0,D172/(INDEX($I$51:$I$147,C172+1)*INDEX($H$51:$H$147,C172+1)))</x:f>
        <x:v>0</x:v>
      </x:c>
      <x:c r="F172" s="31" t="n">
        <x:f>E172*INDEX($G$51:$G$147,C172+1)</x:f>
        <x:v>0</x:v>
      </x:c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</x:row>
    <x:row r="173" ht="19" customHeight="1">
      <x:c r="A173" s="1"/>
      <x:c r="B173" s="1"/>
      <x:c r="C173" s="2" t="n">
        <x:v>13</x:v>
      </x:c>
      <x:c r="D173" s="31" t="n">
        <x:f>IF(OR(C173&gt;=$E$43,INDEX($I$51:$I$147,C173+1)&lt;=0.0000000001),0,IF($E$46=0,$E$44/MIN($E$43,COUNTIF($I$51:$I$110,"&gt;0.0000000001")),IF(C173=$E$45,$E$44,0)))</x:f>
        <x:v>0</x:v>
      </x:c>
      <x:c r="E173" s="31" t="n">
        <x:f>IF(D173=0,0,D173/(INDEX($I$51:$I$147,C173+1)*INDEX($H$51:$H$147,C173+1)))</x:f>
        <x:v>0</x:v>
      </x:c>
      <x:c r="F173" s="31" t="n">
        <x:f>E173*INDEX($G$51:$G$147,C173+1)</x:f>
        <x:v>0</x:v>
      </x:c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</x:row>
    <x:row r="174" ht="19" customHeight="1">
      <x:c r="A174" s="1"/>
      <x:c r="B174" s="1"/>
      <x:c r="C174" s="2" t="n">
        <x:v>14</x:v>
      </x:c>
      <x:c r="D174" s="31" t="n">
        <x:f>IF(OR(C174&gt;=$E$43,INDEX($I$51:$I$147,C174+1)&lt;=0.0000000001),0,IF($E$46=0,$E$44/MIN($E$43,COUNTIF($I$51:$I$110,"&gt;0.0000000001")),IF(C174=$E$45,$E$44,0)))</x:f>
        <x:v>0</x:v>
      </x:c>
      <x:c r="E174" s="31" t="n">
        <x:f>IF(D174=0,0,D174/(INDEX($I$51:$I$147,C174+1)*INDEX($H$51:$H$147,C174+1)))</x:f>
        <x:v>0</x:v>
      </x:c>
      <x:c r="F174" s="31" t="n">
        <x:f>E174*INDEX($G$51:$G$147,C174+1)</x:f>
        <x:v>0</x:v>
      </x:c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</x:row>
    <x:row r="175" ht="19" customHeight="1">
      <x:c r="A175" s="1"/>
      <x:c r="B175" s="1"/>
      <x:c r="C175" s="2" t="n">
        <x:v>15</x:v>
      </x:c>
      <x:c r="D175" s="31" t="n">
        <x:f>IF(OR(C175&gt;=$E$43,INDEX($I$51:$I$147,C175+1)&lt;=0.0000000001),0,IF($E$46=0,$E$44/MIN($E$43,COUNTIF($I$51:$I$110,"&gt;0.0000000001")),IF(C175=$E$45,$E$44,0)))</x:f>
        <x:v>0</x:v>
      </x:c>
      <x:c r="E175" s="31" t="n">
        <x:f>IF(D175=0,0,D175/(INDEX($I$51:$I$147,C175+1)*INDEX($H$51:$H$147,C175+1)))</x:f>
        <x:v>0</x:v>
      </x:c>
      <x:c r="F175" s="31" t="n">
        <x:f>E175*INDEX($G$51:$G$147,C175+1)</x:f>
        <x:v>0</x:v>
      </x:c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</x:row>
    <x:row r="176" ht="19" customHeight="1">
      <x:c r="A176" s="1"/>
      <x:c r="B176" s="1"/>
      <x:c r="C176" s="2" t="n">
        <x:v>16</x:v>
      </x:c>
      <x:c r="D176" s="31" t="n">
        <x:f>IF(OR(C176&gt;=$E$43,INDEX($I$51:$I$147,C176+1)&lt;=0.0000000001),0,IF($E$46=0,$E$44/MIN($E$43,COUNTIF($I$51:$I$110,"&gt;0.0000000001")),IF(C176=$E$45,$E$44,0)))</x:f>
        <x:v>0</x:v>
      </x:c>
      <x:c r="E176" s="31" t="n">
        <x:f>IF(D176=0,0,D176/(INDEX($I$51:$I$147,C176+1)*INDEX($H$51:$H$147,C176+1)))</x:f>
        <x:v>0</x:v>
      </x:c>
      <x:c r="F176" s="31" t="n">
        <x:f>E176*INDEX($G$51:$G$147,C176+1)</x:f>
        <x:v>0</x:v>
      </x:c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</x:row>
    <x:row r="177" ht="19" customHeight="1">
      <x:c r="A177" s="1"/>
      <x:c r="B177" s="1"/>
      <x:c r="C177" s="2" t="n">
        <x:v>17</x:v>
      </x:c>
      <x:c r="D177" s="31" t="n">
        <x:f>IF(OR(C177&gt;=$E$43,INDEX($I$51:$I$147,C177+1)&lt;=0.0000000001),0,IF($E$46=0,$E$44/MIN($E$43,COUNTIF($I$51:$I$110,"&gt;0.0000000001")),IF(C177=$E$45,$E$44,0)))</x:f>
        <x:v>0</x:v>
      </x:c>
      <x:c r="E177" s="31" t="n">
        <x:f>IF(D177=0,0,D177/(INDEX($I$51:$I$147,C177+1)*INDEX($H$51:$H$147,C177+1)))</x:f>
        <x:v>0</x:v>
      </x:c>
      <x:c r="F177" s="31" t="n">
        <x:f>E177*INDEX($G$51:$G$147,C177+1)</x:f>
        <x:v>0</x:v>
      </x:c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</x:row>
    <x:row r="178" ht="19" customHeight="1">
      <x:c r="A178" s="1"/>
      <x:c r="B178" s="1"/>
      <x:c r="C178" s="2" t="n">
        <x:v>18</x:v>
      </x:c>
      <x:c r="D178" s="31" t="n">
        <x:f>IF(OR(C178&gt;=$E$43,INDEX($I$51:$I$147,C178+1)&lt;=0.0000000001),0,IF($E$46=0,$E$44/MIN($E$43,COUNTIF($I$51:$I$110,"&gt;0.0000000001")),IF(C178=$E$45,$E$44,0)))</x:f>
        <x:v>0</x:v>
      </x:c>
      <x:c r="E178" s="31" t="n">
        <x:f>IF(D178=0,0,D178/(INDEX($I$51:$I$147,C178+1)*INDEX($H$51:$H$147,C178+1)))</x:f>
        <x:v>0</x:v>
      </x:c>
      <x:c r="F178" s="31" t="n">
        <x:f>E178*INDEX($G$51:$G$147,C178+1)</x:f>
        <x:v>0</x:v>
      </x:c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</x:row>
    <x:row r="179" ht="19" customHeight="1">
      <x:c r="A179" s="1"/>
      <x:c r="B179" s="1"/>
      <x:c r="C179" s="2" t="n">
        <x:v>19</x:v>
      </x:c>
      <x:c r="D179" s="31" t="n">
        <x:f>IF(OR(C179&gt;=$E$43,INDEX($I$51:$I$147,C179+1)&lt;=0.0000000001),0,IF($E$46=0,$E$44/MIN($E$43,COUNTIF($I$51:$I$110,"&gt;0.0000000001")),IF(C179=$E$45,$E$44,0)))</x:f>
        <x:v>0</x:v>
      </x:c>
      <x:c r="E179" s="31" t="n">
        <x:f>IF(D179=0,0,D179/(INDEX($I$51:$I$147,C179+1)*INDEX($H$51:$H$147,C179+1)))</x:f>
        <x:v>0</x:v>
      </x:c>
      <x:c r="F179" s="31" t="n">
        <x:f>E179*INDEX($G$51:$G$147,C179+1)</x:f>
        <x:v>0</x:v>
      </x:c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</x:row>
    <x:row r="180" ht="19" customHeight="1">
      <x:c r="A180" s="1"/>
      <x:c r="B180" s="1"/>
      <x:c r="C180" s="2" t="n">
        <x:v>20</x:v>
      </x:c>
      <x:c r="D180" s="31" t="n">
        <x:f>IF(OR(C180&gt;=$E$43,INDEX($I$51:$I$147,C180+1)&lt;=0.0000000001),0,IF($E$46=0,$E$44/MIN($E$43,COUNTIF($I$51:$I$110,"&gt;0.0000000001")),IF(C180=$E$45,$E$44,0)))</x:f>
        <x:v>0</x:v>
      </x:c>
      <x:c r="E180" s="31" t="n">
        <x:f>IF(D180=0,0,D180/(INDEX($I$51:$I$147,C180+1)*INDEX($H$51:$H$147,C180+1)))</x:f>
        <x:v>0</x:v>
      </x:c>
      <x:c r="F180" s="31" t="n">
        <x:f>E180*INDEX($G$51:$G$147,C180+1)</x:f>
        <x:v>0</x:v>
      </x:c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</x:row>
    <x:row r="181" ht="19" customHeight="1">
      <x:c r="A181" s="1"/>
      <x:c r="B181" s="1"/>
      <x:c r="C181" s="2" t="n">
        <x:v>21</x:v>
      </x:c>
      <x:c r="D181" s="31" t="n">
        <x:f>IF(OR(C181&gt;=$E$43,INDEX($I$51:$I$147,C181+1)&lt;=0.0000000001),0,IF($E$46=0,$E$44/MIN($E$43,COUNTIF($I$51:$I$110,"&gt;0.0000000001")),IF(C181=$E$45,$E$44,0)))</x:f>
        <x:v>0</x:v>
      </x:c>
      <x:c r="E181" s="31" t="n">
        <x:f>IF(D181=0,0,D181/(INDEX($I$51:$I$147,C181+1)*INDEX($H$51:$H$147,C181+1)))</x:f>
        <x:v>0</x:v>
      </x:c>
      <x:c r="F181" s="31" t="n">
        <x:f>E181*INDEX($G$51:$G$147,C181+1)</x:f>
        <x:v>0</x:v>
      </x:c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</x:row>
    <x:row r="182" ht="19" customHeight="1">
      <x:c r="A182" s="1"/>
      <x:c r="B182" s="1"/>
      <x:c r="C182" s="2" t="n">
        <x:v>22</x:v>
      </x:c>
      <x:c r="D182" s="31" t="n">
        <x:f>IF(OR(C182&gt;=$E$43,INDEX($I$51:$I$147,C182+1)&lt;=0.0000000001),0,IF($E$46=0,$E$44/MIN($E$43,COUNTIF($I$51:$I$110,"&gt;0.0000000001")),IF(C182=$E$45,$E$44,0)))</x:f>
        <x:v>0</x:v>
      </x:c>
      <x:c r="E182" s="31" t="n">
        <x:f>IF(D182=0,0,D182/(INDEX($I$51:$I$147,C182+1)*INDEX($H$51:$H$147,C182+1)))</x:f>
        <x:v>0</x:v>
      </x:c>
      <x:c r="F182" s="31" t="n">
        <x:f>E182*INDEX($G$51:$G$147,C182+1)</x:f>
        <x:v>0</x:v>
      </x:c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</x:row>
    <x:row r="183" ht="19" customHeight="1">
      <x:c r="A183" s="1"/>
      <x:c r="B183" s="1"/>
      <x:c r="C183" s="2" t="n">
        <x:v>23</x:v>
      </x:c>
      <x:c r="D183" s="31" t="n">
        <x:f>IF(OR(C183&gt;=$E$43,INDEX($I$51:$I$147,C183+1)&lt;=0.0000000001),0,IF($E$46=0,$E$44/MIN($E$43,COUNTIF($I$51:$I$110,"&gt;0.0000000001")),IF(C183=$E$45,$E$44,0)))</x:f>
        <x:v>0</x:v>
      </x:c>
      <x:c r="E183" s="31" t="n">
        <x:f>IF(D183=0,0,D183/(INDEX($I$51:$I$147,C183+1)*INDEX($H$51:$H$147,C183+1)))</x:f>
        <x:v>0</x:v>
      </x:c>
      <x:c r="F183" s="31" t="n">
        <x:f>E183*INDEX($G$51:$G$147,C183+1)</x:f>
        <x:v>0</x:v>
      </x:c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</x:row>
    <x:row r="184" ht="19" customHeight="1">
      <x:c r="A184" s="1"/>
      <x:c r="B184" s="1"/>
      <x:c r="C184" s="2" t="n">
        <x:v>24</x:v>
      </x:c>
      <x:c r="D184" s="31" t="n">
        <x:f>IF(OR(C184&gt;=$E$43,INDEX($I$51:$I$147,C184+1)&lt;=0.0000000001),0,IF($E$46=0,$E$44/MIN($E$43,COUNTIF($I$51:$I$110,"&gt;0.0000000001")),IF(C184=$E$45,$E$44,0)))</x:f>
        <x:v>0</x:v>
      </x:c>
      <x:c r="E184" s="31" t="n">
        <x:f>IF(D184=0,0,D184/(INDEX($I$51:$I$147,C184+1)*INDEX($H$51:$H$147,C184+1)))</x:f>
        <x:v>0</x:v>
      </x:c>
      <x:c r="F184" s="31" t="n">
        <x:f>E184*INDEX($G$51:$G$147,C184+1)</x:f>
        <x:v>0</x:v>
      </x:c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</x:row>
    <x:row r="185" ht="19" customHeight="1">
      <x:c r="A185" s="1"/>
      <x:c r="B185" s="1"/>
      <x:c r="C185" s="2" t="n">
        <x:v>25</x:v>
      </x:c>
      <x:c r="D185" s="31" t="n">
        <x:f>IF(OR(C185&gt;=$E$43,INDEX($I$51:$I$147,C185+1)&lt;=0.0000000001),0,IF($E$46=0,$E$44/MIN($E$43,COUNTIF($I$51:$I$110,"&gt;0.0000000001")),IF(C185=$E$45,$E$44,0)))</x:f>
        <x:v>0</x:v>
      </x:c>
      <x:c r="E185" s="31" t="n">
        <x:f>IF(D185=0,0,D185/(INDEX($I$51:$I$147,C185+1)*INDEX($H$51:$H$147,C185+1)))</x:f>
        <x:v>0</x:v>
      </x:c>
      <x:c r="F185" s="31" t="n">
        <x:f>E185*INDEX($G$51:$G$147,C185+1)</x:f>
        <x:v>0</x:v>
      </x:c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</x:row>
    <x:row r="186" ht="19" customHeight="1">
      <x:c r="A186" s="1"/>
      <x:c r="B186" s="1"/>
      <x:c r="C186" s="2" t="n">
        <x:v>26</x:v>
      </x:c>
      <x:c r="D186" s="31" t="n">
        <x:f>IF(OR(C186&gt;=$E$43,INDEX($I$51:$I$147,C186+1)&lt;=0.0000000001),0,IF($E$46=0,$E$44/MIN($E$43,COUNTIF($I$51:$I$110,"&gt;0.0000000001")),IF(C186=$E$45,$E$44,0)))</x:f>
        <x:v>0</x:v>
      </x:c>
      <x:c r="E186" s="31" t="n">
        <x:f>IF(D186=0,0,D186/(INDEX($I$51:$I$147,C186+1)*INDEX($H$51:$H$147,C186+1)))</x:f>
        <x:v>0</x:v>
      </x:c>
      <x:c r="F186" s="31" t="n">
        <x:f>E186*INDEX($G$51:$G$147,C186+1)</x:f>
        <x:v>0</x:v>
      </x:c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</x:row>
    <x:row r="187" ht="19" customHeight="1">
      <x:c r="A187" s="1"/>
      <x:c r="B187" s="1"/>
      <x:c r="C187" s="2" t="n">
        <x:v>27</x:v>
      </x:c>
      <x:c r="D187" s="31" t="n">
        <x:f>IF(OR(C187&gt;=$E$43,INDEX($I$51:$I$147,C187+1)&lt;=0.0000000001),0,IF($E$46=0,$E$44/MIN($E$43,COUNTIF($I$51:$I$110,"&gt;0.0000000001")),IF(C187=$E$45,$E$44,0)))</x:f>
        <x:v>0</x:v>
      </x:c>
      <x:c r="E187" s="31" t="n">
        <x:f>IF(D187=0,0,D187/(INDEX($I$51:$I$147,C187+1)*INDEX($H$51:$H$147,C187+1)))</x:f>
        <x:v>0</x:v>
      </x:c>
      <x:c r="F187" s="31" t="n">
        <x:f>E187*INDEX($G$51:$G$147,C187+1)</x:f>
        <x:v>0</x:v>
      </x:c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</x:row>
    <x:row r="188" ht="19" customHeight="1">
      <x:c r="A188" s="1"/>
      <x:c r="B188" s="1"/>
      <x:c r="C188" s="2" t="n">
        <x:v>28</x:v>
      </x:c>
      <x:c r="D188" s="31" t="n">
        <x:f>IF(OR(C188&gt;=$E$43,INDEX($I$51:$I$147,C188+1)&lt;=0.0000000001),0,IF($E$46=0,$E$44/MIN($E$43,COUNTIF($I$51:$I$110,"&gt;0.0000000001")),IF(C188=$E$45,$E$44,0)))</x:f>
        <x:v>0</x:v>
      </x:c>
      <x:c r="E188" s="31" t="n">
        <x:f>IF(D188=0,0,D188/(INDEX($I$51:$I$147,C188+1)*INDEX($H$51:$H$147,C188+1)))</x:f>
        <x:v>0</x:v>
      </x:c>
      <x:c r="F188" s="31" t="n">
        <x:f>E188*INDEX($G$51:$G$147,C188+1)</x:f>
        <x:v>0</x:v>
      </x:c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</x:row>
    <x:row r="189" ht="19" customHeight="1">
      <x:c r="A189" s="1"/>
      <x:c r="B189" s="1"/>
      <x:c r="C189" s="2" t="n">
        <x:v>29</x:v>
      </x:c>
      <x:c r="D189" s="31" t="n">
        <x:f>IF(OR(C189&gt;=$E$43,INDEX($I$51:$I$147,C189+1)&lt;=0.0000000001),0,IF($E$46=0,$E$44/MIN($E$43,COUNTIF($I$51:$I$110,"&gt;0.0000000001")),IF(C189=$E$45,$E$44,0)))</x:f>
        <x:v>0</x:v>
      </x:c>
      <x:c r="E189" s="31" t="n">
        <x:f>IF(D189=0,0,D189/(INDEX($I$51:$I$147,C189+1)*INDEX($H$51:$H$147,C189+1)))</x:f>
        <x:v>0</x:v>
      </x:c>
      <x:c r="F189" s="31" t="n">
        <x:f>E189*INDEX($G$51:$G$147,C189+1)</x:f>
        <x:v>0</x:v>
      </x:c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</x:row>
    <x:row r="190" ht="19" customHeight="1">
      <x:c r="A190" s="1"/>
      <x:c r="B190" s="1"/>
      <x:c r="C190" s="2" t="n">
        <x:v>30</x:v>
      </x:c>
      <x:c r="D190" s="31" t="n">
        <x:f>IF(OR(C190&gt;=$E$43,INDEX($I$51:$I$147,C190+1)&lt;=0.0000000001),0,IF($E$46=0,$E$44/MIN($E$43,COUNTIF($I$51:$I$110,"&gt;0.0000000001")),IF(C190=$E$45,$E$44,0)))</x:f>
        <x:v>0</x:v>
      </x:c>
      <x:c r="E190" s="31" t="n">
        <x:f>IF(D190=0,0,D190/(INDEX($I$51:$I$147,C190+1)*INDEX($H$51:$H$147,C190+1)))</x:f>
        <x:v>0</x:v>
      </x:c>
      <x:c r="F190" s="31" t="n">
        <x:f>E190*INDEX($G$51:$G$147,C190+1)</x:f>
        <x:v>0</x:v>
      </x:c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</x:row>
    <x:row r="191" ht="19" customHeight="1">
      <x:c r="A191" s="1"/>
      <x:c r="B191" s="1"/>
      <x:c r="C191" s="2" t="n">
        <x:v>31</x:v>
      </x:c>
      <x:c r="D191" s="31" t="n">
        <x:f>IF(OR(C191&gt;=$E$43,INDEX($I$51:$I$147,C191+1)&lt;=0.0000000001),0,IF($E$46=0,$E$44/MIN($E$43,COUNTIF($I$51:$I$110,"&gt;0.0000000001")),IF(C191=$E$45,$E$44,0)))</x:f>
        <x:v>0</x:v>
      </x:c>
      <x:c r="E191" s="31" t="n">
        <x:f>IF(D191=0,0,D191/(INDEX($I$51:$I$147,C191+1)*INDEX($H$51:$H$147,C191+1)))</x:f>
        <x:v>0</x:v>
      </x:c>
      <x:c r="F191" s="31" t="n">
        <x:f>E191*INDEX($G$51:$G$147,C191+1)</x:f>
        <x:v>0</x:v>
      </x:c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</x:row>
    <x:row r="192" ht="19" customHeight="1">
      <x:c r="A192" s="1"/>
      <x:c r="B192" s="1"/>
      <x:c r="C192" s="2" t="n">
        <x:v>32</x:v>
      </x:c>
      <x:c r="D192" s="31" t="n">
        <x:f>IF(OR(C192&gt;=$E$43,INDEX($I$51:$I$147,C192+1)&lt;=0.0000000001),0,IF($E$46=0,$E$44/MIN($E$43,COUNTIF($I$51:$I$110,"&gt;0.0000000001")),IF(C192=$E$45,$E$44,0)))</x:f>
        <x:v>0</x:v>
      </x:c>
      <x:c r="E192" s="31" t="n">
        <x:f>IF(D192=0,0,D192/(INDEX($I$51:$I$147,C192+1)*INDEX($H$51:$H$147,C192+1)))</x:f>
        <x:v>0</x:v>
      </x:c>
      <x:c r="F192" s="31" t="n">
        <x:f>E192*INDEX($G$51:$G$147,C192+1)</x:f>
        <x:v>0</x:v>
      </x:c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</x:row>
    <x:row r="193" ht="19" customHeight="1">
      <x:c r="A193" s="1"/>
      <x:c r="B193" s="1"/>
      <x:c r="C193" s="2" t="n">
        <x:v>33</x:v>
      </x:c>
      <x:c r="D193" s="31" t="n">
        <x:f>IF(OR(C193&gt;=$E$43,INDEX($I$51:$I$147,C193+1)&lt;=0.0000000001),0,IF($E$46=0,$E$44/MIN($E$43,COUNTIF($I$51:$I$110,"&gt;0.0000000001")),IF(C193=$E$45,$E$44,0)))</x:f>
        <x:v>0</x:v>
      </x:c>
      <x:c r="E193" s="31" t="n">
        <x:f>IF(D193=0,0,D193/(INDEX($I$51:$I$147,C193+1)*INDEX($H$51:$H$147,C193+1)))</x:f>
        <x:v>0</x:v>
      </x:c>
      <x:c r="F193" s="31" t="n">
        <x:f>E193*INDEX($G$51:$G$147,C193+1)</x:f>
        <x:v>0</x:v>
      </x:c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</x:row>
    <x:row r="194" ht="19" customHeight="1">
      <x:c r="A194" s="1"/>
      <x:c r="B194" s="1"/>
      <x:c r="C194" s="2" t="n">
        <x:v>34</x:v>
      </x:c>
      <x:c r="D194" s="31" t="n">
        <x:f>IF(OR(C194&gt;=$E$43,INDEX($I$51:$I$147,C194+1)&lt;=0.0000000001),0,IF($E$46=0,$E$44/MIN($E$43,COUNTIF($I$51:$I$110,"&gt;0.0000000001")),IF(C194=$E$45,$E$44,0)))</x:f>
        <x:v>0</x:v>
      </x:c>
      <x:c r="E194" s="31" t="n">
        <x:f>IF(D194=0,0,D194/(INDEX($I$51:$I$147,C194+1)*INDEX($H$51:$H$147,C194+1)))</x:f>
        <x:v>0</x:v>
      </x:c>
      <x:c r="F194" s="31" t="n">
        <x:f>E194*INDEX($G$51:$G$147,C194+1)</x:f>
        <x:v>0</x:v>
      </x:c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</x:row>
    <x:row r="195" ht="19" customHeight="1">
      <x:c r="A195" s="1"/>
      <x:c r="B195" s="1"/>
      <x:c r="C195" s="2" t="n">
        <x:v>35</x:v>
      </x:c>
      <x:c r="D195" s="31" t="n">
        <x:f>IF(OR(C195&gt;=$E$43,INDEX($I$51:$I$147,C195+1)&lt;=0.0000000001),0,IF($E$46=0,$E$44/MIN($E$43,COUNTIF($I$51:$I$110,"&gt;0.0000000001")),IF(C195=$E$45,$E$44,0)))</x:f>
        <x:v>0</x:v>
      </x:c>
      <x:c r="E195" s="31" t="n">
        <x:f>IF(D195=0,0,D195/(INDEX($I$51:$I$147,C195+1)*INDEX($H$51:$H$147,C195+1)))</x:f>
        <x:v>0</x:v>
      </x:c>
      <x:c r="F195" s="31" t="n">
        <x:f>E195*INDEX($G$51:$G$147,C195+1)</x:f>
        <x:v>0</x:v>
      </x:c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</x:row>
    <x:row r="196" ht="19" customHeight="1">
      <x:c r="A196" s="1"/>
      <x:c r="B196" s="1"/>
      <x:c r="C196" s="2" t="n">
        <x:v>36</x:v>
      </x:c>
      <x:c r="D196" s="31" t="n">
        <x:f>IF(OR(C196&gt;=$E$43,INDEX($I$51:$I$147,C196+1)&lt;=0.0000000001),0,IF($E$46=0,$E$44/MIN($E$43,COUNTIF($I$51:$I$110,"&gt;0.0000000001")),IF(C196=$E$45,$E$44,0)))</x:f>
        <x:v>0</x:v>
      </x:c>
      <x:c r="E196" s="31" t="n">
        <x:f>IF(D196=0,0,D196/(INDEX($I$51:$I$147,C196+1)*INDEX($H$51:$H$147,C196+1)))</x:f>
        <x:v>0</x:v>
      </x:c>
      <x:c r="F196" s="31" t="n">
        <x:f>E196*INDEX($G$51:$G$147,C196+1)</x:f>
        <x:v>0</x:v>
      </x:c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</x:row>
    <x:row r="197" ht="19" customHeight="1">
      <x:c r="A197" s="1"/>
      <x:c r="B197" s="1"/>
      <x:c r="C197" s="2" t="n">
        <x:v>37</x:v>
      </x:c>
      <x:c r="D197" s="31" t="n">
        <x:f>IF(OR(C197&gt;=$E$43,INDEX($I$51:$I$147,C197+1)&lt;=0.0000000001),0,IF($E$46=0,$E$44/MIN($E$43,COUNTIF($I$51:$I$110,"&gt;0.0000000001")),IF(C197=$E$45,$E$44,0)))</x:f>
        <x:v>0</x:v>
      </x:c>
      <x:c r="E197" s="31" t="n">
        <x:f>IF(D197=0,0,D197/(INDEX($I$51:$I$147,C197+1)*INDEX($H$51:$H$147,C197+1)))</x:f>
        <x:v>0</x:v>
      </x:c>
      <x:c r="F197" s="31" t="n">
        <x:f>E197*INDEX($G$51:$G$147,C197+1)</x:f>
        <x:v>0</x:v>
      </x:c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</x:row>
    <x:row r="198" ht="19" customHeight="1">
      <x:c r="A198" s="1"/>
      <x:c r="B198" s="1"/>
      <x:c r="C198" s="2" t="n">
        <x:v>38</x:v>
      </x:c>
      <x:c r="D198" s="31" t="n">
        <x:f>IF(OR(C198&gt;=$E$43,INDEX($I$51:$I$147,C198+1)&lt;=0.0000000001),0,IF($E$46=0,$E$44/MIN($E$43,COUNTIF($I$51:$I$110,"&gt;0.0000000001")),IF(C198=$E$45,$E$44,0)))</x:f>
        <x:v>0</x:v>
      </x:c>
      <x:c r="E198" s="31" t="n">
        <x:f>IF(D198=0,0,D198/(INDEX($I$51:$I$147,C198+1)*INDEX($H$51:$H$147,C198+1)))</x:f>
        <x:v>0</x:v>
      </x:c>
      <x:c r="F198" s="31" t="n">
        <x:f>E198*INDEX($G$51:$G$147,C198+1)</x:f>
        <x:v>0</x:v>
      </x:c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</x:row>
    <x:row r="199" ht="19" customHeight="1">
      <x:c r="A199" s="1"/>
      <x:c r="B199" s="1"/>
      <x:c r="C199" s="2" t="n">
        <x:v>39</x:v>
      </x:c>
      <x:c r="D199" s="31" t="n">
        <x:f>IF(OR(C199&gt;=$E$43,INDEX($I$51:$I$147,C199+1)&lt;=0.0000000001),0,IF($E$46=0,$E$44/MIN($E$43,COUNTIF($I$51:$I$110,"&gt;0.0000000001")),IF(C199=$E$45,$E$44,0)))</x:f>
        <x:v>0</x:v>
      </x:c>
      <x:c r="E199" s="31" t="n">
        <x:f>IF(D199=0,0,D199/(INDEX($I$51:$I$147,C199+1)*INDEX($H$51:$H$147,C199+1)))</x:f>
        <x:v>0</x:v>
      </x:c>
      <x:c r="F199" s="31" t="n">
        <x:f>E199*INDEX($G$51:$G$147,C199+1)</x:f>
        <x:v>0</x:v>
      </x:c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</x:row>
    <x:row r="200" ht="19" customHeight="1">
      <x:c r="A200" s="1"/>
      <x:c r="B200" s="1"/>
      <x:c r="C200" s="2" t="n">
        <x:v>40</x:v>
      </x:c>
      <x:c r="D200" s="31" t="n">
        <x:f>IF(OR(C200&gt;=$E$43,INDEX($I$51:$I$147,C200+1)&lt;=0.0000000001),0,IF($E$46=0,$E$44/MIN($E$43,COUNTIF($I$51:$I$110,"&gt;0.0000000001")),IF(C200=$E$45,$E$44,0)))</x:f>
        <x:v>0</x:v>
      </x:c>
      <x:c r="E200" s="31" t="n">
        <x:f>IF(D200=0,0,D200/(INDEX($I$51:$I$147,C200+1)*INDEX($H$51:$H$147,C200+1)))</x:f>
        <x:v>0</x:v>
      </x:c>
      <x:c r="F200" s="31" t="n">
        <x:f>E200*INDEX($G$51:$G$147,C200+1)</x:f>
        <x:v>0</x:v>
      </x:c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</x:row>
    <x:row r="201" ht="19" customHeight="1">
      <x:c r="A201" s="1"/>
      <x:c r="B201" s="1"/>
      <x:c r="C201" s="2" t="n">
        <x:v>41</x:v>
      </x:c>
      <x:c r="D201" s="31" t="n">
        <x:f>IF(OR(C201&gt;=$E$43,INDEX($I$51:$I$147,C201+1)&lt;=0.0000000001),0,IF($E$46=0,$E$44/MIN($E$43,COUNTIF($I$51:$I$110,"&gt;0.0000000001")),IF(C201=$E$45,$E$44,0)))</x:f>
        <x:v>0</x:v>
      </x:c>
      <x:c r="E201" s="31" t="n">
        <x:f>IF(D201=0,0,D201/(INDEX($I$51:$I$147,C201+1)*INDEX($H$51:$H$147,C201+1)))</x:f>
        <x:v>0</x:v>
      </x:c>
      <x:c r="F201" s="31" t="n">
        <x:f>E201*INDEX($G$51:$G$147,C201+1)</x:f>
        <x:v>0</x:v>
      </x:c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</x:row>
    <x:row r="202" ht="19" customHeight="1">
      <x:c r="A202" s="1"/>
      <x:c r="B202" s="1"/>
      <x:c r="C202" s="2" t="n">
        <x:v>42</x:v>
      </x:c>
      <x:c r="D202" s="31" t="n">
        <x:f>IF(OR(C202&gt;=$E$43,INDEX($I$51:$I$147,C202+1)&lt;=0.0000000001),0,IF($E$46=0,$E$44/MIN($E$43,COUNTIF($I$51:$I$110,"&gt;0.0000000001")),IF(C202=$E$45,$E$44,0)))</x:f>
        <x:v>0</x:v>
      </x:c>
      <x:c r="E202" s="31" t="n">
        <x:f>IF(D202=0,0,D202/(INDEX($I$51:$I$147,C202+1)*INDEX($H$51:$H$147,C202+1)))</x:f>
        <x:v>0</x:v>
      </x:c>
      <x:c r="F202" s="31" t="n">
        <x:f>E202*INDEX($G$51:$G$147,C202+1)</x:f>
        <x:v>0</x:v>
      </x:c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</x:row>
    <x:row r="203" ht="19" customHeight="1">
      <x:c r="A203" s="1"/>
      <x:c r="B203" s="1"/>
      <x:c r="C203" s="2" t="n">
        <x:v>43</x:v>
      </x:c>
      <x:c r="D203" s="31" t="n">
        <x:f>IF(OR(C203&gt;=$E$43,INDEX($I$51:$I$147,C203+1)&lt;=0.0000000001),0,IF($E$46=0,$E$44/MIN($E$43,COUNTIF($I$51:$I$110,"&gt;0.0000000001")),IF(C203=$E$45,$E$44,0)))</x:f>
        <x:v>0</x:v>
      </x:c>
      <x:c r="E203" s="31" t="n">
        <x:f>IF(D203=0,0,D203/(INDEX($I$51:$I$147,C203+1)*INDEX($H$51:$H$147,C203+1)))</x:f>
        <x:v>0</x:v>
      </x:c>
      <x:c r="F203" s="31" t="n">
        <x:f>E203*INDEX($G$51:$G$147,C203+1)</x:f>
        <x:v>0</x:v>
      </x:c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</x:row>
    <x:row r="204" ht="19" customHeight="1">
      <x:c r="A204" s="1"/>
      <x:c r="B204" s="1"/>
      <x:c r="C204" s="2" t="n">
        <x:v>44</x:v>
      </x:c>
      <x:c r="D204" s="31" t="n">
        <x:f>IF(OR(C204&gt;=$E$43,INDEX($I$51:$I$147,C204+1)&lt;=0.0000000001),0,IF($E$46=0,$E$44/MIN($E$43,COUNTIF($I$51:$I$110,"&gt;0.0000000001")),IF(C204=$E$45,$E$44,0)))</x:f>
        <x:v>0</x:v>
      </x:c>
      <x:c r="E204" s="31" t="n">
        <x:f>IF(D204=0,0,D204/(INDEX($I$51:$I$147,C204+1)*INDEX($H$51:$H$147,C204+1)))</x:f>
        <x:v>0</x:v>
      </x:c>
      <x:c r="F204" s="31" t="n">
        <x:f>E204*INDEX($G$51:$G$147,C204+1)</x:f>
        <x:v>0</x:v>
      </x:c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</x:row>
    <x:row r="205" ht="19" customHeight="1">
      <x:c r="A205" s="1"/>
      <x:c r="B205" s="1"/>
      <x:c r="C205" s="2" t="n">
        <x:v>45</x:v>
      </x:c>
      <x:c r="D205" s="31" t="n">
        <x:f>IF(OR(C205&gt;=$E$43,INDEX($I$51:$I$147,C205+1)&lt;=0.0000000001),0,IF($E$46=0,$E$44/MIN($E$43,COUNTIF($I$51:$I$110,"&gt;0.0000000001")),IF(C205=$E$45,$E$44,0)))</x:f>
        <x:v>0</x:v>
      </x:c>
      <x:c r="E205" s="31" t="n">
        <x:f>IF(D205=0,0,D205/(INDEX($I$51:$I$147,C205+1)*INDEX($H$51:$H$147,C205+1)))</x:f>
        <x:v>0</x:v>
      </x:c>
      <x:c r="F205" s="31" t="n">
        <x:f>E205*INDEX($G$51:$G$147,C205+1)</x:f>
        <x:v>0</x:v>
      </x:c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</x:row>
    <x:row r="206" ht="19" customHeight="1">
      <x:c r="A206" s="1"/>
      <x:c r="B206" s="1"/>
      <x:c r="C206" s="2" t="n">
        <x:v>46</x:v>
      </x:c>
      <x:c r="D206" s="31" t="n">
        <x:f>IF(OR(C206&gt;=$E$43,INDEX($I$51:$I$147,C206+1)&lt;=0.0000000001),0,IF($E$46=0,$E$44/MIN($E$43,COUNTIF($I$51:$I$110,"&gt;0.0000000001")),IF(C206=$E$45,$E$44,0)))</x:f>
        <x:v>0</x:v>
      </x:c>
      <x:c r="E206" s="31" t="n">
        <x:f>IF(D206=0,0,D206/(INDEX($I$51:$I$147,C206+1)*INDEX($H$51:$H$147,C206+1)))</x:f>
        <x:v>0</x:v>
      </x:c>
      <x:c r="F206" s="31" t="n">
        <x:f>E206*INDEX($G$51:$G$147,C206+1)</x:f>
        <x:v>0</x:v>
      </x:c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</x:row>
    <x:row r="207" ht="19" customHeight="1">
      <x:c r="A207" s="1"/>
      <x:c r="B207" s="1"/>
      <x:c r="C207" s="2" t="n">
        <x:v>47</x:v>
      </x:c>
      <x:c r="D207" s="31" t="n">
        <x:f>IF(OR(C207&gt;=$E$43,INDEX($I$51:$I$147,C207+1)&lt;=0.0000000001),0,IF($E$46=0,$E$44/MIN($E$43,COUNTIF($I$51:$I$110,"&gt;0.0000000001")),IF(C207=$E$45,$E$44,0)))</x:f>
        <x:v>0</x:v>
      </x:c>
      <x:c r="E207" s="31" t="n">
        <x:f>IF(D207=0,0,D207/(INDEX($I$51:$I$147,C207+1)*INDEX($H$51:$H$147,C207+1)))</x:f>
        <x:v>0</x:v>
      </x:c>
      <x:c r="F207" s="31" t="n">
        <x:f>E207*INDEX($G$51:$G$147,C207+1)</x:f>
        <x:v>0</x:v>
      </x:c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</x:row>
    <x:row r="208" ht="19" customHeight="1">
      <x:c r="A208" s="1"/>
      <x:c r="B208" s="1"/>
      <x:c r="C208" s="2" t="n">
        <x:v>48</x:v>
      </x:c>
      <x:c r="D208" s="31" t="n">
        <x:f>IF(OR(C208&gt;=$E$43,INDEX($I$51:$I$147,C208+1)&lt;=0.0000000001),0,IF($E$46=0,$E$44/MIN($E$43,COUNTIF($I$51:$I$110,"&gt;0.0000000001")),IF(C208=$E$45,$E$44,0)))</x:f>
        <x:v>0</x:v>
      </x:c>
      <x:c r="E208" s="31" t="n">
        <x:f>IF(D208=0,0,D208/(INDEX($I$51:$I$147,C208+1)*INDEX($H$51:$H$147,C208+1)))</x:f>
        <x:v>0</x:v>
      </x:c>
      <x:c r="F208" s="31" t="n">
        <x:f>E208*INDEX($G$51:$G$147,C208+1)</x:f>
        <x:v>0</x:v>
      </x:c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</x:row>
    <x:row r="209" ht="19" customHeight="1">
      <x:c r="A209" s="1"/>
      <x:c r="B209" s="1"/>
      <x:c r="C209" s="2" t="n">
        <x:v>49</x:v>
      </x:c>
      <x:c r="D209" s="31" t="n">
        <x:f>IF(OR(C209&gt;=$E$43,INDEX($I$51:$I$147,C209+1)&lt;=0.0000000001),0,IF($E$46=0,$E$44/MIN($E$43,COUNTIF($I$51:$I$110,"&gt;0.0000000001")),IF(C209=$E$45,$E$44,0)))</x:f>
        <x:v>0</x:v>
      </x:c>
      <x:c r="E209" s="31" t="n">
        <x:f>IF(D209=0,0,D209/(INDEX($I$51:$I$147,C209+1)*INDEX($H$51:$H$147,C209+1)))</x:f>
        <x:v>0</x:v>
      </x:c>
      <x:c r="F209" s="31" t="n">
        <x:f>E209*INDEX($G$51:$G$147,C209+1)</x:f>
        <x:v>0</x:v>
      </x:c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</x:row>
    <x:row r="210" ht="19" customHeight="1">
      <x:c r="A210" s="1"/>
      <x:c r="B210" s="1"/>
      <x:c r="C210" s="2" t="n">
        <x:v>50</x:v>
      </x:c>
      <x:c r="D210" s="31" t="n">
        <x:f>IF(OR(C210&gt;=$E$43,INDEX($I$51:$I$147,C210+1)&lt;=0.0000000001),0,IF($E$46=0,$E$44/MIN($E$43,COUNTIF($I$51:$I$110,"&gt;0.0000000001")),IF(C210=$E$45,$E$44,0)))</x:f>
        <x:v>0</x:v>
      </x:c>
      <x:c r="E210" s="31" t="n">
        <x:f>IF(D210=0,0,D210/(INDEX($I$51:$I$147,C210+1)*INDEX($H$51:$H$147,C210+1)))</x:f>
        <x:v>0</x:v>
      </x:c>
      <x:c r="F210" s="31" t="n">
        <x:f>E210*INDEX($G$51:$G$147,C210+1)</x:f>
        <x:v>0</x:v>
      </x:c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</x:row>
    <x:row r="211" ht="19" customHeight="1">
      <x:c r="A211" s="1"/>
      <x:c r="B211" s="1"/>
      <x:c r="C211" s="2" t="n">
        <x:v>51</x:v>
      </x:c>
      <x:c r="D211" s="31" t="n">
        <x:f>IF(OR(C211&gt;=$E$43,INDEX($I$51:$I$147,C211+1)&lt;=0.0000000001),0,IF($E$46=0,$E$44/MIN($E$43,COUNTIF($I$51:$I$110,"&gt;0.0000000001")),IF(C211=$E$45,$E$44,0)))</x:f>
        <x:v>0</x:v>
      </x:c>
      <x:c r="E211" s="31" t="n">
        <x:f>IF(D211=0,0,D211/(INDEX($I$51:$I$147,C211+1)*INDEX($H$51:$H$147,C211+1)))</x:f>
        <x:v>0</x:v>
      </x:c>
      <x:c r="F211" s="31" t="n">
        <x:f>E211*INDEX($G$51:$G$147,C211+1)</x:f>
        <x:v>0</x:v>
      </x:c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</x:row>
    <x:row r="212" ht="19" customHeight="1">
      <x:c r="A212" s="1"/>
      <x:c r="B212" s="1"/>
      <x:c r="C212" s="2" t="n">
        <x:v>52</x:v>
      </x:c>
      <x:c r="D212" s="31" t="n">
        <x:f>IF(OR(C212&gt;=$E$43,INDEX($I$51:$I$147,C212+1)&lt;=0.0000000001),0,IF($E$46=0,$E$44/MIN($E$43,COUNTIF($I$51:$I$110,"&gt;0.0000000001")),IF(C212=$E$45,$E$44,0)))</x:f>
        <x:v>0</x:v>
      </x:c>
      <x:c r="E212" s="31" t="n">
        <x:f>IF(D212=0,0,D212/(INDEX($I$51:$I$147,C212+1)*INDEX($H$51:$H$147,C212+1)))</x:f>
        <x:v>0</x:v>
      </x:c>
      <x:c r="F212" s="31" t="n">
        <x:f>E212*INDEX($G$51:$G$147,C212+1)</x:f>
        <x:v>0</x:v>
      </x:c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</x:row>
    <x:row r="213" ht="19" customHeight="1">
      <x:c r="A213" s="1"/>
      <x:c r="B213" s="1"/>
      <x:c r="C213" s="2" t="n">
        <x:v>53</x:v>
      </x:c>
      <x:c r="D213" s="31" t="n">
        <x:f>IF(OR(C213&gt;=$E$43,INDEX($I$51:$I$147,C213+1)&lt;=0.0000000001),0,IF($E$46=0,$E$44/MIN($E$43,COUNTIF($I$51:$I$110,"&gt;0.0000000001")),IF(C213=$E$45,$E$44,0)))</x:f>
        <x:v>0</x:v>
      </x:c>
      <x:c r="E213" s="31" t="n">
        <x:f>IF(D213=0,0,D213/(INDEX($I$51:$I$147,C213+1)*INDEX($H$51:$H$147,C213+1)))</x:f>
        <x:v>0</x:v>
      </x:c>
      <x:c r="F213" s="31" t="n">
        <x:f>E213*INDEX($G$51:$G$147,C213+1)</x:f>
        <x:v>0</x:v>
      </x:c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</x:row>
    <x:row r="214" ht="19" customHeight="1">
      <x:c r="A214" s="1"/>
      <x:c r="B214" s="1"/>
      <x:c r="C214" s="2" t="n">
        <x:v>54</x:v>
      </x:c>
      <x:c r="D214" s="31" t="n">
        <x:f>IF(OR(C214&gt;=$E$43,INDEX($I$51:$I$147,C214+1)&lt;=0.0000000001),0,IF($E$46=0,$E$44/MIN($E$43,COUNTIF($I$51:$I$110,"&gt;0.0000000001")),IF(C214=$E$45,$E$44,0)))</x:f>
        <x:v>0</x:v>
      </x:c>
      <x:c r="E214" s="31" t="n">
        <x:f>IF(D214=0,0,D214/(INDEX($I$51:$I$147,C214+1)*INDEX($H$51:$H$147,C214+1)))</x:f>
        <x:v>0</x:v>
      </x:c>
      <x:c r="F214" s="31" t="n">
        <x:f>E214*INDEX($G$51:$G$147,C214+1)</x:f>
        <x:v>0</x:v>
      </x:c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</x:row>
    <x:row r="215" ht="19" customHeight="1">
      <x:c r="A215" s="1"/>
      <x:c r="B215" s="1"/>
      <x:c r="C215" s="2" t="n">
        <x:v>55</x:v>
      </x:c>
      <x:c r="D215" s="31" t="n">
        <x:f>IF(OR(C215&gt;=$E$43,INDEX($I$51:$I$147,C215+1)&lt;=0.0000000001),0,IF($E$46=0,$E$44/MIN($E$43,COUNTIF($I$51:$I$110,"&gt;0.0000000001")),IF(C215=$E$45,$E$44,0)))</x:f>
        <x:v>0</x:v>
      </x:c>
      <x:c r="E215" s="31" t="n">
        <x:f>IF(D215=0,0,D215/(INDEX($I$51:$I$147,C215+1)*INDEX($H$51:$H$147,C215+1)))</x:f>
        <x:v>0</x:v>
      </x:c>
      <x:c r="F215" s="31" t="n">
        <x:f>E215*INDEX($G$51:$G$147,C215+1)</x:f>
        <x:v>0</x:v>
      </x:c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</x:row>
    <x:row r="216" ht="19" customHeight="1">
      <x:c r="A216" s="1"/>
      <x:c r="B216" s="1"/>
      <x:c r="C216" s="2" t="n">
        <x:v>56</x:v>
      </x:c>
      <x:c r="D216" s="31" t="n">
        <x:f>IF(OR(C216&gt;=$E$43,INDEX($I$51:$I$147,C216+1)&lt;=0.0000000001),0,IF($E$46=0,$E$44/MIN($E$43,COUNTIF($I$51:$I$110,"&gt;0.0000000001")),IF(C216=$E$45,$E$44,0)))</x:f>
        <x:v>0</x:v>
      </x:c>
      <x:c r="E216" s="31" t="n">
        <x:f>IF(D216=0,0,D216/(INDEX($I$51:$I$147,C216+1)*INDEX($H$51:$H$147,C216+1)))</x:f>
        <x:v>0</x:v>
      </x:c>
      <x:c r="F216" s="31" t="n">
        <x:f>E216*INDEX($G$51:$G$147,C216+1)</x:f>
        <x:v>0</x:v>
      </x:c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</x:row>
    <x:row r="217" ht="19" customHeight="1">
      <x:c r="A217" s="1"/>
      <x:c r="B217" s="1"/>
      <x:c r="C217" s="2" t="n">
        <x:v>57</x:v>
      </x:c>
      <x:c r="D217" s="31" t="n">
        <x:f>IF(OR(C217&gt;=$E$43,INDEX($I$51:$I$147,C217+1)&lt;=0.0000000001),0,IF($E$46=0,$E$44/MIN($E$43,COUNTIF($I$51:$I$110,"&gt;0.0000000001")),IF(C217=$E$45,$E$44,0)))</x:f>
        <x:v>0</x:v>
      </x:c>
      <x:c r="E217" s="31" t="n">
        <x:f>IF(D217=0,0,D217/(INDEX($I$51:$I$147,C217+1)*INDEX($H$51:$H$147,C217+1)))</x:f>
        <x:v>0</x:v>
      </x:c>
      <x:c r="F217" s="31" t="n">
        <x:f>E217*INDEX($G$51:$G$147,C217+1)</x:f>
        <x:v>0</x:v>
      </x:c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</x:row>
    <x:row r="218" ht="19" customHeight="1">
      <x:c r="A218" s="1"/>
      <x:c r="B218" s="1"/>
      <x:c r="C218" s="2" t="n">
        <x:v>58</x:v>
      </x:c>
      <x:c r="D218" s="31" t="n">
        <x:f>IF(OR(C218&gt;=$E$43,INDEX($I$51:$I$147,C218+1)&lt;=0.0000000001),0,IF($E$46=0,$E$44/MIN($E$43,COUNTIF($I$51:$I$110,"&gt;0.0000000001")),IF(C218=$E$45,$E$44,0)))</x:f>
        <x:v>0</x:v>
      </x:c>
      <x:c r="E218" s="31" t="n">
        <x:f>IF(D218=0,0,D218/(INDEX($I$51:$I$147,C218+1)*INDEX($H$51:$H$147,C218+1)))</x:f>
        <x:v>0</x:v>
      </x:c>
      <x:c r="F218" s="31" t="n">
        <x:f>E218*INDEX($G$51:$G$147,C218+1)</x:f>
        <x:v>0</x:v>
      </x:c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</x:row>
    <x:row r="219" ht="19" customHeight="1">
      <x:c r="A219" s="1"/>
      <x:c r="B219" s="1"/>
      <x:c r="C219" s="2" t="n">
        <x:v>59</x:v>
      </x:c>
      <x:c r="D219" s="31" t="n">
        <x:f>IF(OR(C219&gt;=$E$43,INDEX($I$51:$I$147,C219+1)&lt;=0.0000000001),0,IF($E$46=0,$E$44/MIN($E$43,COUNTIF($I$51:$I$110,"&gt;0.0000000001")),IF(C219=$E$45,$E$44,0)))</x:f>
        <x:v>0</x:v>
      </x:c>
      <x:c r="E219" s="31" t="n">
        <x:f>IF(D219=0,0,D219/(INDEX($I$51:$I$147,C219+1)*INDEX($H$51:$H$147,C219+1)))</x:f>
        <x:v>0</x:v>
      </x:c>
      <x:c r="F219" s="31" t="n">
        <x:f>E219*INDEX($G$51:$G$147,C219+1)</x:f>
        <x:v>0</x:v>
      </x:c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</x:row>
  </x:sheetData>
  <x:conditionalFormatting sqref="G35:AP37">
    <x:cfRule type="expression" dxfId="2" priority="1">
      <x:formula>ABS(G35)&gt;0.01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</x:cols>
  <x:sheetData>
    <x:row r="1" ht="19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</x:row>
    <x:row r="2" ht="19" customHeight="1">
      <x:c r="A2" s="1"/>
      <x:c r="B2" s="1"/>
      <x:c r="C2" s="3" t="str">
        <x:v>MK Installment</x:v>
      </x:c>
      <x:c r="D2" s="3"/>
      <x:c r="E2" s="3"/>
      <x:c r="F2" s="3"/>
      <x:c r="G2" s="3"/>
      <x:c r="H2" s="3"/>
      <x:c r="I2" s="3"/>
      <x:c r="J2" s="3"/>
      <x:c r="K2" s="3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</x:row>
    <x:row r="3" ht="19" customHeight="1">
      <x:c r="A3" s="1"/>
      <x:c r="B3" s="1"/>
      <x:c r="C3" s="2" t="str">
        <x:v>Exported scenario</x:v>
      </x:c>
      <x:c r="D3" s="2"/>
      <x:c r="E3" s="4" t="str">
        <x:f>'Assumptions'!$E$8</x:f>
        <x:v>Base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</x:row>
    <x:row r="4" ht="19" customHeight="1">
      <x:c r="A4" s="1"/>
      <x:c r="B4" s="1"/>
      <x:c r="C4" s="2" t="str">
        <x:v>USD thousands unless noted. Months run left to right. Detailed curve and opening cohorts below.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</x:row>
    <x:row r="5" ht="19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</x:row>
    <x:row r="6" ht="19" customHeight="1">
      <x:c r="A6" s="1"/>
      <x:c r="B6" s="1"/>
      <x:c r="C6" s="6"/>
      <x:c r="D6" s="6"/>
      <x:c r="E6" s="6" t="str">
        <x:v>Horizon total / end</x:v>
      </x:c>
      <x:c r="F6" s="6"/>
      <x:c r="G6" s="21" t="n">
        <x:v>1</x:v>
      </x:c>
      <x:c r="H6" s="21" t="n">
        <x:v>2</x:v>
      </x:c>
      <x:c r="I6" s="21" t="n">
        <x:v>3</x:v>
      </x:c>
      <x:c r="J6" s="21" t="n">
        <x:v>4</x:v>
      </x:c>
      <x:c r="K6" s="21" t="n">
        <x:v>5</x:v>
      </x:c>
      <x:c r="L6" s="21" t="n">
        <x:v>6</x:v>
      </x:c>
      <x:c r="M6" s="21" t="n">
        <x:v>7</x:v>
      </x:c>
      <x:c r="N6" s="21" t="n">
        <x:v>8</x:v>
      </x:c>
      <x:c r="O6" s="21" t="n">
        <x:v>9</x:v>
      </x:c>
      <x:c r="P6" s="21" t="n">
        <x:v>10</x:v>
      </x:c>
      <x:c r="Q6" s="21" t="n">
        <x:v>11</x:v>
      </x:c>
      <x:c r="R6" s="21" t="n">
        <x:v>12</x:v>
      </x:c>
      <x:c r="S6" s="21" t="n">
        <x:v>13</x:v>
      </x:c>
      <x:c r="T6" s="21" t="n">
        <x:v>14</x:v>
      </x:c>
      <x:c r="U6" s="21" t="n">
        <x:v>15</x:v>
      </x:c>
      <x:c r="V6" s="21" t="n">
        <x:v>16</x:v>
      </x:c>
      <x:c r="W6" s="21" t="n">
        <x:v>17</x:v>
      </x:c>
      <x:c r="X6" s="21" t="n">
        <x:v>18</x:v>
      </x:c>
      <x:c r="Y6" s="21" t="n">
        <x:v>19</x:v>
      </x:c>
      <x:c r="Z6" s="21" t="n">
        <x:v>20</x:v>
      </x:c>
      <x:c r="AA6" s="21" t="n">
        <x:v>21</x:v>
      </x:c>
      <x:c r="AB6" s="21" t="n">
        <x:v>22</x:v>
      </x:c>
      <x:c r="AC6" s="21" t="n">
        <x:v>23</x:v>
      </x:c>
      <x:c r="AD6" s="21" t="n">
        <x:v>24</x:v>
      </x:c>
      <x:c r="AE6" s="21" t="n">
        <x:v>25</x:v>
      </x:c>
      <x:c r="AF6" s="21" t="n">
        <x:v>26</x:v>
      </x:c>
      <x:c r="AG6" s="21" t="n">
        <x:v>27</x:v>
      </x:c>
      <x:c r="AH6" s="21" t="n">
        <x:v>28</x:v>
      </x:c>
      <x:c r="AI6" s="21" t="n">
        <x:v>29</x:v>
      </x:c>
      <x:c r="AJ6" s="21" t="n">
        <x:v>30</x:v>
      </x:c>
      <x:c r="AK6" s="21" t="n">
        <x:v>31</x:v>
      </x:c>
      <x:c r="AL6" s="21" t="n">
        <x:v>32</x:v>
      </x:c>
      <x:c r="AM6" s="21" t="n">
        <x:v>33</x:v>
      </x:c>
      <x:c r="AN6" s="21" t="n">
        <x:v>34</x:v>
      </x:c>
      <x:c r="AO6" s="21" t="n">
        <x:v>35</x:v>
      </x:c>
      <x:c r="AP6" s="21" t="n">
        <x:v>36</x:v>
      </x:c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</x:row>
    <x:row r="7" ht="19" customHeight="1">
      <x:c r="A7" s="1"/>
      <x:c r="B7" s="1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</x:row>
    <x:row r="8" ht="19" customHeight="1">
      <x:c r="A8" s="1"/>
      <x:c r="B8" s="1"/>
      <x:c r="C8" s="2" t="str">
        <x:v>Applications</x:v>
      </x:c>
      <x:c r="D8" s="2"/>
      <x:c r="E8" s="37" t="n">
        <x:f>SUMIFS(G8:AP8,$G$6:$AP$6,"&lt;="&amp;'Assumptions'!$E$7)</x:f>
        <x:v>57599.99999999999</x:v>
      </x:c>
      <x:c r="F8" s="2"/>
      <x:c r="G8" s="32" t="n">
        <x:f>'Assumptions'!$F$11*(1+'Assumptions'!$F$12)^(G$6-1)*INDEX('Assumptions'!$F$34:$F$45,MOD(G$6-1,12)+1)*'Assumptions'!$E$30</x:f>
        <x:v>2399.9999999999995</x:v>
      </x:c>
      <x:c r="H8" s="32" t="n">
        <x:f>'Assumptions'!$F$11*(1+'Assumptions'!$F$12)^(H$6-1)*INDEX('Assumptions'!$F$34:$F$45,MOD(H$6-1,12)+1)*'Assumptions'!$E$30</x:f>
        <x:v>2399.9999999999995</x:v>
      </x:c>
      <x:c r="I8" s="32" t="n">
        <x:f>'Assumptions'!$F$11*(1+'Assumptions'!$F$12)^(I$6-1)*INDEX('Assumptions'!$F$34:$F$45,MOD(I$6-1,12)+1)*'Assumptions'!$E$30</x:f>
        <x:v>2399.9999999999995</x:v>
      </x:c>
      <x:c r="J8" s="32" t="n">
        <x:f>'Assumptions'!$F$11*(1+'Assumptions'!$F$12)^(J$6-1)*INDEX('Assumptions'!$F$34:$F$45,MOD(J$6-1,12)+1)*'Assumptions'!$E$30</x:f>
        <x:v>2399.9999999999995</x:v>
      </x:c>
      <x:c r="K8" s="32" t="n">
        <x:f>'Assumptions'!$F$11*(1+'Assumptions'!$F$12)^(K$6-1)*INDEX('Assumptions'!$F$34:$F$45,MOD(K$6-1,12)+1)*'Assumptions'!$E$30</x:f>
        <x:v>2399.9999999999995</x:v>
      </x:c>
      <x:c r="L8" s="32" t="n">
        <x:f>'Assumptions'!$F$11*(1+'Assumptions'!$F$12)^(L$6-1)*INDEX('Assumptions'!$F$34:$F$45,MOD(L$6-1,12)+1)*'Assumptions'!$E$30</x:f>
        <x:v>2399.9999999999995</x:v>
      </x:c>
      <x:c r="M8" s="32" t="n">
        <x:f>'Assumptions'!$F$11*(1+'Assumptions'!$F$12)^(M$6-1)*INDEX('Assumptions'!$F$34:$F$45,MOD(M$6-1,12)+1)*'Assumptions'!$E$30</x:f>
        <x:v>2399.9999999999995</x:v>
      </x:c>
      <x:c r="N8" s="32" t="n">
        <x:f>'Assumptions'!$F$11*(1+'Assumptions'!$F$12)^(N$6-1)*INDEX('Assumptions'!$F$34:$F$45,MOD(N$6-1,12)+1)*'Assumptions'!$E$30</x:f>
        <x:v>2399.9999999999995</x:v>
      </x:c>
      <x:c r="O8" s="32" t="n">
        <x:f>'Assumptions'!$F$11*(1+'Assumptions'!$F$12)^(O$6-1)*INDEX('Assumptions'!$F$34:$F$45,MOD(O$6-1,12)+1)*'Assumptions'!$E$30</x:f>
        <x:v>2399.9999999999995</x:v>
      </x:c>
      <x:c r="P8" s="32" t="n">
        <x:f>'Assumptions'!$F$11*(1+'Assumptions'!$F$12)^(P$6-1)*INDEX('Assumptions'!$F$34:$F$45,MOD(P$6-1,12)+1)*'Assumptions'!$E$30</x:f>
        <x:v>2399.9999999999995</x:v>
      </x:c>
      <x:c r="Q8" s="32" t="n">
        <x:f>'Assumptions'!$F$11*(1+'Assumptions'!$F$12)^(Q$6-1)*INDEX('Assumptions'!$F$34:$F$45,MOD(Q$6-1,12)+1)*'Assumptions'!$E$30</x:f>
        <x:v>2399.9999999999995</x:v>
      </x:c>
      <x:c r="R8" s="32" t="n">
        <x:f>'Assumptions'!$F$11*(1+'Assumptions'!$F$12)^(R$6-1)*INDEX('Assumptions'!$F$34:$F$45,MOD(R$6-1,12)+1)*'Assumptions'!$E$30</x:f>
        <x:v>2399.9999999999995</x:v>
      </x:c>
      <x:c r="S8" s="32" t="n">
        <x:f>'Assumptions'!$F$11*(1+'Assumptions'!$F$12)^(S$6-1)*INDEX('Assumptions'!$F$34:$F$45,MOD(S$6-1,12)+1)*'Assumptions'!$E$30</x:f>
        <x:v>2399.9999999999995</x:v>
      </x:c>
      <x:c r="T8" s="32" t="n">
        <x:f>'Assumptions'!$F$11*(1+'Assumptions'!$F$12)^(T$6-1)*INDEX('Assumptions'!$F$34:$F$45,MOD(T$6-1,12)+1)*'Assumptions'!$E$30</x:f>
        <x:v>2399.9999999999995</x:v>
      </x:c>
      <x:c r="U8" s="32" t="n">
        <x:f>'Assumptions'!$F$11*(1+'Assumptions'!$F$12)^(U$6-1)*INDEX('Assumptions'!$F$34:$F$45,MOD(U$6-1,12)+1)*'Assumptions'!$E$30</x:f>
        <x:v>2399.9999999999995</x:v>
      </x:c>
      <x:c r="V8" s="32" t="n">
        <x:f>'Assumptions'!$F$11*(1+'Assumptions'!$F$12)^(V$6-1)*INDEX('Assumptions'!$F$34:$F$45,MOD(V$6-1,12)+1)*'Assumptions'!$E$30</x:f>
        <x:v>2399.9999999999995</x:v>
      </x:c>
      <x:c r="W8" s="32" t="n">
        <x:f>'Assumptions'!$F$11*(1+'Assumptions'!$F$12)^(W$6-1)*INDEX('Assumptions'!$F$34:$F$45,MOD(W$6-1,12)+1)*'Assumptions'!$E$30</x:f>
        <x:v>2399.9999999999995</x:v>
      </x:c>
      <x:c r="X8" s="32" t="n">
        <x:f>'Assumptions'!$F$11*(1+'Assumptions'!$F$12)^(X$6-1)*INDEX('Assumptions'!$F$34:$F$45,MOD(X$6-1,12)+1)*'Assumptions'!$E$30</x:f>
        <x:v>2399.9999999999995</x:v>
      </x:c>
      <x:c r="Y8" s="32" t="n">
        <x:f>'Assumptions'!$F$11*(1+'Assumptions'!$F$12)^(Y$6-1)*INDEX('Assumptions'!$F$34:$F$45,MOD(Y$6-1,12)+1)*'Assumptions'!$E$30</x:f>
        <x:v>2399.9999999999995</x:v>
      </x:c>
      <x:c r="Z8" s="32" t="n">
        <x:f>'Assumptions'!$F$11*(1+'Assumptions'!$F$12)^(Z$6-1)*INDEX('Assumptions'!$F$34:$F$45,MOD(Z$6-1,12)+1)*'Assumptions'!$E$30</x:f>
        <x:v>2399.9999999999995</x:v>
      </x:c>
      <x:c r="AA8" s="32" t="n">
        <x:f>'Assumptions'!$F$11*(1+'Assumptions'!$F$12)^(AA$6-1)*INDEX('Assumptions'!$F$34:$F$45,MOD(AA$6-1,12)+1)*'Assumptions'!$E$30</x:f>
        <x:v>2399.9999999999995</x:v>
      </x:c>
      <x:c r="AB8" s="32" t="n">
        <x:f>'Assumptions'!$F$11*(1+'Assumptions'!$F$12)^(AB$6-1)*INDEX('Assumptions'!$F$34:$F$45,MOD(AB$6-1,12)+1)*'Assumptions'!$E$30</x:f>
        <x:v>2399.9999999999995</x:v>
      </x:c>
      <x:c r="AC8" s="32" t="n">
        <x:f>'Assumptions'!$F$11*(1+'Assumptions'!$F$12)^(AC$6-1)*INDEX('Assumptions'!$F$34:$F$45,MOD(AC$6-1,12)+1)*'Assumptions'!$E$30</x:f>
        <x:v>2399.9999999999995</x:v>
      </x:c>
      <x:c r="AD8" s="32" t="n">
        <x:f>'Assumptions'!$F$11*(1+'Assumptions'!$F$12)^(AD$6-1)*INDEX('Assumptions'!$F$34:$F$45,MOD(AD$6-1,12)+1)*'Assumptions'!$E$30</x:f>
        <x:v>2399.9999999999995</x:v>
      </x:c>
      <x:c r="AE8" s="32" t="n">
        <x:f>'Assumptions'!$F$11*(1+'Assumptions'!$F$12)^(AE$6-1)*INDEX('Assumptions'!$F$34:$F$45,MOD(AE$6-1,12)+1)*'Assumptions'!$E$30</x:f>
        <x:v>2399.9999999999995</x:v>
      </x:c>
      <x:c r="AF8" s="32" t="n">
        <x:f>'Assumptions'!$F$11*(1+'Assumptions'!$F$12)^(AF$6-1)*INDEX('Assumptions'!$F$34:$F$45,MOD(AF$6-1,12)+1)*'Assumptions'!$E$30</x:f>
        <x:v>2399.9999999999995</x:v>
      </x:c>
      <x:c r="AG8" s="32" t="n">
        <x:f>'Assumptions'!$F$11*(1+'Assumptions'!$F$12)^(AG$6-1)*INDEX('Assumptions'!$F$34:$F$45,MOD(AG$6-1,12)+1)*'Assumptions'!$E$30</x:f>
        <x:v>2399.9999999999995</x:v>
      </x:c>
      <x:c r="AH8" s="32" t="n">
        <x:f>'Assumptions'!$F$11*(1+'Assumptions'!$F$12)^(AH$6-1)*INDEX('Assumptions'!$F$34:$F$45,MOD(AH$6-1,12)+1)*'Assumptions'!$E$30</x:f>
        <x:v>2399.9999999999995</x:v>
      </x:c>
      <x:c r="AI8" s="32" t="n">
        <x:f>'Assumptions'!$F$11*(1+'Assumptions'!$F$12)^(AI$6-1)*INDEX('Assumptions'!$F$34:$F$45,MOD(AI$6-1,12)+1)*'Assumptions'!$E$30</x:f>
        <x:v>2399.9999999999995</x:v>
      </x:c>
      <x:c r="AJ8" s="32" t="n">
        <x:f>'Assumptions'!$F$11*(1+'Assumptions'!$F$12)^(AJ$6-1)*INDEX('Assumptions'!$F$34:$F$45,MOD(AJ$6-1,12)+1)*'Assumptions'!$E$30</x:f>
        <x:v>2399.9999999999995</x:v>
      </x:c>
      <x:c r="AK8" s="32" t="n">
        <x:f>'Assumptions'!$F$11*(1+'Assumptions'!$F$12)^(AK$6-1)*INDEX('Assumptions'!$F$34:$F$45,MOD(AK$6-1,12)+1)*'Assumptions'!$E$30</x:f>
        <x:v>2399.9999999999995</x:v>
      </x:c>
      <x:c r="AL8" s="32" t="n">
        <x:f>'Assumptions'!$F$11*(1+'Assumptions'!$F$12)^(AL$6-1)*INDEX('Assumptions'!$F$34:$F$45,MOD(AL$6-1,12)+1)*'Assumptions'!$E$30</x:f>
        <x:v>2399.9999999999995</x:v>
      </x:c>
      <x:c r="AM8" s="32" t="n">
        <x:f>'Assumptions'!$F$11*(1+'Assumptions'!$F$12)^(AM$6-1)*INDEX('Assumptions'!$F$34:$F$45,MOD(AM$6-1,12)+1)*'Assumptions'!$E$30</x:f>
        <x:v>2399.9999999999995</x:v>
      </x:c>
      <x:c r="AN8" s="32" t="n">
        <x:f>'Assumptions'!$F$11*(1+'Assumptions'!$F$12)^(AN$6-1)*INDEX('Assumptions'!$F$34:$F$45,MOD(AN$6-1,12)+1)*'Assumptions'!$E$30</x:f>
        <x:v>2399.9999999999995</x:v>
      </x:c>
      <x:c r="AO8" s="32" t="n">
        <x:f>'Assumptions'!$F$11*(1+'Assumptions'!$F$12)^(AO$6-1)*INDEX('Assumptions'!$F$34:$F$45,MOD(AO$6-1,12)+1)*'Assumptions'!$E$30</x:f>
        <x:v>2399.9999999999995</x:v>
      </x:c>
      <x:c r="AP8" s="32" t="n">
        <x:f>'Assumptions'!$F$11*(1+'Assumptions'!$F$12)^(AP$6-1)*INDEX('Assumptions'!$F$34:$F$45,MOD(AP$6-1,12)+1)*'Assumptions'!$E$30</x:f>
        <x:v>2399.9999999999995</x:v>
      </x:c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</x:row>
    <x:row r="9" ht="19" customHeight="1">
      <x:c r="A9" s="1"/>
      <x:c r="B9" s="1"/>
      <x:c r="C9" s="2" t="str">
        <x:v>Approval rate</x:v>
      </x:c>
      <x:c r="D9" s="2"/>
      <x:c r="E9" s="35"/>
      <x:c r="F9" s="2"/>
      <x:c r="G9" s="33" t="n">
        <x:f>'Assumptions'!$F$13</x:f>
        <x:v>0.45</x:v>
      </x:c>
      <x:c r="H9" s="33" t="n">
        <x:f>'Assumptions'!$F$13</x:f>
        <x:v>0.45</x:v>
      </x:c>
      <x:c r="I9" s="33" t="n">
        <x:f>'Assumptions'!$F$13</x:f>
        <x:v>0.45</x:v>
      </x:c>
      <x:c r="J9" s="33" t="n">
        <x:f>'Assumptions'!$F$13</x:f>
        <x:v>0.45</x:v>
      </x:c>
      <x:c r="K9" s="33" t="n">
        <x:f>'Assumptions'!$F$13</x:f>
        <x:v>0.45</x:v>
      </x:c>
      <x:c r="L9" s="33" t="n">
        <x:f>'Assumptions'!$F$13</x:f>
        <x:v>0.45</x:v>
      </x:c>
      <x:c r="M9" s="33" t="n">
        <x:f>'Assumptions'!$F$13</x:f>
        <x:v>0.45</x:v>
      </x:c>
      <x:c r="N9" s="33" t="n">
        <x:f>'Assumptions'!$F$13</x:f>
        <x:v>0.45</x:v>
      </x:c>
      <x:c r="O9" s="33" t="n">
        <x:f>'Assumptions'!$F$13</x:f>
        <x:v>0.45</x:v>
      </x:c>
      <x:c r="P9" s="33" t="n">
        <x:f>'Assumptions'!$F$13</x:f>
        <x:v>0.45</x:v>
      </x:c>
      <x:c r="Q9" s="33" t="n">
        <x:f>'Assumptions'!$F$13</x:f>
        <x:v>0.45</x:v>
      </x:c>
      <x:c r="R9" s="33" t="n">
        <x:f>'Assumptions'!$F$13</x:f>
        <x:v>0.45</x:v>
      </x:c>
      <x:c r="S9" s="33" t="n">
        <x:f>'Assumptions'!$F$13</x:f>
        <x:v>0.45</x:v>
      </x:c>
      <x:c r="T9" s="33" t="n">
        <x:f>'Assumptions'!$F$13</x:f>
        <x:v>0.45</x:v>
      </x:c>
      <x:c r="U9" s="33" t="n">
        <x:f>'Assumptions'!$F$13</x:f>
        <x:v>0.45</x:v>
      </x:c>
      <x:c r="V9" s="33" t="n">
        <x:f>'Assumptions'!$F$13</x:f>
        <x:v>0.45</x:v>
      </x:c>
      <x:c r="W9" s="33" t="n">
        <x:f>'Assumptions'!$F$13</x:f>
        <x:v>0.45</x:v>
      </x:c>
      <x:c r="X9" s="33" t="n">
        <x:f>'Assumptions'!$F$13</x:f>
        <x:v>0.45</x:v>
      </x:c>
      <x:c r="Y9" s="33" t="n">
        <x:f>'Assumptions'!$F$13</x:f>
        <x:v>0.45</x:v>
      </x:c>
      <x:c r="Z9" s="33" t="n">
        <x:f>'Assumptions'!$F$13</x:f>
        <x:v>0.45</x:v>
      </x:c>
      <x:c r="AA9" s="33" t="n">
        <x:f>'Assumptions'!$F$13</x:f>
        <x:v>0.45</x:v>
      </x:c>
      <x:c r="AB9" s="33" t="n">
        <x:f>'Assumptions'!$F$13</x:f>
        <x:v>0.45</x:v>
      </x:c>
      <x:c r="AC9" s="33" t="n">
        <x:f>'Assumptions'!$F$13</x:f>
        <x:v>0.45</x:v>
      </x:c>
      <x:c r="AD9" s="33" t="n">
        <x:f>'Assumptions'!$F$13</x:f>
        <x:v>0.45</x:v>
      </x:c>
      <x:c r="AE9" s="33" t="n">
        <x:f>'Assumptions'!$F$13</x:f>
        <x:v>0.45</x:v>
      </x:c>
      <x:c r="AF9" s="33" t="n">
        <x:f>'Assumptions'!$F$13</x:f>
        <x:v>0.45</x:v>
      </x:c>
      <x:c r="AG9" s="33" t="n">
        <x:f>'Assumptions'!$F$13</x:f>
        <x:v>0.45</x:v>
      </x:c>
      <x:c r="AH9" s="33" t="n">
        <x:f>'Assumptions'!$F$13</x:f>
        <x:v>0.45</x:v>
      </x:c>
      <x:c r="AI9" s="33" t="n">
        <x:f>'Assumptions'!$F$13</x:f>
        <x:v>0.45</x:v>
      </x:c>
      <x:c r="AJ9" s="33" t="n">
        <x:f>'Assumptions'!$F$13</x:f>
        <x:v>0.45</x:v>
      </x:c>
      <x:c r="AK9" s="33" t="n">
        <x:f>'Assumptions'!$F$13</x:f>
        <x:v>0.45</x:v>
      </x:c>
      <x:c r="AL9" s="33" t="n">
        <x:f>'Assumptions'!$F$13</x:f>
        <x:v>0.45</x:v>
      </x:c>
      <x:c r="AM9" s="33" t="n">
        <x:f>'Assumptions'!$F$13</x:f>
        <x:v>0.45</x:v>
      </x:c>
      <x:c r="AN9" s="33" t="n">
        <x:f>'Assumptions'!$F$13</x:f>
        <x:v>0.45</x:v>
      </x:c>
      <x:c r="AO9" s="33" t="n">
        <x:f>'Assumptions'!$F$13</x:f>
        <x:v>0.45</x:v>
      </x:c>
      <x:c r="AP9" s="33" t="n">
        <x:f>'Assumptions'!$F$13</x:f>
        <x:v>0.45</x:v>
      </x:c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</x:row>
    <x:row r="10" ht="19" customHeight="1">
      <x:c r="A10" s="1"/>
      <x:c r="B10" s="1"/>
      <x:c r="C10" s="2" t="str">
        <x:v>Average loan size ($)</x:v>
      </x:c>
      <x:c r="D10" s="2"/>
      <x:c r="E10" s="35"/>
      <x:c r="F10" s="2"/>
      <x:c r="G10" s="34" t="n">
        <x:f>'Assumptions'!$F$14</x:f>
        <x:v>4000</x:v>
      </x:c>
      <x:c r="H10" s="34" t="n">
        <x:f>'Assumptions'!$F$14</x:f>
        <x:v>4000</x:v>
      </x:c>
      <x:c r="I10" s="34" t="n">
        <x:f>'Assumptions'!$F$14</x:f>
        <x:v>4000</x:v>
      </x:c>
      <x:c r="J10" s="34" t="n">
        <x:f>'Assumptions'!$F$14</x:f>
        <x:v>4000</x:v>
      </x:c>
      <x:c r="K10" s="34" t="n">
        <x:f>'Assumptions'!$F$14</x:f>
        <x:v>4000</x:v>
      </x:c>
      <x:c r="L10" s="34" t="n">
        <x:f>'Assumptions'!$F$14</x:f>
        <x:v>4000</x:v>
      </x:c>
      <x:c r="M10" s="34" t="n">
        <x:f>'Assumptions'!$F$14</x:f>
        <x:v>4000</x:v>
      </x:c>
      <x:c r="N10" s="34" t="n">
        <x:f>'Assumptions'!$F$14</x:f>
        <x:v>4000</x:v>
      </x:c>
      <x:c r="O10" s="34" t="n">
        <x:f>'Assumptions'!$F$14</x:f>
        <x:v>4000</x:v>
      </x:c>
      <x:c r="P10" s="34" t="n">
        <x:f>'Assumptions'!$F$14</x:f>
        <x:v>4000</x:v>
      </x:c>
      <x:c r="Q10" s="34" t="n">
        <x:f>'Assumptions'!$F$14</x:f>
        <x:v>4000</x:v>
      </x:c>
      <x:c r="R10" s="34" t="n">
        <x:f>'Assumptions'!$F$14</x:f>
        <x:v>4000</x:v>
      </x:c>
      <x:c r="S10" s="34" t="n">
        <x:f>'Assumptions'!$F$14</x:f>
        <x:v>4000</x:v>
      </x:c>
      <x:c r="T10" s="34" t="n">
        <x:f>'Assumptions'!$F$14</x:f>
        <x:v>4000</x:v>
      </x:c>
      <x:c r="U10" s="34" t="n">
        <x:f>'Assumptions'!$F$14</x:f>
        <x:v>4000</x:v>
      </x:c>
      <x:c r="V10" s="34" t="n">
        <x:f>'Assumptions'!$F$14</x:f>
        <x:v>4000</x:v>
      </x:c>
      <x:c r="W10" s="34" t="n">
        <x:f>'Assumptions'!$F$14</x:f>
        <x:v>4000</x:v>
      </x:c>
      <x:c r="X10" s="34" t="n">
        <x:f>'Assumptions'!$F$14</x:f>
        <x:v>4000</x:v>
      </x:c>
      <x:c r="Y10" s="34" t="n">
        <x:f>'Assumptions'!$F$14</x:f>
        <x:v>4000</x:v>
      </x:c>
      <x:c r="Z10" s="34" t="n">
        <x:f>'Assumptions'!$F$14</x:f>
        <x:v>4000</x:v>
      </x:c>
      <x:c r="AA10" s="34" t="n">
        <x:f>'Assumptions'!$F$14</x:f>
        <x:v>4000</x:v>
      </x:c>
      <x:c r="AB10" s="34" t="n">
        <x:f>'Assumptions'!$F$14</x:f>
        <x:v>4000</x:v>
      </x:c>
      <x:c r="AC10" s="34" t="n">
        <x:f>'Assumptions'!$F$14</x:f>
        <x:v>4000</x:v>
      </x:c>
      <x:c r="AD10" s="34" t="n">
        <x:f>'Assumptions'!$F$14</x:f>
        <x:v>4000</x:v>
      </x:c>
      <x:c r="AE10" s="34" t="n">
        <x:f>'Assumptions'!$F$14</x:f>
        <x:v>4000</x:v>
      </x:c>
      <x:c r="AF10" s="34" t="n">
        <x:f>'Assumptions'!$F$14</x:f>
        <x:v>4000</x:v>
      </x:c>
      <x:c r="AG10" s="34" t="n">
        <x:f>'Assumptions'!$F$14</x:f>
        <x:v>4000</x:v>
      </x:c>
      <x:c r="AH10" s="34" t="n">
        <x:f>'Assumptions'!$F$14</x:f>
        <x:v>4000</x:v>
      </x:c>
      <x:c r="AI10" s="34" t="n">
        <x:f>'Assumptions'!$F$14</x:f>
        <x:v>4000</x:v>
      </x:c>
      <x:c r="AJ10" s="34" t="n">
        <x:f>'Assumptions'!$F$14</x:f>
        <x:v>4000</x:v>
      </x:c>
      <x:c r="AK10" s="34" t="n">
        <x:f>'Assumptions'!$F$14</x:f>
        <x:v>4000</x:v>
      </x:c>
      <x:c r="AL10" s="34" t="n">
        <x:f>'Assumptions'!$F$14</x:f>
        <x:v>4000</x:v>
      </x:c>
      <x:c r="AM10" s="34" t="n">
        <x:f>'Assumptions'!$F$14</x:f>
        <x:v>4000</x:v>
      </x:c>
      <x:c r="AN10" s="34" t="n">
        <x:f>'Assumptions'!$F$14</x:f>
        <x:v>4000</x:v>
      </x:c>
      <x:c r="AO10" s="34" t="n">
        <x:f>'Assumptions'!$F$14</x:f>
        <x:v>4000</x:v>
      </x:c>
      <x:c r="AP10" s="34" t="n">
        <x:f>'Assumptions'!$F$14</x:f>
        <x:v>4000</x:v>
      </x:c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</x:row>
    <x:row r="11" ht="19" customHeight="1">
      <x:c r="A11" s="1"/>
      <x:c r="B11" s="1"/>
      <x:c r="C11" s="42" t="str">
        <x:v>Originations</x:v>
      </x:c>
      <x:c r="D11" s="42"/>
      <x:c r="E11" s="43" t="n">
        <x:f>SUMIFS(G11:AP11,$G$6:$AP$6,"&lt;="&amp;'Assumptions'!$E$7)</x:f>
        <x:v>103679999.99999999</x:v>
      </x:c>
      <x:c r="F11" s="42"/>
      <x:c r="G11" s="43" t="n">
        <x:f>G8*G9*G10</x:f>
        <x:v>4319999.999999999</x:v>
      </x:c>
      <x:c r="H11" s="43" t="n">
        <x:f>H8*H9*H10</x:f>
        <x:v>4319999.999999999</x:v>
      </x:c>
      <x:c r="I11" s="43" t="n">
        <x:f>I8*I9*I10</x:f>
        <x:v>4319999.999999999</x:v>
      </x:c>
      <x:c r="J11" s="43" t="n">
        <x:f>J8*J9*J10</x:f>
        <x:v>4319999.999999999</x:v>
      </x:c>
      <x:c r="K11" s="43" t="n">
        <x:f>K8*K9*K10</x:f>
        <x:v>4319999.999999999</x:v>
      </x:c>
      <x:c r="L11" s="43" t="n">
        <x:f>L8*L9*L10</x:f>
        <x:v>4319999.999999999</x:v>
      </x:c>
      <x:c r="M11" s="43" t="n">
        <x:f>M8*M9*M10</x:f>
        <x:v>4319999.999999999</x:v>
      </x:c>
      <x:c r="N11" s="43" t="n">
        <x:f>N8*N9*N10</x:f>
        <x:v>4319999.999999999</x:v>
      </x:c>
      <x:c r="O11" s="43" t="n">
        <x:f>O8*O9*O10</x:f>
        <x:v>4319999.999999999</x:v>
      </x:c>
      <x:c r="P11" s="43" t="n">
        <x:f>P8*P9*P10</x:f>
        <x:v>4319999.999999999</x:v>
      </x:c>
      <x:c r="Q11" s="43" t="n">
        <x:f>Q8*Q9*Q10</x:f>
        <x:v>4319999.999999999</x:v>
      </x:c>
      <x:c r="R11" s="43" t="n">
        <x:f>R8*R9*R10</x:f>
        <x:v>4319999.999999999</x:v>
      </x:c>
      <x:c r="S11" s="43" t="n">
        <x:f>S8*S9*S10</x:f>
        <x:v>4319999.999999999</x:v>
      </x:c>
      <x:c r="T11" s="43" t="n">
        <x:f>T8*T9*T10</x:f>
        <x:v>4319999.999999999</x:v>
      </x:c>
      <x:c r="U11" s="43" t="n">
        <x:f>U8*U9*U10</x:f>
        <x:v>4319999.999999999</x:v>
      </x:c>
      <x:c r="V11" s="43" t="n">
        <x:f>V8*V9*V10</x:f>
        <x:v>4319999.999999999</x:v>
      </x:c>
      <x:c r="W11" s="43" t="n">
        <x:f>W8*W9*W10</x:f>
        <x:v>4319999.999999999</x:v>
      </x:c>
      <x:c r="X11" s="43" t="n">
        <x:f>X8*X9*X10</x:f>
        <x:v>4319999.999999999</x:v>
      </x:c>
      <x:c r="Y11" s="43" t="n">
        <x:f>Y8*Y9*Y10</x:f>
        <x:v>4319999.999999999</x:v>
      </x:c>
      <x:c r="Z11" s="43" t="n">
        <x:f>Z8*Z9*Z10</x:f>
        <x:v>4319999.999999999</x:v>
      </x:c>
      <x:c r="AA11" s="43" t="n">
        <x:f>AA8*AA9*AA10</x:f>
        <x:v>4319999.999999999</x:v>
      </x:c>
      <x:c r="AB11" s="43" t="n">
        <x:f>AB8*AB9*AB10</x:f>
        <x:v>4319999.999999999</x:v>
      </x:c>
      <x:c r="AC11" s="43" t="n">
        <x:f>AC8*AC9*AC10</x:f>
        <x:v>4319999.999999999</x:v>
      </x:c>
      <x:c r="AD11" s="43" t="n">
        <x:f>AD8*AD9*AD10</x:f>
        <x:v>4319999.999999999</x:v>
      </x:c>
      <x:c r="AE11" s="43" t="n">
        <x:f>AE8*AE9*AE10</x:f>
        <x:v>4319999.999999999</x:v>
      </x:c>
      <x:c r="AF11" s="43" t="n">
        <x:f>AF8*AF9*AF10</x:f>
        <x:v>4319999.999999999</x:v>
      </x:c>
      <x:c r="AG11" s="43" t="n">
        <x:f>AG8*AG9*AG10</x:f>
        <x:v>4319999.999999999</x:v>
      </x:c>
      <x:c r="AH11" s="43" t="n">
        <x:f>AH8*AH9*AH10</x:f>
        <x:v>4319999.999999999</x:v>
      </x:c>
      <x:c r="AI11" s="43" t="n">
        <x:f>AI8*AI9*AI10</x:f>
        <x:v>4319999.999999999</x:v>
      </x:c>
      <x:c r="AJ11" s="43" t="n">
        <x:f>AJ8*AJ9*AJ10</x:f>
        <x:v>4319999.999999999</x:v>
      </x:c>
      <x:c r="AK11" s="43" t="n">
        <x:f>AK8*AK9*AK10</x:f>
        <x:v>4319999.999999999</x:v>
      </x:c>
      <x:c r="AL11" s="43" t="n">
        <x:f>AL8*AL9*AL10</x:f>
        <x:v>4319999.999999999</x:v>
      </x:c>
      <x:c r="AM11" s="43" t="n">
        <x:f>AM8*AM9*AM10</x:f>
        <x:v>4319999.999999999</x:v>
      </x:c>
      <x:c r="AN11" s="43" t="n">
        <x:f>AN8*AN9*AN10</x:f>
        <x:v>4319999.999999999</x:v>
      </x:c>
      <x:c r="AO11" s="43" t="n">
        <x:f>AO8*AO9*AO10</x:f>
        <x:v>4319999.999999999</x:v>
      </x:c>
      <x:c r="AP11" s="43" t="n">
        <x:f>AP8*AP9*AP10</x:f>
        <x:v>4319999.999999999</x:v>
      </x:c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</x:row>
    <x:row r="12" ht="19" customHeight="1">
      <x:c r="A12" s="1"/>
      <x:c r="B12" s="1"/>
      <x:c r="C12" s="2"/>
      <x:c r="D12" s="2"/>
      <x:c r="E12" s="35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</x:row>
    <x:row r="13" ht="19" customHeight="1">
      <x:c r="A13" s="1"/>
      <x:c r="B13" s="1"/>
      <x:c r="C13" s="2" t="str">
        <x:v>Beginning gross CLAB</x:v>
      </x:c>
      <x:c r="D13" s="2"/>
      <x:c r="E13" s="35" t="n">
        <x:f>G13</x:f>
        <x:v>76679999.99999999</x:v>
      </x:c>
      <x:c r="F13" s="2"/>
      <x:c r="G13" s="35" t="n">
        <x:f>$E$44</x:f>
        <x:v>76679999.99999999</x:v>
      </x:c>
      <x:c r="H13" s="35" t="n">
        <x:f>G16</x:f>
        <x:v>34510432.81291745</x:v>
      </x:c>
      <x:c r="I13" s="35" t="n">
        <x:f>H16</x:f>
        <x:v>18292797.52567576</x:v>
      </x:c>
      <x:c r="J13" s="35" t="n">
        <x:f>I16</x:f>
        <x:v>11889995.17767771</x:v>
      </x:c>
      <x:c r="K13" s="35" t="n">
        <x:f>J16</x:f>
        <x:v>9596289.002344063</x:v>
      </x:c>
      <x:c r="L13" s="35" t="n">
        <x:f>K16</x:f>
        <x:v>8980944.218957074</x:v>
      </x:c>
      <x:c r="M13" s="35" t="n">
        <x:f>L16</x:f>
        <x:v>8980944.218957076</x:v>
      </x:c>
      <x:c r="N13" s="35" t="n">
        <x:f>M16</x:f>
        <x:v>8980944.218957076</x:v>
      </x:c>
      <x:c r="O13" s="35" t="n">
        <x:f>N16</x:f>
        <x:v>8980944.218957076</x:v>
      </x:c>
      <x:c r="P13" s="35" t="n">
        <x:f>O16</x:f>
        <x:v>8980944.218957076</x:v>
      </x:c>
      <x:c r="Q13" s="35" t="n">
        <x:f>P16</x:f>
        <x:v>8980944.218957076</x:v>
      </x:c>
      <x:c r="R13" s="35" t="n">
        <x:f>Q16</x:f>
        <x:v>8980944.218957076</x:v>
      </x:c>
      <x:c r="S13" s="35" t="n">
        <x:f>R16</x:f>
        <x:v>8980944.218957076</x:v>
      </x:c>
      <x:c r="T13" s="35" t="n">
        <x:f>S16</x:f>
        <x:v>8980944.218957076</x:v>
      </x:c>
      <x:c r="U13" s="35" t="n">
        <x:f>T16</x:f>
        <x:v>8980944.218957076</x:v>
      </x:c>
      <x:c r="V13" s="35" t="n">
        <x:f>U16</x:f>
        <x:v>8980944.218957076</x:v>
      </x:c>
      <x:c r="W13" s="35" t="n">
        <x:f>V16</x:f>
        <x:v>8980944.218957076</x:v>
      </x:c>
      <x:c r="X13" s="35" t="n">
        <x:f>W16</x:f>
        <x:v>8980944.218957076</x:v>
      </x:c>
      <x:c r="Y13" s="35" t="n">
        <x:f>X16</x:f>
        <x:v>8980944.218957076</x:v>
      </x:c>
      <x:c r="Z13" s="35" t="n">
        <x:f>Y16</x:f>
        <x:v>8980944.218957076</x:v>
      </x:c>
      <x:c r="AA13" s="35" t="n">
        <x:f>Z16</x:f>
        <x:v>8980944.218957076</x:v>
      </x:c>
      <x:c r="AB13" s="35" t="n">
        <x:f>AA16</x:f>
        <x:v>8980944.218957076</x:v>
      </x:c>
      <x:c r="AC13" s="35" t="n">
        <x:f>AB16</x:f>
        <x:v>8980944.218957076</x:v>
      </x:c>
      <x:c r="AD13" s="35" t="n">
        <x:f>AC16</x:f>
        <x:v>8980944.218957076</x:v>
      </x:c>
      <x:c r="AE13" s="35" t="n">
        <x:f>AD16</x:f>
        <x:v>8980944.218957076</x:v>
      </x:c>
      <x:c r="AF13" s="35" t="n">
        <x:f>AE16</x:f>
        <x:v>8980944.218957076</x:v>
      </x:c>
      <x:c r="AG13" s="35" t="n">
        <x:f>AF16</x:f>
        <x:v>8980944.218957076</x:v>
      </x:c>
      <x:c r="AH13" s="35" t="n">
        <x:f>AG16</x:f>
        <x:v>8980944.218957076</x:v>
      </x:c>
      <x:c r="AI13" s="35" t="n">
        <x:f>AH16</x:f>
        <x:v>8980944.218957076</x:v>
      </x:c>
      <x:c r="AJ13" s="35" t="n">
        <x:f>AI16</x:f>
        <x:v>8980944.218957076</x:v>
      </x:c>
      <x:c r="AK13" s="35" t="n">
        <x:f>AJ16</x:f>
        <x:v>8980944.218957076</x:v>
      </x:c>
      <x:c r="AL13" s="35" t="n">
        <x:f>AK16</x:f>
        <x:v>8980944.218957076</x:v>
      </x:c>
      <x:c r="AM13" s="35" t="n">
        <x:f>AL16</x:f>
        <x:v>8980944.218957076</x:v>
      </x:c>
      <x:c r="AN13" s="35" t="n">
        <x:f>AM16</x:f>
        <x:v>8980944.218957076</x:v>
      </x:c>
      <x:c r="AO13" s="35" t="n">
        <x:f>AN16</x:f>
        <x:v>8980944.218957076</x:v>
      </x:c>
      <x:c r="AP13" s="35" t="n">
        <x:f>AO16</x:f>
        <x:v>8980944.218957076</x:v>
      </x:c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</x:row>
    <x:row r="14" ht="19" customHeight="1">
      <x:c r="A14" s="1"/>
      <x:c r="B14" s="1"/>
      <x:c r="C14" s="2" t="str">
        <x:v>Principal repayments</x:v>
      </x:c>
      <x:c r="D14" s="2"/>
      <x:c r="E14" s="35" t="n">
        <x:f>SUMIFS(G14:AP14,$G$6:$AP$6,"&lt;="&amp;'Assumptions'!$E$7)</x:f>
        <x:v>110236263.2387052</x:v>
      </x:c>
      <x:c r="F14" s="2"/>
      <x:c r="G14" s="35" t="n">
        <x:f>SUM(G29:G30)</x:f>
        <x:v>29540889.901015334</x:v>
      </x:c>
      <x:c r="H14" s="35" t="n">
        <x:f>SUM(H29:H30)</x:f>
        <x:v>13051076.895069629</x:v>
      </x:c>
      <x:c r="I14" s="35" t="n">
        <x:f>SUM(I29:I30)</x:f>
        <x:v>6833570.383690462</x:v>
      </x:c>
      <x:c r="J14" s="35" t="n">
        <x:f>SUM(J29:J30)</x:f>
        <x:v>4245341.209419783</x:v>
      </x:c>
      <x:c r="K14" s="35" t="n">
        <x:f>SUM(K29:K30)</x:f>
        <x:v>3187927.6396411206</x:v>
      </x:c>
      <x:c r="L14" s="35" t="n">
        <x:f>SUM(L29:L30)</x:f>
        <x:v>2809339.8531509917</x:v>
      </x:c>
      <x:c r="M14" s="35" t="n">
        <x:f>SUM(M29:M30)</x:f>
        <x:v>2809339.8531509917</x:v>
      </x:c>
      <x:c r="N14" s="35" t="n">
        <x:f>SUM(N29:N30)</x:f>
        <x:v>2809339.8531509917</x:v>
      </x:c>
      <x:c r="O14" s="35" t="n">
        <x:f>SUM(O29:O30)</x:f>
        <x:v>2809339.8531509917</x:v>
      </x:c>
      <x:c r="P14" s="35" t="n">
        <x:f>SUM(P29:P30)</x:f>
        <x:v>2809339.8531509917</x:v>
      </x:c>
      <x:c r="Q14" s="35" t="n">
        <x:f>SUM(Q29:Q30)</x:f>
        <x:v>2809339.8531509917</x:v>
      </x:c>
      <x:c r="R14" s="35" t="n">
        <x:f>SUM(R29:R30)</x:f>
        <x:v>2809339.8531509917</x:v>
      </x:c>
      <x:c r="S14" s="35" t="n">
        <x:f>SUM(S29:S30)</x:f>
        <x:v>2809339.8531509917</x:v>
      </x:c>
      <x:c r="T14" s="35" t="n">
        <x:f>SUM(T29:T30)</x:f>
        <x:v>2809339.8531509917</x:v>
      </x:c>
      <x:c r="U14" s="35" t="n">
        <x:f>SUM(U29:U30)</x:f>
        <x:v>2809339.8531509917</x:v>
      </x:c>
      <x:c r="V14" s="35" t="n">
        <x:f>SUM(V29:V30)</x:f>
        <x:v>2809339.8531509917</x:v>
      </x:c>
      <x:c r="W14" s="35" t="n">
        <x:f>SUM(W29:W30)</x:f>
        <x:v>2809339.8531509917</x:v>
      </x:c>
      <x:c r="X14" s="35" t="n">
        <x:f>SUM(X29:X30)</x:f>
        <x:v>2809339.8531509917</x:v>
      </x:c>
      <x:c r="Y14" s="35" t="n">
        <x:f>SUM(Y29:Y30)</x:f>
        <x:v>2809339.8531509917</x:v>
      </x:c>
      <x:c r="Z14" s="35" t="n">
        <x:f>SUM(Z29:Z30)</x:f>
        <x:v>2809339.8531509917</x:v>
      </x:c>
      <x:c r="AA14" s="35" t="n">
        <x:f>SUM(AA29:AA30)</x:f>
        <x:v>2809339.8531509917</x:v>
      </x:c>
      <x:c r="AB14" s="35" t="n">
        <x:f>SUM(AB29:AB30)</x:f>
        <x:v>2809339.8531509917</x:v>
      </x:c>
      <x:c r="AC14" s="35" t="n">
        <x:f>SUM(AC29:AC30)</x:f>
        <x:v>2809339.8531509917</x:v>
      </x:c>
      <x:c r="AD14" s="35" t="n">
        <x:f>SUM(AD29:AD30)</x:f>
        <x:v>2809339.8531509917</x:v>
      </x:c>
      <x:c r="AE14" s="35" t="n">
        <x:f>SUM(AE29:AE30)</x:f>
        <x:v>2809339.8531509917</x:v>
      </x:c>
      <x:c r="AF14" s="35" t="n">
        <x:f>SUM(AF29:AF30)</x:f>
        <x:v>2809339.8531509917</x:v>
      </x:c>
      <x:c r="AG14" s="35" t="n">
        <x:f>SUM(AG29:AG30)</x:f>
        <x:v>2809339.8531509917</x:v>
      </x:c>
      <x:c r="AH14" s="35" t="n">
        <x:f>SUM(AH29:AH30)</x:f>
        <x:v>2809339.8531509917</x:v>
      </x:c>
      <x:c r="AI14" s="35" t="n">
        <x:f>SUM(AI29:AI30)</x:f>
        <x:v>2809339.8531509917</x:v>
      </x:c>
      <x:c r="AJ14" s="35" t="n">
        <x:f>SUM(AJ29:AJ30)</x:f>
        <x:v>2809339.8531509917</x:v>
      </x:c>
      <x:c r="AK14" s="35" t="n">
        <x:f>SUM(AK29:AK30)</x:f>
        <x:v>2809339.8531509917</x:v>
      </x:c>
      <x:c r="AL14" s="35" t="n">
        <x:f>SUM(AL29:AL30)</x:f>
        <x:v>2809339.8531509917</x:v>
      </x:c>
      <x:c r="AM14" s="35" t="n">
        <x:f>SUM(AM29:AM30)</x:f>
        <x:v>2809339.8531509917</x:v>
      </x:c>
      <x:c r="AN14" s="35" t="n">
        <x:f>SUM(AN29:AN30)</x:f>
        <x:v>2809339.8531509917</x:v>
      </x:c>
      <x:c r="AO14" s="35" t="n">
        <x:f>SUM(AO29:AO30)</x:f>
        <x:v>2809339.8531509917</x:v>
      </x:c>
      <x:c r="AP14" s="35" t="n">
        <x:f>SUM(AP29:AP30)</x:f>
        <x:v>2809339.8531509917</x:v>
      </x:c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</x:row>
    <x:row r="15" ht="19" customHeight="1">
      <x:c r="A15" s="1"/>
      <x:c r="B15" s="1"/>
      <x:c r="C15" s="2" t="str">
        <x:v>Charge-offs</x:v>
      </x:c>
      <x:c r="D15" s="2"/>
      <x:c r="E15" s="35" t="n">
        <x:f>SUMIFS(G15:AP15,$G$6:$AP$6,"&lt;="&amp;'Assumptions'!$E$7)</x:f>
        <x:v>61142792.54233771</x:v>
      </x:c>
      <x:c r="F15" s="2"/>
      <x:c r="G15" s="35" t="n">
        <x:f>SUM(G27:G28)</x:f>
        <x:v>16948677.286067203</x:v>
      </x:c>
      <x:c r="H15" s="35" t="n">
        <x:f>SUM(H27:H28)</x:f>
        <x:v>7486558.39217206</x:v>
      </x:c>
      <x:c r="I15" s="35" t="n">
        <x:f>SUM(I27:I28)</x:f>
        <x:v>3889231.9643075885</x:v>
      </x:c>
      <x:c r="J15" s="35" t="n">
        <x:f>SUM(J27:J28)</x:f>
        <x:v>2368364.965913864</x:v>
      </x:c>
      <x:c r="K15" s="35" t="n">
        <x:f>SUM(K27:K28)</x:f>
        <x:v>1747417.1437458647</x:v>
      </x:c>
      <x:c r="L15" s="35" t="n">
        <x:f>SUM(L27:L28)</x:f>
        <x:v>1510660.146849007</x:v>
      </x:c>
      <x:c r="M15" s="35" t="n">
        <x:f>SUM(M27:M28)</x:f>
        <x:v>1510660.146849007</x:v>
      </x:c>
      <x:c r="N15" s="35" t="n">
        <x:f>SUM(N27:N28)</x:f>
        <x:v>1510660.146849007</x:v>
      </x:c>
      <x:c r="O15" s="35" t="n">
        <x:f>SUM(O27:O28)</x:f>
        <x:v>1510660.146849007</x:v>
      </x:c>
      <x:c r="P15" s="35" t="n">
        <x:f>SUM(P27:P28)</x:f>
        <x:v>1510660.146849007</x:v>
      </x:c>
      <x:c r="Q15" s="35" t="n">
        <x:f>SUM(Q27:Q28)</x:f>
        <x:v>1510660.146849007</x:v>
      </x:c>
      <x:c r="R15" s="35" t="n">
        <x:f>SUM(R27:R28)</x:f>
        <x:v>1510660.146849007</x:v>
      </x:c>
      <x:c r="S15" s="35" t="n">
        <x:f>SUM(S27:S28)</x:f>
        <x:v>1510660.146849007</x:v>
      </x:c>
      <x:c r="T15" s="35" t="n">
        <x:f>SUM(T27:T28)</x:f>
        <x:v>1510660.146849007</x:v>
      </x:c>
      <x:c r="U15" s="35" t="n">
        <x:f>SUM(U27:U28)</x:f>
        <x:v>1510660.146849007</x:v>
      </x:c>
      <x:c r="V15" s="35" t="n">
        <x:f>SUM(V27:V28)</x:f>
        <x:v>1510660.146849007</x:v>
      </x:c>
      <x:c r="W15" s="35" t="n">
        <x:f>SUM(W27:W28)</x:f>
        <x:v>1510660.146849007</x:v>
      </x:c>
      <x:c r="X15" s="35" t="n">
        <x:f>SUM(X27:X28)</x:f>
        <x:v>1510660.146849007</x:v>
      </x:c>
      <x:c r="Y15" s="35" t="n">
        <x:f>SUM(Y27:Y28)</x:f>
        <x:v>1510660.146849007</x:v>
      </x:c>
      <x:c r="Z15" s="35" t="n">
        <x:f>SUM(Z27:Z28)</x:f>
        <x:v>1510660.146849007</x:v>
      </x:c>
      <x:c r="AA15" s="35" t="n">
        <x:f>SUM(AA27:AA28)</x:f>
        <x:v>1510660.146849007</x:v>
      </x:c>
      <x:c r="AB15" s="35" t="n">
        <x:f>SUM(AB27:AB28)</x:f>
        <x:v>1510660.146849007</x:v>
      </x:c>
      <x:c r="AC15" s="35" t="n">
        <x:f>SUM(AC27:AC28)</x:f>
        <x:v>1510660.146849007</x:v>
      </x:c>
      <x:c r="AD15" s="35" t="n">
        <x:f>SUM(AD27:AD28)</x:f>
        <x:v>1510660.146849007</x:v>
      </x:c>
      <x:c r="AE15" s="35" t="n">
        <x:f>SUM(AE27:AE28)</x:f>
        <x:v>1510660.146849007</x:v>
      </x:c>
      <x:c r="AF15" s="35" t="n">
        <x:f>SUM(AF27:AF28)</x:f>
        <x:v>1510660.146849007</x:v>
      </x:c>
      <x:c r="AG15" s="35" t="n">
        <x:f>SUM(AG27:AG28)</x:f>
        <x:v>1510660.146849007</x:v>
      </x:c>
      <x:c r="AH15" s="35" t="n">
        <x:f>SUM(AH27:AH28)</x:f>
        <x:v>1510660.146849007</x:v>
      </x:c>
      <x:c r="AI15" s="35" t="n">
        <x:f>SUM(AI27:AI28)</x:f>
        <x:v>1510660.146849007</x:v>
      </x:c>
      <x:c r="AJ15" s="35" t="n">
        <x:f>SUM(AJ27:AJ28)</x:f>
        <x:v>1510660.146849007</x:v>
      </x:c>
      <x:c r="AK15" s="35" t="n">
        <x:f>SUM(AK27:AK28)</x:f>
        <x:v>1510660.146849007</x:v>
      </x:c>
      <x:c r="AL15" s="35" t="n">
        <x:f>SUM(AL27:AL28)</x:f>
        <x:v>1510660.146849007</x:v>
      </x:c>
      <x:c r="AM15" s="35" t="n">
        <x:f>SUM(AM27:AM28)</x:f>
        <x:v>1510660.146849007</x:v>
      </x:c>
      <x:c r="AN15" s="35" t="n">
        <x:f>SUM(AN27:AN28)</x:f>
        <x:v>1510660.146849007</x:v>
      </x:c>
      <x:c r="AO15" s="35" t="n">
        <x:f>SUM(AO27:AO28)</x:f>
        <x:v>1510660.146849007</x:v>
      </x:c>
      <x:c r="AP15" s="35" t="n">
        <x:f>SUM(AP27:AP28)</x:f>
        <x:v>1510660.146849007</x:v>
      </x:c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</x:row>
    <x:row r="16" ht="19" customHeight="1">
      <x:c r="A16" s="1"/>
      <x:c r="B16" s="1"/>
      <x:c r="C16" s="42" t="str">
        <x:v>Ending gross CLAB</x:v>
      </x:c>
      <x:c r="D16" s="42"/>
      <x:c r="E16" s="43" t="n">
        <x:f>INDEX(G16:AP16,1,'Assumptions'!$E$7)</x:f>
        <x:v>8980944.218957076</x:v>
      </x:c>
      <x:c r="F16" s="42"/>
      <x:c r="G16" s="43" t="n">
        <x:f>G13+G11-G14-G15</x:f>
        <x:v>34510432.81291745</x:v>
      </x:c>
      <x:c r="H16" s="43" t="n">
        <x:f>H13+H11-H14-H15</x:f>
        <x:v>18292797.52567576</x:v>
      </x:c>
      <x:c r="I16" s="43" t="n">
        <x:f>I13+I11-I14-I15</x:f>
        <x:v>11889995.17767771</x:v>
      </x:c>
      <x:c r="J16" s="43" t="n">
        <x:f>J13+J11-J14-J15</x:f>
        <x:v>9596289.002344063</x:v>
      </x:c>
      <x:c r="K16" s="43" t="n">
        <x:f>K13+K11-K14-K15</x:f>
        <x:v>8980944.218957074</x:v>
      </x:c>
      <x:c r="L16" s="43" t="n">
        <x:f>L13+L11-L14-L15</x:f>
        <x:v>8980944.218957076</x:v>
      </x:c>
      <x:c r="M16" s="43" t="n">
        <x:f>M13+M11-M14-M15</x:f>
        <x:v>8980944.218957076</x:v>
      </x:c>
      <x:c r="N16" s="43" t="n">
        <x:f>N13+N11-N14-N15</x:f>
        <x:v>8980944.218957076</x:v>
      </x:c>
      <x:c r="O16" s="43" t="n">
        <x:f>O13+O11-O14-O15</x:f>
        <x:v>8980944.218957076</x:v>
      </x:c>
      <x:c r="P16" s="43" t="n">
        <x:f>P13+P11-P14-P15</x:f>
        <x:v>8980944.218957076</x:v>
      </x:c>
      <x:c r="Q16" s="43" t="n">
        <x:f>Q13+Q11-Q14-Q15</x:f>
        <x:v>8980944.218957076</x:v>
      </x:c>
      <x:c r="R16" s="43" t="n">
        <x:f>R13+R11-R14-R15</x:f>
        <x:v>8980944.218957076</x:v>
      </x:c>
      <x:c r="S16" s="43" t="n">
        <x:f>S13+S11-S14-S15</x:f>
        <x:v>8980944.218957076</x:v>
      </x:c>
      <x:c r="T16" s="43" t="n">
        <x:f>T13+T11-T14-T15</x:f>
        <x:v>8980944.218957076</x:v>
      </x:c>
      <x:c r="U16" s="43" t="n">
        <x:f>U13+U11-U14-U15</x:f>
        <x:v>8980944.218957076</x:v>
      </x:c>
      <x:c r="V16" s="43" t="n">
        <x:f>V13+V11-V14-V15</x:f>
        <x:v>8980944.218957076</x:v>
      </x:c>
      <x:c r="W16" s="43" t="n">
        <x:f>W13+W11-W14-W15</x:f>
        <x:v>8980944.218957076</x:v>
      </x:c>
      <x:c r="X16" s="43" t="n">
        <x:f>X13+X11-X14-X15</x:f>
        <x:v>8980944.218957076</x:v>
      </x:c>
      <x:c r="Y16" s="43" t="n">
        <x:f>Y13+Y11-Y14-Y15</x:f>
        <x:v>8980944.218957076</x:v>
      </x:c>
      <x:c r="Z16" s="43" t="n">
        <x:f>Z13+Z11-Z14-Z15</x:f>
        <x:v>8980944.218957076</x:v>
      </x:c>
      <x:c r="AA16" s="43" t="n">
        <x:f>AA13+AA11-AA14-AA15</x:f>
        <x:v>8980944.218957076</x:v>
      </x:c>
      <x:c r="AB16" s="43" t="n">
        <x:f>AB13+AB11-AB14-AB15</x:f>
        <x:v>8980944.218957076</x:v>
      </x:c>
      <x:c r="AC16" s="43" t="n">
        <x:f>AC13+AC11-AC14-AC15</x:f>
        <x:v>8980944.218957076</x:v>
      </x:c>
      <x:c r="AD16" s="43" t="n">
        <x:f>AD13+AD11-AD14-AD15</x:f>
        <x:v>8980944.218957076</x:v>
      </x:c>
      <x:c r="AE16" s="43" t="n">
        <x:f>AE13+AE11-AE14-AE15</x:f>
        <x:v>8980944.218957076</x:v>
      </x:c>
      <x:c r="AF16" s="43" t="n">
        <x:f>AF13+AF11-AF14-AF15</x:f>
        <x:v>8980944.218957076</x:v>
      </x:c>
      <x:c r="AG16" s="43" t="n">
        <x:f>AG13+AG11-AG14-AG15</x:f>
        <x:v>8980944.218957076</x:v>
      </x:c>
      <x:c r="AH16" s="43" t="n">
        <x:f>AH13+AH11-AH14-AH15</x:f>
        <x:v>8980944.218957076</x:v>
      </x:c>
      <x:c r="AI16" s="43" t="n">
        <x:f>AI13+AI11-AI14-AI15</x:f>
        <x:v>8980944.218957076</x:v>
      </x:c>
      <x:c r="AJ16" s="43" t="n">
        <x:f>AJ13+AJ11-AJ14-AJ15</x:f>
        <x:v>8980944.218957076</x:v>
      </x:c>
      <x:c r="AK16" s="43" t="n">
        <x:f>AK13+AK11-AK14-AK15</x:f>
        <x:v>8980944.218957076</x:v>
      </x:c>
      <x:c r="AL16" s="43" t="n">
        <x:f>AL13+AL11-AL14-AL15</x:f>
        <x:v>8980944.218957076</x:v>
      </x:c>
      <x:c r="AM16" s="43" t="n">
        <x:f>AM13+AM11-AM14-AM15</x:f>
        <x:v>8980944.218957076</x:v>
      </x:c>
      <x:c r="AN16" s="43" t="n">
        <x:f>AN13+AN11-AN14-AN15</x:f>
        <x:v>8980944.218957076</x:v>
      </x:c>
      <x:c r="AO16" s="43" t="n">
        <x:f>AO13+AO11-AO14-AO15</x:f>
        <x:v>8980944.218957076</x:v>
      </x:c>
      <x:c r="AP16" s="43" t="n">
        <x:f>AP13+AP11-AP14-AP15</x:f>
        <x:v>8980944.218957076</x:v>
      </x:c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</x:row>
    <x:row r="17" ht="19" customHeight="1">
      <x:c r="A17" s="1"/>
      <x:c r="B17" s="1"/>
      <x:c r="C17" s="2"/>
      <x:c r="D17" s="2"/>
      <x:c r="E17" s="35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</x:row>
    <x:row r="18" ht="19" customHeight="1">
      <x:c r="A18" s="1"/>
      <x:c r="B18" s="1"/>
      <x:c r="C18" s="2" t="str">
        <x:v>Beginning reserve</x:v>
      </x:c>
      <x:c r="D18" s="2"/>
      <x:c r="E18" s="35" t="n">
        <x:f>G18</x:f>
        <x:v>28099418.836608652</x:v>
      </x:c>
      <x:c r="F18" s="2"/>
      <x:c r="G18" s="35" t="n">
        <x:f>$E$48</x:f>
        <x:v>28099418.836608652</x:v>
      </x:c>
      <x:c r="H18" s="35" t="n">
        <x:f>G20</x:f>
        <x:v>12661401.697390456</x:v>
      </x:c>
      <x:c r="I18" s="35" t="n">
        <x:f>H20</x:f>
        <x:v>6685503.452067402</x:v>
      </x:c>
      <x:c r="J18" s="35" t="n">
        <x:f>I20</x:f>
        <x:v>4306931.634608821</x:v>
      </x:c>
      <x:c r="K18" s="35" t="n">
        <x:f>J20</x:f>
        <x:v>3449226.8155439645</x:v>
      </x:c>
      <x:c r="L18" s="35" t="n">
        <x:f>K20</x:f>
        <x:v>3212469.818647107</x:v>
      </x:c>
      <x:c r="M18" s="35" t="n">
        <x:f>L20</x:f>
        <x:v>3212469.818647107</x:v>
      </x:c>
      <x:c r="N18" s="35" t="n">
        <x:f>M20</x:f>
        <x:v>3212469.818647107</x:v>
      </x:c>
      <x:c r="O18" s="35" t="n">
        <x:f>N20</x:f>
        <x:v>3212469.818647107</x:v>
      </x:c>
      <x:c r="P18" s="35" t="n">
        <x:f>O20</x:f>
        <x:v>3212469.818647107</x:v>
      </x:c>
      <x:c r="Q18" s="35" t="n">
        <x:f>P20</x:f>
        <x:v>3212469.818647107</x:v>
      </x:c>
      <x:c r="R18" s="35" t="n">
        <x:f>Q20</x:f>
        <x:v>3212469.818647107</x:v>
      </x:c>
      <x:c r="S18" s="35" t="n">
        <x:f>R20</x:f>
        <x:v>3212469.818647107</x:v>
      </x:c>
      <x:c r="T18" s="35" t="n">
        <x:f>S20</x:f>
        <x:v>3212469.818647107</x:v>
      </x:c>
      <x:c r="U18" s="35" t="n">
        <x:f>T20</x:f>
        <x:v>3212469.818647107</x:v>
      </x:c>
      <x:c r="V18" s="35" t="n">
        <x:f>U20</x:f>
        <x:v>3212469.818647107</x:v>
      </x:c>
      <x:c r="W18" s="35" t="n">
        <x:f>V20</x:f>
        <x:v>3212469.818647107</x:v>
      </x:c>
      <x:c r="X18" s="35" t="n">
        <x:f>W20</x:f>
        <x:v>3212469.818647107</x:v>
      </x:c>
      <x:c r="Y18" s="35" t="n">
        <x:f>X20</x:f>
        <x:v>3212469.818647107</x:v>
      </x:c>
      <x:c r="Z18" s="35" t="n">
        <x:f>Y20</x:f>
        <x:v>3212469.818647107</x:v>
      </x:c>
      <x:c r="AA18" s="35" t="n">
        <x:f>Z20</x:f>
        <x:v>3212469.818647107</x:v>
      </x:c>
      <x:c r="AB18" s="35" t="n">
        <x:f>AA20</x:f>
        <x:v>3212469.818647107</x:v>
      </x:c>
      <x:c r="AC18" s="35" t="n">
        <x:f>AB20</x:f>
        <x:v>3212469.818647107</x:v>
      </x:c>
      <x:c r="AD18" s="35" t="n">
        <x:f>AC20</x:f>
        <x:v>3212469.818647107</x:v>
      </x:c>
      <x:c r="AE18" s="35" t="n">
        <x:f>AD20</x:f>
        <x:v>3212469.818647107</x:v>
      </x:c>
      <x:c r="AF18" s="35" t="n">
        <x:f>AE20</x:f>
        <x:v>3212469.818647107</x:v>
      </x:c>
      <x:c r="AG18" s="35" t="n">
        <x:f>AF20</x:f>
        <x:v>3212469.818647107</x:v>
      </x:c>
      <x:c r="AH18" s="35" t="n">
        <x:f>AG20</x:f>
        <x:v>3212469.818647107</x:v>
      </x:c>
      <x:c r="AI18" s="35" t="n">
        <x:f>AH20</x:f>
        <x:v>3212469.818647107</x:v>
      </x:c>
      <x:c r="AJ18" s="35" t="n">
        <x:f>AI20</x:f>
        <x:v>3212469.818647107</x:v>
      </x:c>
      <x:c r="AK18" s="35" t="n">
        <x:f>AJ20</x:f>
        <x:v>3212469.818647107</x:v>
      </x:c>
      <x:c r="AL18" s="35" t="n">
        <x:f>AK20</x:f>
        <x:v>3212469.818647107</x:v>
      </x:c>
      <x:c r="AM18" s="35" t="n">
        <x:f>AL20</x:f>
        <x:v>3212469.818647107</x:v>
      </x:c>
      <x:c r="AN18" s="35" t="n">
        <x:f>AM20</x:f>
        <x:v>3212469.818647107</x:v>
      </x:c>
      <x:c r="AO18" s="35" t="n">
        <x:f>AN20</x:f>
        <x:v>3212469.818647107</x:v>
      </x:c>
      <x:c r="AP18" s="35" t="n">
        <x:f>AO20</x:f>
        <x:v>3212469.818647107</x:v>
      </x:c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</x:row>
    <x:row r="19" ht="19" customHeight="1">
      <x:c r="A19" s="1"/>
      <x:c r="B19" s="1"/>
      <x:c r="C19" s="2" t="str">
        <x:v>New provision expense</x:v>
      </x:c>
      <x:c r="D19" s="2"/>
      <x:c r="E19" s="35" t="n">
        <x:f>SUMIFS(G19:AP19,$G$6:$AP$6,"&lt;="&amp;'Assumptions'!$E$7)</x:f>
        <x:v>36255843.52437616</x:v>
      </x:c>
      <x:c r="F19" s="2"/>
      <x:c r="G19" s="35" t="n">
        <x:f>G11*$E$49</x:f>
        <x:v>1510660.146849007</x:v>
      </x:c>
      <x:c r="H19" s="35" t="n">
        <x:f>H11*$E$49</x:f>
        <x:v>1510660.146849007</x:v>
      </x:c>
      <x:c r="I19" s="35" t="n">
        <x:f>I11*$E$49</x:f>
        <x:v>1510660.146849007</x:v>
      </x:c>
      <x:c r="J19" s="35" t="n">
        <x:f>J11*$E$49</x:f>
        <x:v>1510660.146849007</x:v>
      </x:c>
      <x:c r="K19" s="35" t="n">
        <x:f>K11*$E$49</x:f>
        <x:v>1510660.146849007</x:v>
      </x:c>
      <x:c r="L19" s="35" t="n">
        <x:f>L11*$E$49</x:f>
        <x:v>1510660.146849007</x:v>
      </x:c>
      <x:c r="M19" s="35" t="n">
        <x:f>M11*$E$49</x:f>
        <x:v>1510660.146849007</x:v>
      </x:c>
      <x:c r="N19" s="35" t="n">
        <x:f>N11*$E$49</x:f>
        <x:v>1510660.146849007</x:v>
      </x:c>
      <x:c r="O19" s="35" t="n">
        <x:f>O11*$E$49</x:f>
        <x:v>1510660.146849007</x:v>
      </x:c>
      <x:c r="P19" s="35" t="n">
        <x:f>P11*$E$49</x:f>
        <x:v>1510660.146849007</x:v>
      </x:c>
      <x:c r="Q19" s="35" t="n">
        <x:f>Q11*$E$49</x:f>
        <x:v>1510660.146849007</x:v>
      </x:c>
      <x:c r="R19" s="35" t="n">
        <x:f>R11*$E$49</x:f>
        <x:v>1510660.146849007</x:v>
      </x:c>
      <x:c r="S19" s="35" t="n">
        <x:f>S11*$E$49</x:f>
        <x:v>1510660.146849007</x:v>
      </x:c>
      <x:c r="T19" s="35" t="n">
        <x:f>T11*$E$49</x:f>
        <x:v>1510660.146849007</x:v>
      </x:c>
      <x:c r="U19" s="35" t="n">
        <x:f>U11*$E$49</x:f>
        <x:v>1510660.146849007</x:v>
      </x:c>
      <x:c r="V19" s="35" t="n">
        <x:f>V11*$E$49</x:f>
        <x:v>1510660.146849007</x:v>
      </x:c>
      <x:c r="W19" s="35" t="n">
        <x:f>W11*$E$49</x:f>
        <x:v>1510660.146849007</x:v>
      </x:c>
      <x:c r="X19" s="35" t="n">
        <x:f>X11*$E$49</x:f>
        <x:v>1510660.146849007</x:v>
      </x:c>
      <x:c r="Y19" s="35" t="n">
        <x:f>Y11*$E$49</x:f>
        <x:v>1510660.146849007</x:v>
      </x:c>
      <x:c r="Z19" s="35" t="n">
        <x:f>Z11*$E$49</x:f>
        <x:v>1510660.146849007</x:v>
      </x:c>
      <x:c r="AA19" s="35" t="n">
        <x:f>AA11*$E$49</x:f>
        <x:v>1510660.146849007</x:v>
      </x:c>
      <x:c r="AB19" s="35" t="n">
        <x:f>AB11*$E$49</x:f>
        <x:v>1510660.146849007</x:v>
      </x:c>
      <x:c r="AC19" s="35" t="n">
        <x:f>AC11*$E$49</x:f>
        <x:v>1510660.146849007</x:v>
      </x:c>
      <x:c r="AD19" s="35" t="n">
        <x:f>AD11*$E$49</x:f>
        <x:v>1510660.146849007</x:v>
      </x:c>
      <x:c r="AE19" s="35" t="n">
        <x:f>AE11*$E$49</x:f>
        <x:v>1510660.146849007</x:v>
      </x:c>
      <x:c r="AF19" s="35" t="n">
        <x:f>AF11*$E$49</x:f>
        <x:v>1510660.146849007</x:v>
      </x:c>
      <x:c r="AG19" s="35" t="n">
        <x:f>AG11*$E$49</x:f>
        <x:v>1510660.146849007</x:v>
      </x:c>
      <x:c r="AH19" s="35" t="n">
        <x:f>AH11*$E$49</x:f>
        <x:v>1510660.146849007</x:v>
      </x:c>
      <x:c r="AI19" s="35" t="n">
        <x:f>AI11*$E$49</x:f>
        <x:v>1510660.146849007</x:v>
      </x:c>
      <x:c r="AJ19" s="35" t="n">
        <x:f>AJ11*$E$49</x:f>
        <x:v>1510660.146849007</x:v>
      </x:c>
      <x:c r="AK19" s="35" t="n">
        <x:f>AK11*$E$49</x:f>
        <x:v>1510660.146849007</x:v>
      </x:c>
      <x:c r="AL19" s="35" t="n">
        <x:f>AL11*$E$49</x:f>
        <x:v>1510660.146849007</x:v>
      </x:c>
      <x:c r="AM19" s="35" t="n">
        <x:f>AM11*$E$49</x:f>
        <x:v>1510660.146849007</x:v>
      </x:c>
      <x:c r="AN19" s="35" t="n">
        <x:f>AN11*$E$49</x:f>
        <x:v>1510660.146849007</x:v>
      </x:c>
      <x:c r="AO19" s="35" t="n">
        <x:f>AO11*$E$49</x:f>
        <x:v>1510660.146849007</x:v>
      </x:c>
      <x:c r="AP19" s="35" t="n">
        <x:f>AP11*$E$49</x:f>
        <x:v>1510660.146849007</x:v>
      </x:c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</x:row>
    <x:row r="20" ht="19" customHeight="1">
      <x:c r="A20" s="1"/>
      <x:c r="B20" s="1"/>
      <x:c r="C20" s="42" t="str">
        <x:v>Ending reserve</x:v>
      </x:c>
      <x:c r="D20" s="42"/>
      <x:c r="E20" s="43" t="n">
        <x:f>INDEX(G20:AP20,1,'Assumptions'!$E$7)</x:f>
        <x:v>3212469.818647107</x:v>
      </x:c>
      <x:c r="F20" s="42"/>
      <x:c r="G20" s="43" t="n">
        <x:f>G18+G19-G15</x:f>
        <x:v>12661401.697390456</x:v>
      </x:c>
      <x:c r="H20" s="43" t="n">
        <x:f>H18+H19-H15</x:f>
        <x:v>6685503.452067402</x:v>
      </x:c>
      <x:c r="I20" s="43" t="n">
        <x:f>I18+I19-I15</x:f>
        <x:v>4306931.634608821</x:v>
      </x:c>
      <x:c r="J20" s="43" t="n">
        <x:f>J18+J19-J15</x:f>
        <x:v>3449226.8155439645</x:v>
      </x:c>
      <x:c r="K20" s="43" t="n">
        <x:f>K18+K19-K15</x:f>
        <x:v>3212469.818647107</x:v>
      </x:c>
      <x:c r="L20" s="43" t="n">
        <x:f>L18+L19-L15</x:f>
        <x:v>3212469.818647107</x:v>
      </x:c>
      <x:c r="M20" s="43" t="n">
        <x:f>M18+M19-M15</x:f>
        <x:v>3212469.818647107</x:v>
      </x:c>
      <x:c r="N20" s="43" t="n">
        <x:f>N18+N19-N15</x:f>
        <x:v>3212469.818647107</x:v>
      </x:c>
      <x:c r="O20" s="43" t="n">
        <x:f>O18+O19-O15</x:f>
        <x:v>3212469.818647107</x:v>
      </x:c>
      <x:c r="P20" s="43" t="n">
        <x:f>P18+P19-P15</x:f>
        <x:v>3212469.818647107</x:v>
      </x:c>
      <x:c r="Q20" s="43" t="n">
        <x:f>Q18+Q19-Q15</x:f>
        <x:v>3212469.818647107</x:v>
      </x:c>
      <x:c r="R20" s="43" t="n">
        <x:f>R18+R19-R15</x:f>
        <x:v>3212469.818647107</x:v>
      </x:c>
      <x:c r="S20" s="43" t="n">
        <x:f>S18+S19-S15</x:f>
        <x:v>3212469.818647107</x:v>
      </x:c>
      <x:c r="T20" s="43" t="n">
        <x:f>T18+T19-T15</x:f>
        <x:v>3212469.818647107</x:v>
      </x:c>
      <x:c r="U20" s="43" t="n">
        <x:f>U18+U19-U15</x:f>
        <x:v>3212469.818647107</x:v>
      </x:c>
      <x:c r="V20" s="43" t="n">
        <x:f>V18+V19-V15</x:f>
        <x:v>3212469.818647107</x:v>
      </x:c>
      <x:c r="W20" s="43" t="n">
        <x:f>W18+W19-W15</x:f>
        <x:v>3212469.818647107</x:v>
      </x:c>
      <x:c r="X20" s="43" t="n">
        <x:f>X18+X19-X15</x:f>
        <x:v>3212469.818647107</x:v>
      </x:c>
      <x:c r="Y20" s="43" t="n">
        <x:f>Y18+Y19-Y15</x:f>
        <x:v>3212469.818647107</x:v>
      </x:c>
      <x:c r="Z20" s="43" t="n">
        <x:f>Z18+Z19-Z15</x:f>
        <x:v>3212469.818647107</x:v>
      </x:c>
      <x:c r="AA20" s="43" t="n">
        <x:f>AA18+AA19-AA15</x:f>
        <x:v>3212469.818647107</x:v>
      </x:c>
      <x:c r="AB20" s="43" t="n">
        <x:f>AB18+AB19-AB15</x:f>
        <x:v>3212469.818647107</x:v>
      </x:c>
      <x:c r="AC20" s="43" t="n">
        <x:f>AC18+AC19-AC15</x:f>
        <x:v>3212469.818647107</x:v>
      </x:c>
      <x:c r="AD20" s="43" t="n">
        <x:f>AD18+AD19-AD15</x:f>
        <x:v>3212469.818647107</x:v>
      </x:c>
      <x:c r="AE20" s="43" t="n">
        <x:f>AE18+AE19-AE15</x:f>
        <x:v>3212469.818647107</x:v>
      </x:c>
      <x:c r="AF20" s="43" t="n">
        <x:f>AF18+AF19-AF15</x:f>
        <x:v>3212469.818647107</x:v>
      </x:c>
      <x:c r="AG20" s="43" t="n">
        <x:f>AG18+AG19-AG15</x:f>
        <x:v>3212469.818647107</x:v>
      </x:c>
      <x:c r="AH20" s="43" t="n">
        <x:f>AH18+AH19-AH15</x:f>
        <x:v>3212469.818647107</x:v>
      </x:c>
      <x:c r="AI20" s="43" t="n">
        <x:f>AI18+AI19-AI15</x:f>
        <x:v>3212469.818647107</x:v>
      </x:c>
      <x:c r="AJ20" s="43" t="n">
        <x:f>AJ18+AJ19-AJ15</x:f>
        <x:v>3212469.818647107</x:v>
      </x:c>
      <x:c r="AK20" s="43" t="n">
        <x:f>AK18+AK19-AK15</x:f>
        <x:v>3212469.818647107</x:v>
      </x:c>
      <x:c r="AL20" s="43" t="n">
        <x:f>AL18+AL19-AL15</x:f>
        <x:v>3212469.818647107</x:v>
      </x:c>
      <x:c r="AM20" s="43" t="n">
        <x:f>AM18+AM19-AM15</x:f>
        <x:v>3212469.818647107</x:v>
      </x:c>
      <x:c r="AN20" s="43" t="n">
        <x:f>AN18+AN19-AN15</x:f>
        <x:v>3212469.818647107</x:v>
      </x:c>
      <x:c r="AO20" s="43" t="n">
        <x:f>AO18+AO19-AO15</x:f>
        <x:v>3212469.818647107</x:v>
      </x:c>
      <x:c r="AP20" s="43" t="n">
        <x:f>AP18+AP19-AP15</x:f>
        <x:v>3212469.818647107</x:v>
      </x:c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</x:row>
    <x:row r="21" ht="19" customHeight="1">
      <x:c r="A21" s="1"/>
      <x:c r="B21" s="1"/>
      <x:c r="C21" s="42" t="str">
        <x:v>Net CLAB</x:v>
      </x:c>
      <x:c r="D21" s="42"/>
      <x:c r="E21" s="43" t="n">
        <x:f>INDEX(G21:AP21,1,'Assumptions'!$E$7)</x:f>
        <x:v>5768474.400309969</x:v>
      </x:c>
      <x:c r="F21" s="42"/>
      <x:c r="G21" s="43" t="n">
        <x:f>G16-G20</x:f>
        <x:v>21849031.115526993</x:v>
      </x:c>
      <x:c r="H21" s="43" t="n">
        <x:f>H16-H20</x:f>
        <x:v>11607294.073608357</x:v>
      </x:c>
      <x:c r="I21" s="43" t="n">
        <x:f>I16-I20</x:f>
        <x:v>7583063.543068889</x:v>
      </x:c>
      <x:c r="J21" s="43" t="n">
        <x:f>J16-J20</x:f>
        <x:v>6147062.186800098</x:v>
      </x:c>
      <x:c r="K21" s="43" t="n">
        <x:f>K16-K20</x:f>
        <x:v>5768474.400309967</x:v>
      </x:c>
      <x:c r="L21" s="43" t="n">
        <x:f>L16-L20</x:f>
        <x:v>5768474.400309969</x:v>
      </x:c>
      <x:c r="M21" s="43" t="n">
        <x:f>M16-M20</x:f>
        <x:v>5768474.400309969</x:v>
      </x:c>
      <x:c r="N21" s="43" t="n">
        <x:f>N16-N20</x:f>
        <x:v>5768474.400309969</x:v>
      </x:c>
      <x:c r="O21" s="43" t="n">
        <x:f>O16-O20</x:f>
        <x:v>5768474.400309969</x:v>
      </x:c>
      <x:c r="P21" s="43" t="n">
        <x:f>P16-P20</x:f>
        <x:v>5768474.400309969</x:v>
      </x:c>
      <x:c r="Q21" s="43" t="n">
        <x:f>Q16-Q20</x:f>
        <x:v>5768474.400309969</x:v>
      </x:c>
      <x:c r="R21" s="43" t="n">
        <x:f>R16-R20</x:f>
        <x:v>5768474.400309969</x:v>
      </x:c>
      <x:c r="S21" s="43" t="n">
        <x:f>S16-S20</x:f>
        <x:v>5768474.400309969</x:v>
      </x:c>
      <x:c r="T21" s="43" t="n">
        <x:f>T16-T20</x:f>
        <x:v>5768474.400309969</x:v>
      </x:c>
      <x:c r="U21" s="43" t="n">
        <x:f>U16-U20</x:f>
        <x:v>5768474.400309969</x:v>
      </x:c>
      <x:c r="V21" s="43" t="n">
        <x:f>V16-V20</x:f>
        <x:v>5768474.400309969</x:v>
      </x:c>
      <x:c r="W21" s="43" t="n">
        <x:f>W16-W20</x:f>
        <x:v>5768474.400309969</x:v>
      </x:c>
      <x:c r="X21" s="43" t="n">
        <x:f>X16-X20</x:f>
        <x:v>5768474.400309969</x:v>
      </x:c>
      <x:c r="Y21" s="43" t="n">
        <x:f>Y16-Y20</x:f>
        <x:v>5768474.400309969</x:v>
      </x:c>
      <x:c r="Z21" s="43" t="n">
        <x:f>Z16-Z20</x:f>
        <x:v>5768474.400309969</x:v>
      </x:c>
      <x:c r="AA21" s="43" t="n">
        <x:f>AA16-AA20</x:f>
        <x:v>5768474.400309969</x:v>
      </x:c>
      <x:c r="AB21" s="43" t="n">
        <x:f>AB16-AB20</x:f>
        <x:v>5768474.400309969</x:v>
      </x:c>
      <x:c r="AC21" s="43" t="n">
        <x:f>AC16-AC20</x:f>
        <x:v>5768474.400309969</x:v>
      </x:c>
      <x:c r="AD21" s="43" t="n">
        <x:f>AD16-AD20</x:f>
        <x:v>5768474.400309969</x:v>
      </x:c>
      <x:c r="AE21" s="43" t="n">
        <x:f>AE16-AE20</x:f>
        <x:v>5768474.400309969</x:v>
      </x:c>
      <x:c r="AF21" s="43" t="n">
        <x:f>AF16-AF20</x:f>
        <x:v>5768474.400309969</x:v>
      </x:c>
      <x:c r="AG21" s="43" t="n">
        <x:f>AG16-AG20</x:f>
        <x:v>5768474.400309969</x:v>
      </x:c>
      <x:c r="AH21" s="43" t="n">
        <x:f>AH16-AH20</x:f>
        <x:v>5768474.400309969</x:v>
      </x:c>
      <x:c r="AI21" s="43" t="n">
        <x:f>AI16-AI20</x:f>
        <x:v>5768474.400309969</x:v>
      </x:c>
      <x:c r="AJ21" s="43" t="n">
        <x:f>AJ16-AJ20</x:f>
        <x:v>5768474.400309969</x:v>
      </x:c>
      <x:c r="AK21" s="43" t="n">
        <x:f>AK16-AK20</x:f>
        <x:v>5768474.400309969</x:v>
      </x:c>
      <x:c r="AL21" s="43" t="n">
        <x:f>AL16-AL20</x:f>
        <x:v>5768474.400309969</x:v>
      </x:c>
      <x:c r="AM21" s="43" t="n">
        <x:f>AM16-AM20</x:f>
        <x:v>5768474.400309969</x:v>
      </x:c>
      <x:c r="AN21" s="43" t="n">
        <x:f>AN16-AN20</x:f>
        <x:v>5768474.400309969</x:v>
      </x:c>
      <x:c r="AO21" s="43" t="n">
        <x:f>AO16-AO20</x:f>
        <x:v>5768474.400309969</x:v>
      </x:c>
      <x:c r="AP21" s="43" t="n">
        <x:f>AP16-AP20</x:f>
        <x:v>5768474.400309969</x:v>
      </x:c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</x:row>
    <x:row r="22" ht="19" customHeight="1">
      <x:c r="A22" s="1"/>
      <x:c r="B22" s="1"/>
      <x:c r="C22" s="2"/>
      <x:c r="D22" s="2"/>
      <x:c r="E22" s="35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</x:row>
    <x:row r="23" ht="19" customHeight="1">
      <x:c r="A23" s="1"/>
      <x:c r="B23" s="1"/>
      <x:c r="C23" s="2" t="str">
        <x:v>Annual yield</x:v>
      </x:c>
      <x:c r="D23" s="2"/>
      <x:c r="E23" s="35"/>
      <x:c r="F23" s="2"/>
      <x:c r="G23" s="33" t="n">
        <x:f>'Assumptions'!$F$15</x:f>
        <x:v>0.55</x:v>
      </x:c>
      <x:c r="H23" s="33" t="n">
        <x:f>'Assumptions'!$F$15</x:f>
        <x:v>0.55</x:v>
      </x:c>
      <x:c r="I23" s="33" t="n">
        <x:f>'Assumptions'!$F$15</x:f>
        <x:v>0.55</x:v>
      </x:c>
      <x:c r="J23" s="33" t="n">
        <x:f>'Assumptions'!$F$15</x:f>
        <x:v>0.55</x:v>
      </x:c>
      <x:c r="K23" s="33" t="n">
        <x:f>'Assumptions'!$F$15</x:f>
        <x:v>0.55</x:v>
      </x:c>
      <x:c r="L23" s="33" t="n">
        <x:f>'Assumptions'!$F$15</x:f>
        <x:v>0.55</x:v>
      </x:c>
      <x:c r="M23" s="33" t="n">
        <x:f>'Assumptions'!$F$15</x:f>
        <x:v>0.55</x:v>
      </x:c>
      <x:c r="N23" s="33" t="n">
        <x:f>'Assumptions'!$F$15</x:f>
        <x:v>0.55</x:v>
      </x:c>
      <x:c r="O23" s="33" t="n">
        <x:f>'Assumptions'!$F$15</x:f>
        <x:v>0.55</x:v>
      </x:c>
      <x:c r="P23" s="33" t="n">
        <x:f>'Assumptions'!$F$15</x:f>
        <x:v>0.55</x:v>
      </x:c>
      <x:c r="Q23" s="33" t="n">
        <x:f>'Assumptions'!$F$15</x:f>
        <x:v>0.55</x:v>
      </x:c>
      <x:c r="R23" s="33" t="n">
        <x:f>'Assumptions'!$F$15</x:f>
        <x:v>0.55</x:v>
      </x:c>
      <x:c r="S23" s="33" t="n">
        <x:f>'Assumptions'!$F$15</x:f>
        <x:v>0.55</x:v>
      </x:c>
      <x:c r="T23" s="33" t="n">
        <x:f>'Assumptions'!$F$15</x:f>
        <x:v>0.55</x:v>
      </x:c>
      <x:c r="U23" s="33" t="n">
        <x:f>'Assumptions'!$F$15</x:f>
        <x:v>0.55</x:v>
      </x:c>
      <x:c r="V23" s="33" t="n">
        <x:f>'Assumptions'!$F$15</x:f>
        <x:v>0.55</x:v>
      </x:c>
      <x:c r="W23" s="33" t="n">
        <x:f>'Assumptions'!$F$15</x:f>
        <x:v>0.55</x:v>
      </x:c>
      <x:c r="X23" s="33" t="n">
        <x:f>'Assumptions'!$F$15</x:f>
        <x:v>0.55</x:v>
      </x:c>
      <x:c r="Y23" s="33" t="n">
        <x:f>'Assumptions'!$F$15</x:f>
        <x:v>0.55</x:v>
      </x:c>
      <x:c r="Z23" s="33" t="n">
        <x:f>'Assumptions'!$F$15</x:f>
        <x:v>0.55</x:v>
      </x:c>
      <x:c r="AA23" s="33" t="n">
        <x:f>'Assumptions'!$F$15</x:f>
        <x:v>0.55</x:v>
      </x:c>
      <x:c r="AB23" s="33" t="n">
        <x:f>'Assumptions'!$F$15</x:f>
        <x:v>0.55</x:v>
      </x:c>
      <x:c r="AC23" s="33" t="n">
        <x:f>'Assumptions'!$F$15</x:f>
        <x:v>0.55</x:v>
      </x:c>
      <x:c r="AD23" s="33" t="n">
        <x:f>'Assumptions'!$F$15</x:f>
        <x:v>0.55</x:v>
      </x:c>
      <x:c r="AE23" s="33" t="n">
        <x:f>'Assumptions'!$F$15</x:f>
        <x:v>0.55</x:v>
      </x:c>
      <x:c r="AF23" s="33" t="n">
        <x:f>'Assumptions'!$F$15</x:f>
        <x:v>0.55</x:v>
      </x:c>
      <x:c r="AG23" s="33" t="n">
        <x:f>'Assumptions'!$F$15</x:f>
        <x:v>0.55</x:v>
      </x:c>
      <x:c r="AH23" s="33" t="n">
        <x:f>'Assumptions'!$F$15</x:f>
        <x:v>0.55</x:v>
      </x:c>
      <x:c r="AI23" s="33" t="n">
        <x:f>'Assumptions'!$F$15</x:f>
        <x:v>0.55</x:v>
      </x:c>
      <x:c r="AJ23" s="33" t="n">
        <x:f>'Assumptions'!$F$15</x:f>
        <x:v>0.55</x:v>
      </x:c>
      <x:c r="AK23" s="33" t="n">
        <x:f>'Assumptions'!$F$15</x:f>
        <x:v>0.55</x:v>
      </x:c>
      <x:c r="AL23" s="33" t="n">
        <x:f>'Assumptions'!$F$15</x:f>
        <x:v>0.55</x:v>
      </x:c>
      <x:c r="AM23" s="33" t="n">
        <x:f>'Assumptions'!$F$15</x:f>
        <x:v>0.55</x:v>
      </x:c>
      <x:c r="AN23" s="33" t="n">
        <x:f>'Assumptions'!$F$15</x:f>
        <x:v>0.55</x:v>
      </x:c>
      <x:c r="AO23" s="33" t="n">
        <x:f>'Assumptions'!$F$15</x:f>
        <x:v>0.55</x:v>
      </x:c>
      <x:c r="AP23" s="33" t="n">
        <x:f>'Assumptions'!$F$15</x:f>
        <x:v>0.55</x:v>
      </x:c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</x:row>
    <x:row r="24" ht="19" customHeight="1">
      <x:c r="A24" s="1"/>
      <x:c r="B24" s="1"/>
      <x:c r="C24" s="42" t="str">
        <x:v>Revenue</x:v>
      </x:c>
      <x:c r="D24" s="42"/>
      <x:c r="E24" s="43" t="n">
        <x:f>SUMIFS(G24:AP24,$G$6:$AP$6,"&lt;="&amp;'Assumptions'!$E$7)</x:f>
        <x:v>11937963.681254502</x:v>
      </x:c>
      <x:c r="F24" s="42"/>
      <x:c r="G24" s="43" t="n">
        <x:f>(G13-G15)*G23/12</x:f>
        <x:v>2737685.6243885863</x:v>
      </x:c>
      <x:c r="H24" s="43" t="n">
        <x:f>(H13-H15)*H23/12</x:f>
        <x:v>1238594.2442841637</x:v>
      </x:c>
      <x:c r="I24" s="43" t="n">
        <x:f>(I13-I15)*I23/12</x:f>
        <x:v>660163.4215627079</x:v>
      </x:c>
      <x:c r="J24" s="43" t="n">
        <x:f>(J13-J15)*J23/12</x:f>
        <x:v>436408.0513725096</x:v>
      </x:c>
      <x:c r="K24" s="43" t="n">
        <x:f>(K13-K15)*K23/12</x:f>
        <x:v>359739.9601857508</x:v>
      </x:c>
      <x:c r="L24" s="43" t="n">
        <x:f>(L13-L15)*L23/12</x:f>
        <x:v>342388.01997161977</x:v>
      </x:c>
      <x:c r="M24" s="43" t="n">
        <x:f>(M13-M15)*M23/12</x:f>
        <x:v>342388.0199716198</x:v>
      </x:c>
      <x:c r="N24" s="43" t="n">
        <x:f>(N13-N15)*N23/12</x:f>
        <x:v>342388.0199716198</x:v>
      </x:c>
      <x:c r="O24" s="43" t="n">
        <x:f>(O13-O15)*O23/12</x:f>
        <x:v>342388.0199716198</x:v>
      </x:c>
      <x:c r="P24" s="43" t="n">
        <x:f>(P13-P15)*P23/12</x:f>
        <x:v>342388.0199716198</x:v>
      </x:c>
      <x:c r="Q24" s="43" t="n">
        <x:f>(Q13-Q15)*Q23/12</x:f>
        <x:v>342388.0199716198</x:v>
      </x:c>
      <x:c r="R24" s="43" t="n">
        <x:f>(R13-R15)*R23/12</x:f>
        <x:v>342388.0199716198</x:v>
      </x:c>
      <x:c r="S24" s="43" t="n">
        <x:f>(S13-S15)*S23/12</x:f>
        <x:v>342388.0199716198</x:v>
      </x:c>
      <x:c r="T24" s="43" t="n">
        <x:f>(T13-T15)*T23/12</x:f>
        <x:v>342388.0199716198</x:v>
      </x:c>
      <x:c r="U24" s="43" t="n">
        <x:f>(U13-U15)*U23/12</x:f>
        <x:v>342388.0199716198</x:v>
      </x:c>
      <x:c r="V24" s="43" t="n">
        <x:f>(V13-V15)*V23/12</x:f>
        <x:v>342388.0199716198</x:v>
      </x:c>
      <x:c r="W24" s="43" t="n">
        <x:f>(W13-W15)*W23/12</x:f>
        <x:v>342388.0199716198</x:v>
      </x:c>
      <x:c r="X24" s="43" t="n">
        <x:f>(X13-X15)*X23/12</x:f>
        <x:v>342388.0199716198</x:v>
      </x:c>
      <x:c r="Y24" s="43" t="n">
        <x:f>(Y13-Y15)*Y23/12</x:f>
        <x:v>342388.0199716198</x:v>
      </x:c>
      <x:c r="Z24" s="43" t="n">
        <x:f>(Z13-Z15)*Z23/12</x:f>
        <x:v>342388.0199716198</x:v>
      </x:c>
      <x:c r="AA24" s="43" t="n">
        <x:f>(AA13-AA15)*AA23/12</x:f>
        <x:v>342388.0199716198</x:v>
      </x:c>
      <x:c r="AB24" s="43" t="n">
        <x:f>(AB13-AB15)*AB23/12</x:f>
        <x:v>342388.0199716198</x:v>
      </x:c>
      <x:c r="AC24" s="43" t="n">
        <x:f>(AC13-AC15)*AC23/12</x:f>
        <x:v>342388.0199716198</x:v>
      </x:c>
      <x:c r="AD24" s="43" t="n">
        <x:f>(AD13-AD15)*AD23/12</x:f>
        <x:v>342388.0199716198</x:v>
      </x:c>
      <x:c r="AE24" s="43" t="n">
        <x:f>(AE13-AE15)*AE23/12</x:f>
        <x:v>342388.0199716198</x:v>
      </x:c>
      <x:c r="AF24" s="43" t="n">
        <x:f>(AF13-AF15)*AF23/12</x:f>
        <x:v>342388.0199716198</x:v>
      </x:c>
      <x:c r="AG24" s="43" t="n">
        <x:f>(AG13-AG15)*AG23/12</x:f>
        <x:v>342388.0199716198</x:v>
      </x:c>
      <x:c r="AH24" s="43" t="n">
        <x:f>(AH13-AH15)*AH23/12</x:f>
        <x:v>342388.0199716198</x:v>
      </x:c>
      <x:c r="AI24" s="43" t="n">
        <x:f>(AI13-AI15)*AI23/12</x:f>
        <x:v>342388.0199716198</x:v>
      </x:c>
      <x:c r="AJ24" s="43" t="n">
        <x:f>(AJ13-AJ15)*AJ23/12</x:f>
        <x:v>342388.0199716198</x:v>
      </x:c>
      <x:c r="AK24" s="43" t="n">
        <x:f>(AK13-AK15)*AK23/12</x:f>
        <x:v>342388.0199716198</x:v>
      </x:c>
      <x:c r="AL24" s="43" t="n">
        <x:f>(AL13-AL15)*AL23/12</x:f>
        <x:v>342388.0199716198</x:v>
      </x:c>
      <x:c r="AM24" s="43" t="n">
        <x:f>(AM13-AM15)*AM23/12</x:f>
        <x:v>342388.0199716198</x:v>
      </x:c>
      <x:c r="AN24" s="43" t="n">
        <x:f>(AN13-AN15)*AN23/12</x:f>
        <x:v>342388.0199716198</x:v>
      </x:c>
      <x:c r="AO24" s="43" t="n">
        <x:f>(AO13-AO15)*AO23/12</x:f>
        <x:v>342388.0199716198</x:v>
      </x:c>
      <x:c r="AP24" s="43" t="n">
        <x:f>(AP13-AP15)*AP23/12</x:f>
        <x:v>342388.0199716198</x:v>
      </x:c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</x:row>
    <x:row r="25" ht="19" customHeight="1">
      <x:c r="A25" s="1"/>
      <x:c r="B25" s="1"/>
      <x:c r="C25" s="46" t="str">
        <x:v>Net revenue</x:v>
      </x:c>
      <x:c r="D25" s="46"/>
      <x:c r="E25" s="47" t="n">
        <x:f>SUMIFS(G25:AP25,$G$6:$AP$6,"&lt;="&amp;'Assumptions'!$E$7)</x:f>
        <x:v>-24317879.84312167</x:v>
      </x:c>
      <x:c r="F25" s="46"/>
      <x:c r="G25" s="47" t="n">
        <x:f>G24-G19</x:f>
        <x:v>1227025.4775395792</x:v>
      </x:c>
      <x:c r="H25" s="47" t="n">
        <x:f>H24-H19</x:f>
        <x:v>-272065.9025648434</x:v>
      </x:c>
      <x:c r="I25" s="47" t="n">
        <x:f>I24-I19</x:f>
        <x:v>-850496.7252862992</x:v>
      </x:c>
      <x:c r="J25" s="47" t="n">
        <x:f>J24-J19</x:f>
        <x:v>-1074252.0954764974</x:v>
      </x:c>
      <x:c r="K25" s="47" t="n">
        <x:f>K24-K19</x:f>
        <x:v>-1150920.1866632563</x:v>
      </x:c>
      <x:c r="L25" s="47" t="n">
        <x:f>L24-L19</x:f>
        <x:v>-1168272.1268773873</x:v>
      </x:c>
      <x:c r="M25" s="47" t="n">
        <x:f>M24-M19</x:f>
        <x:v>-1168272.1268773873</x:v>
      </x:c>
      <x:c r="N25" s="47" t="n">
        <x:f>N24-N19</x:f>
        <x:v>-1168272.1268773873</x:v>
      </x:c>
      <x:c r="O25" s="47" t="n">
        <x:f>O24-O19</x:f>
        <x:v>-1168272.1268773873</x:v>
      </x:c>
      <x:c r="P25" s="47" t="n">
        <x:f>P24-P19</x:f>
        <x:v>-1168272.1268773873</x:v>
      </x:c>
      <x:c r="Q25" s="47" t="n">
        <x:f>Q24-Q19</x:f>
        <x:v>-1168272.1268773873</x:v>
      </x:c>
      <x:c r="R25" s="47" t="n">
        <x:f>R24-R19</x:f>
        <x:v>-1168272.1268773873</x:v>
      </x:c>
      <x:c r="S25" s="47" t="n">
        <x:f>S24-S19</x:f>
        <x:v>-1168272.1268773873</x:v>
      </x:c>
      <x:c r="T25" s="47" t="n">
        <x:f>T24-T19</x:f>
        <x:v>-1168272.1268773873</x:v>
      </x:c>
      <x:c r="U25" s="47" t="n">
        <x:f>U24-U19</x:f>
        <x:v>-1168272.1268773873</x:v>
      </x:c>
      <x:c r="V25" s="47" t="n">
        <x:f>V24-V19</x:f>
        <x:v>-1168272.1268773873</x:v>
      </x:c>
      <x:c r="W25" s="47" t="n">
        <x:f>W24-W19</x:f>
        <x:v>-1168272.1268773873</x:v>
      </x:c>
      <x:c r="X25" s="47" t="n">
        <x:f>X24-X19</x:f>
        <x:v>-1168272.1268773873</x:v>
      </x:c>
      <x:c r="Y25" s="47" t="n">
        <x:f>Y24-Y19</x:f>
        <x:v>-1168272.1268773873</x:v>
      </x:c>
      <x:c r="Z25" s="47" t="n">
        <x:f>Z24-Z19</x:f>
        <x:v>-1168272.1268773873</x:v>
      </x:c>
      <x:c r="AA25" s="47" t="n">
        <x:f>AA24-AA19</x:f>
        <x:v>-1168272.1268773873</x:v>
      </x:c>
      <x:c r="AB25" s="47" t="n">
        <x:f>AB24-AB19</x:f>
        <x:v>-1168272.1268773873</x:v>
      </x:c>
      <x:c r="AC25" s="47" t="n">
        <x:f>AC24-AC19</x:f>
        <x:v>-1168272.1268773873</x:v>
      </x:c>
      <x:c r="AD25" s="47" t="n">
        <x:f>AD24-AD19</x:f>
        <x:v>-1168272.1268773873</x:v>
      </x:c>
      <x:c r="AE25" s="47" t="n">
        <x:f>AE24-AE19</x:f>
        <x:v>-1168272.1268773873</x:v>
      </x:c>
      <x:c r="AF25" s="47" t="n">
        <x:f>AF24-AF19</x:f>
        <x:v>-1168272.1268773873</x:v>
      </x:c>
      <x:c r="AG25" s="47" t="n">
        <x:f>AG24-AG19</x:f>
        <x:v>-1168272.1268773873</x:v>
      </x:c>
      <x:c r="AH25" s="47" t="n">
        <x:f>AH24-AH19</x:f>
        <x:v>-1168272.1268773873</x:v>
      </x:c>
      <x:c r="AI25" s="47" t="n">
        <x:f>AI24-AI19</x:f>
        <x:v>-1168272.1268773873</x:v>
      </x:c>
      <x:c r="AJ25" s="47" t="n">
        <x:f>AJ24-AJ19</x:f>
        <x:v>-1168272.1268773873</x:v>
      </x:c>
      <x:c r="AK25" s="47" t="n">
        <x:f>AK24-AK19</x:f>
        <x:v>-1168272.1268773873</x:v>
      </x:c>
      <x:c r="AL25" s="47" t="n">
        <x:f>AL24-AL19</x:f>
        <x:v>-1168272.1268773873</x:v>
      </x:c>
      <x:c r="AM25" s="47" t="n">
        <x:f>AM24-AM19</x:f>
        <x:v>-1168272.1268773873</x:v>
      </x:c>
      <x:c r="AN25" s="47" t="n">
        <x:f>AN24-AN19</x:f>
        <x:v>-1168272.1268773873</x:v>
      </x:c>
      <x:c r="AO25" s="47" t="n">
        <x:f>AO24-AO19</x:f>
        <x:v>-1168272.1268773873</x:v>
      </x:c>
      <x:c r="AP25" s="47" t="n">
        <x:f>AP24-AP19</x:f>
        <x:v>-1168272.1268773873</x:v>
      </x:c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</x:row>
    <x:row r="26" ht="19" customHeight="1">
      <x:c r="A26" s="1"/>
      <x:c r="B26" s="1"/>
      <x:c r="C26" s="2"/>
      <x:c r="D26" s="2"/>
      <x:c r="E26" s="35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</x:row>
    <x:row r="27" ht="19" customHeight="1">
      <x:c r="A27" s="1"/>
      <x:c r="B27" s="1"/>
      <x:c r="C27" s="2" t="str">
        <x:v>Opening-book charge-offs</x:v>
      </x:c>
      <x:c r="D27" s="2"/>
      <x:c r="E27" s="35" t="n">
        <x:f>SUMIFS(G27:AP27,$G$6:$AP$6,"&lt;="&amp;'Assumptions'!$E$7)</x:f>
        <x:v>28099418.836608652</x:v>
      </x:c>
      <x:c r="F27" s="2"/>
      <x:c r="G27" s="35" t="n">
        <x:f>SUMPRODUCT($E$160:$E$219,$E$52:$E$111)</x:f>
        <x:v>16948677.286067203</x:v>
      </x:c>
      <x:c r="H27" s="35" t="n">
        <x:f>SUMPRODUCT($E$160:$E$219,$E$53:$E$112)</x:f>
        <x:v>6860432.818481106</x:v>
      </x:c>
      <x:c r="I27" s="35" t="n">
        <x:f>SUMPRODUCT($E$160:$E$219,$E$54:$E$113)</x:f>
        <x:v>2865138.730070442</x:v>
      </x:c>
      <x:c r="J27" s="35" t="n">
        <x:f>SUMPRODUCT($E$160:$E$219,$E$55:$E$114)</x:f>
        <x:v>1095567.123957018</x:v>
      </x:c>
      <x:c r="K27" s="35" t="n">
        <x:f>SUMPRODUCT($E$160:$E$219,$E$56:$E$115)</x:f>
        <x:v>329602.87803288037</x:v>
      </x:c>
      <x:c r="L27" s="35" t="n">
        <x:f>SUMPRODUCT($E$160:$E$219,$E$57:$E$116)</x:f>
        <x:v>0</x:v>
      </x:c>
      <x:c r="M27" s="35" t="n">
        <x:f>SUMPRODUCT($E$160:$E$219,$E$58:$E$117)</x:f>
        <x:v>0</x:v>
      </x:c>
      <x:c r="N27" s="35" t="n">
        <x:f>SUMPRODUCT($E$160:$E$219,$E$59:$E$118)</x:f>
        <x:v>0</x:v>
      </x:c>
      <x:c r="O27" s="35" t="n">
        <x:f>SUMPRODUCT($E$160:$E$219,$E$60:$E$119)</x:f>
        <x:v>0</x:v>
      </x:c>
      <x:c r="P27" s="35" t="n">
        <x:f>SUMPRODUCT($E$160:$E$219,$E$61:$E$120)</x:f>
        <x:v>0</x:v>
      </x:c>
      <x:c r="Q27" s="35" t="n">
        <x:f>SUMPRODUCT($E$160:$E$219,$E$62:$E$121)</x:f>
        <x:v>0</x:v>
      </x:c>
      <x:c r="R27" s="35" t="n">
        <x:f>SUMPRODUCT($E$160:$E$219,$E$63:$E$122)</x:f>
        <x:v>0</x:v>
      </x:c>
      <x:c r="S27" s="35" t="n">
        <x:f>SUMPRODUCT($E$160:$E$219,$E$64:$E$123)</x:f>
        <x:v>0</x:v>
      </x:c>
      <x:c r="T27" s="35" t="n">
        <x:f>SUMPRODUCT($E$160:$E$219,$E$65:$E$124)</x:f>
        <x:v>0</x:v>
      </x:c>
      <x:c r="U27" s="35" t="n">
        <x:f>SUMPRODUCT($E$160:$E$219,$E$66:$E$125)</x:f>
        <x:v>0</x:v>
      </x:c>
      <x:c r="V27" s="35" t="n">
        <x:f>SUMPRODUCT($E$160:$E$219,$E$67:$E$126)</x:f>
        <x:v>0</x:v>
      </x:c>
      <x:c r="W27" s="35" t="n">
        <x:f>SUMPRODUCT($E$160:$E$219,$E$68:$E$127)</x:f>
        <x:v>0</x:v>
      </x:c>
      <x:c r="X27" s="35" t="n">
        <x:f>SUMPRODUCT($E$160:$E$219,$E$69:$E$128)</x:f>
        <x:v>0</x:v>
      </x:c>
      <x:c r="Y27" s="35" t="n">
        <x:f>SUMPRODUCT($E$160:$E$219,$E$70:$E$129)</x:f>
        <x:v>0</x:v>
      </x:c>
      <x:c r="Z27" s="35" t="n">
        <x:f>SUMPRODUCT($E$160:$E$219,$E$71:$E$130)</x:f>
        <x:v>0</x:v>
      </x:c>
      <x:c r="AA27" s="35" t="n">
        <x:f>SUMPRODUCT($E$160:$E$219,$E$72:$E$131)</x:f>
        <x:v>0</x:v>
      </x:c>
      <x:c r="AB27" s="35" t="n">
        <x:f>SUMPRODUCT($E$160:$E$219,$E$73:$E$132)</x:f>
        <x:v>0</x:v>
      </x:c>
      <x:c r="AC27" s="35" t="n">
        <x:f>SUMPRODUCT($E$160:$E$219,$E$74:$E$133)</x:f>
        <x:v>0</x:v>
      </x:c>
      <x:c r="AD27" s="35" t="n">
        <x:f>SUMPRODUCT($E$160:$E$219,$E$75:$E$134)</x:f>
        <x:v>0</x:v>
      </x:c>
      <x:c r="AE27" s="35" t="n">
        <x:f>SUMPRODUCT($E$160:$E$219,$E$76:$E$135)</x:f>
        <x:v>0</x:v>
      </x:c>
      <x:c r="AF27" s="35" t="n">
        <x:f>SUMPRODUCT($E$160:$E$219,$E$77:$E$136)</x:f>
        <x:v>0</x:v>
      </x:c>
      <x:c r="AG27" s="35" t="n">
        <x:f>SUMPRODUCT($E$160:$E$219,$E$78:$E$137)</x:f>
        <x:v>0</x:v>
      </x:c>
      <x:c r="AH27" s="35" t="n">
        <x:f>SUMPRODUCT($E$160:$E$219,$E$79:$E$138)</x:f>
        <x:v>0</x:v>
      </x:c>
      <x:c r="AI27" s="35" t="n">
        <x:f>SUMPRODUCT($E$160:$E$219,$E$80:$E$139)</x:f>
        <x:v>0</x:v>
      </x:c>
      <x:c r="AJ27" s="35" t="n">
        <x:f>SUMPRODUCT($E$160:$E$219,$E$81:$E$140)</x:f>
        <x:v>0</x:v>
      </x:c>
      <x:c r="AK27" s="35" t="n">
        <x:f>SUMPRODUCT($E$160:$E$219,$E$82:$E$141)</x:f>
        <x:v>0</x:v>
      </x:c>
      <x:c r="AL27" s="35" t="n">
        <x:f>SUMPRODUCT($E$160:$E$219,$E$83:$E$142)</x:f>
        <x:v>0</x:v>
      </x:c>
      <x:c r="AM27" s="35" t="n">
        <x:f>SUMPRODUCT($E$160:$E$219,$E$84:$E$143)</x:f>
        <x:v>0</x:v>
      </x:c>
      <x:c r="AN27" s="35" t="n">
        <x:f>SUMPRODUCT($E$160:$E$219,$E$85:$E$144)</x:f>
        <x:v>0</x:v>
      </x:c>
      <x:c r="AO27" s="35" t="n">
        <x:f>SUMPRODUCT($E$160:$E$219,$E$86:$E$145)</x:f>
        <x:v>0</x:v>
      </x:c>
      <x:c r="AP27" s="35" t="n">
        <x:f>SUMPRODUCT($E$160:$E$219,$E$87:$E$146)</x:f>
        <x:v>0</x:v>
      </x:c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</x:row>
    <x:row r="28" ht="19" customHeight="1">
      <x:c r="A28" s="1"/>
      <x:c r="B28" s="1"/>
      <x:c r="C28" s="2" t="str">
        <x:v>New-book charge-offs</x:v>
      </x:c>
      <x:c r="D28" s="2"/>
      <x:c r="E28" s="35" t="n">
        <x:f>SUMIFS(G28:AP28,$G$6:$AP$6,"&lt;="&amp;'Assumptions'!$E$7)</x:f>
        <x:v>33043373.705729056</x:v>
      </x:c>
      <x:c r="F28" s="2"/>
      <x:c r="G28" s="35" t="n">
        <x:f>SUMPRODUCT($G$11:G11,$CY$150:$CY$150)</x:f>
        <x:v>0</x:v>
      </x:c>
      <x:c r="H28" s="35" t="n">
        <x:f>SUMPRODUCT($G$11:H11,$CX$150:$CY$150)</x:f>
        <x:v>626125.5736909535</x:v>
      </x:c>
      <x:c r="I28" s="35" t="n">
        <x:f>SUMPRODUCT($G$11:I11,$CW$150:$CY$150)</x:f>
        <x:v>1024093.2342371466</x:v>
      </x:c>
      <x:c r="J28" s="35" t="n">
        <x:f>SUMPRODUCT($G$11:J11,$CV$150:$CY$150)</x:f>
        <x:v>1272797.841956846</x:v>
      </x:c>
      <x:c r="K28" s="35" t="n">
        <x:f>SUMPRODUCT($G$11:K11,$CU$150:$CY$150)</x:f>
        <x:v>1417814.2657129844</x:v>
      </x:c>
      <x:c r="L28" s="35" t="n">
        <x:f>SUMPRODUCT($G$11:L11,$CT$150:$CY$150)</x:f>
        <x:v>1510660.146849007</x:v>
      </x:c>
      <x:c r="M28" s="35" t="n">
        <x:f>SUMPRODUCT($G$11:M11,$CS$150:$CY$150)</x:f>
        <x:v>1510660.146849007</x:v>
      </x:c>
      <x:c r="N28" s="35" t="n">
        <x:f>SUMPRODUCT($G$11:N11,$CR$150:$CY$150)</x:f>
        <x:v>1510660.146849007</x:v>
      </x:c>
      <x:c r="O28" s="35" t="n">
        <x:f>SUMPRODUCT($G$11:O11,$CQ$150:$CY$150)</x:f>
        <x:v>1510660.146849007</x:v>
      </x:c>
      <x:c r="P28" s="35" t="n">
        <x:f>SUMPRODUCT($G$11:P11,$CP$150:$CY$150)</x:f>
        <x:v>1510660.146849007</x:v>
      </x:c>
      <x:c r="Q28" s="35" t="n">
        <x:f>SUMPRODUCT($G$11:Q11,$CO$150:$CY$150)</x:f>
        <x:v>1510660.146849007</x:v>
      </x:c>
      <x:c r="R28" s="35" t="n">
        <x:f>SUMPRODUCT($G$11:R11,$CN$150:$CY$150)</x:f>
        <x:v>1510660.146849007</x:v>
      </x:c>
      <x:c r="S28" s="35" t="n">
        <x:f>SUMPRODUCT($G$11:S11,$CM$150:$CY$150)</x:f>
        <x:v>1510660.146849007</x:v>
      </x:c>
      <x:c r="T28" s="35" t="n">
        <x:f>SUMPRODUCT($G$11:T11,$CL$150:$CY$150)</x:f>
        <x:v>1510660.146849007</x:v>
      </x:c>
      <x:c r="U28" s="35" t="n">
        <x:f>SUMPRODUCT($G$11:U11,$CK$150:$CY$150)</x:f>
        <x:v>1510660.146849007</x:v>
      </x:c>
      <x:c r="V28" s="35" t="n">
        <x:f>SUMPRODUCT($G$11:V11,$CJ$150:$CY$150)</x:f>
        <x:v>1510660.146849007</x:v>
      </x:c>
      <x:c r="W28" s="35" t="n">
        <x:f>SUMPRODUCT($G$11:W11,$CI$150:$CY$150)</x:f>
        <x:v>1510660.146849007</x:v>
      </x:c>
      <x:c r="X28" s="35" t="n">
        <x:f>SUMPRODUCT($G$11:X11,$CH$150:$CY$150)</x:f>
        <x:v>1510660.146849007</x:v>
      </x:c>
      <x:c r="Y28" s="35" t="n">
        <x:f>SUMPRODUCT($G$11:Y11,$CG$150:$CY$150)</x:f>
        <x:v>1510660.146849007</x:v>
      </x:c>
      <x:c r="Z28" s="35" t="n">
        <x:f>SUMPRODUCT($G$11:Z11,$CF$150:$CY$150)</x:f>
        <x:v>1510660.146849007</x:v>
      </x:c>
      <x:c r="AA28" s="35" t="n">
        <x:f>SUMPRODUCT($G$11:AA11,$CE$150:$CY$150)</x:f>
        <x:v>1510660.146849007</x:v>
      </x:c>
      <x:c r="AB28" s="35" t="n">
        <x:f>SUMPRODUCT($G$11:AB11,$CD$150:$CY$150)</x:f>
        <x:v>1510660.146849007</x:v>
      </x:c>
      <x:c r="AC28" s="35" t="n">
        <x:f>SUMPRODUCT($G$11:AC11,$CC$150:$CY$150)</x:f>
        <x:v>1510660.146849007</x:v>
      </x:c>
      <x:c r="AD28" s="35" t="n">
        <x:f>SUMPRODUCT($G$11:AD11,$CB$150:$CY$150)</x:f>
        <x:v>1510660.146849007</x:v>
      </x:c>
      <x:c r="AE28" s="35" t="n">
        <x:f>SUMPRODUCT($G$11:AE11,$CA$150:$CY$150)</x:f>
        <x:v>1510660.146849007</x:v>
      </x:c>
      <x:c r="AF28" s="35" t="n">
        <x:f>SUMPRODUCT($G$11:AF11,$BZ$150:$CY$150)</x:f>
        <x:v>1510660.146849007</x:v>
      </x:c>
      <x:c r="AG28" s="35" t="n">
        <x:f>SUMPRODUCT($G$11:AG11,$BY$150:$CY$150)</x:f>
        <x:v>1510660.146849007</x:v>
      </x:c>
      <x:c r="AH28" s="35" t="n">
        <x:f>SUMPRODUCT($G$11:AH11,$BX$150:$CY$150)</x:f>
        <x:v>1510660.146849007</x:v>
      </x:c>
      <x:c r="AI28" s="35" t="n">
        <x:f>SUMPRODUCT($G$11:AI11,$BW$150:$CY$150)</x:f>
        <x:v>1510660.146849007</x:v>
      </x:c>
      <x:c r="AJ28" s="35" t="n">
        <x:f>SUMPRODUCT($G$11:AJ11,$BV$150:$CY$150)</x:f>
        <x:v>1510660.146849007</x:v>
      </x:c>
      <x:c r="AK28" s="35" t="n">
        <x:f>SUMPRODUCT($G$11:AK11,$BU$150:$CY$150)</x:f>
        <x:v>1510660.146849007</x:v>
      </x:c>
      <x:c r="AL28" s="35" t="n">
        <x:f>SUMPRODUCT($G$11:AL11,$BT$150:$CY$150)</x:f>
        <x:v>1510660.146849007</x:v>
      </x:c>
      <x:c r="AM28" s="35" t="n">
        <x:f>SUMPRODUCT($G$11:AM11,$BS$150:$CY$150)</x:f>
        <x:v>1510660.146849007</x:v>
      </x:c>
      <x:c r="AN28" s="35" t="n">
        <x:f>SUMPRODUCT($G$11:AN11,$BR$150:$CY$150)</x:f>
        <x:v>1510660.146849007</x:v>
      </x:c>
      <x:c r="AO28" s="35" t="n">
        <x:f>SUMPRODUCT($G$11:AO11,$BQ$150:$CY$150)</x:f>
        <x:v>1510660.146849007</x:v>
      </x:c>
      <x:c r="AP28" s="35" t="n">
        <x:f>SUMPRODUCT($G$11:AP11,$BP$150:$CY$150)</x:f>
        <x:v>1510660.146849007</x:v>
      </x:c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</x:row>
    <x:row r="29" ht="19" customHeight="1">
      <x:c r="A29" s="1"/>
      <x:c r="B29" s="1"/>
      <x:c r="C29" s="2" t="str">
        <x:v>Opening-book repayments</x:v>
      </x:c>
      <x:c r="D29" s="2"/>
      <x:c r="E29" s="35" t="n">
        <x:f>SUMIFS(G29:AP29,$G$6:$AP$6,"&lt;="&amp;'Assumptions'!$E$7)</x:f>
        <x:v>48580581.16339133</x:v>
      </x:c>
      <x:c r="F29" s="2"/>
      <x:c r="G29" s="35" t="n">
        <x:f>SUMPRODUCT($E$160:$E$219,$F$52:$F$111)</x:f>
        <x:v>29540889.901015334</x:v>
      </x:c>
      <x:c r="H29" s="35" t="n">
        <x:f>SUMPRODUCT($E$160:$E$219,$F$53:$F$112)</x:f>
        <x:v>11808967.96071993</x:v>
      </x:c>
      <x:c r="I29" s="35" t="n">
        <x:f>SUMPRODUCT($E$160:$E$219,$F$54:$F$113)</x:f>
        <x:v>4862025.675804373</x:v>
      </x:c>
      <x:c r="J29" s="35" t="n">
        <x:f>SUMPRODUCT($E$160:$E$219,$F$55:$F$114)</x:f>
        <x:v>1841644.0407379852</x:v>
      </x:c>
      <x:c r="K29" s="35" t="n">
        <x:f>SUMPRODUCT($E$160:$E$219,$F$56:$F$115)</x:f>
        <x:v>527053.5851137085</x:v>
      </x:c>
      <x:c r="L29" s="35" t="n">
        <x:f>SUMPRODUCT($E$160:$E$219,$F$57:$F$116)</x:f>
        <x:v>0</x:v>
      </x:c>
      <x:c r="M29" s="35" t="n">
        <x:f>SUMPRODUCT($E$160:$E$219,$F$58:$F$117)</x:f>
        <x:v>0</x:v>
      </x:c>
      <x:c r="N29" s="35" t="n">
        <x:f>SUMPRODUCT($E$160:$E$219,$F$59:$F$118)</x:f>
        <x:v>0</x:v>
      </x:c>
      <x:c r="O29" s="35" t="n">
        <x:f>SUMPRODUCT($E$160:$E$219,$F$60:$F$119)</x:f>
        <x:v>0</x:v>
      </x:c>
      <x:c r="P29" s="35" t="n">
        <x:f>SUMPRODUCT($E$160:$E$219,$F$61:$F$120)</x:f>
        <x:v>0</x:v>
      </x:c>
      <x:c r="Q29" s="35" t="n">
        <x:f>SUMPRODUCT($E$160:$E$219,$F$62:$F$121)</x:f>
        <x:v>0</x:v>
      </x:c>
      <x:c r="R29" s="35" t="n">
        <x:f>SUMPRODUCT($E$160:$E$219,$F$63:$F$122)</x:f>
        <x:v>0</x:v>
      </x:c>
      <x:c r="S29" s="35" t="n">
        <x:f>SUMPRODUCT($E$160:$E$219,$F$64:$F$123)</x:f>
        <x:v>0</x:v>
      </x:c>
      <x:c r="T29" s="35" t="n">
        <x:f>SUMPRODUCT($E$160:$E$219,$F$65:$F$124)</x:f>
        <x:v>0</x:v>
      </x:c>
      <x:c r="U29" s="35" t="n">
        <x:f>SUMPRODUCT($E$160:$E$219,$F$66:$F$125)</x:f>
        <x:v>0</x:v>
      </x:c>
      <x:c r="V29" s="35" t="n">
        <x:f>SUMPRODUCT($E$160:$E$219,$F$67:$F$126)</x:f>
        <x:v>0</x:v>
      </x:c>
      <x:c r="W29" s="35" t="n">
        <x:f>SUMPRODUCT($E$160:$E$219,$F$68:$F$127)</x:f>
        <x:v>0</x:v>
      </x:c>
      <x:c r="X29" s="35" t="n">
        <x:f>SUMPRODUCT($E$160:$E$219,$F$69:$F$128)</x:f>
        <x:v>0</x:v>
      </x:c>
      <x:c r="Y29" s="35" t="n">
        <x:f>SUMPRODUCT($E$160:$E$219,$F$70:$F$129)</x:f>
        <x:v>0</x:v>
      </x:c>
      <x:c r="Z29" s="35" t="n">
        <x:f>SUMPRODUCT($E$160:$E$219,$F$71:$F$130)</x:f>
        <x:v>0</x:v>
      </x:c>
      <x:c r="AA29" s="35" t="n">
        <x:f>SUMPRODUCT($E$160:$E$219,$F$72:$F$131)</x:f>
        <x:v>0</x:v>
      </x:c>
      <x:c r="AB29" s="35" t="n">
        <x:f>SUMPRODUCT($E$160:$E$219,$F$73:$F$132)</x:f>
        <x:v>0</x:v>
      </x:c>
      <x:c r="AC29" s="35" t="n">
        <x:f>SUMPRODUCT($E$160:$E$219,$F$74:$F$133)</x:f>
        <x:v>0</x:v>
      </x:c>
      <x:c r="AD29" s="35" t="n">
        <x:f>SUMPRODUCT($E$160:$E$219,$F$75:$F$134)</x:f>
        <x:v>0</x:v>
      </x:c>
      <x:c r="AE29" s="35" t="n">
        <x:f>SUMPRODUCT($E$160:$E$219,$F$76:$F$135)</x:f>
        <x:v>0</x:v>
      </x:c>
      <x:c r="AF29" s="35" t="n">
        <x:f>SUMPRODUCT($E$160:$E$219,$F$77:$F$136)</x:f>
        <x:v>0</x:v>
      </x:c>
      <x:c r="AG29" s="35" t="n">
        <x:f>SUMPRODUCT($E$160:$E$219,$F$78:$F$137)</x:f>
        <x:v>0</x:v>
      </x:c>
      <x:c r="AH29" s="35" t="n">
        <x:f>SUMPRODUCT($E$160:$E$219,$F$79:$F$138)</x:f>
        <x:v>0</x:v>
      </x:c>
      <x:c r="AI29" s="35" t="n">
        <x:f>SUMPRODUCT($E$160:$E$219,$F$80:$F$139)</x:f>
        <x:v>0</x:v>
      </x:c>
      <x:c r="AJ29" s="35" t="n">
        <x:f>SUMPRODUCT($E$160:$E$219,$F$81:$F$140)</x:f>
        <x:v>0</x:v>
      </x:c>
      <x:c r="AK29" s="35" t="n">
        <x:f>SUMPRODUCT($E$160:$E$219,$F$82:$F$141)</x:f>
        <x:v>0</x:v>
      </x:c>
      <x:c r="AL29" s="35" t="n">
        <x:f>SUMPRODUCT($E$160:$E$219,$F$83:$F$142)</x:f>
        <x:v>0</x:v>
      </x:c>
      <x:c r="AM29" s="35" t="n">
        <x:f>SUMPRODUCT($E$160:$E$219,$F$84:$F$143)</x:f>
        <x:v>0</x:v>
      </x:c>
      <x:c r="AN29" s="35" t="n">
        <x:f>SUMPRODUCT($E$160:$E$219,$F$85:$F$144)</x:f>
        <x:v>0</x:v>
      </x:c>
      <x:c r="AO29" s="35" t="n">
        <x:f>SUMPRODUCT($E$160:$E$219,$F$86:$F$145)</x:f>
        <x:v>0</x:v>
      </x:c>
      <x:c r="AP29" s="35" t="n">
        <x:f>SUMPRODUCT($E$160:$E$219,$F$87:$F$146)</x:f>
        <x:v>0</x:v>
      </x:c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</x:row>
    <x:row r="30" ht="19" customHeight="1">
      <x:c r="A30" s="1"/>
      <x:c r="B30" s="1"/>
      <x:c r="C30" s="2" t="str">
        <x:v>New-book repayments</x:v>
      </x:c>
      <x:c r="D30" s="2"/>
      <x:c r="E30" s="35" t="n">
        <x:f>SUMIFS(G30:AP30,$G$6:$AP$6,"&lt;="&amp;'Assumptions'!$E$7)</x:f>
        <x:v>61655682.07531387</x:v>
      </x:c>
      <x:c r="F30" s="2"/>
      <x:c r="G30" s="35" t="n">
        <x:f>SUMPRODUCT($G$11:G11,$CY$151:$CY$151)</x:f>
        <x:v>0</x:v>
      </x:c>
      <x:c r="H30" s="35" t="n">
        <x:f>SUMPRODUCT($G$11:H11,$CX$151:$CY$151)</x:f>
        <x:v>1242108.9343496996</x:v>
      </x:c>
      <x:c r="I30" s="35" t="n">
        <x:f>SUMPRODUCT($G$11:I11,$CW$151:$CY$151)</x:f>
        <x:v>1971544.7078860896</x:v>
      </x:c>
      <x:c r="J30" s="35" t="n">
        <x:f>SUMPRODUCT($G$11:J11,$CV$151:$CY$151)</x:f>
        <x:v>2403697.1686817985</x:v>
      </x:c>
      <x:c r="K30" s="35" t="n">
        <x:f>SUMPRODUCT($G$11:K11,$CU$151:$CY$151)</x:f>
        <x:v>2660874.054527412</x:v>
      </x:c>
      <x:c r="L30" s="35" t="n">
        <x:f>SUMPRODUCT($G$11:L11,$CT$151:$CY$151)</x:f>
        <x:v>2809339.8531509917</x:v>
      </x:c>
      <x:c r="M30" s="35" t="n">
        <x:f>SUMPRODUCT($G$11:M11,$CS$151:$CY$151)</x:f>
        <x:v>2809339.8531509917</x:v>
      </x:c>
      <x:c r="N30" s="35" t="n">
        <x:f>SUMPRODUCT($G$11:N11,$CR$151:$CY$151)</x:f>
        <x:v>2809339.8531509917</x:v>
      </x:c>
      <x:c r="O30" s="35" t="n">
        <x:f>SUMPRODUCT($G$11:O11,$CQ$151:$CY$151)</x:f>
        <x:v>2809339.8531509917</x:v>
      </x:c>
      <x:c r="P30" s="35" t="n">
        <x:f>SUMPRODUCT($G$11:P11,$CP$151:$CY$151)</x:f>
        <x:v>2809339.8531509917</x:v>
      </x:c>
      <x:c r="Q30" s="35" t="n">
        <x:f>SUMPRODUCT($G$11:Q11,$CO$151:$CY$151)</x:f>
        <x:v>2809339.8531509917</x:v>
      </x:c>
      <x:c r="R30" s="35" t="n">
        <x:f>SUMPRODUCT($G$11:R11,$CN$151:$CY$151)</x:f>
        <x:v>2809339.8531509917</x:v>
      </x:c>
      <x:c r="S30" s="35" t="n">
        <x:f>SUMPRODUCT($G$11:S11,$CM$151:$CY$151)</x:f>
        <x:v>2809339.8531509917</x:v>
      </x:c>
      <x:c r="T30" s="35" t="n">
        <x:f>SUMPRODUCT($G$11:T11,$CL$151:$CY$151)</x:f>
        <x:v>2809339.8531509917</x:v>
      </x:c>
      <x:c r="U30" s="35" t="n">
        <x:f>SUMPRODUCT($G$11:U11,$CK$151:$CY$151)</x:f>
        <x:v>2809339.8531509917</x:v>
      </x:c>
      <x:c r="V30" s="35" t="n">
        <x:f>SUMPRODUCT($G$11:V11,$CJ$151:$CY$151)</x:f>
        <x:v>2809339.8531509917</x:v>
      </x:c>
      <x:c r="W30" s="35" t="n">
        <x:f>SUMPRODUCT($G$11:W11,$CI$151:$CY$151)</x:f>
        <x:v>2809339.8531509917</x:v>
      </x:c>
      <x:c r="X30" s="35" t="n">
        <x:f>SUMPRODUCT($G$11:X11,$CH$151:$CY$151)</x:f>
        <x:v>2809339.8531509917</x:v>
      </x:c>
      <x:c r="Y30" s="35" t="n">
        <x:f>SUMPRODUCT($G$11:Y11,$CG$151:$CY$151)</x:f>
        <x:v>2809339.8531509917</x:v>
      </x:c>
      <x:c r="Z30" s="35" t="n">
        <x:f>SUMPRODUCT($G$11:Z11,$CF$151:$CY$151)</x:f>
        <x:v>2809339.8531509917</x:v>
      </x:c>
      <x:c r="AA30" s="35" t="n">
        <x:f>SUMPRODUCT($G$11:AA11,$CE$151:$CY$151)</x:f>
        <x:v>2809339.8531509917</x:v>
      </x:c>
      <x:c r="AB30" s="35" t="n">
        <x:f>SUMPRODUCT($G$11:AB11,$CD$151:$CY$151)</x:f>
        <x:v>2809339.8531509917</x:v>
      </x:c>
      <x:c r="AC30" s="35" t="n">
        <x:f>SUMPRODUCT($G$11:AC11,$CC$151:$CY$151)</x:f>
        <x:v>2809339.8531509917</x:v>
      </x:c>
      <x:c r="AD30" s="35" t="n">
        <x:f>SUMPRODUCT($G$11:AD11,$CB$151:$CY$151)</x:f>
        <x:v>2809339.8531509917</x:v>
      </x:c>
      <x:c r="AE30" s="35" t="n">
        <x:f>SUMPRODUCT($G$11:AE11,$CA$151:$CY$151)</x:f>
        <x:v>2809339.8531509917</x:v>
      </x:c>
      <x:c r="AF30" s="35" t="n">
        <x:f>SUMPRODUCT($G$11:AF11,$BZ$151:$CY$151)</x:f>
        <x:v>2809339.8531509917</x:v>
      </x:c>
      <x:c r="AG30" s="35" t="n">
        <x:f>SUMPRODUCT($G$11:AG11,$BY$151:$CY$151)</x:f>
        <x:v>2809339.8531509917</x:v>
      </x:c>
      <x:c r="AH30" s="35" t="n">
        <x:f>SUMPRODUCT($G$11:AH11,$BX$151:$CY$151)</x:f>
        <x:v>2809339.8531509917</x:v>
      </x:c>
      <x:c r="AI30" s="35" t="n">
        <x:f>SUMPRODUCT($G$11:AI11,$BW$151:$CY$151)</x:f>
        <x:v>2809339.8531509917</x:v>
      </x:c>
      <x:c r="AJ30" s="35" t="n">
        <x:f>SUMPRODUCT($G$11:AJ11,$BV$151:$CY$151)</x:f>
        <x:v>2809339.8531509917</x:v>
      </x:c>
      <x:c r="AK30" s="35" t="n">
        <x:f>SUMPRODUCT($G$11:AK11,$BU$151:$CY$151)</x:f>
        <x:v>2809339.8531509917</x:v>
      </x:c>
      <x:c r="AL30" s="35" t="n">
        <x:f>SUMPRODUCT($G$11:AL11,$BT$151:$CY$151)</x:f>
        <x:v>2809339.8531509917</x:v>
      </x:c>
      <x:c r="AM30" s="35" t="n">
        <x:f>SUMPRODUCT($G$11:AM11,$BS$151:$CY$151)</x:f>
        <x:v>2809339.8531509917</x:v>
      </x:c>
      <x:c r="AN30" s="35" t="n">
        <x:f>SUMPRODUCT($G$11:AN11,$BR$151:$CY$151)</x:f>
        <x:v>2809339.8531509917</x:v>
      </x:c>
      <x:c r="AO30" s="35" t="n">
        <x:f>SUMPRODUCT($G$11:AO11,$BQ$151:$CY$151)</x:f>
        <x:v>2809339.8531509917</x:v>
      </x:c>
      <x:c r="AP30" s="35" t="n">
        <x:f>SUMPRODUCT($G$11:AP11,$BP$151:$CY$151)</x:f>
        <x:v>2809339.8531509917</x:v>
      </x:c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</x:row>
    <x:row r="31" ht="19" customHeight="1">
      <x:c r="A31" s="1"/>
      <x:c r="B31" s="1"/>
      <x:c r="C31" s="2"/>
      <x:c r="D31" s="2"/>
      <x:c r="E31" s="35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</x:row>
    <x:row r="32" ht="19" customHeight="1">
      <x:c r="A32" s="1"/>
      <x:c r="B32" s="1"/>
      <x:c r="C32" s="2" t="str">
        <x:v>Opening-book revenue</x:v>
      </x:c>
      <x:c r="D32" s="2"/>
      <x:c r="E32" s="35" t="n">
        <x:f>SUMIFS(G32:AP32,$G$6:$AP$6,"&lt;="&amp;'Assumptions'!$E$7)</x:f>
        <x:v>4351534.462963114</x:v>
      </x:c>
      <x:c r="F32" s="2"/>
      <x:c r="G32" s="35" t="n">
        <x:f>($E$44-G27)*G23/12</x:f>
        <x:v>2737685.6243885863</x:v>
      </x:c>
      <x:c r="H32" s="35" t="n">
        <x:f>(G34-H27)*H23/12</x:f>
        <x:v>1069291.6664116657</x:v>
      </x:c>
      <x:c r="I32" s="35" t="n">
        <x:f>(H34-I27)*I23/12</x:f>
        <x:v>396728.44308377366</x:v>
      </x:c>
      <x:c r="J32" s="35" t="n">
        <x:f>(I34-J27)*J23/12</x:f>
        <x:v>123672.10642804323</x:v>
      </x:c>
      <x:c r="K32" s="35" t="n">
        <x:f>(J34-K27)*K23/12</x:f>
        <x:v>24156.622651045225</x:v>
      </x:c>
      <x:c r="L32" s="35" t="n">
        <x:f>(K34-L27)*L23/12</x:f>
        <x:v>2.5077800576885543e-10</x:v>
      </x:c>
      <x:c r="M32" s="35" t="n">
        <x:f>(L34-M27)*M23/12</x:f>
        <x:v>2.5077800576885543e-10</x:v>
      </x:c>
      <x:c r="N32" s="35" t="n">
        <x:f>(M34-N27)*N23/12</x:f>
        <x:v>2.5077800576885543e-10</x:v>
      </x:c>
      <x:c r="O32" s="35" t="n">
        <x:f>(N34-O27)*O23/12</x:f>
        <x:v>2.5077800576885543e-10</x:v>
      </x:c>
      <x:c r="P32" s="35" t="n">
        <x:f>(O34-P27)*P23/12</x:f>
        <x:v>2.5077800576885543e-10</x:v>
      </x:c>
      <x:c r="Q32" s="35" t="n">
        <x:f>(P34-Q27)*Q23/12</x:f>
        <x:v>2.5077800576885543e-10</x:v>
      </x:c>
      <x:c r="R32" s="35" t="n">
        <x:f>(Q34-R27)*R23/12</x:f>
        <x:v>2.5077800576885543e-10</x:v>
      </x:c>
      <x:c r="S32" s="35" t="n">
        <x:f>(R34-S27)*S23/12</x:f>
        <x:v>2.5077800576885543e-10</x:v>
      </x:c>
      <x:c r="T32" s="35" t="n">
        <x:f>(S34-T27)*T23/12</x:f>
        <x:v>2.5077800576885543e-10</x:v>
      </x:c>
      <x:c r="U32" s="35" t="n">
        <x:f>(T34-U27)*U23/12</x:f>
        <x:v>2.5077800576885543e-10</x:v>
      </x:c>
      <x:c r="V32" s="35" t="n">
        <x:f>(U34-V27)*V23/12</x:f>
        <x:v>2.5077800576885543e-10</x:v>
      </x:c>
      <x:c r="W32" s="35" t="n">
        <x:f>(V34-W27)*W23/12</x:f>
        <x:v>2.5077800576885543e-10</x:v>
      </x:c>
      <x:c r="X32" s="35" t="n">
        <x:f>(W34-X27)*X23/12</x:f>
        <x:v>2.5077800576885543e-10</x:v>
      </x:c>
      <x:c r="Y32" s="35" t="n">
        <x:f>(X34-Y27)*Y23/12</x:f>
        <x:v>2.5077800576885543e-10</x:v>
      </x:c>
      <x:c r="Z32" s="35" t="n">
        <x:f>(Y34-Z27)*Z23/12</x:f>
        <x:v>2.5077800576885543e-10</x:v>
      </x:c>
      <x:c r="AA32" s="35" t="n">
        <x:f>(Z34-AA27)*AA23/12</x:f>
        <x:v>2.5077800576885543e-10</x:v>
      </x:c>
      <x:c r="AB32" s="35" t="n">
        <x:f>(AA34-AB27)*AB23/12</x:f>
        <x:v>2.5077800576885543e-10</x:v>
      </x:c>
      <x:c r="AC32" s="35" t="n">
        <x:f>(AB34-AC27)*AC23/12</x:f>
        <x:v>2.5077800576885543e-10</x:v>
      </x:c>
      <x:c r="AD32" s="35" t="n">
        <x:f>(AC34-AD27)*AD23/12</x:f>
        <x:v>2.5077800576885543e-10</x:v>
      </x:c>
      <x:c r="AE32" s="35" t="n">
        <x:f>(AD34-AE27)*AE23/12</x:f>
        <x:v>2.5077800576885543e-10</x:v>
      </x:c>
      <x:c r="AF32" s="35" t="n">
        <x:f>(AE34-AF27)*AF23/12</x:f>
        <x:v>2.5077800576885543e-10</x:v>
      </x:c>
      <x:c r="AG32" s="35" t="n">
        <x:f>(AF34-AG27)*AG23/12</x:f>
        <x:v>2.5077800576885543e-10</x:v>
      </x:c>
      <x:c r="AH32" s="35" t="n">
        <x:f>(AG34-AH27)*AH23/12</x:f>
        <x:v>2.5077800576885543e-10</x:v>
      </x:c>
      <x:c r="AI32" s="35" t="n">
        <x:f>(AH34-AI27)*AI23/12</x:f>
        <x:v>2.5077800576885543e-10</x:v>
      </x:c>
      <x:c r="AJ32" s="35" t="n">
        <x:f>(AI34-AJ27)*AJ23/12</x:f>
        <x:v>2.5077800576885543e-10</x:v>
      </x:c>
      <x:c r="AK32" s="35" t="n">
        <x:f>(AJ34-AK27)*AK23/12</x:f>
        <x:v>2.5077800576885543e-10</x:v>
      </x:c>
      <x:c r="AL32" s="35" t="n">
        <x:f>(AK34-AL27)*AL23/12</x:f>
        <x:v>2.5077800576885543e-10</x:v>
      </x:c>
      <x:c r="AM32" s="35" t="n">
        <x:f>(AL34-AM27)*AM23/12</x:f>
        <x:v>2.5077800576885543e-10</x:v>
      </x:c>
      <x:c r="AN32" s="35" t="n">
        <x:f>(AM34-AN27)*AN23/12</x:f>
        <x:v>2.5077800576885543e-10</x:v>
      </x:c>
      <x:c r="AO32" s="35" t="n">
        <x:f>(AN34-AO27)*AO23/12</x:f>
        <x:v>2.5077800576885543e-10</x:v>
      </x:c>
      <x:c r="AP32" s="35" t="n">
        <x:f>(AO34-AP27)*AP23/12</x:f>
        <x:v>2.5077800576885543e-10</x:v>
      </x:c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</x:row>
    <x:row r="33" ht="19" customHeight="1">
      <x:c r="A33" s="1"/>
      <x:c r="B33" s="1"/>
      <x:c r="C33" s="2" t="str">
        <x:v>New-book revenue</x:v>
      </x:c>
      <x:c r="D33" s="2"/>
      <x:c r="E33" s="35" t="n">
        <x:f>SUMIFS(G33:AP33,$G$6:$AP$6,"&lt;="&amp;'Assumptions'!$E$7)</x:f>
        <x:v>7586429.218291373</x:v>
      </x:c>
      <x:c r="F33" s="2"/>
      <x:c r="G33" s="35" t="n">
        <x:f>G24-G32</x:f>
        <x:v>0</x:v>
      </x:c>
      <x:c r="H33" s="35" t="n">
        <x:f>H24-H32</x:f>
        <x:v>169302.57787249796</x:v>
      </x:c>
      <x:c r="I33" s="35" t="n">
        <x:f>I24-I32</x:f>
        <x:v>263434.9784789342</x:v>
      </x:c>
      <x:c r="J33" s="35" t="n">
        <x:f>J24-J32</x:f>
        <x:v>312735.9449444664</x:v>
      </x:c>
      <x:c r="K33" s="35" t="n">
        <x:f>K24-K32</x:f>
        <x:v>335583.3375347056</x:v>
      </x:c>
      <x:c r="L33" s="35" t="n">
        <x:f>L24-L32</x:f>
        <x:v>342388.01997161953</x:v>
      </x:c>
      <x:c r="M33" s="35" t="n">
        <x:f>M24-M32</x:f>
        <x:v>342388.0199716196</x:v>
      </x:c>
      <x:c r="N33" s="35" t="n">
        <x:f>N24-N32</x:f>
        <x:v>342388.0199716196</x:v>
      </x:c>
      <x:c r="O33" s="35" t="n">
        <x:f>O24-O32</x:f>
        <x:v>342388.0199716196</x:v>
      </x:c>
      <x:c r="P33" s="35" t="n">
        <x:f>P24-P32</x:f>
        <x:v>342388.0199716196</x:v>
      </x:c>
      <x:c r="Q33" s="35" t="n">
        <x:f>Q24-Q32</x:f>
        <x:v>342388.0199716196</x:v>
      </x:c>
      <x:c r="R33" s="35" t="n">
        <x:f>R24-R32</x:f>
        <x:v>342388.0199716196</x:v>
      </x:c>
      <x:c r="S33" s="35" t="n">
        <x:f>S24-S32</x:f>
        <x:v>342388.0199716196</x:v>
      </x:c>
      <x:c r="T33" s="35" t="n">
        <x:f>T24-T32</x:f>
        <x:v>342388.0199716196</x:v>
      </x:c>
      <x:c r="U33" s="35" t="n">
        <x:f>U24-U32</x:f>
        <x:v>342388.0199716196</x:v>
      </x:c>
      <x:c r="V33" s="35" t="n">
        <x:f>V24-V32</x:f>
        <x:v>342388.0199716196</x:v>
      </x:c>
      <x:c r="W33" s="35" t="n">
        <x:f>W24-W32</x:f>
        <x:v>342388.0199716196</x:v>
      </x:c>
      <x:c r="X33" s="35" t="n">
        <x:f>X24-X32</x:f>
        <x:v>342388.0199716196</x:v>
      </x:c>
      <x:c r="Y33" s="35" t="n">
        <x:f>Y24-Y32</x:f>
        <x:v>342388.0199716196</x:v>
      </x:c>
      <x:c r="Z33" s="35" t="n">
        <x:f>Z24-Z32</x:f>
        <x:v>342388.0199716196</x:v>
      </x:c>
      <x:c r="AA33" s="35" t="n">
        <x:f>AA24-AA32</x:f>
        <x:v>342388.0199716196</x:v>
      </x:c>
      <x:c r="AB33" s="35" t="n">
        <x:f>AB24-AB32</x:f>
        <x:v>342388.0199716196</x:v>
      </x:c>
      <x:c r="AC33" s="35" t="n">
        <x:f>AC24-AC32</x:f>
        <x:v>342388.0199716196</x:v>
      </x:c>
      <x:c r="AD33" s="35" t="n">
        <x:f>AD24-AD32</x:f>
        <x:v>342388.0199716196</x:v>
      </x:c>
      <x:c r="AE33" s="35" t="n">
        <x:f>AE24-AE32</x:f>
        <x:v>342388.0199716196</x:v>
      </x:c>
      <x:c r="AF33" s="35" t="n">
        <x:f>AF24-AF32</x:f>
        <x:v>342388.0199716196</x:v>
      </x:c>
      <x:c r="AG33" s="35" t="n">
        <x:f>AG24-AG32</x:f>
        <x:v>342388.0199716196</x:v>
      </x:c>
      <x:c r="AH33" s="35" t="n">
        <x:f>AH24-AH32</x:f>
        <x:v>342388.0199716196</x:v>
      </x:c>
      <x:c r="AI33" s="35" t="n">
        <x:f>AI24-AI32</x:f>
        <x:v>342388.0199716196</x:v>
      </x:c>
      <x:c r="AJ33" s="35" t="n">
        <x:f>AJ24-AJ32</x:f>
        <x:v>342388.0199716196</x:v>
      </x:c>
      <x:c r="AK33" s="35" t="n">
        <x:f>AK24-AK32</x:f>
        <x:v>342388.0199716196</x:v>
      </x:c>
      <x:c r="AL33" s="35" t="n">
        <x:f>AL24-AL32</x:f>
        <x:v>342388.0199716196</x:v>
      </x:c>
      <x:c r="AM33" s="35" t="n">
        <x:f>AM24-AM32</x:f>
        <x:v>342388.0199716196</x:v>
      </x:c>
      <x:c r="AN33" s="35" t="n">
        <x:f>AN24-AN32</x:f>
        <x:v>342388.0199716196</x:v>
      </x:c>
      <x:c r="AO33" s="35" t="n">
        <x:f>AO24-AO32</x:f>
        <x:v>342388.0199716196</x:v>
      </x:c>
      <x:c r="AP33" s="35" t="n">
        <x:f>AP24-AP32</x:f>
        <x:v>342388.0199716196</x:v>
      </x:c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</x:row>
    <x:row r="34" ht="19" customHeight="1">
      <x:c r="A34" s="1"/>
      <x:c r="B34" s="1"/>
      <x:c r="C34" s="2" t="str">
        <x:v>Opening-book ending CLAB</x:v>
      </x:c>
      <x:c r="D34" s="2"/>
      <x:c r="E34" s="35" t="n">
        <x:f>INDEX(G34:AP34,1,'Assumptions'!$E$7)</x:f>
        <x:v>5.471520125865936e-9</x:v>
      </x:c>
      <x:c r="F34" s="2"/>
      <x:c r="G34" s="35" t="n">
        <x:f>$E$44-G27-G29</x:f>
        <x:v>30190432.81291745</x:v>
      </x:c>
      <x:c r="H34" s="35" t="n">
        <x:f>G34-H27-H29</x:f>
        <x:v>11521032.033716412</x:v>
      </x:c>
      <x:c r="I34" s="35" t="n">
        <x:f>H34-I27-I29</x:f>
        <x:v>3793867.6278415974</x:v>
      </x:c>
      <x:c r="J34" s="35" t="n">
        <x:f>I34-J27-J29</x:f>
        <x:v>856656.4631465944</x:v>
      </x:c>
      <x:c r="K34" s="35" t="n">
        <x:f>J34-K27-K29</x:f>
        <x:v>5.471520125865936e-9</x:v>
      </x:c>
      <x:c r="L34" s="35" t="n">
        <x:f>K34-L27-L29</x:f>
        <x:v>5.471520125865936e-9</x:v>
      </x:c>
      <x:c r="M34" s="35" t="n">
        <x:f>L34-M27-M29</x:f>
        <x:v>5.471520125865936e-9</x:v>
      </x:c>
      <x:c r="N34" s="35" t="n">
        <x:f>M34-N27-N29</x:f>
        <x:v>5.471520125865936e-9</x:v>
      </x:c>
      <x:c r="O34" s="35" t="n">
        <x:f>N34-O27-O29</x:f>
        <x:v>5.471520125865936e-9</x:v>
      </x:c>
      <x:c r="P34" s="35" t="n">
        <x:f>O34-P27-P29</x:f>
        <x:v>5.471520125865936e-9</x:v>
      </x:c>
      <x:c r="Q34" s="35" t="n">
        <x:f>P34-Q27-Q29</x:f>
        <x:v>5.471520125865936e-9</x:v>
      </x:c>
      <x:c r="R34" s="35" t="n">
        <x:f>Q34-R27-R29</x:f>
        <x:v>5.471520125865936e-9</x:v>
      </x:c>
      <x:c r="S34" s="35" t="n">
        <x:f>R34-S27-S29</x:f>
        <x:v>5.471520125865936e-9</x:v>
      </x:c>
      <x:c r="T34" s="35" t="n">
        <x:f>S34-T27-T29</x:f>
        <x:v>5.471520125865936e-9</x:v>
      </x:c>
      <x:c r="U34" s="35" t="n">
        <x:f>T34-U27-U29</x:f>
        <x:v>5.471520125865936e-9</x:v>
      </x:c>
      <x:c r="V34" s="35" t="n">
        <x:f>U34-V27-V29</x:f>
        <x:v>5.471520125865936e-9</x:v>
      </x:c>
      <x:c r="W34" s="35" t="n">
        <x:f>V34-W27-W29</x:f>
        <x:v>5.471520125865936e-9</x:v>
      </x:c>
      <x:c r="X34" s="35" t="n">
        <x:f>W34-X27-X29</x:f>
        <x:v>5.471520125865936e-9</x:v>
      </x:c>
      <x:c r="Y34" s="35" t="n">
        <x:f>X34-Y27-Y29</x:f>
        <x:v>5.471520125865936e-9</x:v>
      </x:c>
      <x:c r="Z34" s="35" t="n">
        <x:f>Y34-Z27-Z29</x:f>
        <x:v>5.471520125865936e-9</x:v>
      </x:c>
      <x:c r="AA34" s="35" t="n">
        <x:f>Z34-AA27-AA29</x:f>
        <x:v>5.471520125865936e-9</x:v>
      </x:c>
      <x:c r="AB34" s="35" t="n">
        <x:f>AA34-AB27-AB29</x:f>
        <x:v>5.471520125865936e-9</x:v>
      </x:c>
      <x:c r="AC34" s="35" t="n">
        <x:f>AB34-AC27-AC29</x:f>
        <x:v>5.471520125865936e-9</x:v>
      </x:c>
      <x:c r="AD34" s="35" t="n">
        <x:f>AC34-AD27-AD29</x:f>
        <x:v>5.471520125865936e-9</x:v>
      </x:c>
      <x:c r="AE34" s="35" t="n">
        <x:f>AD34-AE27-AE29</x:f>
        <x:v>5.471520125865936e-9</x:v>
      </x:c>
      <x:c r="AF34" s="35" t="n">
        <x:f>AE34-AF27-AF29</x:f>
        <x:v>5.471520125865936e-9</x:v>
      </x:c>
      <x:c r="AG34" s="35" t="n">
        <x:f>AF34-AG27-AG29</x:f>
        <x:v>5.471520125865936e-9</x:v>
      </x:c>
      <x:c r="AH34" s="35" t="n">
        <x:f>AG34-AH27-AH29</x:f>
        <x:v>5.471520125865936e-9</x:v>
      </x:c>
      <x:c r="AI34" s="35" t="n">
        <x:f>AH34-AI27-AI29</x:f>
        <x:v>5.471520125865936e-9</x:v>
      </x:c>
      <x:c r="AJ34" s="35" t="n">
        <x:f>AI34-AJ27-AJ29</x:f>
        <x:v>5.471520125865936e-9</x:v>
      </x:c>
      <x:c r="AK34" s="35" t="n">
        <x:f>AJ34-AK27-AK29</x:f>
        <x:v>5.471520125865936e-9</x:v>
      </x:c>
      <x:c r="AL34" s="35" t="n">
        <x:f>AK34-AL27-AL29</x:f>
        <x:v>5.471520125865936e-9</x:v>
      </x:c>
      <x:c r="AM34" s="35" t="n">
        <x:f>AL34-AM27-AM29</x:f>
        <x:v>5.471520125865936e-9</x:v>
      </x:c>
      <x:c r="AN34" s="35" t="n">
        <x:f>AM34-AN27-AN29</x:f>
        <x:v>5.471520125865936e-9</x:v>
      </x:c>
      <x:c r="AO34" s="35" t="n">
        <x:f>AN34-AO27-AO29</x:f>
        <x:v>5.471520125865936e-9</x:v>
      </x:c>
      <x:c r="AP34" s="35" t="n">
        <x:f>AO34-AP27-AP29</x:f>
        <x:v>5.471520125865936e-9</x:v>
      </x:c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</x:row>
    <x:row r="35" ht="19" customHeight="1">
      <x:c r="A35" s="1"/>
      <x:c r="B35" s="1"/>
      <x:c r="C35" s="2" t="str">
        <x:v>Gross CLAB check ($)</x:v>
      </x:c>
      <x:c r="D35" s="2"/>
      <x:c r="E35" s="35"/>
      <x:c r="F35" s="2"/>
      <x:c r="G35" s="36" t="n">
        <x:f>G13+G11-G14-G15-G16</x:f>
        <x:v>0</x:v>
      </x:c>
      <x:c r="H35" s="36" t="n">
        <x:f>H13+H11-H14-H15-H16</x:f>
        <x:v>0</x:v>
      </x:c>
      <x:c r="I35" s="36" t="n">
        <x:f>I13+I11-I14-I15-I16</x:f>
        <x:v>0</x:v>
      </x:c>
      <x:c r="J35" s="36" t="n">
        <x:f>J13+J11-J14-J15-J16</x:f>
        <x:v>0</x:v>
      </x:c>
      <x:c r="K35" s="36" t="n">
        <x:f>K13+K11-K14-K15-K16</x:f>
        <x:v>0</x:v>
      </x:c>
      <x:c r="L35" s="36" t="n">
        <x:f>L13+L11-L14-L15-L16</x:f>
        <x:v>0</x:v>
      </x:c>
      <x:c r="M35" s="36" t="n">
        <x:f>M13+M11-M14-M15-M16</x:f>
        <x:v>0</x:v>
      </x:c>
      <x:c r="N35" s="36" t="n">
        <x:f>N13+N11-N14-N15-N16</x:f>
        <x:v>0</x:v>
      </x:c>
      <x:c r="O35" s="36" t="n">
        <x:f>O13+O11-O14-O15-O16</x:f>
        <x:v>0</x:v>
      </x:c>
      <x:c r="P35" s="36" t="n">
        <x:f>P13+P11-P14-P15-P16</x:f>
        <x:v>0</x:v>
      </x:c>
      <x:c r="Q35" s="36" t="n">
        <x:f>Q13+Q11-Q14-Q15-Q16</x:f>
        <x:v>0</x:v>
      </x:c>
      <x:c r="R35" s="36" t="n">
        <x:f>R13+R11-R14-R15-R16</x:f>
        <x:v>0</x:v>
      </x:c>
      <x:c r="S35" s="36" t="n">
        <x:f>S13+S11-S14-S15-S16</x:f>
        <x:v>0</x:v>
      </x:c>
      <x:c r="T35" s="36" t="n">
        <x:f>T13+T11-T14-T15-T16</x:f>
        <x:v>0</x:v>
      </x:c>
      <x:c r="U35" s="36" t="n">
        <x:f>U13+U11-U14-U15-U16</x:f>
        <x:v>0</x:v>
      </x:c>
      <x:c r="V35" s="36" t="n">
        <x:f>V13+V11-V14-V15-V16</x:f>
        <x:v>0</x:v>
      </x:c>
      <x:c r="W35" s="36" t="n">
        <x:f>W13+W11-W14-W15-W16</x:f>
        <x:v>0</x:v>
      </x:c>
      <x:c r="X35" s="36" t="n">
        <x:f>X13+X11-X14-X15-X16</x:f>
        <x:v>0</x:v>
      </x:c>
      <x:c r="Y35" s="36" t="n">
        <x:f>Y13+Y11-Y14-Y15-Y16</x:f>
        <x:v>0</x:v>
      </x:c>
      <x:c r="Z35" s="36" t="n">
        <x:f>Z13+Z11-Z14-Z15-Z16</x:f>
        <x:v>0</x:v>
      </x:c>
      <x:c r="AA35" s="36" t="n">
        <x:f>AA13+AA11-AA14-AA15-AA16</x:f>
        <x:v>0</x:v>
      </x:c>
      <x:c r="AB35" s="36" t="n">
        <x:f>AB13+AB11-AB14-AB15-AB16</x:f>
        <x:v>0</x:v>
      </x:c>
      <x:c r="AC35" s="36" t="n">
        <x:f>AC13+AC11-AC14-AC15-AC16</x:f>
        <x:v>0</x:v>
      </x:c>
      <x:c r="AD35" s="36" t="n">
        <x:f>AD13+AD11-AD14-AD15-AD16</x:f>
        <x:v>0</x:v>
      </x:c>
      <x:c r="AE35" s="36" t="n">
        <x:f>AE13+AE11-AE14-AE15-AE16</x:f>
        <x:v>0</x:v>
      </x:c>
      <x:c r="AF35" s="36" t="n">
        <x:f>AF13+AF11-AF14-AF15-AF16</x:f>
        <x:v>0</x:v>
      </x:c>
      <x:c r="AG35" s="36" t="n">
        <x:f>AG13+AG11-AG14-AG15-AG16</x:f>
        <x:v>0</x:v>
      </x:c>
      <x:c r="AH35" s="36" t="n">
        <x:f>AH13+AH11-AH14-AH15-AH16</x:f>
        <x:v>0</x:v>
      </x:c>
      <x:c r="AI35" s="36" t="n">
        <x:f>AI13+AI11-AI14-AI15-AI16</x:f>
        <x:v>0</x:v>
      </x:c>
      <x:c r="AJ35" s="36" t="n">
        <x:f>AJ13+AJ11-AJ14-AJ15-AJ16</x:f>
        <x:v>0</x:v>
      </x:c>
      <x:c r="AK35" s="36" t="n">
        <x:f>AK13+AK11-AK14-AK15-AK16</x:f>
        <x:v>0</x:v>
      </x:c>
      <x:c r="AL35" s="36" t="n">
        <x:f>AL13+AL11-AL14-AL15-AL16</x:f>
        <x:v>0</x:v>
      </x:c>
      <x:c r="AM35" s="36" t="n">
        <x:f>AM13+AM11-AM14-AM15-AM16</x:f>
        <x:v>0</x:v>
      </x:c>
      <x:c r="AN35" s="36" t="n">
        <x:f>AN13+AN11-AN14-AN15-AN16</x:f>
        <x:v>0</x:v>
      </x:c>
      <x:c r="AO35" s="36" t="n">
        <x:f>AO13+AO11-AO14-AO15-AO16</x:f>
        <x:v>0</x:v>
      </x:c>
      <x:c r="AP35" s="36" t="n">
        <x:f>AP13+AP11-AP14-AP15-AP16</x:f>
        <x:v>0</x:v>
      </x:c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</x:row>
    <x:row r="36" ht="19" customHeight="1">
      <x:c r="A36" s="1"/>
      <x:c r="B36" s="1"/>
      <x:c r="C36" s="2" t="str">
        <x:v>Reserve check ($)</x:v>
      </x:c>
      <x:c r="D36" s="2"/>
      <x:c r="E36" s="35"/>
      <x:c r="F36" s="2"/>
      <x:c r="G36" s="36" t="n">
        <x:f>G18+G19-G15-G20</x:f>
        <x:v>0</x:v>
      </x:c>
      <x:c r="H36" s="36" t="n">
        <x:f>H18+H19-H15-H20</x:f>
        <x:v>0</x:v>
      </x:c>
      <x:c r="I36" s="36" t="n">
        <x:f>I18+I19-I15-I20</x:f>
        <x:v>0</x:v>
      </x:c>
      <x:c r="J36" s="36" t="n">
        <x:f>J18+J19-J15-J20</x:f>
        <x:v>0</x:v>
      </x:c>
      <x:c r="K36" s="36" t="n">
        <x:f>K18+K19-K15-K20</x:f>
        <x:v>0</x:v>
      </x:c>
      <x:c r="L36" s="36" t="n">
        <x:f>L18+L19-L15-L20</x:f>
        <x:v>0</x:v>
      </x:c>
      <x:c r="M36" s="36" t="n">
        <x:f>M18+M19-M15-M20</x:f>
        <x:v>0</x:v>
      </x:c>
      <x:c r="N36" s="36" t="n">
        <x:f>N18+N19-N15-N20</x:f>
        <x:v>0</x:v>
      </x:c>
      <x:c r="O36" s="36" t="n">
        <x:f>O18+O19-O15-O20</x:f>
        <x:v>0</x:v>
      </x:c>
      <x:c r="P36" s="36" t="n">
        <x:f>P18+P19-P15-P20</x:f>
        <x:v>0</x:v>
      </x:c>
      <x:c r="Q36" s="36" t="n">
        <x:f>Q18+Q19-Q15-Q20</x:f>
        <x:v>0</x:v>
      </x:c>
      <x:c r="R36" s="36" t="n">
        <x:f>R18+R19-R15-R20</x:f>
        <x:v>0</x:v>
      </x:c>
      <x:c r="S36" s="36" t="n">
        <x:f>S18+S19-S15-S20</x:f>
        <x:v>0</x:v>
      </x:c>
      <x:c r="T36" s="36" t="n">
        <x:f>T18+T19-T15-T20</x:f>
        <x:v>0</x:v>
      </x:c>
      <x:c r="U36" s="36" t="n">
        <x:f>U18+U19-U15-U20</x:f>
        <x:v>0</x:v>
      </x:c>
      <x:c r="V36" s="36" t="n">
        <x:f>V18+V19-V15-V20</x:f>
        <x:v>0</x:v>
      </x:c>
      <x:c r="W36" s="36" t="n">
        <x:f>W18+W19-W15-W20</x:f>
        <x:v>0</x:v>
      </x:c>
      <x:c r="X36" s="36" t="n">
        <x:f>X18+X19-X15-X20</x:f>
        <x:v>0</x:v>
      </x:c>
      <x:c r="Y36" s="36" t="n">
        <x:f>Y18+Y19-Y15-Y20</x:f>
        <x:v>0</x:v>
      </x:c>
      <x:c r="Z36" s="36" t="n">
        <x:f>Z18+Z19-Z15-Z20</x:f>
        <x:v>0</x:v>
      </x:c>
      <x:c r="AA36" s="36" t="n">
        <x:f>AA18+AA19-AA15-AA20</x:f>
        <x:v>0</x:v>
      </x:c>
      <x:c r="AB36" s="36" t="n">
        <x:f>AB18+AB19-AB15-AB20</x:f>
        <x:v>0</x:v>
      </x:c>
      <x:c r="AC36" s="36" t="n">
        <x:f>AC18+AC19-AC15-AC20</x:f>
        <x:v>0</x:v>
      </x:c>
      <x:c r="AD36" s="36" t="n">
        <x:f>AD18+AD19-AD15-AD20</x:f>
        <x:v>0</x:v>
      </x:c>
      <x:c r="AE36" s="36" t="n">
        <x:f>AE18+AE19-AE15-AE20</x:f>
        <x:v>0</x:v>
      </x:c>
      <x:c r="AF36" s="36" t="n">
        <x:f>AF18+AF19-AF15-AF20</x:f>
        <x:v>0</x:v>
      </x:c>
      <x:c r="AG36" s="36" t="n">
        <x:f>AG18+AG19-AG15-AG20</x:f>
        <x:v>0</x:v>
      </x:c>
      <x:c r="AH36" s="36" t="n">
        <x:f>AH18+AH19-AH15-AH20</x:f>
        <x:v>0</x:v>
      </x:c>
      <x:c r="AI36" s="36" t="n">
        <x:f>AI18+AI19-AI15-AI20</x:f>
        <x:v>0</x:v>
      </x:c>
      <x:c r="AJ36" s="36" t="n">
        <x:f>AJ18+AJ19-AJ15-AJ20</x:f>
        <x:v>0</x:v>
      </x:c>
      <x:c r="AK36" s="36" t="n">
        <x:f>AK18+AK19-AK15-AK20</x:f>
        <x:v>0</x:v>
      </x:c>
      <x:c r="AL36" s="36" t="n">
        <x:f>AL18+AL19-AL15-AL20</x:f>
        <x:v>0</x:v>
      </x:c>
      <x:c r="AM36" s="36" t="n">
        <x:f>AM18+AM19-AM15-AM20</x:f>
        <x:v>0</x:v>
      </x:c>
      <x:c r="AN36" s="36" t="n">
        <x:f>AN18+AN19-AN15-AN20</x:f>
        <x:v>0</x:v>
      </x:c>
      <x:c r="AO36" s="36" t="n">
        <x:f>AO18+AO19-AO15-AO20</x:f>
        <x:v>0</x:v>
      </x:c>
      <x:c r="AP36" s="36" t="n">
        <x:f>AP18+AP19-AP15-AP20</x:f>
        <x:v>0</x:v>
      </x:c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</x:row>
    <x:row r="37" ht="19" customHeight="1">
      <x:c r="A37" s="1"/>
      <x:c r="B37" s="1"/>
      <x:c r="C37" s="2" t="str">
        <x:v>Net revenue check ($)</x:v>
      </x:c>
      <x:c r="D37" s="2"/>
      <x:c r="E37" s="35"/>
      <x:c r="F37" s="2"/>
      <x:c r="G37" s="36" t="n">
        <x:f>G24-G19-G25</x:f>
        <x:v>0</x:v>
      </x:c>
      <x:c r="H37" s="36" t="n">
        <x:f>H24-H19-H25</x:f>
        <x:v>0</x:v>
      </x:c>
      <x:c r="I37" s="36" t="n">
        <x:f>I24-I19-I25</x:f>
        <x:v>0</x:v>
      </x:c>
      <x:c r="J37" s="36" t="n">
        <x:f>J24-J19-J25</x:f>
        <x:v>0</x:v>
      </x:c>
      <x:c r="K37" s="36" t="n">
        <x:f>K24-K19-K25</x:f>
        <x:v>0</x:v>
      </x:c>
      <x:c r="L37" s="36" t="n">
        <x:f>L24-L19-L25</x:f>
        <x:v>0</x:v>
      </x:c>
      <x:c r="M37" s="36" t="n">
        <x:f>M24-M19-M25</x:f>
        <x:v>0</x:v>
      </x:c>
      <x:c r="N37" s="36" t="n">
        <x:f>N24-N19-N25</x:f>
        <x:v>0</x:v>
      </x:c>
      <x:c r="O37" s="36" t="n">
        <x:f>O24-O19-O25</x:f>
        <x:v>0</x:v>
      </x:c>
      <x:c r="P37" s="36" t="n">
        <x:f>P24-P19-P25</x:f>
        <x:v>0</x:v>
      </x:c>
      <x:c r="Q37" s="36" t="n">
        <x:f>Q24-Q19-Q25</x:f>
        <x:v>0</x:v>
      </x:c>
      <x:c r="R37" s="36" t="n">
        <x:f>R24-R19-R25</x:f>
        <x:v>0</x:v>
      </x:c>
      <x:c r="S37" s="36" t="n">
        <x:f>S24-S19-S25</x:f>
        <x:v>0</x:v>
      </x:c>
      <x:c r="T37" s="36" t="n">
        <x:f>T24-T19-T25</x:f>
        <x:v>0</x:v>
      </x:c>
      <x:c r="U37" s="36" t="n">
        <x:f>U24-U19-U25</x:f>
        <x:v>0</x:v>
      </x:c>
      <x:c r="V37" s="36" t="n">
        <x:f>V24-V19-V25</x:f>
        <x:v>0</x:v>
      </x:c>
      <x:c r="W37" s="36" t="n">
        <x:f>W24-W19-W25</x:f>
        <x:v>0</x:v>
      </x:c>
      <x:c r="X37" s="36" t="n">
        <x:f>X24-X19-X25</x:f>
        <x:v>0</x:v>
      </x:c>
      <x:c r="Y37" s="36" t="n">
        <x:f>Y24-Y19-Y25</x:f>
        <x:v>0</x:v>
      </x:c>
      <x:c r="Z37" s="36" t="n">
        <x:f>Z24-Z19-Z25</x:f>
        <x:v>0</x:v>
      </x:c>
      <x:c r="AA37" s="36" t="n">
        <x:f>AA24-AA19-AA25</x:f>
        <x:v>0</x:v>
      </x:c>
      <x:c r="AB37" s="36" t="n">
        <x:f>AB24-AB19-AB25</x:f>
        <x:v>0</x:v>
      </x:c>
      <x:c r="AC37" s="36" t="n">
        <x:f>AC24-AC19-AC25</x:f>
        <x:v>0</x:v>
      </x:c>
      <x:c r="AD37" s="36" t="n">
        <x:f>AD24-AD19-AD25</x:f>
        <x:v>0</x:v>
      </x:c>
      <x:c r="AE37" s="36" t="n">
        <x:f>AE24-AE19-AE25</x:f>
        <x:v>0</x:v>
      </x:c>
      <x:c r="AF37" s="36" t="n">
        <x:f>AF24-AF19-AF25</x:f>
        <x:v>0</x:v>
      </x:c>
      <x:c r="AG37" s="36" t="n">
        <x:f>AG24-AG19-AG25</x:f>
        <x:v>0</x:v>
      </x:c>
      <x:c r="AH37" s="36" t="n">
        <x:f>AH24-AH19-AH25</x:f>
        <x:v>0</x:v>
      </x:c>
      <x:c r="AI37" s="36" t="n">
        <x:f>AI24-AI19-AI25</x:f>
        <x:v>0</x:v>
      </x:c>
      <x:c r="AJ37" s="36" t="n">
        <x:f>AJ24-AJ19-AJ25</x:f>
        <x:v>0</x:v>
      </x:c>
      <x:c r="AK37" s="36" t="n">
        <x:f>AK24-AK19-AK25</x:f>
        <x:v>0</x:v>
      </x:c>
      <x:c r="AL37" s="36" t="n">
        <x:f>AL24-AL19-AL25</x:f>
        <x:v>0</x:v>
      </x:c>
      <x:c r="AM37" s="36" t="n">
        <x:f>AM24-AM19-AM25</x:f>
        <x:v>0</x:v>
      </x:c>
      <x:c r="AN37" s="36" t="n">
        <x:f>AN24-AN19-AN25</x:f>
        <x:v>0</x:v>
      </x:c>
      <x:c r="AO37" s="36" t="n">
        <x:f>AO24-AO19-AO25</x:f>
        <x:v>0</x:v>
      </x:c>
      <x:c r="AP37" s="36" t="n">
        <x:f>AP24-AP19-AP25</x:f>
        <x:v>0</x:v>
      </x:c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</x:row>
    <x:row r="38" ht="19" customHeight="1">
      <x:c r="A38" s="1"/>
      <x:c r="B38" s="1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</x:row>
    <x:row r="39" ht="19" customHeight="1">
      <x:c r="A39" s="1"/>
      <x:c r="B39" s="1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</x:row>
    <x:row r="40" ht="19" customHeight="1">
      <x:c r="A40" s="1"/>
      <x:c r="B40" s="1"/>
      <x:c r="C40" s="2" t="str">
        <x:v>Applied default rate</x:v>
      </x:c>
      <x:c r="D40" s="2"/>
      <x:c r="E40" s="22" t="n">
        <x:f>'Assumptions'!F58</x:f>
        <x:v>0.36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</x:row>
    <x:row r="41" ht="19" customHeight="1">
      <x:c r="A41" s="1"/>
      <x:c r="B41" s="1"/>
      <x:c r="C41" s="2" t="str">
        <x:v>Applied midpoint</x:v>
      </x:c>
      <x:c r="D41" s="2"/>
      <x:c r="E41" s="24" t="n">
        <x:f>'Assumptions'!F59</x:f>
        <x:v>5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</x:row>
    <x:row r="42" ht="19" customHeight="1">
      <x:c r="A42" s="1"/>
      <x:c r="B42" s="1"/>
      <x:c r="C42" s="2" t="str">
        <x:v>Monthly contractual rate</x:v>
      </x:c>
      <x:c r="D42" s="2"/>
      <x:c r="E42" s="22" t="n">
        <x:f>'Assumptions'!F15/12</x:f>
        <x:v>0.04583333333333334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</x:row>
    <x:row r="43" ht="19" customHeight="1">
      <x:c r="A43" s="1"/>
      <x:c r="B43" s="1"/>
      <x:c r="C43" s="2" t="str">
        <x:v>Term</x:v>
      </x:c>
      <x:c r="D43" s="2"/>
      <x:c r="E43" s="4" t="n">
        <x:f>'Assumptions'!F16</x:f>
        <x:v>24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</x:row>
    <x:row r="44" ht="19" customHeight="1">
      <x:c r="A44" s="1"/>
      <x:c r="B44" s="1"/>
      <x:c r="C44" s="2" t="str">
        <x:v>Opening gross CLAB</x:v>
      </x:c>
      <x:c r="D44" s="2"/>
      <x:c r="E44" s="25" t="n">
        <x:f>'Assumptions'!F17*'Assumptions'!$E$30</x:f>
        <x:v>76679999.99999999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</x:row>
    <x:row r="45" ht="19" customHeight="1">
      <x:c r="A45" s="1"/>
      <x:c r="B45" s="1"/>
      <x:c r="C45" s="2" t="str">
        <x:v>Single cohort age</x:v>
      </x:c>
      <x:c r="D45" s="2"/>
      <x:c r="E45" s="4" t="n">
        <x:f>'Assumptions'!F19</x:f>
        <x:v>6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</x:row>
    <x:row r="46" ht="19" customHeight="1">
      <x:c r="A46" s="1"/>
      <x:c r="B46" s="1"/>
      <x:c r="C46" s="2" t="str">
        <x:v>Age mix</x:v>
      </x:c>
      <x:c r="D46" s="2"/>
      <x:c r="E46" s="4" t="n">
        <x:f>'Assumptions'!F18</x:f>
        <x:v>0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</x:row>
    <x:row r="47" ht="19" customHeight="1">
      <x:c r="A47" s="1"/>
      <x:c r="B47" s="1"/>
      <x:c r="C47" s="2" t="str">
        <x:v>Steepness</x:v>
      </x:c>
      <x:c r="D47" s="2"/>
      <x:c r="E47" s="24" t="n">
        <x:f>'Assumptions'!F27</x:f>
        <x:v>0.55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</x:row>
    <x:row r="48" ht="19" customHeight="1">
      <x:c r="A48" s="1"/>
      <x:c r="B48" s="1"/>
      <x:c r="C48" s="2" t="str">
        <x:v>Opening expected-loss reserve</x:v>
      </x:c>
      <x:c r="D48" s="2"/>
      <x:c r="E48" s="26" t="n">
        <x:f>SUM(F160:F219)</x:f>
        <x:v>28099418.836608652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</x:row>
    <x:row r="49" ht="19" customHeight="1">
      <x:c r="A49" s="1"/>
      <x:c r="B49" s="1"/>
      <x:c r="C49" s="2" t="str">
        <x:v>New-loan lifetime loss per $1</x:v>
      </x:c>
      <x:c r="D49" s="2"/>
      <x:c r="E49" s="23" t="n">
        <x:f>SUM(E51:E147)</x:f>
        <x:v>0.3496898488076406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</x:row>
    <x:row r="50" ht="32" customHeight="1">
      <x:c r="A50" s="1"/>
      <x:c r="B50" s="1"/>
      <x:c r="C50" s="29" t="str">
        <x:v>MOB</x:v>
      </x:c>
      <x:c r="D50" s="29" t="str">
        <x:v>Cumulative default</x:v>
      </x:c>
      <x:c r="E50" s="29" t="str">
        <x:v>Charge-off / $1</x:v>
      </x:c>
      <x:c r="F50" s="29" t="str">
        <x:v>Repayment / $1</x:v>
      </x:c>
      <x:c r="G50" s="29" t="str">
        <x:v>Future loss / $1</x:v>
      </x:c>
      <x:c r="H50" s="29" t="str">
        <x:v>Scheduled balance / $1</x:v>
      </x:c>
      <x:c r="I50" s="29" t="str">
        <x:v>Survival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</x:row>
    <x:row r="51" ht="19" customHeight="1">
      <x:c r="A51" s="1"/>
      <x:c r="B51" s="1"/>
      <x:c r="C51" s="2" t="n">
        <x:v>0</x:v>
      </x:c>
      <x:c r="D51" s="30" t="n">
        <x:f>$E$40*INDEX('Assumptions'!$F$65:$F$101,MIN(C51,36)+1)</x:f>
        <x:v>0</x:v>
      </x:c>
      <x:c r="E51" s="30" t="n">
        <x:f>0</x:f>
        <x:v>0</x:v>
      </x:c>
      <x:c r="F51" s="30" t="n">
        <x:f>0</x:f>
        <x:v>0</x:v>
      </x:c>
      <x:c r="G51" s="30" t="n">
        <x:f>SUM(E52:E147)</x:f>
        <x:v>0.3496898488076406</x:v>
      </x:c>
      <x:c r="H51" s="30" t="n">
        <x:f>IF($E$42=0,1-MIN(C51,$E$43)/$E$43,((1+$E$42)^$E$43-(1+$E$42)^MIN(C51,$E$43))/((1+$E$42)^$E$43-1))</x:f>
        <x:v>1</x:v>
      </x:c>
      <x:c r="I51" s="30" t="n">
        <x:f>MAX(0,1-D51-J51)</x:f>
        <x:v>1</x:v>
      </x:c>
      <x:c r="J51" s="2" t="n">
        <x:f>(1-$E$40)*INDEX('Assumptions'!$I$65:$I$101,MIN(C51,36)+1)</x:f>
        <x:v>0</x:v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</x:row>
    <x:row r="52" ht="19" customHeight="1">
      <x:c r="A52" s="1"/>
      <x:c r="B52" s="1"/>
      <x:c r="C52" s="2" t="n">
        <x:v>1</x:v>
      </x:c>
      <x:c r="D52" s="30" t="n">
        <x:f>$E$40*INDEX('Assumptions'!$F$65:$F$101,MIN(C52,36)+1)</x:f>
        <x:v>0.14493647539142446</x:v>
      </x:c>
      <x:c r="E52" s="30" t="n">
        <x:f>(D52-D51)*H51</x:f>
        <x:v>0.14493647539142446</x:v>
      </x:c>
      <x:c r="F52" s="30" t="n">
        <x:f>(1-D52-J51)*(H51-H52)+(J52-J51)*H52</x:f>
        <x:v>0.2875252162846528</x:v>
      </x:c>
      <x:c r="G52" s="30" t="n">
        <x:f>SUM(E53:E147)</x:f>
        <x:v>0.20475337341621616</x:v>
      </x:c>
      <x:c r="H52" s="30" t="n">
        <x:f>IF($E$42=0,1-MIN(C52,$E$43)/$E$43,((1+$E$42)^$E$43-(1+$E$42)^MIN(C52,$E$43))/((1+$E$42)^$E$43-1))</x:f>
        <x:v>0.9762713988389728</x:v>
      </x:c>
      <x:c r="I52" s="30" t="n">
        <x:f>MAX(0,1-D52-J52)</x:f>
        <x:v>0.5813325157316558</x:v>
      </x:c>
      <x:c r="J52" s="2" t="n">
        <x:f>(1-$E$40)*INDEX('Assumptions'!$I$65:$I$101,MIN(C52,36)+1)</x:f>
        <x:v>0.27373100887691976</x:v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</x:row>
    <x:row r="53" ht="19" customHeight="1">
      <x:c r="A53" s="1"/>
      <x:c r="B53" s="1"/>
      <x:c r="C53" s="2" t="n">
        <x:v>2</x:v>
      </x:c>
      <x:c r="D53" s="30" t="n">
        <x:f>$E$40*INDEX('Assumptions'!$F$65:$F$101,MIN(C53,36)+1)</x:f>
        <x:v>0.2392976783873414</x:v>
      </x:c>
      <x:c r="E53" s="30" t="n">
        <x:f>(D53-D52)*H52</x:f>
        <x:v>0.09212214364495211</x:v>
      </x:c>
      <x:c r="F53" s="30" t="n">
        <x:f>(1-D53-J52)*(H52-H53)+(J53-J52)*H53</x:f>
        <x:v>0.16885087350379402</x:v>
      </x:c>
      <x:c r="G53" s="30" t="n">
        <x:f>SUM(E54:E147)</x:f>
        <x:v>0.11263122977126405</x:v>
      </x:c>
      <x:c r="H53" s="30" t="n">
        <x:f>IF($E$42=0,1-MIN(C53,$E$43)/$E$43,((1+$E$42)^$E$43-(1+$E$42)^MIN(C53,$E$43))/((1+$E$42)^$E$43-1))</x:f>
        <x:v>0.9514552367913985</x:v>
      </x:c>
      <x:c r="I53" s="30" t="n">
        <x:f>MAX(0,1-D53-J53)</x:f>
        <x:v>0.32220674112742254</x:v>
      </x:c>
      <x:c r="J53" s="2" t="n">
        <x:f>(1-$E$40)*INDEX('Assumptions'!$I$65:$I$101,MIN(C53,36)+1)</x:f>
        <x:v>0.43849558048523607</x:v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</x:row>
    <x:row r="54" ht="19" customHeight="1">
      <x:c r="A54" s="1"/>
      <x:c r="B54" s="1"/>
      <x:c r="C54" s="2" t="n">
        <x:v>3</x:v>
      </x:c>
      <x:c r="D54" s="30" t="n">
        <x:f>$E$40*INDEX('Assumptions'!$F$65:$F$101,MIN(C54,36)+1)</x:f>
        <x:v>0.2998055286992198</x:v>
      </x:c>
      <x:c r="E54" s="30" t="n">
        <x:f>(D54-D53)*H53</x:f>
        <x:v>0.05757051104622675</x:v>
      </x:c>
      <x:c r="F54" s="30" t="n">
        <x:f>(1-D54-J53)*(H53-H54)+(J54-J53)*H54</x:f>
        <x:v>0.10003529185085855</x:v>
      </x:c>
      <x:c r="G54" s="30" t="n">
        <x:f>SUM(E55:E147)</x:f>
        <x:v>0.055060718725037296</x:v>
      </x:c>
      <x:c r="H54" s="30" t="n">
        <x:f>IF($E$42=0,1-MIN(C54,$E$43)/$E$43,((1+$E$42)^$E$43-(1+$E$42)^MIN(C54,$E$43))/((1+$E$42)^$E$43-1))</x:f>
        <x:v>0.9255016673166439</x:v>
      </x:c>
      <x:c r="I54" s="30" t="n">
        <x:f>MAX(0,1-D54-J54)</x:f>
        <x:v>0.16094999451484238</x:v>
      </x:c>
      <x:c r="J54" s="2" t="n">
        <x:f>(1-$E$40)*INDEX('Assumptions'!$I$65:$I$101,MIN(C54,36)+1)</x:f>
        <x:v>0.5392444767859378</x:v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</x:row>
    <x:row r="55" ht="19" customHeight="1">
      <x:c r="A55" s="1"/>
      <x:c r="B55" s="1"/>
      <x:c r="C55" s="2" t="n">
        <x:v>4</x:v>
      </x:c>
      <x:c r="D55" s="30" t="n">
        <x:f>$E$40*INDEX('Assumptions'!$F$65:$F$101,MIN(C55,36)+1)</x:f>
        <x:v>0.3360762538590615</x:v>
      </x:c>
      <x:c r="E55" s="30" t="n">
        <x:f>(D55-D54)*H54</x:f>
        <x:v>0.03356861661021723</x:v>
      </x:c>
      <x:c r="F55" s="30" t="n">
        <x:f>(1-D55-J54)*(H54-H55)+(J55-J54)*H55</x:f>
        <x:v>0.05953168653833649</x:v>
      </x:c>
      <x:c r="G55" s="30" t="n">
        <x:f>SUM(E56:E147)</x:f>
        <x:v>0.021492102114820062</x:v>
      </x:c>
      <x:c r="H55" s="30" t="n">
        <x:f>IF($E$42=0,1-MIN(C55,$E$43)/$E$43,((1+$E$42)^$E$43-(1+$E$42)^MIN(C55,$E$43))/((1+$E$42)^$E$43-1))</x:f>
        <x:v>0.8983585592409629</x:v>
      </x:c>
      <x:c r="I55" s="30" t="n">
        <x:f>MAX(0,1-D55-J55)</x:f>
        <x:v>0.062179165050460394</x:v>
      </x:c>
      <x:c r="J55" s="2" t="n">
        <x:f>(1-$E$40)*INDEX('Assumptions'!$I$65:$I$101,MIN(C55,36)+1)</x:f>
        <x:v>0.6017445810904781</x:v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</x:row>
    <x:row r="56" ht="19" customHeight="1">
      <x:c r="A56" s="1"/>
      <x:c r="B56" s="1"/>
      <x:c r="C56" s="2" t="n">
        <x:v>5</x:v>
      </x:c>
      <x:c r="D56" s="30" t="n">
        <x:f>$E$40*INDEX('Assumptions'!$F$65:$F$101,MIN(C56,36)+1)</x:f>
        <x:v>0.36</x:v>
      </x:c>
      <x:c r="E56" s="30" t="n">
        <x:f>(D56-D55)*H55</x:f>
        <x:v>0.021492102114820062</x:v>
      </x:c>
      <x:c r="F56" s="30" t="n">
        <x:f>(1-D56-J55)*(H55-H56)+(J56-J55)*H56</x:f>
        <x:v>0.03436708301471757</x:v>
      </x:c>
      <x:c r="G56" s="30" t="n">
        <x:f>SUM(E57:E147)</x:f>
        <x:v>0</x:v>
      </x:c>
      <x:c r="H56" s="30" t="n">
        <x:f>IF($E$42=0,1-MIN(C56,$E$43)/$E$43,((1+$E$42)^$E$43-(1+$E$42)^MIN(C56,$E$43))/((1+$E$42)^$E$43-1))</x:f>
        <x:v>0.8699713920451464</x:v>
      </x:c>
      <x:c r="I56" s="30" t="n">
        <x:f>MAX(0,1-D56-J56)</x:f>
        <x:v>0</x:v>
      </x:c>
      <x:c r="J56" s="2" t="n">
        <x:f>(1-$E$40)*INDEX('Assumptions'!$I$65:$I$101,MIN(C56,36)+1)</x:f>
        <x:v>0.64</x:v>
      </x:c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</x:row>
    <x:row r="57" ht="19" customHeight="1">
      <x:c r="A57" s="1"/>
      <x:c r="B57" s="1"/>
      <x:c r="C57" s="2" t="n">
        <x:v>6</x:v>
      </x:c>
      <x:c r="D57" s="30" t="n">
        <x:f>$E$40*INDEX('Assumptions'!$F$65:$F$101,MIN(C57,36)+1)</x:f>
        <x:v>0.36</x:v>
      </x:c>
      <x:c r="E57" s="30" t="n">
        <x:f>(D57-D56)*H56</x:f>
        <x:v>0</x:v>
      </x:c>
      <x:c r="F57" s="30" t="n">
        <x:f>(1-D57-J56)*(H56-H57)+(J57-J56)*H57</x:f>
        <x:v>0</x:v>
      </x:c>
      <x:c r="G57" s="30" t="n">
        <x:f>SUM(E58:E147)</x:f>
        <x:v>0</x:v>
      </x:c>
      <x:c r="H57" s="30" t="n">
        <x:f>IF($E$42=0,1-MIN(C57,$E$43)/$E$43,((1+$E$42)^$E$43-(1+$E$42)^MIN(C57,$E$43))/((1+$E$42)^$E$43-1))</x:f>
        <x:v>0.8402831463528551</x:v>
      </x:c>
      <x:c r="I57" s="30" t="n">
        <x:f>MAX(0,1-D57-J57)</x:f>
        <x:v>0</x:v>
      </x:c>
      <x:c r="J57" s="2" t="n">
        <x:f>(1-$E$40)*INDEX('Assumptions'!$I$65:$I$101,MIN(C57,36)+1)</x:f>
        <x:v>0.64</x:v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</x:row>
    <x:row r="58" ht="19" customHeight="1">
      <x:c r="A58" s="1"/>
      <x:c r="B58" s="1"/>
      <x:c r="C58" s="2" t="n">
        <x:v>7</x:v>
      </x:c>
      <x:c r="D58" s="30" t="n">
        <x:f>$E$40*INDEX('Assumptions'!$F$65:$F$101,MIN(C58,36)+1)</x:f>
        <x:v>0.36</x:v>
      </x:c>
      <x:c r="E58" s="30" t="n">
        <x:f>(D58-D57)*H57</x:f>
        <x:v>0</x:v>
      </x:c>
      <x:c r="F58" s="30" t="n">
        <x:f>(1-D58-J57)*(H57-H58)+(J58-J57)*H58</x:f>
        <x:v>0</x:v>
      </x:c>
      <x:c r="G58" s="30" t="n">
        <x:f>SUM(E59:E147)</x:f>
        <x:v>0</x:v>
      </x:c>
      <x:c r="H58" s="30" t="n">
        <x:f>IF($E$42=0,1-MIN(C58,$E$43)/$E$43,((1+$E$42)^$E$43-(1+$E$42)^MIN(C58,$E$43))/((1+$E$42)^$E$43-1))</x:f>
        <x:v>0.8092341893996671</x:v>
      </x:c>
      <x:c r="I58" s="30" t="n">
        <x:f>MAX(0,1-D58-J58)</x:f>
        <x:v>0</x:v>
      </x:c>
      <x:c r="J58" s="2" t="n">
        <x:f>(1-$E$40)*INDEX('Assumptions'!$I$65:$I$101,MIN(C58,36)+1)</x:f>
        <x:v>0.64</x:v>
      </x:c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</x:row>
    <x:row r="59" ht="19" customHeight="1">
      <x:c r="A59" s="1"/>
      <x:c r="B59" s="1"/>
      <x:c r="C59" s="2" t="n">
        <x:v>8</x:v>
      </x:c>
      <x:c r="D59" s="30" t="n">
        <x:f>$E$40*INDEX('Assumptions'!$F$65:$F$101,MIN(C59,36)+1)</x:f>
        <x:v>0.36</x:v>
      </x:c>
      <x:c r="E59" s="30" t="n">
        <x:f>(D59-D58)*H58</x:f>
        <x:v>0</x:v>
      </x:c>
      <x:c r="F59" s="30" t="n">
        <x:f>(1-D59-J58)*(H58-H59)+(J59-J58)*H59</x:f>
        <x:v>0</x:v>
      </x:c>
      <x:c r="G59" s="30" t="n">
        <x:f>SUM(E60:E147)</x:f>
        <x:v>0</x:v>
      </x:c>
      <x:c r="H59" s="30" t="n">
        <x:f>IF($E$42=0,1-MIN(C59,$E$43)/$E$43,((1+$E$42)^$E$43-(1+$E$42)^MIN(C59,$E$43))/((1+$E$42)^$E$43-1))</x:f>
        <x:v>0.7767621552527914</x:v>
      </x:c>
      <x:c r="I59" s="30" t="n">
        <x:f>MAX(0,1-D59-J59)</x:f>
        <x:v>0</x:v>
      </x:c>
      <x:c r="J59" s="2" t="n">
        <x:f>(1-$E$40)*INDEX('Assumptions'!$I$65:$I$101,MIN(C59,36)+1)</x:f>
        <x:v>0.64</x:v>
      </x:c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</x:row>
    <x:row r="60" ht="19" customHeight="1">
      <x:c r="A60" s="1"/>
      <x:c r="B60" s="1"/>
      <x:c r="C60" s="2" t="n">
        <x:v>9</x:v>
      </x:c>
      <x:c r="D60" s="30" t="n">
        <x:f>$E$40*INDEX('Assumptions'!$F$65:$F$101,MIN(C60,36)+1)</x:f>
        <x:v>0.36</x:v>
      </x:c>
      <x:c r="E60" s="30" t="n">
        <x:f>(D60-D59)*H59</x:f>
        <x:v>0</x:v>
      </x:c>
      <x:c r="F60" s="30" t="n">
        <x:f>(1-D60-J59)*(H59-H60)+(J60-J59)*H60</x:f>
        <x:v>0</x:v>
      </x:c>
      <x:c r="G60" s="30" t="n">
        <x:f>SUM(E61:E147)</x:f>
        <x:v>0</x:v>
      </x:c>
      <x:c r="H60" s="30" t="n">
        <x:f>IF($E$42=0,1-MIN(C60,$E$43)/$E$43,((1+$E$42)^$E$43-(1+$E$42)^MIN(C60,$E$43))/((1+$E$42)^$E$43-1))</x:f>
        <x:v>0.7428018195408503</x:v>
      </x:c>
      <x:c r="I60" s="30" t="n">
        <x:f>MAX(0,1-D60-J60)</x:f>
        <x:v>0</x:v>
      </x:c>
      <x:c r="J60" s="2" t="n">
        <x:f>(1-$E$40)*INDEX('Assumptions'!$I$65:$I$101,MIN(C60,36)+1)</x:f>
        <x:v>0.64</x:v>
      </x:c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</x:row>
    <x:row r="61" ht="19" customHeight="1">
      <x:c r="A61" s="1"/>
      <x:c r="B61" s="1"/>
      <x:c r="C61" s="2" t="n">
        <x:v>10</x:v>
      </x:c>
      <x:c r="D61" s="30" t="n">
        <x:f>$E$40*INDEX('Assumptions'!$F$65:$F$101,MIN(C61,36)+1)</x:f>
        <x:v>0.36</x:v>
      </x:c>
      <x:c r="E61" s="30" t="n">
        <x:f>(D61-D60)*H60</x:f>
        <x:v>0</x:v>
      </x:c>
      <x:c r="F61" s="30" t="n">
        <x:f>(1-D61-J60)*(H60-H61)+(J61-J60)*H61</x:f>
        <x:v>0</x:v>
      </x:c>
      <x:c r="G61" s="30" t="n">
        <x:f>SUM(E62:E147)</x:f>
        <x:v>0</x:v>
      </x:c>
      <x:c r="H61" s="30" t="n">
        <x:f>IF($E$42=0,1-MIN(C61,$E$43)/$E$43,((1+$E$42)^$E$43-(1+$E$42)^MIN(C61,$E$43))/((1+$E$42)^$E$43-1))</x:f>
        <x:v>0.7072849684421122</x:v>
      </x:c>
      <x:c r="I61" s="30" t="n">
        <x:f>MAX(0,1-D61-J61)</x:f>
        <x:v>0</x:v>
      </x:c>
      <x:c r="J61" s="2" t="n">
        <x:f>(1-$E$40)*INDEX('Assumptions'!$I$65:$I$101,MIN(C61,36)+1)</x:f>
        <x:v>0.64</x:v>
      </x:c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</x:row>
    <x:row r="62" ht="19" customHeight="1">
      <x:c r="A62" s="1"/>
      <x:c r="B62" s="1"/>
      <x:c r="C62" s="2" t="n">
        <x:v>11</x:v>
      </x:c>
      <x:c r="D62" s="30" t="n">
        <x:f>$E$40*INDEX('Assumptions'!$F$65:$F$101,MIN(C62,36)+1)</x:f>
        <x:v>0.36</x:v>
      </x:c>
      <x:c r="E62" s="30" t="n">
        <x:f>(D62-D61)*H61</x:f>
        <x:v>0</x:v>
      </x:c>
      <x:c r="F62" s="30" t="n">
        <x:f>(1-D62-J61)*(H61-H62)+(J62-J61)*H62</x:f>
        <x:v>0</x:v>
      </x:c>
      <x:c r="G62" s="30" t="n">
        <x:f>SUM(E63:E147)</x:f>
        <x:v>0</x:v>
      </x:c>
      <x:c r="H62" s="30" t="n">
        <x:f>IF($E$42=0,1-MIN(C62,$E$43)/$E$43,((1+$E$42)^$E$43-(1+$E$42)^MIN(C62,$E$43))/((1+$E$42)^$E$43-1))</x:f>
        <x:v>0.6701402616680151</x:v>
      </x:c>
      <x:c r="I62" s="30" t="n">
        <x:f>MAX(0,1-D62-J62)</x:f>
        <x:v>0</x:v>
      </x:c>
      <x:c r="J62" s="2" t="n">
        <x:f>(1-$E$40)*INDEX('Assumptions'!$I$65:$I$101,MIN(C62,36)+1)</x:f>
        <x:v>0.64</x:v>
      </x:c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</x:row>
    <x:row r="63" ht="19" customHeight="1">
      <x:c r="A63" s="1"/>
      <x:c r="B63" s="1"/>
      <x:c r="C63" s="2" t="n">
        <x:v>12</x:v>
      </x:c>
      <x:c r="D63" s="30" t="n">
        <x:f>$E$40*INDEX('Assumptions'!$F$65:$F$101,MIN(C63,36)+1)</x:f>
        <x:v>0.36</x:v>
      </x:c>
      <x:c r="E63" s="30" t="n">
        <x:f>(D63-D62)*H62</x:f>
        <x:v>0</x:v>
      </x:c>
      <x:c r="F63" s="30" t="n">
        <x:f>(1-D63-J62)*(H62-H63)+(J63-J62)*H63</x:f>
        <x:v>0</x:v>
      </x:c>
      <x:c r="G63" s="30" t="n">
        <x:f>SUM(E64:E147)</x:f>
        <x:v>0</x:v>
      </x:c>
      <x:c r="H63" s="30" t="n">
        <x:f>IF($E$42=0,1-MIN(C63,$E$43)/$E$43,((1+$E$42)^$E$43-(1+$E$42)^MIN(C63,$E$43))/((1+$E$42)^$E$43-1))</x:f>
        <x:v>0.631293089166772</x:v>
      </x:c>
      <x:c r="I63" s="30" t="n">
        <x:f>MAX(0,1-D63-J63)</x:f>
        <x:v>0</x:v>
      </x:c>
      <x:c r="J63" s="2" t="n">
        <x:f>(1-$E$40)*INDEX('Assumptions'!$I$65:$I$101,MIN(C63,36)+1)</x:f>
        <x:v>0.64</x:v>
      </x:c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</x:row>
    <x:row r="64" ht="19" customHeight="1">
      <x:c r="A64" s="1"/>
      <x:c r="B64" s="1"/>
      <x:c r="C64" s="2" t="n">
        <x:v>13</x:v>
      </x:c>
      <x:c r="D64" s="30" t="n">
        <x:f>$E$40*INDEX('Assumptions'!$F$65:$F$101,MIN(C64,36)+1)</x:f>
        <x:v>0.36</x:v>
      </x:c>
      <x:c r="E64" s="30" t="n">
        <x:f>(D64-D63)*H63</x:f>
        <x:v>0</x:v>
      </x:c>
      <x:c r="F64" s="30" t="n">
        <x:f>(1-D64-J63)*(H63-H64)+(J64-J63)*H64</x:f>
        <x:v>0</x:v>
      </x:c>
      <x:c r="G64" s="30" t="n">
        <x:f>SUM(E65:E147)</x:f>
        <x:v>0</x:v>
      </x:c>
      <x:c r="H64" s="30" t="n">
        <x:f>IF($E$42=0,1-MIN(C64,$E$43)/$E$43,((1+$E$42)^$E$43-(1+$E$42)^MIN(C64,$E$43))/((1+$E$42)^$E$43-1))</x:f>
        <x:v>0.5906654212592217</x:v>
      </x:c>
      <x:c r="I64" s="30" t="n">
        <x:f>MAX(0,1-D64-J64)</x:f>
        <x:v>0</x:v>
      </x:c>
      <x:c r="J64" s="2" t="n">
        <x:f>(1-$E$40)*INDEX('Assumptions'!$I$65:$I$101,MIN(C64,36)+1)</x:f>
        <x:v>0.64</x:v>
      </x:c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</x:row>
    <x:row r="65" ht="19" customHeight="1">
      <x:c r="A65" s="1"/>
      <x:c r="B65" s="1"/>
      <x:c r="C65" s="2" t="n">
        <x:v>14</x:v>
      </x:c>
      <x:c r="D65" s="30" t="n">
        <x:f>$E$40*INDEX('Assumptions'!$F$65:$F$101,MIN(C65,36)+1)</x:f>
        <x:v>0.36</x:v>
      </x:c>
      <x:c r="E65" s="30" t="n">
        <x:f>(D65-D64)*H64</x:f>
        <x:v>0</x:v>
      </x:c>
      <x:c r="F65" s="30" t="n">
        <x:f>(1-D65-J64)*(H64-H65)+(J65-J64)*H65</x:f>
        <x:v>0</x:v>
      </x:c>
      <x:c r="G65" s="30" t="n">
        <x:f>SUM(E66:E147)</x:f>
        <x:v>0</x:v>
      </x:c>
      <x:c r="H65" s="30" t="n">
        <x:f>IF($E$42=0,1-MIN(C65,$E$43)/$E$43,((1+$E$42)^$E$43-(1+$E$42)^MIN(C65,$E$43))/((1+$E$42)^$E$43-1))</x:f>
        <x:v>0.5481756519059089</x:v>
      </x:c>
      <x:c r="I65" s="30" t="n">
        <x:f>MAX(0,1-D65-J65)</x:f>
        <x:v>0</x:v>
      </x:c>
      <x:c r="J65" s="2" t="n">
        <x:f>(1-$E$40)*INDEX('Assumptions'!$I$65:$I$101,MIN(C65,36)+1)</x:f>
        <x:v>0.64</x:v>
      </x:c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</x:row>
    <x:row r="66" ht="19" customHeight="1">
      <x:c r="A66" s="1"/>
      <x:c r="B66" s="1"/>
      <x:c r="C66" s="2" t="n">
        <x:v>15</x:v>
      </x:c>
      <x:c r="D66" s="30" t="n">
        <x:f>$E$40*INDEX('Assumptions'!$F$65:$F$101,MIN(C66,36)+1)</x:f>
        <x:v>0.36</x:v>
      </x:c>
      <x:c r="E66" s="30" t="n">
        <x:f>(D66-D65)*H65</x:f>
        <x:v>0</x:v>
      </x:c>
      <x:c r="F66" s="30" t="n">
        <x:f>(1-D66-J65)*(H65-H66)+(J66-J65)*H66</x:f>
        <x:v>0</x:v>
      </x:c>
      <x:c r="G66" s="30" t="n">
        <x:f>SUM(E67:E147)</x:f>
        <x:v>0</x:v>
      </x:c>
      <x:c r="H66" s="30" t="n">
        <x:f>IF($E$42=0,1-MIN(C66,$E$43)/$E$43,((1+$E$42)^$E$43-(1+$E$42)^MIN(C66,$E$43))/((1+$E$42)^$E$43-1))</x:f>
        <x:v>0.5037384347905691</x:v>
      </x:c>
      <x:c r="I66" s="30" t="n">
        <x:f>MAX(0,1-D66-J66)</x:f>
        <x:v>0</x:v>
      </x:c>
      <x:c r="J66" s="2" t="n">
        <x:f>(1-$E$40)*INDEX('Assumptions'!$I$65:$I$101,MIN(C66,36)+1)</x:f>
        <x:v>0.64</x:v>
      </x:c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</x:row>
    <x:row r="67" ht="19" customHeight="1">
      <x:c r="A67" s="1"/>
      <x:c r="B67" s="1"/>
      <x:c r="C67" s="2" t="n">
        <x:v>16</x:v>
      </x:c>
      <x:c r="D67" s="30" t="n">
        <x:f>$E$40*INDEX('Assumptions'!$F$65:$F$101,MIN(C67,36)+1)</x:f>
        <x:v>0.36</x:v>
      </x:c>
      <x:c r="E67" s="30" t="n">
        <x:f>(D67-D66)*H66</x:f>
        <x:v>0</x:v>
      </x:c>
      <x:c r="F67" s="30" t="n">
        <x:f>(1-D67-J66)*(H66-H67)+(J67-J66)*H67</x:f>
        <x:v>0</x:v>
      </x:c>
      <x:c r="G67" s="30" t="n">
        <x:f>SUM(E68:E147)</x:f>
        <x:v>0</x:v>
      </x:c>
      <x:c r="H67" s="30" t="n">
        <x:f>IF($E$42=0,1-MIN(C67,$E$43)/$E$43,((1+$E$42)^$E$43-(1+$E$42)^MIN(C67,$E$43))/((1+$E$42)^$E$43-1))</x:f>
        <x:v>0.4572645118907764</x:v>
      </x:c>
      <x:c r="I67" s="30" t="n">
        <x:f>MAX(0,1-D67-J67)</x:f>
        <x:v>0</x:v>
      </x:c>
      <x:c r="J67" s="2" t="n">
        <x:f>(1-$E$40)*INDEX('Assumptions'!$I$65:$I$101,MIN(C67,36)+1)</x:f>
        <x:v>0.64</x:v>
      </x:c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</x:row>
    <x:row r="68" ht="19" customHeight="1">
      <x:c r="A68" s="1"/>
      <x:c r="B68" s="1"/>
      <x:c r="C68" s="2" t="n">
        <x:v>17</x:v>
      </x:c>
      <x:c r="D68" s="30" t="n">
        <x:f>$E$40*INDEX('Assumptions'!$F$65:$F$101,MIN(C68,36)+1)</x:f>
        <x:v>0.36</x:v>
      </x:c>
      <x:c r="E68" s="30" t="n">
        <x:f>(D68-D67)*H67</x:f>
        <x:v>0</x:v>
      </x:c>
      <x:c r="F68" s="30" t="n">
        <x:f>(1-D68-J67)*(H67-H68)+(J68-J67)*H68</x:f>
        <x:v>0</x:v>
      </x:c>
      <x:c r="G68" s="30" t="n">
        <x:f>SUM(E69:E147)</x:f>
        <x:v>0</x:v>
      </x:c>
      <x:c r="H68" s="30" t="n">
        <x:f>IF($E$42=0,1-MIN(C68,$E$43)/$E$43,((1+$E$42)^$E$43-(1+$E$42)^MIN(C68,$E$43))/((1+$E$42)^$E$43-1))</x:f>
        <x:v>0.40866053419140974</x:v>
      </x:c>
      <x:c r="I68" s="30" t="n">
        <x:f>MAX(0,1-D68-J68)</x:f>
        <x:v>0</x:v>
      </x:c>
      <x:c r="J68" s="2" t="n">
        <x:f>(1-$E$40)*INDEX('Assumptions'!$I$65:$I$101,MIN(C68,36)+1)</x:f>
        <x:v>0.64</x:v>
      </x:c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</x:row>
    <x:row r="69" ht="19" customHeight="1">
      <x:c r="A69" s="1"/>
      <x:c r="B69" s="1"/>
      <x:c r="C69" s="2" t="n">
        <x:v>18</x:v>
      </x:c>
      <x:c r="D69" s="30" t="n">
        <x:f>$E$40*INDEX('Assumptions'!$F$65:$F$101,MIN(C69,36)+1)</x:f>
        <x:v>0.36</x:v>
      </x:c>
      <x:c r="E69" s="30" t="n">
        <x:f>(D69-D68)*H68</x:f>
        <x:v>0</x:v>
      </x:c>
      <x:c r="F69" s="30" t="n">
        <x:f>(1-D69-J68)*(H68-H69)+(J69-J68)*H69</x:f>
        <x:v>0</x:v>
      </x:c>
      <x:c r="G69" s="30" t="n">
        <x:f>SUM(E70:E147)</x:f>
        <x:v>0</x:v>
      </x:c>
      <x:c r="H69" s="30" t="n">
        <x:f>IF($E$42=0,1-MIN(C69,$E$43)/$E$43,((1+$E$42)^$E$43-(1+$E$42)^MIN(C69,$E$43))/((1+$E$42)^$E$43-1))</x:f>
        <x:v>0.35782887418082204</x:v>
      </x:c>
      <x:c r="I69" s="30" t="n">
        <x:f>MAX(0,1-D69-J69)</x:f>
        <x:v>0</x:v>
      </x:c>
      <x:c r="J69" s="2" t="n">
        <x:f>(1-$E$40)*INDEX('Assumptions'!$I$65:$I$101,MIN(C69,36)+1)</x:f>
        <x:v>0.64</x:v>
      </x:c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</x:row>
    <x:row r="70" ht="19" customHeight="1">
      <x:c r="A70" s="1"/>
      <x:c r="B70" s="1"/>
      <x:c r="C70" s="2" t="n">
        <x:v>19</x:v>
      </x:c>
      <x:c r="D70" s="30" t="n">
        <x:f>$E$40*INDEX('Assumptions'!$F$65:$F$101,MIN(C70,36)+1)</x:f>
        <x:v>0.36</x:v>
      </x:c>
      <x:c r="E70" s="30" t="n">
        <x:f>(D70-D69)*H69</x:f>
        <x:v>0</x:v>
      </x:c>
      <x:c r="F70" s="30" t="n">
        <x:f>(1-D70-J69)*(H69-H70)+(J70-J69)*H70</x:f>
        <x:v>0</x:v>
      </x:c>
      <x:c r="G70" s="30" t="n">
        <x:f>SUM(E71:E147)</x:f>
        <x:v>0</x:v>
      </x:c>
      <x:c r="H70" s="30" t="n">
        <x:f>IF($E$42=0,1-MIN(C70,$E$43)/$E$43,((1+$E$42)^$E$43-(1+$E$42)^MIN(C70,$E$43))/((1+$E$42)^$E$43-1))</x:f>
        <x:v>0.30466742975308264</x:v>
      </x:c>
      <x:c r="I70" s="30" t="n">
        <x:f>MAX(0,1-D70-J70)</x:f>
        <x:v>0</x:v>
      </x:c>
      <x:c r="J70" s="2" t="n">
        <x:f>(1-$E$40)*INDEX('Assumptions'!$I$65:$I$101,MIN(C70,36)+1)</x:f>
        <x:v>0.64</x:v>
      </x:c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</x:row>
    <x:row r="71" ht="19" customHeight="1">
      <x:c r="A71" s="1"/>
      <x:c r="B71" s="1"/>
      <x:c r="C71" s="2" t="n">
        <x:v>20</x:v>
      </x:c>
      <x:c r="D71" s="30" t="n">
        <x:f>$E$40*INDEX('Assumptions'!$F$65:$F$101,MIN(C71,36)+1)</x:f>
        <x:v>0.36</x:v>
      </x:c>
      <x:c r="E71" s="30" t="n">
        <x:f>(D71-D70)*H70</x:f>
        <x:v>0</x:v>
      </x:c>
      <x:c r="F71" s="30" t="n">
        <x:f>(1-D71-J70)*(H70-H71)+(J71-J70)*H71</x:f>
        <x:v>0</x:v>
      </x:c>
      <x:c r="G71" s="30" t="n">
        <x:f>SUM(E72:E147)</x:f>
        <x:v>0</x:v>
      </x:c>
      <x:c r="H71" s="30" t="n">
        <x:f>IF($E$42=0,1-MIN(C71,$E$43)/$E$43,((1+$E$42)^$E$43-(1+$E$42)^MIN(C71,$E$43))/((1+$E$42)^$E$43-1))</x:f>
        <x:v>0.2490694191224049</x:v>
      </x:c>
      <x:c r="I71" s="30" t="n">
        <x:f>MAX(0,1-D71-J71)</x:f>
        <x:v>0</x:v>
      </x:c>
      <x:c r="J71" s="2" t="n">
        <x:f>(1-$E$40)*INDEX('Assumptions'!$I$65:$I$101,MIN(C71,36)+1)</x:f>
        <x:v>0.64</x:v>
      </x:c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</x:row>
    <x:row r="72" ht="19" customHeight="1">
      <x:c r="A72" s="1"/>
      <x:c r="B72" s="1"/>
      <x:c r="C72" s="2" t="n">
        <x:v>21</x:v>
      </x:c>
      <x:c r="D72" s="30" t="n">
        <x:f>$E$40*INDEX('Assumptions'!$F$65:$F$101,MIN(C72,36)+1)</x:f>
        <x:v>0.36</x:v>
      </x:c>
      <x:c r="E72" s="30" t="n">
        <x:f>(D72-D71)*H71</x:f>
        <x:v>0</x:v>
      </x:c>
      <x:c r="F72" s="30" t="n">
        <x:f>(1-D72-J71)*(H71-H72)+(J72-J71)*H72</x:f>
        <x:v>0</x:v>
      </x:c>
      <x:c r="G72" s="30" t="n">
        <x:f>SUM(E73:E147)</x:f>
        <x:v>0</x:v>
      </x:c>
      <x:c r="H72" s="30" t="n">
        <x:f>IF($E$42=0,1-MIN(C72,$E$43)/$E$43,((1+$E$42)^$E$43-(1+$E$42)^MIN(C72,$E$43))/((1+$E$42)^$E$43-1))</x:f>
        <x:v>0.19092316633782133</x:v>
      </x:c>
      <x:c r="I72" s="30" t="n">
        <x:f>MAX(0,1-D72-J72)</x:f>
        <x:v>0</x:v>
      </x:c>
      <x:c r="J72" s="2" t="n">
        <x:f>(1-$E$40)*INDEX('Assumptions'!$I$65:$I$101,MIN(C72,36)+1)</x:f>
        <x:v>0.64</x:v>
      </x:c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</x:row>
    <x:row r="73" ht="19" customHeight="1">
      <x:c r="A73" s="1"/>
      <x:c r="B73" s="1"/>
      <x:c r="C73" s="2" t="n">
        <x:v>22</x:v>
      </x:c>
      <x:c r="D73" s="30" t="n">
        <x:f>$E$40*INDEX('Assumptions'!$F$65:$F$101,MIN(C73,36)+1)</x:f>
        <x:v>0.36</x:v>
      </x:c>
      <x:c r="E73" s="30" t="n">
        <x:f>(D73-D72)*H72</x:f>
        <x:v>0</x:v>
      </x:c>
      <x:c r="F73" s="30" t="n">
        <x:f>(1-D73-J72)*(H72-H73)+(J73-J72)*H73</x:f>
        <x:v>0</x:v>
      </x:c>
      <x:c r="G73" s="30" t="n">
        <x:f>SUM(E74:E147)</x:f>
        <x:v>0</x:v>
      </x:c>
      <x:c r="H73" s="30" t="n">
        <x:f>IF($E$42=0,1-MIN(C73,$E$43)/$E$43,((1+$E$42)^$E$43-(1+$E$42)^MIN(C73,$E$43))/((1+$E$42)^$E$43-1))</x:f>
        <x:v>0.1301118769672777</x:v>
      </x:c>
      <x:c r="I73" s="30" t="n">
        <x:f>MAX(0,1-D73-J73)</x:f>
        <x:v>0</x:v>
      </x:c>
      <x:c r="J73" s="2" t="n">
        <x:f>(1-$E$40)*INDEX('Assumptions'!$I$65:$I$101,MIN(C73,36)+1)</x:f>
        <x:v>0.64</x:v>
      </x:c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</x:row>
    <x:row r="74" ht="19" customHeight="1">
      <x:c r="A74" s="1"/>
      <x:c r="B74" s="1"/>
      <x:c r="C74" s="2" t="n">
        <x:v>23</x:v>
      </x:c>
      <x:c r="D74" s="30" t="n">
        <x:f>$E$40*INDEX('Assumptions'!$F$65:$F$101,MIN(C74,36)+1)</x:f>
        <x:v>0.36</x:v>
      </x:c>
      <x:c r="E74" s="30" t="n">
        <x:f>(D74-D73)*H73</x:f>
        <x:v>0</x:v>
      </x:c>
      <x:c r="F74" s="30" t="n">
        <x:f>(1-D74-J73)*(H73-H74)+(J74-J73)*H74</x:f>
        <x:v>0</x:v>
      </x:c>
      <x:c r="G74" s="30" t="n">
        <x:f>SUM(E75:E147)</x:f>
        <x:v>0</x:v>
      </x:c>
      <x:c r="H74" s="30" t="n">
        <x:f>IF($E$42=0,1-MIN(C74,$E$43)/$E$43,((1+$E$42)^$E$43-(1+$E$42)^MIN(C74,$E$43))/((1+$E$42)^$E$43-1))</x:f>
        <x:v>0.06651340350058388</x:v>
      </x:c>
      <x:c r="I74" s="30" t="n">
        <x:f>MAX(0,1-D74-J74)</x:f>
        <x:v>0</x:v>
      </x:c>
      <x:c r="J74" s="2" t="n">
        <x:f>(1-$E$40)*INDEX('Assumptions'!$I$65:$I$101,MIN(C74,36)+1)</x:f>
        <x:v>0.64</x:v>
      </x:c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</x:row>
    <x:row r="75" ht="19" customHeight="1">
      <x:c r="A75" s="1"/>
      <x:c r="B75" s="1"/>
      <x:c r="C75" s="2" t="n">
        <x:v>24</x:v>
      </x:c>
      <x:c r="D75" s="30" t="n">
        <x:f>$E$40*INDEX('Assumptions'!$F$65:$F$101,MIN(C75,36)+1)</x:f>
        <x:v>0.36</x:v>
      </x:c>
      <x:c r="E75" s="30" t="n">
        <x:f>(D75-D74)*H74</x:f>
        <x:v>0</x:v>
      </x:c>
      <x:c r="F75" s="30" t="n">
        <x:f>(1-D75-J74)*(H74-H75)+(J75-J74)*H75</x:f>
        <x:v>0</x:v>
      </x:c>
      <x:c r="G75" s="30" t="n">
        <x:f>SUM(E76:E147)</x:f>
        <x:v>0</x:v>
      </x:c>
      <x:c r="H75" s="30" t="n">
        <x:f>IF($E$42=0,1-MIN(C75,$E$43)/$E$43,((1+$E$42)^$E$43-(1+$E$42)^MIN(C75,$E$43))/((1+$E$42)^$E$43-1))</x:f>
        <x:v>0</x:v>
      </x:c>
      <x:c r="I75" s="30" t="n">
        <x:f>MAX(0,1-D75-J75)</x:f>
        <x:v>0</x:v>
      </x:c>
      <x:c r="J75" s="2" t="n">
        <x:f>(1-$E$40)*INDEX('Assumptions'!$I$65:$I$101,MIN(C75,36)+1)</x:f>
        <x:v>0.64</x:v>
      </x:c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</x:row>
    <x:row r="76" ht="19" customHeight="1">
      <x:c r="A76" s="1"/>
      <x:c r="B76" s="1"/>
      <x:c r="C76" s="2" t="n">
        <x:v>25</x:v>
      </x:c>
      <x:c r="D76" s="30" t="n">
        <x:f>$E$40*INDEX('Assumptions'!$F$65:$F$101,MIN(C76,36)+1)</x:f>
        <x:v>0.36</x:v>
      </x:c>
      <x:c r="E76" s="30" t="n">
        <x:f>(D76-D75)*H75</x:f>
        <x:v>0</x:v>
      </x:c>
      <x:c r="F76" s="30" t="n">
        <x:f>(1-D76-J75)*(H75-H76)+(J76-J75)*H76</x:f>
        <x:v>0</x:v>
      </x:c>
      <x:c r="G76" s="30" t="n">
        <x:f>SUM(E77:E147)</x:f>
        <x:v>0</x:v>
      </x:c>
      <x:c r="H76" s="30" t="n">
        <x:f>IF($E$42=0,1-MIN(C76,$E$43)/$E$43,((1+$E$42)^$E$43-(1+$E$42)^MIN(C76,$E$43))/((1+$E$42)^$E$43-1))</x:f>
        <x:v>0</x:v>
      </x:c>
      <x:c r="I76" s="30" t="n">
        <x:f>MAX(0,1-D76-J76)</x:f>
        <x:v>0</x:v>
      </x:c>
      <x:c r="J76" s="2" t="n">
        <x:f>(1-$E$40)*INDEX('Assumptions'!$I$65:$I$101,MIN(C76,36)+1)</x:f>
        <x:v>0.64</x:v>
      </x:c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</x:row>
    <x:row r="77" ht="19" customHeight="1">
      <x:c r="A77" s="1"/>
      <x:c r="B77" s="1"/>
      <x:c r="C77" s="2" t="n">
        <x:v>26</x:v>
      </x:c>
      <x:c r="D77" s="30" t="n">
        <x:f>$E$40*INDEX('Assumptions'!$F$65:$F$101,MIN(C77,36)+1)</x:f>
        <x:v>0.36</x:v>
      </x:c>
      <x:c r="E77" s="30" t="n">
        <x:f>(D77-D76)*H76</x:f>
        <x:v>0</x:v>
      </x:c>
      <x:c r="F77" s="30" t="n">
        <x:f>(1-D77-J76)*(H76-H77)+(J77-J76)*H77</x:f>
        <x:v>0</x:v>
      </x:c>
      <x:c r="G77" s="30" t="n">
        <x:f>SUM(E78:E147)</x:f>
        <x:v>0</x:v>
      </x:c>
      <x:c r="H77" s="30" t="n">
        <x:f>IF($E$42=0,1-MIN(C77,$E$43)/$E$43,((1+$E$42)^$E$43-(1+$E$42)^MIN(C77,$E$43))/((1+$E$42)^$E$43-1))</x:f>
        <x:v>0</x:v>
      </x:c>
      <x:c r="I77" s="30" t="n">
        <x:f>MAX(0,1-D77-J77)</x:f>
        <x:v>0</x:v>
      </x:c>
      <x:c r="J77" s="2" t="n">
        <x:f>(1-$E$40)*INDEX('Assumptions'!$I$65:$I$101,MIN(C77,36)+1)</x:f>
        <x:v>0.64</x:v>
      </x:c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</x:row>
    <x:row r="78" ht="19" customHeight="1">
      <x:c r="A78" s="1"/>
      <x:c r="B78" s="1"/>
      <x:c r="C78" s="2" t="n">
        <x:v>27</x:v>
      </x:c>
      <x:c r="D78" s="30" t="n">
        <x:f>$E$40*INDEX('Assumptions'!$F$65:$F$101,MIN(C78,36)+1)</x:f>
        <x:v>0.36</x:v>
      </x:c>
      <x:c r="E78" s="30" t="n">
        <x:f>(D78-D77)*H77</x:f>
        <x:v>0</x:v>
      </x:c>
      <x:c r="F78" s="30" t="n">
        <x:f>(1-D78-J77)*(H77-H78)+(J78-J77)*H78</x:f>
        <x:v>0</x:v>
      </x:c>
      <x:c r="G78" s="30" t="n">
        <x:f>SUM(E79:E147)</x:f>
        <x:v>0</x:v>
      </x:c>
      <x:c r="H78" s="30" t="n">
        <x:f>IF($E$42=0,1-MIN(C78,$E$43)/$E$43,((1+$E$42)^$E$43-(1+$E$42)^MIN(C78,$E$43))/((1+$E$42)^$E$43-1))</x:f>
        <x:v>0</x:v>
      </x:c>
      <x:c r="I78" s="30" t="n">
        <x:f>MAX(0,1-D78-J78)</x:f>
        <x:v>0</x:v>
      </x:c>
      <x:c r="J78" s="2" t="n">
        <x:f>(1-$E$40)*INDEX('Assumptions'!$I$65:$I$101,MIN(C78,36)+1)</x:f>
        <x:v>0.64</x:v>
      </x:c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</x:row>
    <x:row r="79" ht="19" customHeight="1">
      <x:c r="A79" s="1"/>
      <x:c r="B79" s="1"/>
      <x:c r="C79" s="2" t="n">
        <x:v>28</x:v>
      </x:c>
      <x:c r="D79" s="30" t="n">
        <x:f>$E$40*INDEX('Assumptions'!$F$65:$F$101,MIN(C79,36)+1)</x:f>
        <x:v>0.36</x:v>
      </x:c>
      <x:c r="E79" s="30" t="n">
        <x:f>(D79-D78)*H78</x:f>
        <x:v>0</x:v>
      </x:c>
      <x:c r="F79" s="30" t="n">
        <x:f>(1-D79-J78)*(H78-H79)+(J79-J78)*H79</x:f>
        <x:v>0</x:v>
      </x:c>
      <x:c r="G79" s="30" t="n">
        <x:f>SUM(E80:E147)</x:f>
        <x:v>0</x:v>
      </x:c>
      <x:c r="H79" s="30" t="n">
        <x:f>IF($E$42=0,1-MIN(C79,$E$43)/$E$43,((1+$E$42)^$E$43-(1+$E$42)^MIN(C79,$E$43))/((1+$E$42)^$E$43-1))</x:f>
        <x:v>0</x:v>
      </x:c>
      <x:c r="I79" s="30" t="n">
        <x:f>MAX(0,1-D79-J79)</x:f>
        <x:v>0</x:v>
      </x:c>
      <x:c r="J79" s="2" t="n">
        <x:f>(1-$E$40)*INDEX('Assumptions'!$I$65:$I$101,MIN(C79,36)+1)</x:f>
        <x:v>0.64</x:v>
      </x:c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</x:row>
    <x:row r="80" ht="19" customHeight="1">
      <x:c r="A80" s="1"/>
      <x:c r="B80" s="1"/>
      <x:c r="C80" s="2" t="n">
        <x:v>29</x:v>
      </x:c>
      <x:c r="D80" s="30" t="n">
        <x:f>$E$40*INDEX('Assumptions'!$F$65:$F$101,MIN(C80,36)+1)</x:f>
        <x:v>0.36</x:v>
      </x:c>
      <x:c r="E80" s="30" t="n">
        <x:f>(D80-D79)*H79</x:f>
        <x:v>0</x:v>
      </x:c>
      <x:c r="F80" s="30" t="n">
        <x:f>(1-D80-J79)*(H79-H80)+(J80-J79)*H80</x:f>
        <x:v>0</x:v>
      </x:c>
      <x:c r="G80" s="30" t="n">
        <x:f>SUM(E81:E147)</x:f>
        <x:v>0</x:v>
      </x:c>
      <x:c r="H80" s="30" t="n">
        <x:f>IF($E$42=0,1-MIN(C80,$E$43)/$E$43,((1+$E$42)^$E$43-(1+$E$42)^MIN(C80,$E$43))/((1+$E$42)^$E$43-1))</x:f>
        <x:v>0</x:v>
      </x:c>
      <x:c r="I80" s="30" t="n">
        <x:f>MAX(0,1-D80-J80)</x:f>
        <x:v>0</x:v>
      </x:c>
      <x:c r="J80" s="2" t="n">
        <x:f>(1-$E$40)*INDEX('Assumptions'!$I$65:$I$101,MIN(C80,36)+1)</x:f>
        <x:v>0.64</x:v>
      </x:c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</x:row>
    <x:row r="81" ht="19" customHeight="1">
      <x:c r="A81" s="1"/>
      <x:c r="B81" s="1"/>
      <x:c r="C81" s="2" t="n">
        <x:v>30</x:v>
      </x:c>
      <x:c r="D81" s="30" t="n">
        <x:f>$E$40*INDEX('Assumptions'!$F$65:$F$101,MIN(C81,36)+1)</x:f>
        <x:v>0.36</x:v>
      </x:c>
      <x:c r="E81" s="30" t="n">
        <x:f>(D81-D80)*H80</x:f>
        <x:v>0</x:v>
      </x:c>
      <x:c r="F81" s="30" t="n">
        <x:f>(1-D81-J80)*(H80-H81)+(J81-J80)*H81</x:f>
        <x:v>0</x:v>
      </x:c>
      <x:c r="G81" s="30" t="n">
        <x:f>SUM(E82:E147)</x:f>
        <x:v>0</x:v>
      </x:c>
      <x:c r="H81" s="30" t="n">
        <x:f>IF($E$42=0,1-MIN(C81,$E$43)/$E$43,((1+$E$42)^$E$43-(1+$E$42)^MIN(C81,$E$43))/((1+$E$42)^$E$43-1))</x:f>
        <x:v>0</x:v>
      </x:c>
      <x:c r="I81" s="30" t="n">
        <x:f>MAX(0,1-D81-J81)</x:f>
        <x:v>0</x:v>
      </x:c>
      <x:c r="J81" s="2" t="n">
        <x:f>(1-$E$40)*INDEX('Assumptions'!$I$65:$I$101,MIN(C81,36)+1)</x:f>
        <x:v>0.64</x:v>
      </x:c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</x:row>
    <x:row r="82" ht="19" customHeight="1">
      <x:c r="A82" s="1"/>
      <x:c r="B82" s="1"/>
      <x:c r="C82" s="2" t="n">
        <x:v>31</x:v>
      </x:c>
      <x:c r="D82" s="30" t="n">
        <x:f>$E$40*INDEX('Assumptions'!$F$65:$F$101,MIN(C82,36)+1)</x:f>
        <x:v>0.36</x:v>
      </x:c>
      <x:c r="E82" s="30" t="n">
        <x:f>(D82-D81)*H81</x:f>
        <x:v>0</x:v>
      </x:c>
      <x:c r="F82" s="30" t="n">
        <x:f>(1-D82-J81)*(H81-H82)+(J82-J81)*H82</x:f>
        <x:v>0</x:v>
      </x:c>
      <x:c r="G82" s="30" t="n">
        <x:f>SUM(E83:E147)</x:f>
        <x:v>0</x:v>
      </x:c>
      <x:c r="H82" s="30" t="n">
        <x:f>IF($E$42=0,1-MIN(C82,$E$43)/$E$43,((1+$E$42)^$E$43-(1+$E$42)^MIN(C82,$E$43))/((1+$E$42)^$E$43-1))</x:f>
        <x:v>0</x:v>
      </x:c>
      <x:c r="I82" s="30" t="n">
        <x:f>MAX(0,1-D82-J82)</x:f>
        <x:v>0</x:v>
      </x:c>
      <x:c r="J82" s="2" t="n">
        <x:f>(1-$E$40)*INDEX('Assumptions'!$I$65:$I$101,MIN(C82,36)+1)</x:f>
        <x:v>0.64</x:v>
      </x:c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</x:row>
    <x:row r="83" ht="19" customHeight="1">
      <x:c r="A83" s="1"/>
      <x:c r="B83" s="1"/>
      <x:c r="C83" s="2" t="n">
        <x:v>32</x:v>
      </x:c>
      <x:c r="D83" s="30" t="n">
        <x:f>$E$40*INDEX('Assumptions'!$F$65:$F$101,MIN(C83,36)+1)</x:f>
        <x:v>0.36</x:v>
      </x:c>
      <x:c r="E83" s="30" t="n">
        <x:f>(D83-D82)*H82</x:f>
        <x:v>0</x:v>
      </x:c>
      <x:c r="F83" s="30" t="n">
        <x:f>(1-D83-J82)*(H82-H83)+(J83-J82)*H83</x:f>
        <x:v>0</x:v>
      </x:c>
      <x:c r="G83" s="30" t="n">
        <x:f>SUM(E84:E147)</x:f>
        <x:v>0</x:v>
      </x:c>
      <x:c r="H83" s="30" t="n">
        <x:f>IF($E$42=0,1-MIN(C83,$E$43)/$E$43,((1+$E$42)^$E$43-(1+$E$42)^MIN(C83,$E$43))/((1+$E$42)^$E$43-1))</x:f>
        <x:v>0</x:v>
      </x:c>
      <x:c r="I83" s="30" t="n">
        <x:f>MAX(0,1-D83-J83)</x:f>
        <x:v>0</x:v>
      </x:c>
      <x:c r="J83" s="2" t="n">
        <x:f>(1-$E$40)*INDEX('Assumptions'!$I$65:$I$101,MIN(C83,36)+1)</x:f>
        <x:v>0.64</x:v>
      </x:c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</x:row>
    <x:row r="84" ht="19" customHeight="1">
      <x:c r="A84" s="1"/>
      <x:c r="B84" s="1"/>
      <x:c r="C84" s="2" t="n">
        <x:v>33</x:v>
      </x:c>
      <x:c r="D84" s="30" t="n">
        <x:f>$E$40*INDEX('Assumptions'!$F$65:$F$101,MIN(C84,36)+1)</x:f>
        <x:v>0.36</x:v>
      </x:c>
      <x:c r="E84" s="30" t="n">
        <x:f>(D84-D83)*H83</x:f>
        <x:v>0</x:v>
      </x:c>
      <x:c r="F84" s="30" t="n">
        <x:f>(1-D84-J83)*(H83-H84)+(J84-J83)*H84</x:f>
        <x:v>0</x:v>
      </x:c>
      <x:c r="G84" s="30" t="n">
        <x:f>SUM(E85:E147)</x:f>
        <x:v>0</x:v>
      </x:c>
      <x:c r="H84" s="30" t="n">
        <x:f>IF($E$42=0,1-MIN(C84,$E$43)/$E$43,((1+$E$42)^$E$43-(1+$E$42)^MIN(C84,$E$43))/((1+$E$42)^$E$43-1))</x:f>
        <x:v>0</x:v>
      </x:c>
      <x:c r="I84" s="30" t="n">
        <x:f>MAX(0,1-D84-J84)</x:f>
        <x:v>0</x:v>
      </x:c>
      <x:c r="J84" s="2" t="n">
        <x:f>(1-$E$40)*INDEX('Assumptions'!$I$65:$I$101,MIN(C84,36)+1)</x:f>
        <x:v>0.64</x:v>
      </x:c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</x:row>
    <x:row r="85" ht="19" customHeight="1">
      <x:c r="A85" s="1"/>
      <x:c r="B85" s="1"/>
      <x:c r="C85" s="2" t="n">
        <x:v>34</x:v>
      </x:c>
      <x:c r="D85" s="30" t="n">
        <x:f>$E$40*INDEX('Assumptions'!$F$65:$F$101,MIN(C85,36)+1)</x:f>
        <x:v>0.36</x:v>
      </x:c>
      <x:c r="E85" s="30" t="n">
        <x:f>(D85-D84)*H84</x:f>
        <x:v>0</x:v>
      </x:c>
      <x:c r="F85" s="30" t="n">
        <x:f>(1-D85-J84)*(H84-H85)+(J85-J84)*H85</x:f>
        <x:v>0</x:v>
      </x:c>
      <x:c r="G85" s="30" t="n">
        <x:f>SUM(E86:E147)</x:f>
        <x:v>0</x:v>
      </x:c>
      <x:c r="H85" s="30" t="n">
        <x:f>IF($E$42=0,1-MIN(C85,$E$43)/$E$43,((1+$E$42)^$E$43-(1+$E$42)^MIN(C85,$E$43))/((1+$E$42)^$E$43-1))</x:f>
        <x:v>0</x:v>
      </x:c>
      <x:c r="I85" s="30" t="n">
        <x:f>MAX(0,1-D85-J85)</x:f>
        <x:v>0</x:v>
      </x:c>
      <x:c r="J85" s="2" t="n">
        <x:f>(1-$E$40)*INDEX('Assumptions'!$I$65:$I$101,MIN(C85,36)+1)</x:f>
        <x:v>0.64</x:v>
      </x:c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</x:row>
    <x:row r="86" ht="19" customHeight="1">
      <x:c r="A86" s="1"/>
      <x:c r="B86" s="1"/>
      <x:c r="C86" s="2" t="n">
        <x:v>35</x:v>
      </x:c>
      <x:c r="D86" s="30" t="n">
        <x:f>$E$40*INDEX('Assumptions'!$F$65:$F$101,MIN(C86,36)+1)</x:f>
        <x:v>0.36</x:v>
      </x:c>
      <x:c r="E86" s="30" t="n">
        <x:f>(D86-D85)*H85</x:f>
        <x:v>0</x:v>
      </x:c>
      <x:c r="F86" s="30" t="n">
        <x:f>(1-D86-J85)*(H85-H86)+(J86-J85)*H86</x:f>
        <x:v>0</x:v>
      </x:c>
      <x:c r="G86" s="30" t="n">
        <x:f>SUM(E87:E147)</x:f>
        <x:v>0</x:v>
      </x:c>
      <x:c r="H86" s="30" t="n">
        <x:f>IF($E$42=0,1-MIN(C86,$E$43)/$E$43,((1+$E$42)^$E$43-(1+$E$42)^MIN(C86,$E$43))/((1+$E$42)^$E$43-1))</x:f>
        <x:v>0</x:v>
      </x:c>
      <x:c r="I86" s="30" t="n">
        <x:f>MAX(0,1-D86-J86)</x:f>
        <x:v>0</x:v>
      </x:c>
      <x:c r="J86" s="2" t="n">
        <x:f>(1-$E$40)*INDEX('Assumptions'!$I$65:$I$101,MIN(C86,36)+1)</x:f>
        <x:v>0.64</x:v>
      </x:c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</x:row>
    <x:row r="87" ht="19" customHeight="1">
      <x:c r="A87" s="1"/>
      <x:c r="B87" s="1"/>
      <x:c r="C87" s="2" t="n">
        <x:v>36</x:v>
      </x:c>
      <x:c r="D87" s="30" t="n">
        <x:f>$E$40*INDEX('Assumptions'!$F$65:$F$101,MIN(C87,36)+1)</x:f>
        <x:v>0.36</x:v>
      </x:c>
      <x:c r="E87" s="30" t="n">
        <x:f>(D87-D86)*H86</x:f>
        <x:v>0</x:v>
      </x:c>
      <x:c r="F87" s="30" t="n">
        <x:f>(1-D87-J86)*(H86-H87)+(J87-J86)*H87</x:f>
        <x:v>0</x:v>
      </x:c>
      <x:c r="G87" s="30" t="n">
        <x:f>SUM(E88:E147)</x:f>
        <x:v>0</x:v>
      </x:c>
      <x:c r="H87" s="30" t="n">
        <x:f>IF($E$42=0,1-MIN(C87,$E$43)/$E$43,((1+$E$42)^$E$43-(1+$E$42)^MIN(C87,$E$43))/((1+$E$42)^$E$43-1))</x:f>
        <x:v>0</x:v>
      </x:c>
      <x:c r="I87" s="30" t="n">
        <x:f>MAX(0,1-D87-J87)</x:f>
        <x:v>0</x:v>
      </x:c>
      <x:c r="J87" s="2" t="n">
        <x:f>(1-$E$40)*INDEX('Assumptions'!$I$65:$I$101,MIN(C87,36)+1)</x:f>
        <x:v>0.64</x:v>
      </x:c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</x:row>
    <x:row r="88" ht="19" customHeight="1">
      <x:c r="A88" s="1"/>
      <x:c r="B88" s="1"/>
      <x:c r="C88" s="2" t="n">
        <x:v>37</x:v>
      </x:c>
      <x:c r="D88" s="30" t="n">
        <x:f>$E$40*INDEX('Assumptions'!$F$65:$F$101,MIN(C88,36)+1)</x:f>
        <x:v>0.36</x:v>
      </x:c>
      <x:c r="E88" s="30" t="n">
        <x:f>(D88-D87)*H87</x:f>
        <x:v>0</x:v>
      </x:c>
      <x:c r="F88" s="30" t="n">
        <x:f>(1-D88-J87)*(H87-H88)+(J88-J87)*H88</x:f>
        <x:v>0</x:v>
      </x:c>
      <x:c r="G88" s="30" t="n">
        <x:f>SUM(E89:E147)</x:f>
        <x:v>0</x:v>
      </x:c>
      <x:c r="H88" s="30" t="n">
        <x:f>IF($E$42=0,1-MIN(C88,$E$43)/$E$43,((1+$E$42)^$E$43-(1+$E$42)^MIN(C88,$E$43))/((1+$E$42)^$E$43-1))</x:f>
        <x:v>0</x:v>
      </x:c>
      <x:c r="I88" s="30" t="n">
        <x:f>MAX(0,1-D88-J88)</x:f>
        <x:v>0</x:v>
      </x:c>
      <x:c r="J88" s="2" t="n">
        <x:f>(1-$E$40)*INDEX('Assumptions'!$I$65:$I$101,MIN(C88,36)+1)</x:f>
        <x:v>0.64</x:v>
      </x:c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</x:row>
    <x:row r="89" ht="19" customHeight="1">
      <x:c r="A89" s="1"/>
      <x:c r="B89" s="1"/>
      <x:c r="C89" s="2" t="n">
        <x:v>38</x:v>
      </x:c>
      <x:c r="D89" s="30" t="n">
        <x:f>$E$40*INDEX('Assumptions'!$F$65:$F$101,MIN(C89,36)+1)</x:f>
        <x:v>0.36</x:v>
      </x:c>
      <x:c r="E89" s="30" t="n">
        <x:f>(D89-D88)*H88</x:f>
        <x:v>0</x:v>
      </x:c>
      <x:c r="F89" s="30" t="n">
        <x:f>(1-D89-J88)*(H88-H89)+(J89-J88)*H89</x:f>
        <x:v>0</x:v>
      </x:c>
      <x:c r="G89" s="30" t="n">
        <x:f>SUM(E90:E147)</x:f>
        <x:v>0</x:v>
      </x:c>
      <x:c r="H89" s="30" t="n">
        <x:f>IF($E$42=0,1-MIN(C89,$E$43)/$E$43,((1+$E$42)^$E$43-(1+$E$42)^MIN(C89,$E$43))/((1+$E$42)^$E$43-1))</x:f>
        <x:v>0</x:v>
      </x:c>
      <x:c r="I89" s="30" t="n">
        <x:f>MAX(0,1-D89-J89)</x:f>
        <x:v>0</x:v>
      </x:c>
      <x:c r="J89" s="2" t="n">
        <x:f>(1-$E$40)*INDEX('Assumptions'!$I$65:$I$101,MIN(C89,36)+1)</x:f>
        <x:v>0.64</x:v>
      </x:c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</x:row>
    <x:row r="90" ht="19" customHeight="1">
      <x:c r="A90" s="1"/>
      <x:c r="B90" s="1"/>
      <x:c r="C90" s="2" t="n">
        <x:v>39</x:v>
      </x:c>
      <x:c r="D90" s="30" t="n">
        <x:f>$E$40*INDEX('Assumptions'!$F$65:$F$101,MIN(C90,36)+1)</x:f>
        <x:v>0.36</x:v>
      </x:c>
      <x:c r="E90" s="30" t="n">
        <x:f>(D90-D89)*H89</x:f>
        <x:v>0</x:v>
      </x:c>
      <x:c r="F90" s="30" t="n">
        <x:f>(1-D90-J89)*(H89-H90)+(J90-J89)*H90</x:f>
        <x:v>0</x:v>
      </x:c>
      <x:c r="G90" s="30" t="n">
        <x:f>SUM(E91:E147)</x:f>
        <x:v>0</x:v>
      </x:c>
      <x:c r="H90" s="30" t="n">
        <x:f>IF($E$42=0,1-MIN(C90,$E$43)/$E$43,((1+$E$42)^$E$43-(1+$E$42)^MIN(C90,$E$43))/((1+$E$42)^$E$43-1))</x:f>
        <x:v>0</x:v>
      </x:c>
      <x:c r="I90" s="30" t="n">
        <x:f>MAX(0,1-D90-J90)</x:f>
        <x:v>0</x:v>
      </x:c>
      <x:c r="J90" s="2" t="n">
        <x:f>(1-$E$40)*INDEX('Assumptions'!$I$65:$I$101,MIN(C90,36)+1)</x:f>
        <x:v>0.64</x:v>
      </x:c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</x:row>
    <x:row r="91" ht="19" customHeight="1">
      <x:c r="A91" s="1"/>
      <x:c r="B91" s="1"/>
      <x:c r="C91" s="2" t="n">
        <x:v>40</x:v>
      </x:c>
      <x:c r="D91" s="30" t="n">
        <x:f>$E$40*INDEX('Assumptions'!$F$65:$F$101,MIN(C91,36)+1)</x:f>
        <x:v>0.36</x:v>
      </x:c>
      <x:c r="E91" s="30" t="n">
        <x:f>(D91-D90)*H90</x:f>
        <x:v>0</x:v>
      </x:c>
      <x:c r="F91" s="30" t="n">
        <x:f>(1-D91-J90)*(H90-H91)+(J91-J90)*H91</x:f>
        <x:v>0</x:v>
      </x:c>
      <x:c r="G91" s="30" t="n">
        <x:f>SUM(E92:E147)</x:f>
        <x:v>0</x:v>
      </x:c>
      <x:c r="H91" s="30" t="n">
        <x:f>IF($E$42=0,1-MIN(C91,$E$43)/$E$43,((1+$E$42)^$E$43-(1+$E$42)^MIN(C91,$E$43))/((1+$E$42)^$E$43-1))</x:f>
        <x:v>0</x:v>
      </x:c>
      <x:c r="I91" s="30" t="n">
        <x:f>MAX(0,1-D91-J91)</x:f>
        <x:v>0</x:v>
      </x:c>
      <x:c r="J91" s="2" t="n">
        <x:f>(1-$E$40)*INDEX('Assumptions'!$I$65:$I$101,MIN(C91,36)+1)</x:f>
        <x:v>0.64</x:v>
      </x:c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</x:row>
    <x:row r="92" ht="19" customHeight="1">
      <x:c r="A92" s="1"/>
      <x:c r="B92" s="1"/>
      <x:c r="C92" s="2" t="n">
        <x:v>41</x:v>
      </x:c>
      <x:c r="D92" s="30" t="n">
        <x:f>$E$40*INDEX('Assumptions'!$F$65:$F$101,MIN(C92,36)+1)</x:f>
        <x:v>0.36</x:v>
      </x:c>
      <x:c r="E92" s="30" t="n">
        <x:f>(D92-D91)*H91</x:f>
        <x:v>0</x:v>
      </x:c>
      <x:c r="F92" s="30" t="n">
        <x:f>(1-D92-J91)*(H91-H92)+(J92-J91)*H92</x:f>
        <x:v>0</x:v>
      </x:c>
      <x:c r="G92" s="30" t="n">
        <x:f>SUM(E93:E147)</x:f>
        <x:v>0</x:v>
      </x:c>
      <x:c r="H92" s="30" t="n">
        <x:f>IF($E$42=0,1-MIN(C92,$E$43)/$E$43,((1+$E$42)^$E$43-(1+$E$42)^MIN(C92,$E$43))/((1+$E$42)^$E$43-1))</x:f>
        <x:v>0</x:v>
      </x:c>
      <x:c r="I92" s="30" t="n">
        <x:f>MAX(0,1-D92-J92)</x:f>
        <x:v>0</x:v>
      </x:c>
      <x:c r="J92" s="2" t="n">
        <x:f>(1-$E$40)*INDEX('Assumptions'!$I$65:$I$101,MIN(C92,36)+1)</x:f>
        <x:v>0.64</x:v>
      </x:c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</x:row>
    <x:row r="93" ht="19" customHeight="1">
      <x:c r="A93" s="1"/>
      <x:c r="B93" s="1"/>
      <x:c r="C93" s="2" t="n">
        <x:v>42</x:v>
      </x:c>
      <x:c r="D93" s="30" t="n">
        <x:f>$E$40*INDEX('Assumptions'!$F$65:$F$101,MIN(C93,36)+1)</x:f>
        <x:v>0.36</x:v>
      </x:c>
      <x:c r="E93" s="30" t="n">
        <x:f>(D93-D92)*H92</x:f>
        <x:v>0</x:v>
      </x:c>
      <x:c r="F93" s="30" t="n">
        <x:f>(1-D93-J92)*(H92-H93)+(J93-J92)*H93</x:f>
        <x:v>0</x:v>
      </x:c>
      <x:c r="G93" s="30" t="n">
        <x:f>SUM(E94:E147)</x:f>
        <x:v>0</x:v>
      </x:c>
      <x:c r="H93" s="30" t="n">
        <x:f>IF($E$42=0,1-MIN(C93,$E$43)/$E$43,((1+$E$42)^$E$43-(1+$E$42)^MIN(C93,$E$43))/((1+$E$42)^$E$43-1))</x:f>
        <x:v>0</x:v>
      </x:c>
      <x:c r="I93" s="30" t="n">
        <x:f>MAX(0,1-D93-J93)</x:f>
        <x:v>0</x:v>
      </x:c>
      <x:c r="J93" s="2" t="n">
        <x:f>(1-$E$40)*INDEX('Assumptions'!$I$65:$I$101,MIN(C93,36)+1)</x:f>
        <x:v>0.64</x:v>
      </x:c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</x:row>
    <x:row r="94" ht="19" customHeight="1">
      <x:c r="A94" s="1"/>
      <x:c r="B94" s="1"/>
      <x:c r="C94" s="2" t="n">
        <x:v>43</x:v>
      </x:c>
      <x:c r="D94" s="30" t="n">
        <x:f>$E$40*INDEX('Assumptions'!$F$65:$F$101,MIN(C94,36)+1)</x:f>
        <x:v>0.36</x:v>
      </x:c>
      <x:c r="E94" s="30" t="n">
        <x:f>(D94-D93)*H93</x:f>
        <x:v>0</x:v>
      </x:c>
      <x:c r="F94" s="30" t="n">
        <x:f>(1-D94-J93)*(H93-H94)+(J94-J93)*H94</x:f>
        <x:v>0</x:v>
      </x:c>
      <x:c r="G94" s="30" t="n">
        <x:f>SUM(E95:E147)</x:f>
        <x:v>0</x:v>
      </x:c>
      <x:c r="H94" s="30" t="n">
        <x:f>IF($E$42=0,1-MIN(C94,$E$43)/$E$43,((1+$E$42)^$E$43-(1+$E$42)^MIN(C94,$E$43))/((1+$E$42)^$E$43-1))</x:f>
        <x:v>0</x:v>
      </x:c>
      <x:c r="I94" s="30" t="n">
        <x:f>MAX(0,1-D94-J94)</x:f>
        <x:v>0</x:v>
      </x:c>
      <x:c r="J94" s="2" t="n">
        <x:f>(1-$E$40)*INDEX('Assumptions'!$I$65:$I$101,MIN(C94,36)+1)</x:f>
        <x:v>0.64</x:v>
      </x:c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</x:row>
    <x:row r="95" ht="19" customHeight="1">
      <x:c r="A95" s="1"/>
      <x:c r="B95" s="1"/>
      <x:c r="C95" s="2" t="n">
        <x:v>44</x:v>
      </x:c>
      <x:c r="D95" s="30" t="n">
        <x:f>$E$40*INDEX('Assumptions'!$F$65:$F$101,MIN(C95,36)+1)</x:f>
        <x:v>0.36</x:v>
      </x:c>
      <x:c r="E95" s="30" t="n">
        <x:f>(D95-D94)*H94</x:f>
        <x:v>0</x:v>
      </x:c>
      <x:c r="F95" s="30" t="n">
        <x:f>(1-D95-J94)*(H94-H95)+(J95-J94)*H95</x:f>
        <x:v>0</x:v>
      </x:c>
      <x:c r="G95" s="30" t="n">
        <x:f>SUM(E96:E147)</x:f>
        <x:v>0</x:v>
      </x:c>
      <x:c r="H95" s="30" t="n">
        <x:f>IF($E$42=0,1-MIN(C95,$E$43)/$E$43,((1+$E$42)^$E$43-(1+$E$42)^MIN(C95,$E$43))/((1+$E$42)^$E$43-1))</x:f>
        <x:v>0</x:v>
      </x:c>
      <x:c r="I95" s="30" t="n">
        <x:f>MAX(0,1-D95-J95)</x:f>
        <x:v>0</x:v>
      </x:c>
      <x:c r="J95" s="2" t="n">
        <x:f>(1-$E$40)*INDEX('Assumptions'!$I$65:$I$101,MIN(C95,36)+1)</x:f>
        <x:v>0.64</x:v>
      </x:c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</x:row>
    <x:row r="96" ht="19" customHeight="1">
      <x:c r="A96" s="1"/>
      <x:c r="B96" s="1"/>
      <x:c r="C96" s="2" t="n">
        <x:v>45</x:v>
      </x:c>
      <x:c r="D96" s="30" t="n">
        <x:f>$E$40*INDEX('Assumptions'!$F$65:$F$101,MIN(C96,36)+1)</x:f>
        <x:v>0.36</x:v>
      </x:c>
      <x:c r="E96" s="30" t="n">
        <x:f>(D96-D95)*H95</x:f>
        <x:v>0</x:v>
      </x:c>
      <x:c r="F96" s="30" t="n">
        <x:f>(1-D96-J95)*(H95-H96)+(J96-J95)*H96</x:f>
        <x:v>0</x:v>
      </x:c>
      <x:c r="G96" s="30" t="n">
        <x:f>SUM(E97:E147)</x:f>
        <x:v>0</x:v>
      </x:c>
      <x:c r="H96" s="30" t="n">
        <x:f>IF($E$42=0,1-MIN(C96,$E$43)/$E$43,((1+$E$42)^$E$43-(1+$E$42)^MIN(C96,$E$43))/((1+$E$42)^$E$43-1))</x:f>
        <x:v>0</x:v>
      </x:c>
      <x:c r="I96" s="30" t="n">
        <x:f>MAX(0,1-D96-J96)</x:f>
        <x:v>0</x:v>
      </x:c>
      <x:c r="J96" s="2" t="n">
        <x:f>(1-$E$40)*INDEX('Assumptions'!$I$65:$I$101,MIN(C96,36)+1)</x:f>
        <x:v>0.64</x:v>
      </x:c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</x:row>
    <x:row r="97" ht="19" customHeight="1">
      <x:c r="A97" s="1"/>
      <x:c r="B97" s="1"/>
      <x:c r="C97" s="2" t="n">
        <x:v>46</x:v>
      </x:c>
      <x:c r="D97" s="30" t="n">
        <x:f>$E$40*INDEX('Assumptions'!$F$65:$F$101,MIN(C97,36)+1)</x:f>
        <x:v>0.36</x:v>
      </x:c>
      <x:c r="E97" s="30" t="n">
        <x:f>(D97-D96)*H96</x:f>
        <x:v>0</x:v>
      </x:c>
      <x:c r="F97" s="30" t="n">
        <x:f>(1-D97-J96)*(H96-H97)+(J97-J96)*H97</x:f>
        <x:v>0</x:v>
      </x:c>
      <x:c r="G97" s="30" t="n">
        <x:f>SUM(E98:E147)</x:f>
        <x:v>0</x:v>
      </x:c>
      <x:c r="H97" s="30" t="n">
        <x:f>IF($E$42=0,1-MIN(C97,$E$43)/$E$43,((1+$E$42)^$E$43-(1+$E$42)^MIN(C97,$E$43))/((1+$E$42)^$E$43-1))</x:f>
        <x:v>0</x:v>
      </x:c>
      <x:c r="I97" s="30" t="n">
        <x:f>MAX(0,1-D97-J97)</x:f>
        <x:v>0</x:v>
      </x:c>
      <x:c r="J97" s="2" t="n">
        <x:f>(1-$E$40)*INDEX('Assumptions'!$I$65:$I$101,MIN(C97,36)+1)</x:f>
        <x:v>0.64</x:v>
      </x:c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</x:row>
    <x:row r="98" ht="19" customHeight="1">
      <x:c r="A98" s="1"/>
      <x:c r="B98" s="1"/>
      <x:c r="C98" s="2" t="n">
        <x:v>47</x:v>
      </x:c>
      <x:c r="D98" s="30" t="n">
        <x:f>$E$40*INDEX('Assumptions'!$F$65:$F$101,MIN(C98,36)+1)</x:f>
        <x:v>0.36</x:v>
      </x:c>
      <x:c r="E98" s="30" t="n">
        <x:f>(D98-D97)*H97</x:f>
        <x:v>0</x:v>
      </x:c>
      <x:c r="F98" s="30" t="n">
        <x:f>(1-D98-J97)*(H97-H98)+(J98-J97)*H98</x:f>
        <x:v>0</x:v>
      </x:c>
      <x:c r="G98" s="30" t="n">
        <x:f>SUM(E99:E147)</x:f>
        <x:v>0</x:v>
      </x:c>
      <x:c r="H98" s="30" t="n">
        <x:f>IF($E$42=0,1-MIN(C98,$E$43)/$E$43,((1+$E$42)^$E$43-(1+$E$42)^MIN(C98,$E$43))/((1+$E$42)^$E$43-1))</x:f>
        <x:v>0</x:v>
      </x:c>
      <x:c r="I98" s="30" t="n">
        <x:f>MAX(0,1-D98-J98)</x:f>
        <x:v>0</x:v>
      </x:c>
      <x:c r="J98" s="2" t="n">
        <x:f>(1-$E$40)*INDEX('Assumptions'!$I$65:$I$101,MIN(C98,36)+1)</x:f>
        <x:v>0.64</x:v>
      </x:c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</x:row>
    <x:row r="99" ht="19" customHeight="1">
      <x:c r="A99" s="1"/>
      <x:c r="B99" s="1"/>
      <x:c r="C99" s="2" t="n">
        <x:v>48</x:v>
      </x:c>
      <x:c r="D99" s="30" t="n">
        <x:f>$E$40*INDEX('Assumptions'!$F$65:$F$101,MIN(C99,36)+1)</x:f>
        <x:v>0.36</x:v>
      </x:c>
      <x:c r="E99" s="30" t="n">
        <x:f>(D99-D98)*H98</x:f>
        <x:v>0</x:v>
      </x:c>
      <x:c r="F99" s="30" t="n">
        <x:f>(1-D99-J98)*(H98-H99)+(J99-J98)*H99</x:f>
        <x:v>0</x:v>
      </x:c>
      <x:c r="G99" s="30" t="n">
        <x:f>SUM(E100:E147)</x:f>
        <x:v>0</x:v>
      </x:c>
      <x:c r="H99" s="30" t="n">
        <x:f>IF($E$42=0,1-MIN(C99,$E$43)/$E$43,((1+$E$42)^$E$43-(1+$E$42)^MIN(C99,$E$43))/((1+$E$42)^$E$43-1))</x:f>
        <x:v>0</x:v>
      </x:c>
      <x:c r="I99" s="30" t="n">
        <x:f>MAX(0,1-D99-J99)</x:f>
        <x:v>0</x:v>
      </x:c>
      <x:c r="J99" s="2" t="n">
        <x:f>(1-$E$40)*INDEX('Assumptions'!$I$65:$I$101,MIN(C99,36)+1)</x:f>
        <x:v>0.64</x:v>
      </x:c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</x:row>
    <x:row r="100" ht="19" customHeight="1">
      <x:c r="A100" s="1"/>
      <x:c r="B100" s="1"/>
      <x:c r="C100" s="2" t="n">
        <x:v>49</x:v>
      </x:c>
      <x:c r="D100" s="30" t="n">
        <x:f>$E$40*INDEX('Assumptions'!$F$65:$F$101,MIN(C100,36)+1)</x:f>
        <x:v>0.36</x:v>
      </x:c>
      <x:c r="E100" s="30" t="n">
        <x:f>(D100-D99)*H99</x:f>
        <x:v>0</x:v>
      </x:c>
      <x:c r="F100" s="30" t="n">
        <x:f>(1-D100-J99)*(H99-H100)+(J100-J99)*H100</x:f>
        <x:v>0</x:v>
      </x:c>
      <x:c r="G100" s="30" t="n">
        <x:f>SUM(E101:E147)</x:f>
        <x:v>0</x:v>
      </x:c>
      <x:c r="H100" s="30" t="n">
        <x:f>IF($E$42=0,1-MIN(C100,$E$43)/$E$43,((1+$E$42)^$E$43-(1+$E$42)^MIN(C100,$E$43))/((1+$E$42)^$E$43-1))</x:f>
        <x:v>0</x:v>
      </x:c>
      <x:c r="I100" s="30" t="n">
        <x:f>MAX(0,1-D100-J100)</x:f>
        <x:v>0</x:v>
      </x:c>
      <x:c r="J100" s="2" t="n">
        <x:f>(1-$E$40)*INDEX('Assumptions'!$I$65:$I$101,MIN(C100,36)+1)</x:f>
        <x:v>0.64</x:v>
      </x:c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</x:row>
    <x:row r="101" ht="19" customHeight="1">
      <x:c r="A101" s="1"/>
      <x:c r="B101" s="1"/>
      <x:c r="C101" s="2" t="n">
        <x:v>50</x:v>
      </x:c>
      <x:c r="D101" s="30" t="n">
        <x:f>$E$40*INDEX('Assumptions'!$F$65:$F$101,MIN(C101,36)+1)</x:f>
        <x:v>0.36</x:v>
      </x:c>
      <x:c r="E101" s="30" t="n">
        <x:f>(D101-D100)*H100</x:f>
        <x:v>0</x:v>
      </x:c>
      <x:c r="F101" s="30" t="n">
        <x:f>(1-D101-J100)*(H100-H101)+(J101-J100)*H101</x:f>
        <x:v>0</x:v>
      </x:c>
      <x:c r="G101" s="30" t="n">
        <x:f>SUM(E102:E147)</x:f>
        <x:v>0</x:v>
      </x:c>
      <x:c r="H101" s="30" t="n">
        <x:f>IF($E$42=0,1-MIN(C101,$E$43)/$E$43,((1+$E$42)^$E$43-(1+$E$42)^MIN(C101,$E$43))/((1+$E$42)^$E$43-1))</x:f>
        <x:v>0</x:v>
      </x:c>
      <x:c r="I101" s="30" t="n">
        <x:f>MAX(0,1-D101-J101)</x:f>
        <x:v>0</x:v>
      </x:c>
      <x:c r="J101" s="2" t="n">
        <x:f>(1-$E$40)*INDEX('Assumptions'!$I$65:$I$101,MIN(C101,36)+1)</x:f>
        <x:v>0.64</x:v>
      </x:c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</x:row>
    <x:row r="102" ht="19" customHeight="1">
      <x:c r="A102" s="1"/>
      <x:c r="B102" s="1"/>
      <x:c r="C102" s="2" t="n">
        <x:v>51</x:v>
      </x:c>
      <x:c r="D102" s="30" t="n">
        <x:f>$E$40*INDEX('Assumptions'!$F$65:$F$101,MIN(C102,36)+1)</x:f>
        <x:v>0.36</x:v>
      </x:c>
      <x:c r="E102" s="30" t="n">
        <x:f>(D102-D101)*H101</x:f>
        <x:v>0</x:v>
      </x:c>
      <x:c r="F102" s="30" t="n">
        <x:f>(1-D102-J101)*(H101-H102)+(J102-J101)*H102</x:f>
        <x:v>0</x:v>
      </x:c>
      <x:c r="G102" s="30" t="n">
        <x:f>SUM(E103:E147)</x:f>
        <x:v>0</x:v>
      </x:c>
      <x:c r="H102" s="30" t="n">
        <x:f>IF($E$42=0,1-MIN(C102,$E$43)/$E$43,((1+$E$42)^$E$43-(1+$E$42)^MIN(C102,$E$43))/((1+$E$42)^$E$43-1))</x:f>
        <x:v>0</x:v>
      </x:c>
      <x:c r="I102" s="30" t="n">
        <x:f>MAX(0,1-D102-J102)</x:f>
        <x:v>0</x:v>
      </x:c>
      <x:c r="J102" s="2" t="n">
        <x:f>(1-$E$40)*INDEX('Assumptions'!$I$65:$I$101,MIN(C102,36)+1)</x:f>
        <x:v>0.64</x:v>
      </x:c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</x:row>
    <x:row r="103" ht="19" customHeight="1">
      <x:c r="A103" s="1"/>
      <x:c r="B103" s="1"/>
      <x:c r="C103" s="2" t="n">
        <x:v>52</x:v>
      </x:c>
      <x:c r="D103" s="30" t="n">
        <x:f>$E$40*INDEX('Assumptions'!$F$65:$F$101,MIN(C103,36)+1)</x:f>
        <x:v>0.36</x:v>
      </x:c>
      <x:c r="E103" s="30" t="n">
        <x:f>(D103-D102)*H102</x:f>
        <x:v>0</x:v>
      </x:c>
      <x:c r="F103" s="30" t="n">
        <x:f>(1-D103-J102)*(H102-H103)+(J103-J102)*H103</x:f>
        <x:v>0</x:v>
      </x:c>
      <x:c r="G103" s="30" t="n">
        <x:f>SUM(E104:E147)</x:f>
        <x:v>0</x:v>
      </x:c>
      <x:c r="H103" s="30" t="n">
        <x:f>IF($E$42=0,1-MIN(C103,$E$43)/$E$43,((1+$E$42)^$E$43-(1+$E$42)^MIN(C103,$E$43))/((1+$E$42)^$E$43-1))</x:f>
        <x:v>0</x:v>
      </x:c>
      <x:c r="I103" s="30" t="n">
        <x:f>MAX(0,1-D103-J103)</x:f>
        <x:v>0</x:v>
      </x:c>
      <x:c r="J103" s="2" t="n">
        <x:f>(1-$E$40)*INDEX('Assumptions'!$I$65:$I$101,MIN(C103,36)+1)</x:f>
        <x:v>0.64</x:v>
      </x:c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</x:row>
    <x:row r="104" ht="19" customHeight="1">
      <x:c r="A104" s="1"/>
      <x:c r="B104" s="1"/>
      <x:c r="C104" s="2" t="n">
        <x:v>53</x:v>
      </x:c>
      <x:c r="D104" s="30" t="n">
        <x:f>$E$40*INDEX('Assumptions'!$F$65:$F$101,MIN(C104,36)+1)</x:f>
        <x:v>0.36</x:v>
      </x:c>
      <x:c r="E104" s="30" t="n">
        <x:f>(D104-D103)*H103</x:f>
        <x:v>0</x:v>
      </x:c>
      <x:c r="F104" s="30" t="n">
        <x:f>(1-D104-J103)*(H103-H104)+(J104-J103)*H104</x:f>
        <x:v>0</x:v>
      </x:c>
      <x:c r="G104" s="30" t="n">
        <x:f>SUM(E105:E147)</x:f>
        <x:v>0</x:v>
      </x:c>
      <x:c r="H104" s="30" t="n">
        <x:f>IF($E$42=0,1-MIN(C104,$E$43)/$E$43,((1+$E$42)^$E$43-(1+$E$42)^MIN(C104,$E$43))/((1+$E$42)^$E$43-1))</x:f>
        <x:v>0</x:v>
      </x:c>
      <x:c r="I104" s="30" t="n">
        <x:f>MAX(0,1-D104-J104)</x:f>
        <x:v>0</x:v>
      </x:c>
      <x:c r="J104" s="2" t="n">
        <x:f>(1-$E$40)*INDEX('Assumptions'!$I$65:$I$101,MIN(C104,36)+1)</x:f>
        <x:v>0.64</x:v>
      </x:c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</x:row>
    <x:row r="105" ht="19" customHeight="1">
      <x:c r="A105" s="1"/>
      <x:c r="B105" s="1"/>
      <x:c r="C105" s="2" t="n">
        <x:v>54</x:v>
      </x:c>
      <x:c r="D105" s="30" t="n">
        <x:f>$E$40*INDEX('Assumptions'!$F$65:$F$101,MIN(C105,36)+1)</x:f>
        <x:v>0.36</x:v>
      </x:c>
      <x:c r="E105" s="30" t="n">
        <x:f>(D105-D104)*H104</x:f>
        <x:v>0</x:v>
      </x:c>
      <x:c r="F105" s="30" t="n">
        <x:f>(1-D105-J104)*(H104-H105)+(J105-J104)*H105</x:f>
        <x:v>0</x:v>
      </x:c>
      <x:c r="G105" s="30" t="n">
        <x:f>SUM(E106:E147)</x:f>
        <x:v>0</x:v>
      </x:c>
      <x:c r="H105" s="30" t="n">
        <x:f>IF($E$42=0,1-MIN(C105,$E$43)/$E$43,((1+$E$42)^$E$43-(1+$E$42)^MIN(C105,$E$43))/((1+$E$42)^$E$43-1))</x:f>
        <x:v>0</x:v>
      </x:c>
      <x:c r="I105" s="30" t="n">
        <x:f>MAX(0,1-D105-J105)</x:f>
        <x:v>0</x:v>
      </x:c>
      <x:c r="J105" s="2" t="n">
        <x:f>(1-$E$40)*INDEX('Assumptions'!$I$65:$I$101,MIN(C105,36)+1)</x:f>
        <x:v>0.64</x:v>
      </x:c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</x:row>
    <x:row r="106" ht="19" customHeight="1">
      <x:c r="A106" s="1"/>
      <x:c r="B106" s="1"/>
      <x:c r="C106" s="2" t="n">
        <x:v>55</x:v>
      </x:c>
      <x:c r="D106" s="30" t="n">
        <x:f>$E$40*INDEX('Assumptions'!$F$65:$F$101,MIN(C106,36)+1)</x:f>
        <x:v>0.36</x:v>
      </x:c>
      <x:c r="E106" s="30" t="n">
        <x:f>(D106-D105)*H105</x:f>
        <x:v>0</x:v>
      </x:c>
      <x:c r="F106" s="30" t="n">
        <x:f>(1-D106-J105)*(H105-H106)+(J106-J105)*H106</x:f>
        <x:v>0</x:v>
      </x:c>
      <x:c r="G106" s="30" t="n">
        <x:f>SUM(E107:E147)</x:f>
        <x:v>0</x:v>
      </x:c>
      <x:c r="H106" s="30" t="n">
        <x:f>IF($E$42=0,1-MIN(C106,$E$43)/$E$43,((1+$E$42)^$E$43-(1+$E$42)^MIN(C106,$E$43))/((1+$E$42)^$E$43-1))</x:f>
        <x:v>0</x:v>
      </x:c>
      <x:c r="I106" s="30" t="n">
        <x:f>MAX(0,1-D106-J106)</x:f>
        <x:v>0</x:v>
      </x:c>
      <x:c r="J106" s="2" t="n">
        <x:f>(1-$E$40)*INDEX('Assumptions'!$I$65:$I$101,MIN(C106,36)+1)</x:f>
        <x:v>0.64</x:v>
      </x:c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</x:row>
    <x:row r="107" ht="19" customHeight="1">
      <x:c r="A107" s="1"/>
      <x:c r="B107" s="1"/>
      <x:c r="C107" s="2" t="n">
        <x:v>56</x:v>
      </x:c>
      <x:c r="D107" s="30" t="n">
        <x:f>$E$40*INDEX('Assumptions'!$F$65:$F$101,MIN(C107,36)+1)</x:f>
        <x:v>0.36</x:v>
      </x:c>
      <x:c r="E107" s="30" t="n">
        <x:f>(D107-D106)*H106</x:f>
        <x:v>0</x:v>
      </x:c>
      <x:c r="F107" s="30" t="n">
        <x:f>(1-D107-J106)*(H106-H107)+(J107-J106)*H107</x:f>
        <x:v>0</x:v>
      </x:c>
      <x:c r="G107" s="30" t="n">
        <x:f>SUM(E108:E147)</x:f>
        <x:v>0</x:v>
      </x:c>
      <x:c r="H107" s="30" t="n">
        <x:f>IF($E$42=0,1-MIN(C107,$E$43)/$E$43,((1+$E$42)^$E$43-(1+$E$42)^MIN(C107,$E$43))/((1+$E$42)^$E$43-1))</x:f>
        <x:v>0</x:v>
      </x:c>
      <x:c r="I107" s="30" t="n">
        <x:f>MAX(0,1-D107-J107)</x:f>
        <x:v>0</x:v>
      </x:c>
      <x:c r="J107" s="2" t="n">
        <x:f>(1-$E$40)*INDEX('Assumptions'!$I$65:$I$101,MIN(C107,36)+1)</x:f>
        <x:v>0.64</x:v>
      </x:c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</x:row>
    <x:row r="108" ht="19" customHeight="1">
      <x:c r="A108" s="1"/>
      <x:c r="B108" s="1"/>
      <x:c r="C108" s="2" t="n">
        <x:v>57</x:v>
      </x:c>
      <x:c r="D108" s="30" t="n">
        <x:f>$E$40*INDEX('Assumptions'!$F$65:$F$101,MIN(C108,36)+1)</x:f>
        <x:v>0.36</x:v>
      </x:c>
      <x:c r="E108" s="30" t="n">
        <x:f>(D108-D107)*H107</x:f>
        <x:v>0</x:v>
      </x:c>
      <x:c r="F108" s="30" t="n">
        <x:f>(1-D108-J107)*(H107-H108)+(J108-J107)*H108</x:f>
        <x:v>0</x:v>
      </x:c>
      <x:c r="G108" s="30" t="n">
        <x:f>SUM(E109:E147)</x:f>
        <x:v>0</x:v>
      </x:c>
      <x:c r="H108" s="30" t="n">
        <x:f>IF($E$42=0,1-MIN(C108,$E$43)/$E$43,((1+$E$42)^$E$43-(1+$E$42)^MIN(C108,$E$43))/((1+$E$42)^$E$43-1))</x:f>
        <x:v>0</x:v>
      </x:c>
      <x:c r="I108" s="30" t="n">
        <x:f>MAX(0,1-D108-J108)</x:f>
        <x:v>0</x:v>
      </x:c>
      <x:c r="J108" s="2" t="n">
        <x:f>(1-$E$40)*INDEX('Assumptions'!$I$65:$I$101,MIN(C108,36)+1)</x:f>
        <x:v>0.64</x:v>
      </x:c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</x:row>
    <x:row r="109" ht="19" customHeight="1">
      <x:c r="A109" s="1"/>
      <x:c r="B109" s="1"/>
      <x:c r="C109" s="2" t="n">
        <x:v>58</x:v>
      </x:c>
      <x:c r="D109" s="30" t="n">
        <x:f>$E$40*INDEX('Assumptions'!$F$65:$F$101,MIN(C109,36)+1)</x:f>
        <x:v>0.36</x:v>
      </x:c>
      <x:c r="E109" s="30" t="n">
        <x:f>(D109-D108)*H108</x:f>
        <x:v>0</x:v>
      </x:c>
      <x:c r="F109" s="30" t="n">
        <x:f>(1-D109-J108)*(H108-H109)+(J109-J108)*H109</x:f>
        <x:v>0</x:v>
      </x:c>
      <x:c r="G109" s="30" t="n">
        <x:f>SUM(E110:E147)</x:f>
        <x:v>0</x:v>
      </x:c>
      <x:c r="H109" s="30" t="n">
        <x:f>IF($E$42=0,1-MIN(C109,$E$43)/$E$43,((1+$E$42)^$E$43-(1+$E$42)^MIN(C109,$E$43))/((1+$E$42)^$E$43-1))</x:f>
        <x:v>0</x:v>
      </x:c>
      <x:c r="I109" s="30" t="n">
        <x:f>MAX(0,1-D109-J109)</x:f>
        <x:v>0</x:v>
      </x:c>
      <x:c r="J109" s="2" t="n">
        <x:f>(1-$E$40)*INDEX('Assumptions'!$I$65:$I$101,MIN(C109,36)+1)</x:f>
        <x:v>0.64</x:v>
      </x:c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</x:row>
    <x:row r="110" ht="19" customHeight="1">
      <x:c r="A110" s="1"/>
      <x:c r="B110" s="1"/>
      <x:c r="C110" s="2" t="n">
        <x:v>59</x:v>
      </x:c>
      <x:c r="D110" s="30" t="n">
        <x:f>$E$40*INDEX('Assumptions'!$F$65:$F$101,MIN(C110,36)+1)</x:f>
        <x:v>0.36</x:v>
      </x:c>
      <x:c r="E110" s="30" t="n">
        <x:f>(D110-D109)*H109</x:f>
        <x:v>0</x:v>
      </x:c>
      <x:c r="F110" s="30" t="n">
        <x:f>(1-D110-J109)*(H109-H110)+(J110-J109)*H110</x:f>
        <x:v>0</x:v>
      </x:c>
      <x:c r="G110" s="30" t="n">
        <x:f>SUM(E111:E147)</x:f>
        <x:v>0</x:v>
      </x:c>
      <x:c r="H110" s="30" t="n">
        <x:f>IF($E$42=0,1-MIN(C110,$E$43)/$E$43,((1+$E$42)^$E$43-(1+$E$42)^MIN(C110,$E$43))/((1+$E$42)^$E$43-1))</x:f>
        <x:v>0</x:v>
      </x:c>
      <x:c r="I110" s="30" t="n">
        <x:f>MAX(0,1-D110-J110)</x:f>
        <x:v>0</x:v>
      </x:c>
      <x:c r="J110" s="2" t="n">
        <x:f>(1-$E$40)*INDEX('Assumptions'!$I$65:$I$101,MIN(C110,36)+1)</x:f>
        <x:v>0.64</x:v>
      </x:c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</x:row>
    <x:row r="111" ht="19" customHeight="1">
      <x:c r="A111" s="1"/>
      <x:c r="B111" s="1"/>
      <x:c r="C111" s="2" t="n">
        <x:v>60</x:v>
      </x:c>
      <x:c r="D111" s="30" t="n">
        <x:f>$E$40*INDEX('Assumptions'!$F$65:$F$101,MIN(C111,36)+1)</x:f>
        <x:v>0.36</x:v>
      </x:c>
      <x:c r="E111" s="30" t="n">
        <x:f>(D111-D110)*H110</x:f>
        <x:v>0</x:v>
      </x:c>
      <x:c r="F111" s="30" t="n">
        <x:f>(1-D111-J110)*(H110-H111)+(J111-J110)*H111</x:f>
        <x:v>0</x:v>
      </x:c>
      <x:c r="G111" s="30" t="n">
        <x:f>SUM(E112:E147)</x:f>
        <x:v>0</x:v>
      </x:c>
      <x:c r="H111" s="30" t="n">
        <x:f>IF($E$42=0,1-MIN(C111,$E$43)/$E$43,((1+$E$42)^$E$43-(1+$E$42)^MIN(C111,$E$43))/((1+$E$42)^$E$43-1))</x:f>
        <x:v>0</x:v>
      </x:c>
      <x:c r="I111" s="30" t="n">
        <x:f>MAX(0,1-D111-J111)</x:f>
        <x:v>0</x:v>
      </x:c>
      <x:c r="J111" s="2" t="n">
        <x:f>(1-$E$40)*INDEX('Assumptions'!$I$65:$I$101,MIN(C111,36)+1)</x:f>
        <x:v>0.64</x:v>
      </x:c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</x:row>
    <x:row r="112" ht="19" customHeight="1">
      <x:c r="A112" s="1"/>
      <x:c r="B112" s="1"/>
      <x:c r="C112" s="2" t="n">
        <x:v>61</x:v>
      </x:c>
      <x:c r="D112" s="30" t="n">
        <x:f>$E$40*INDEX('Assumptions'!$F$65:$F$101,MIN(C112,36)+1)</x:f>
        <x:v>0.36</x:v>
      </x:c>
      <x:c r="E112" s="30" t="n">
        <x:f>(D112-D111)*H111</x:f>
        <x:v>0</x:v>
      </x:c>
      <x:c r="F112" s="30" t="n">
        <x:f>(1-D112-J111)*(H111-H112)+(J112-J111)*H112</x:f>
        <x:v>0</x:v>
      </x:c>
      <x:c r="G112" s="30" t="n">
        <x:f>SUM(E113:E147)</x:f>
        <x:v>0</x:v>
      </x:c>
      <x:c r="H112" s="30" t="n">
        <x:f>IF($E$42=0,1-MIN(C112,$E$43)/$E$43,((1+$E$42)^$E$43-(1+$E$42)^MIN(C112,$E$43))/((1+$E$42)^$E$43-1))</x:f>
        <x:v>0</x:v>
      </x:c>
      <x:c r="I112" s="30" t="n">
        <x:f>MAX(0,1-D112-J112)</x:f>
        <x:v>0</x:v>
      </x:c>
      <x:c r="J112" s="2" t="n">
        <x:f>(1-$E$40)*INDEX('Assumptions'!$I$65:$I$101,MIN(C112,36)+1)</x:f>
        <x:v>0.64</x:v>
      </x:c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</x:row>
    <x:row r="113" ht="19" customHeight="1">
      <x:c r="A113" s="1"/>
      <x:c r="B113" s="1"/>
      <x:c r="C113" s="2" t="n">
        <x:v>62</x:v>
      </x:c>
      <x:c r="D113" s="30" t="n">
        <x:f>$E$40*INDEX('Assumptions'!$F$65:$F$101,MIN(C113,36)+1)</x:f>
        <x:v>0.36</x:v>
      </x:c>
      <x:c r="E113" s="30" t="n">
        <x:f>(D113-D112)*H112</x:f>
        <x:v>0</x:v>
      </x:c>
      <x:c r="F113" s="30" t="n">
        <x:f>(1-D113-J112)*(H112-H113)+(J113-J112)*H113</x:f>
        <x:v>0</x:v>
      </x:c>
      <x:c r="G113" s="30" t="n">
        <x:f>SUM(E114:E147)</x:f>
        <x:v>0</x:v>
      </x:c>
      <x:c r="H113" s="30" t="n">
        <x:f>IF($E$42=0,1-MIN(C113,$E$43)/$E$43,((1+$E$42)^$E$43-(1+$E$42)^MIN(C113,$E$43))/((1+$E$42)^$E$43-1))</x:f>
        <x:v>0</x:v>
      </x:c>
      <x:c r="I113" s="30" t="n">
        <x:f>MAX(0,1-D113-J113)</x:f>
        <x:v>0</x:v>
      </x:c>
      <x:c r="J113" s="2" t="n">
        <x:f>(1-$E$40)*INDEX('Assumptions'!$I$65:$I$101,MIN(C113,36)+1)</x:f>
        <x:v>0.64</x:v>
      </x:c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</x:row>
    <x:row r="114" ht="19" customHeight="1">
      <x:c r="A114" s="1"/>
      <x:c r="B114" s="1"/>
      <x:c r="C114" s="2" t="n">
        <x:v>63</x:v>
      </x:c>
      <x:c r="D114" s="30" t="n">
        <x:f>$E$40*INDEX('Assumptions'!$F$65:$F$101,MIN(C114,36)+1)</x:f>
        <x:v>0.36</x:v>
      </x:c>
      <x:c r="E114" s="30" t="n">
        <x:f>(D114-D113)*H113</x:f>
        <x:v>0</x:v>
      </x:c>
      <x:c r="F114" s="30" t="n">
        <x:f>(1-D114-J113)*(H113-H114)+(J114-J113)*H114</x:f>
        <x:v>0</x:v>
      </x:c>
      <x:c r="G114" s="30" t="n">
        <x:f>SUM(E115:E147)</x:f>
        <x:v>0</x:v>
      </x:c>
      <x:c r="H114" s="30" t="n">
        <x:f>IF($E$42=0,1-MIN(C114,$E$43)/$E$43,((1+$E$42)^$E$43-(1+$E$42)^MIN(C114,$E$43))/((1+$E$42)^$E$43-1))</x:f>
        <x:v>0</x:v>
      </x:c>
      <x:c r="I114" s="30" t="n">
        <x:f>MAX(0,1-D114-J114)</x:f>
        <x:v>0</x:v>
      </x:c>
      <x:c r="J114" s="2" t="n">
        <x:f>(1-$E$40)*INDEX('Assumptions'!$I$65:$I$101,MIN(C114,36)+1)</x:f>
        <x:v>0.64</x:v>
      </x:c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</x:row>
    <x:row r="115" ht="19" customHeight="1">
      <x:c r="A115" s="1"/>
      <x:c r="B115" s="1"/>
      <x:c r="C115" s="2" t="n">
        <x:v>64</x:v>
      </x:c>
      <x:c r="D115" s="30" t="n">
        <x:f>$E$40*INDEX('Assumptions'!$F$65:$F$101,MIN(C115,36)+1)</x:f>
        <x:v>0.36</x:v>
      </x:c>
      <x:c r="E115" s="30" t="n">
        <x:f>(D115-D114)*H114</x:f>
        <x:v>0</x:v>
      </x:c>
      <x:c r="F115" s="30" t="n">
        <x:f>(1-D115-J114)*(H114-H115)+(J115-J114)*H115</x:f>
        <x:v>0</x:v>
      </x:c>
      <x:c r="G115" s="30" t="n">
        <x:f>SUM(E116:E147)</x:f>
        <x:v>0</x:v>
      </x:c>
      <x:c r="H115" s="30" t="n">
        <x:f>IF($E$42=0,1-MIN(C115,$E$43)/$E$43,((1+$E$42)^$E$43-(1+$E$42)^MIN(C115,$E$43))/((1+$E$42)^$E$43-1))</x:f>
        <x:v>0</x:v>
      </x:c>
      <x:c r="I115" s="30" t="n">
        <x:f>MAX(0,1-D115-J115)</x:f>
        <x:v>0</x:v>
      </x:c>
      <x:c r="J115" s="2" t="n">
        <x:f>(1-$E$40)*INDEX('Assumptions'!$I$65:$I$101,MIN(C115,36)+1)</x:f>
        <x:v>0.64</x:v>
      </x:c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</x:row>
    <x:row r="116" ht="19" customHeight="1">
      <x:c r="A116" s="1"/>
      <x:c r="B116" s="1"/>
      <x:c r="C116" s="2" t="n">
        <x:v>65</x:v>
      </x:c>
      <x:c r="D116" s="30" t="n">
        <x:f>$E$40*INDEX('Assumptions'!$F$65:$F$101,MIN(C116,36)+1)</x:f>
        <x:v>0.36</x:v>
      </x:c>
      <x:c r="E116" s="30" t="n">
        <x:f>(D116-D115)*H115</x:f>
        <x:v>0</x:v>
      </x:c>
      <x:c r="F116" s="30" t="n">
        <x:f>(1-D116-J115)*(H115-H116)+(J116-J115)*H116</x:f>
        <x:v>0</x:v>
      </x:c>
      <x:c r="G116" s="30" t="n">
        <x:f>SUM(E117:E147)</x:f>
        <x:v>0</x:v>
      </x:c>
      <x:c r="H116" s="30" t="n">
        <x:f>IF($E$42=0,1-MIN(C116,$E$43)/$E$43,((1+$E$42)^$E$43-(1+$E$42)^MIN(C116,$E$43))/((1+$E$42)^$E$43-1))</x:f>
        <x:v>0</x:v>
      </x:c>
      <x:c r="I116" s="30" t="n">
        <x:f>MAX(0,1-D116-J116)</x:f>
        <x:v>0</x:v>
      </x:c>
      <x:c r="J116" s="2" t="n">
        <x:f>(1-$E$40)*INDEX('Assumptions'!$I$65:$I$101,MIN(C116,36)+1)</x:f>
        <x:v>0.64</x:v>
      </x:c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</x:row>
    <x:row r="117" ht="19" customHeight="1">
      <x:c r="A117" s="1"/>
      <x:c r="B117" s="1"/>
      <x:c r="C117" s="2" t="n">
        <x:v>66</x:v>
      </x:c>
      <x:c r="D117" s="30" t="n">
        <x:f>$E$40*INDEX('Assumptions'!$F$65:$F$101,MIN(C117,36)+1)</x:f>
        <x:v>0.36</x:v>
      </x:c>
      <x:c r="E117" s="30" t="n">
        <x:f>(D117-D116)*H116</x:f>
        <x:v>0</x:v>
      </x:c>
      <x:c r="F117" s="30" t="n">
        <x:f>(1-D117-J116)*(H116-H117)+(J117-J116)*H117</x:f>
        <x:v>0</x:v>
      </x:c>
      <x:c r="G117" s="30" t="n">
        <x:f>SUM(E118:E147)</x:f>
        <x:v>0</x:v>
      </x:c>
      <x:c r="H117" s="30" t="n">
        <x:f>IF($E$42=0,1-MIN(C117,$E$43)/$E$43,((1+$E$42)^$E$43-(1+$E$42)^MIN(C117,$E$43))/((1+$E$42)^$E$43-1))</x:f>
        <x:v>0</x:v>
      </x:c>
      <x:c r="I117" s="30" t="n">
        <x:f>MAX(0,1-D117-J117)</x:f>
        <x:v>0</x:v>
      </x:c>
      <x:c r="J117" s="2" t="n">
        <x:f>(1-$E$40)*INDEX('Assumptions'!$I$65:$I$101,MIN(C117,36)+1)</x:f>
        <x:v>0.64</x:v>
      </x:c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</x:row>
    <x:row r="118" ht="19" customHeight="1">
      <x:c r="A118" s="1"/>
      <x:c r="B118" s="1"/>
      <x:c r="C118" s="2" t="n">
        <x:v>67</x:v>
      </x:c>
      <x:c r="D118" s="30" t="n">
        <x:f>$E$40*INDEX('Assumptions'!$F$65:$F$101,MIN(C118,36)+1)</x:f>
        <x:v>0.36</x:v>
      </x:c>
      <x:c r="E118" s="30" t="n">
        <x:f>(D118-D117)*H117</x:f>
        <x:v>0</x:v>
      </x:c>
      <x:c r="F118" s="30" t="n">
        <x:f>(1-D118-J117)*(H117-H118)+(J118-J117)*H118</x:f>
        <x:v>0</x:v>
      </x:c>
      <x:c r="G118" s="30" t="n">
        <x:f>SUM(E119:E147)</x:f>
        <x:v>0</x:v>
      </x:c>
      <x:c r="H118" s="30" t="n">
        <x:f>IF($E$42=0,1-MIN(C118,$E$43)/$E$43,((1+$E$42)^$E$43-(1+$E$42)^MIN(C118,$E$43))/((1+$E$42)^$E$43-1))</x:f>
        <x:v>0</x:v>
      </x:c>
      <x:c r="I118" s="30" t="n">
        <x:f>MAX(0,1-D118-J118)</x:f>
        <x:v>0</x:v>
      </x:c>
      <x:c r="J118" s="2" t="n">
        <x:f>(1-$E$40)*INDEX('Assumptions'!$I$65:$I$101,MIN(C118,36)+1)</x:f>
        <x:v>0.64</x:v>
      </x:c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</x:row>
    <x:row r="119" ht="19" customHeight="1">
      <x:c r="A119" s="1"/>
      <x:c r="B119" s="1"/>
      <x:c r="C119" s="2" t="n">
        <x:v>68</x:v>
      </x:c>
      <x:c r="D119" s="30" t="n">
        <x:f>$E$40*INDEX('Assumptions'!$F$65:$F$101,MIN(C119,36)+1)</x:f>
        <x:v>0.36</x:v>
      </x:c>
      <x:c r="E119" s="30" t="n">
        <x:f>(D119-D118)*H118</x:f>
        <x:v>0</x:v>
      </x:c>
      <x:c r="F119" s="30" t="n">
        <x:f>(1-D119-J118)*(H118-H119)+(J119-J118)*H119</x:f>
        <x:v>0</x:v>
      </x:c>
      <x:c r="G119" s="30" t="n">
        <x:f>SUM(E120:E147)</x:f>
        <x:v>0</x:v>
      </x:c>
      <x:c r="H119" s="30" t="n">
        <x:f>IF($E$42=0,1-MIN(C119,$E$43)/$E$43,((1+$E$42)^$E$43-(1+$E$42)^MIN(C119,$E$43))/((1+$E$42)^$E$43-1))</x:f>
        <x:v>0</x:v>
      </x:c>
      <x:c r="I119" s="30" t="n">
        <x:f>MAX(0,1-D119-J119)</x:f>
        <x:v>0</x:v>
      </x:c>
      <x:c r="J119" s="2" t="n">
        <x:f>(1-$E$40)*INDEX('Assumptions'!$I$65:$I$101,MIN(C119,36)+1)</x:f>
        <x:v>0.64</x:v>
      </x:c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</x:row>
    <x:row r="120" ht="19" customHeight="1">
      <x:c r="A120" s="1"/>
      <x:c r="B120" s="1"/>
      <x:c r="C120" s="2" t="n">
        <x:v>69</x:v>
      </x:c>
      <x:c r="D120" s="30" t="n">
        <x:f>$E$40*INDEX('Assumptions'!$F$65:$F$101,MIN(C120,36)+1)</x:f>
        <x:v>0.36</x:v>
      </x:c>
      <x:c r="E120" s="30" t="n">
        <x:f>(D120-D119)*H119</x:f>
        <x:v>0</x:v>
      </x:c>
      <x:c r="F120" s="30" t="n">
        <x:f>(1-D120-J119)*(H119-H120)+(J120-J119)*H120</x:f>
        <x:v>0</x:v>
      </x:c>
      <x:c r="G120" s="30" t="n">
        <x:f>SUM(E121:E147)</x:f>
        <x:v>0</x:v>
      </x:c>
      <x:c r="H120" s="30" t="n">
        <x:f>IF($E$42=0,1-MIN(C120,$E$43)/$E$43,((1+$E$42)^$E$43-(1+$E$42)^MIN(C120,$E$43))/((1+$E$42)^$E$43-1))</x:f>
        <x:v>0</x:v>
      </x:c>
      <x:c r="I120" s="30" t="n">
        <x:f>MAX(0,1-D120-J120)</x:f>
        <x:v>0</x:v>
      </x:c>
      <x:c r="J120" s="2" t="n">
        <x:f>(1-$E$40)*INDEX('Assumptions'!$I$65:$I$101,MIN(C120,36)+1)</x:f>
        <x:v>0.64</x:v>
      </x:c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</x:row>
    <x:row r="121" ht="19" customHeight="1">
      <x:c r="A121" s="1"/>
      <x:c r="B121" s="1"/>
      <x:c r="C121" s="2" t="n">
        <x:v>70</x:v>
      </x:c>
      <x:c r="D121" s="30" t="n">
        <x:f>$E$40*INDEX('Assumptions'!$F$65:$F$101,MIN(C121,36)+1)</x:f>
        <x:v>0.36</x:v>
      </x:c>
      <x:c r="E121" s="30" t="n">
        <x:f>(D121-D120)*H120</x:f>
        <x:v>0</x:v>
      </x:c>
      <x:c r="F121" s="30" t="n">
        <x:f>(1-D121-J120)*(H120-H121)+(J121-J120)*H121</x:f>
        <x:v>0</x:v>
      </x:c>
      <x:c r="G121" s="30" t="n">
        <x:f>SUM(E122:E147)</x:f>
        <x:v>0</x:v>
      </x:c>
      <x:c r="H121" s="30" t="n">
        <x:f>IF($E$42=0,1-MIN(C121,$E$43)/$E$43,((1+$E$42)^$E$43-(1+$E$42)^MIN(C121,$E$43))/((1+$E$42)^$E$43-1))</x:f>
        <x:v>0</x:v>
      </x:c>
      <x:c r="I121" s="30" t="n">
        <x:f>MAX(0,1-D121-J121)</x:f>
        <x:v>0</x:v>
      </x:c>
      <x:c r="J121" s="2" t="n">
        <x:f>(1-$E$40)*INDEX('Assumptions'!$I$65:$I$101,MIN(C121,36)+1)</x:f>
        <x:v>0.64</x:v>
      </x:c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</x:row>
    <x:row r="122" ht="19" customHeight="1">
      <x:c r="A122" s="1"/>
      <x:c r="B122" s="1"/>
      <x:c r="C122" s="2" t="n">
        <x:v>71</x:v>
      </x:c>
      <x:c r="D122" s="30" t="n">
        <x:f>$E$40*INDEX('Assumptions'!$F$65:$F$101,MIN(C122,36)+1)</x:f>
        <x:v>0.36</x:v>
      </x:c>
      <x:c r="E122" s="30" t="n">
        <x:f>(D122-D121)*H121</x:f>
        <x:v>0</x:v>
      </x:c>
      <x:c r="F122" s="30" t="n">
        <x:f>(1-D122-J121)*(H121-H122)+(J122-J121)*H122</x:f>
        <x:v>0</x:v>
      </x:c>
      <x:c r="G122" s="30" t="n">
        <x:f>SUM(E123:E147)</x:f>
        <x:v>0</x:v>
      </x:c>
      <x:c r="H122" s="30" t="n">
        <x:f>IF($E$42=0,1-MIN(C122,$E$43)/$E$43,((1+$E$42)^$E$43-(1+$E$42)^MIN(C122,$E$43))/((1+$E$42)^$E$43-1))</x:f>
        <x:v>0</x:v>
      </x:c>
      <x:c r="I122" s="30" t="n">
        <x:f>MAX(0,1-D122-J122)</x:f>
        <x:v>0</x:v>
      </x:c>
      <x:c r="J122" s="2" t="n">
        <x:f>(1-$E$40)*INDEX('Assumptions'!$I$65:$I$101,MIN(C122,36)+1)</x:f>
        <x:v>0.64</x:v>
      </x:c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</x:row>
    <x:row r="123" ht="19" customHeight="1">
      <x:c r="A123" s="1"/>
      <x:c r="B123" s="1"/>
      <x:c r="C123" s="2" t="n">
        <x:v>72</x:v>
      </x:c>
      <x:c r="D123" s="30" t="n">
        <x:f>$E$40*INDEX('Assumptions'!$F$65:$F$101,MIN(C123,36)+1)</x:f>
        <x:v>0.36</x:v>
      </x:c>
      <x:c r="E123" s="30" t="n">
        <x:f>(D123-D122)*H122</x:f>
        <x:v>0</x:v>
      </x:c>
      <x:c r="F123" s="30" t="n">
        <x:f>(1-D123-J122)*(H122-H123)+(J123-J122)*H123</x:f>
        <x:v>0</x:v>
      </x:c>
      <x:c r="G123" s="30" t="n">
        <x:f>SUM(E124:E147)</x:f>
        <x:v>0</x:v>
      </x:c>
      <x:c r="H123" s="30" t="n">
        <x:f>IF($E$42=0,1-MIN(C123,$E$43)/$E$43,((1+$E$42)^$E$43-(1+$E$42)^MIN(C123,$E$43))/((1+$E$42)^$E$43-1))</x:f>
        <x:v>0</x:v>
      </x:c>
      <x:c r="I123" s="30" t="n">
        <x:f>MAX(0,1-D123-J123)</x:f>
        <x:v>0</x:v>
      </x:c>
      <x:c r="J123" s="2" t="n">
        <x:f>(1-$E$40)*INDEX('Assumptions'!$I$65:$I$101,MIN(C123,36)+1)</x:f>
        <x:v>0.64</x:v>
      </x:c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</x:row>
    <x:row r="124" ht="19" customHeight="1">
      <x:c r="A124" s="1"/>
      <x:c r="B124" s="1"/>
      <x:c r="C124" s="2" t="n">
        <x:v>73</x:v>
      </x:c>
      <x:c r="D124" s="30" t="n">
        <x:f>$E$40*INDEX('Assumptions'!$F$65:$F$101,MIN(C124,36)+1)</x:f>
        <x:v>0.36</x:v>
      </x:c>
      <x:c r="E124" s="30" t="n">
        <x:f>(D124-D123)*H123</x:f>
        <x:v>0</x:v>
      </x:c>
      <x:c r="F124" s="30" t="n">
        <x:f>(1-D124-J123)*(H123-H124)+(J124-J123)*H124</x:f>
        <x:v>0</x:v>
      </x:c>
      <x:c r="G124" s="30" t="n">
        <x:f>SUM(E125:E147)</x:f>
        <x:v>0</x:v>
      </x:c>
      <x:c r="H124" s="30" t="n">
        <x:f>IF($E$42=0,1-MIN(C124,$E$43)/$E$43,((1+$E$42)^$E$43-(1+$E$42)^MIN(C124,$E$43))/((1+$E$42)^$E$43-1))</x:f>
        <x:v>0</x:v>
      </x:c>
      <x:c r="I124" s="30" t="n">
        <x:f>MAX(0,1-D124-J124)</x:f>
        <x:v>0</x:v>
      </x:c>
      <x:c r="J124" s="2" t="n">
        <x:f>(1-$E$40)*INDEX('Assumptions'!$I$65:$I$101,MIN(C124,36)+1)</x:f>
        <x:v>0.64</x:v>
      </x:c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</x:row>
    <x:row r="125" ht="19" customHeight="1">
      <x:c r="A125" s="1"/>
      <x:c r="B125" s="1"/>
      <x:c r="C125" s="2" t="n">
        <x:v>74</x:v>
      </x:c>
      <x:c r="D125" s="30" t="n">
        <x:f>$E$40*INDEX('Assumptions'!$F$65:$F$101,MIN(C125,36)+1)</x:f>
        <x:v>0.36</x:v>
      </x:c>
      <x:c r="E125" s="30" t="n">
        <x:f>(D125-D124)*H124</x:f>
        <x:v>0</x:v>
      </x:c>
      <x:c r="F125" s="30" t="n">
        <x:f>(1-D125-J124)*(H124-H125)+(J125-J124)*H125</x:f>
        <x:v>0</x:v>
      </x:c>
      <x:c r="G125" s="30" t="n">
        <x:f>SUM(E126:E147)</x:f>
        <x:v>0</x:v>
      </x:c>
      <x:c r="H125" s="30" t="n">
        <x:f>IF($E$42=0,1-MIN(C125,$E$43)/$E$43,((1+$E$42)^$E$43-(1+$E$42)^MIN(C125,$E$43))/((1+$E$42)^$E$43-1))</x:f>
        <x:v>0</x:v>
      </x:c>
      <x:c r="I125" s="30" t="n">
        <x:f>MAX(0,1-D125-J125)</x:f>
        <x:v>0</x:v>
      </x:c>
      <x:c r="J125" s="2" t="n">
        <x:f>(1-$E$40)*INDEX('Assumptions'!$I$65:$I$101,MIN(C125,36)+1)</x:f>
        <x:v>0.64</x:v>
      </x:c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</x:row>
    <x:row r="126" ht="19" customHeight="1">
      <x:c r="A126" s="1"/>
      <x:c r="B126" s="1"/>
      <x:c r="C126" s="2" t="n">
        <x:v>75</x:v>
      </x:c>
      <x:c r="D126" s="30" t="n">
        <x:f>$E$40*INDEX('Assumptions'!$F$65:$F$101,MIN(C126,36)+1)</x:f>
        <x:v>0.36</x:v>
      </x:c>
      <x:c r="E126" s="30" t="n">
        <x:f>(D126-D125)*H125</x:f>
        <x:v>0</x:v>
      </x:c>
      <x:c r="F126" s="30" t="n">
        <x:f>(1-D126-J125)*(H125-H126)+(J126-J125)*H126</x:f>
        <x:v>0</x:v>
      </x:c>
      <x:c r="G126" s="30" t="n">
        <x:f>SUM(E127:E147)</x:f>
        <x:v>0</x:v>
      </x:c>
      <x:c r="H126" s="30" t="n">
        <x:f>IF($E$42=0,1-MIN(C126,$E$43)/$E$43,((1+$E$42)^$E$43-(1+$E$42)^MIN(C126,$E$43))/((1+$E$42)^$E$43-1))</x:f>
        <x:v>0</x:v>
      </x:c>
      <x:c r="I126" s="30" t="n">
        <x:f>MAX(0,1-D126-J126)</x:f>
        <x:v>0</x:v>
      </x:c>
      <x:c r="J126" s="2" t="n">
        <x:f>(1-$E$40)*INDEX('Assumptions'!$I$65:$I$101,MIN(C126,36)+1)</x:f>
        <x:v>0.64</x:v>
      </x:c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</x:row>
    <x:row r="127" ht="19" customHeight="1">
      <x:c r="A127" s="1"/>
      <x:c r="B127" s="1"/>
      <x:c r="C127" s="2" t="n">
        <x:v>76</x:v>
      </x:c>
      <x:c r="D127" s="30" t="n">
        <x:f>$E$40*INDEX('Assumptions'!$F$65:$F$101,MIN(C127,36)+1)</x:f>
        <x:v>0.36</x:v>
      </x:c>
      <x:c r="E127" s="30" t="n">
        <x:f>(D127-D126)*H126</x:f>
        <x:v>0</x:v>
      </x:c>
      <x:c r="F127" s="30" t="n">
        <x:f>(1-D127-J126)*(H126-H127)+(J127-J126)*H127</x:f>
        <x:v>0</x:v>
      </x:c>
      <x:c r="G127" s="30" t="n">
        <x:f>SUM(E128:E147)</x:f>
        <x:v>0</x:v>
      </x:c>
      <x:c r="H127" s="30" t="n">
        <x:f>IF($E$42=0,1-MIN(C127,$E$43)/$E$43,((1+$E$42)^$E$43-(1+$E$42)^MIN(C127,$E$43))/((1+$E$42)^$E$43-1))</x:f>
        <x:v>0</x:v>
      </x:c>
      <x:c r="I127" s="30" t="n">
        <x:f>MAX(0,1-D127-J127)</x:f>
        <x:v>0</x:v>
      </x:c>
      <x:c r="J127" s="2" t="n">
        <x:f>(1-$E$40)*INDEX('Assumptions'!$I$65:$I$101,MIN(C127,36)+1)</x:f>
        <x:v>0.64</x:v>
      </x:c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</x:row>
    <x:row r="128" ht="19" customHeight="1">
      <x:c r="A128" s="1"/>
      <x:c r="B128" s="1"/>
      <x:c r="C128" s="2" t="n">
        <x:v>77</x:v>
      </x:c>
      <x:c r="D128" s="30" t="n">
        <x:f>$E$40*INDEX('Assumptions'!$F$65:$F$101,MIN(C128,36)+1)</x:f>
        <x:v>0.36</x:v>
      </x:c>
      <x:c r="E128" s="30" t="n">
        <x:f>(D128-D127)*H127</x:f>
        <x:v>0</x:v>
      </x:c>
      <x:c r="F128" s="30" t="n">
        <x:f>(1-D128-J127)*(H127-H128)+(J128-J127)*H128</x:f>
        <x:v>0</x:v>
      </x:c>
      <x:c r="G128" s="30" t="n">
        <x:f>SUM(E129:E147)</x:f>
        <x:v>0</x:v>
      </x:c>
      <x:c r="H128" s="30" t="n">
        <x:f>IF($E$42=0,1-MIN(C128,$E$43)/$E$43,((1+$E$42)^$E$43-(1+$E$42)^MIN(C128,$E$43))/((1+$E$42)^$E$43-1))</x:f>
        <x:v>0</x:v>
      </x:c>
      <x:c r="I128" s="30" t="n">
        <x:f>MAX(0,1-D128-J128)</x:f>
        <x:v>0</x:v>
      </x:c>
      <x:c r="J128" s="2" t="n">
        <x:f>(1-$E$40)*INDEX('Assumptions'!$I$65:$I$101,MIN(C128,36)+1)</x:f>
        <x:v>0.64</x:v>
      </x:c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</x:row>
    <x:row r="129" ht="19" customHeight="1">
      <x:c r="A129" s="1"/>
      <x:c r="B129" s="1"/>
      <x:c r="C129" s="2" t="n">
        <x:v>78</x:v>
      </x:c>
      <x:c r="D129" s="30" t="n">
        <x:f>$E$40*INDEX('Assumptions'!$F$65:$F$101,MIN(C129,36)+1)</x:f>
        <x:v>0.36</x:v>
      </x:c>
      <x:c r="E129" s="30" t="n">
        <x:f>(D129-D128)*H128</x:f>
        <x:v>0</x:v>
      </x:c>
      <x:c r="F129" s="30" t="n">
        <x:f>(1-D129-J128)*(H128-H129)+(J129-J128)*H129</x:f>
        <x:v>0</x:v>
      </x:c>
      <x:c r="G129" s="30" t="n">
        <x:f>SUM(E130:E147)</x:f>
        <x:v>0</x:v>
      </x:c>
      <x:c r="H129" s="30" t="n">
        <x:f>IF($E$42=0,1-MIN(C129,$E$43)/$E$43,((1+$E$42)^$E$43-(1+$E$42)^MIN(C129,$E$43))/((1+$E$42)^$E$43-1))</x:f>
        <x:v>0</x:v>
      </x:c>
      <x:c r="I129" s="30" t="n">
        <x:f>MAX(0,1-D129-J129)</x:f>
        <x:v>0</x:v>
      </x:c>
      <x:c r="J129" s="2" t="n">
        <x:f>(1-$E$40)*INDEX('Assumptions'!$I$65:$I$101,MIN(C129,36)+1)</x:f>
        <x:v>0.64</x:v>
      </x:c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</x:row>
    <x:row r="130" ht="19" customHeight="1">
      <x:c r="A130" s="1"/>
      <x:c r="B130" s="1"/>
      <x:c r="C130" s="2" t="n">
        <x:v>79</x:v>
      </x:c>
      <x:c r="D130" s="30" t="n">
        <x:f>$E$40*INDEX('Assumptions'!$F$65:$F$101,MIN(C130,36)+1)</x:f>
        <x:v>0.36</x:v>
      </x:c>
      <x:c r="E130" s="30" t="n">
        <x:f>(D130-D129)*H129</x:f>
        <x:v>0</x:v>
      </x:c>
      <x:c r="F130" s="30" t="n">
        <x:f>(1-D130-J129)*(H129-H130)+(J130-J129)*H130</x:f>
        <x:v>0</x:v>
      </x:c>
      <x:c r="G130" s="30" t="n">
        <x:f>SUM(E131:E147)</x:f>
        <x:v>0</x:v>
      </x:c>
      <x:c r="H130" s="30" t="n">
        <x:f>IF($E$42=0,1-MIN(C130,$E$43)/$E$43,((1+$E$42)^$E$43-(1+$E$42)^MIN(C130,$E$43))/((1+$E$42)^$E$43-1))</x:f>
        <x:v>0</x:v>
      </x:c>
      <x:c r="I130" s="30" t="n">
        <x:f>MAX(0,1-D130-J130)</x:f>
        <x:v>0</x:v>
      </x:c>
      <x:c r="J130" s="2" t="n">
        <x:f>(1-$E$40)*INDEX('Assumptions'!$I$65:$I$101,MIN(C130,36)+1)</x:f>
        <x:v>0.64</x:v>
      </x:c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</x:row>
    <x:row r="131" ht="19" customHeight="1">
      <x:c r="A131" s="1"/>
      <x:c r="B131" s="1"/>
      <x:c r="C131" s="2" t="n">
        <x:v>80</x:v>
      </x:c>
      <x:c r="D131" s="30" t="n">
        <x:f>$E$40*INDEX('Assumptions'!$F$65:$F$101,MIN(C131,36)+1)</x:f>
        <x:v>0.36</x:v>
      </x:c>
      <x:c r="E131" s="30" t="n">
        <x:f>(D131-D130)*H130</x:f>
        <x:v>0</x:v>
      </x:c>
      <x:c r="F131" s="30" t="n">
        <x:f>(1-D131-J130)*(H130-H131)+(J131-J130)*H131</x:f>
        <x:v>0</x:v>
      </x:c>
      <x:c r="G131" s="30" t="n">
        <x:f>SUM(E132:E147)</x:f>
        <x:v>0</x:v>
      </x:c>
      <x:c r="H131" s="30" t="n">
        <x:f>IF($E$42=0,1-MIN(C131,$E$43)/$E$43,((1+$E$42)^$E$43-(1+$E$42)^MIN(C131,$E$43))/((1+$E$42)^$E$43-1))</x:f>
        <x:v>0</x:v>
      </x:c>
      <x:c r="I131" s="30" t="n">
        <x:f>MAX(0,1-D131-J131)</x:f>
        <x:v>0</x:v>
      </x:c>
      <x:c r="J131" s="2" t="n">
        <x:f>(1-$E$40)*INDEX('Assumptions'!$I$65:$I$101,MIN(C131,36)+1)</x:f>
        <x:v>0.64</x:v>
      </x:c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</x:row>
    <x:row r="132" ht="19" customHeight="1">
      <x:c r="A132" s="1"/>
      <x:c r="B132" s="1"/>
      <x:c r="C132" s="2" t="n">
        <x:v>81</x:v>
      </x:c>
      <x:c r="D132" s="30" t="n">
        <x:f>$E$40*INDEX('Assumptions'!$F$65:$F$101,MIN(C132,36)+1)</x:f>
        <x:v>0.36</x:v>
      </x:c>
      <x:c r="E132" s="30" t="n">
        <x:f>(D132-D131)*H131</x:f>
        <x:v>0</x:v>
      </x:c>
      <x:c r="F132" s="30" t="n">
        <x:f>(1-D132-J131)*(H131-H132)+(J132-J131)*H132</x:f>
        <x:v>0</x:v>
      </x:c>
      <x:c r="G132" s="30" t="n">
        <x:f>SUM(E133:E147)</x:f>
        <x:v>0</x:v>
      </x:c>
      <x:c r="H132" s="30" t="n">
        <x:f>IF($E$42=0,1-MIN(C132,$E$43)/$E$43,((1+$E$42)^$E$43-(1+$E$42)^MIN(C132,$E$43))/((1+$E$42)^$E$43-1))</x:f>
        <x:v>0</x:v>
      </x:c>
      <x:c r="I132" s="30" t="n">
        <x:f>MAX(0,1-D132-J132)</x:f>
        <x:v>0</x:v>
      </x:c>
      <x:c r="J132" s="2" t="n">
        <x:f>(1-$E$40)*INDEX('Assumptions'!$I$65:$I$101,MIN(C132,36)+1)</x:f>
        <x:v>0.64</x:v>
      </x:c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</x:row>
    <x:row r="133" ht="19" customHeight="1">
      <x:c r="A133" s="1"/>
      <x:c r="B133" s="1"/>
      <x:c r="C133" s="2" t="n">
        <x:v>82</x:v>
      </x:c>
      <x:c r="D133" s="30" t="n">
        <x:f>$E$40*INDEX('Assumptions'!$F$65:$F$101,MIN(C133,36)+1)</x:f>
        <x:v>0.36</x:v>
      </x:c>
      <x:c r="E133" s="30" t="n">
        <x:f>(D133-D132)*H132</x:f>
        <x:v>0</x:v>
      </x:c>
      <x:c r="F133" s="30" t="n">
        <x:f>(1-D133-J132)*(H132-H133)+(J133-J132)*H133</x:f>
        <x:v>0</x:v>
      </x:c>
      <x:c r="G133" s="30" t="n">
        <x:f>SUM(E134:E147)</x:f>
        <x:v>0</x:v>
      </x:c>
      <x:c r="H133" s="30" t="n">
        <x:f>IF($E$42=0,1-MIN(C133,$E$43)/$E$43,((1+$E$42)^$E$43-(1+$E$42)^MIN(C133,$E$43))/((1+$E$42)^$E$43-1))</x:f>
        <x:v>0</x:v>
      </x:c>
      <x:c r="I133" s="30" t="n">
        <x:f>MAX(0,1-D133-J133)</x:f>
        <x:v>0</x:v>
      </x:c>
      <x:c r="J133" s="2" t="n">
        <x:f>(1-$E$40)*INDEX('Assumptions'!$I$65:$I$101,MIN(C133,36)+1)</x:f>
        <x:v>0.64</x:v>
      </x:c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</x:row>
    <x:row r="134" ht="19" customHeight="1">
      <x:c r="A134" s="1"/>
      <x:c r="B134" s="1"/>
      <x:c r="C134" s="2" t="n">
        <x:v>83</x:v>
      </x:c>
      <x:c r="D134" s="30" t="n">
        <x:f>$E$40*INDEX('Assumptions'!$F$65:$F$101,MIN(C134,36)+1)</x:f>
        <x:v>0.36</x:v>
      </x:c>
      <x:c r="E134" s="30" t="n">
        <x:f>(D134-D133)*H133</x:f>
        <x:v>0</x:v>
      </x:c>
      <x:c r="F134" s="30" t="n">
        <x:f>(1-D134-J133)*(H133-H134)+(J134-J133)*H134</x:f>
        <x:v>0</x:v>
      </x:c>
      <x:c r="G134" s="30" t="n">
        <x:f>SUM(E135:E147)</x:f>
        <x:v>0</x:v>
      </x:c>
      <x:c r="H134" s="30" t="n">
        <x:f>IF($E$42=0,1-MIN(C134,$E$43)/$E$43,((1+$E$42)^$E$43-(1+$E$42)^MIN(C134,$E$43))/((1+$E$42)^$E$43-1))</x:f>
        <x:v>0</x:v>
      </x:c>
      <x:c r="I134" s="30" t="n">
        <x:f>MAX(0,1-D134-J134)</x:f>
        <x:v>0</x:v>
      </x:c>
      <x:c r="J134" s="2" t="n">
        <x:f>(1-$E$40)*INDEX('Assumptions'!$I$65:$I$101,MIN(C134,36)+1)</x:f>
        <x:v>0.64</x:v>
      </x:c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</x:row>
    <x:row r="135" ht="19" customHeight="1">
      <x:c r="A135" s="1"/>
      <x:c r="B135" s="1"/>
      <x:c r="C135" s="2" t="n">
        <x:v>84</x:v>
      </x:c>
      <x:c r="D135" s="30" t="n">
        <x:f>$E$40*INDEX('Assumptions'!$F$65:$F$101,MIN(C135,36)+1)</x:f>
        <x:v>0.36</x:v>
      </x:c>
      <x:c r="E135" s="30" t="n">
        <x:f>(D135-D134)*H134</x:f>
        <x:v>0</x:v>
      </x:c>
      <x:c r="F135" s="30" t="n">
        <x:f>(1-D135-J134)*(H134-H135)+(J135-J134)*H135</x:f>
        <x:v>0</x:v>
      </x:c>
      <x:c r="G135" s="30" t="n">
        <x:f>SUM(E136:E147)</x:f>
        <x:v>0</x:v>
      </x:c>
      <x:c r="H135" s="30" t="n">
        <x:f>IF($E$42=0,1-MIN(C135,$E$43)/$E$43,((1+$E$42)^$E$43-(1+$E$42)^MIN(C135,$E$43))/((1+$E$42)^$E$43-1))</x:f>
        <x:v>0</x:v>
      </x:c>
      <x:c r="I135" s="30" t="n">
        <x:f>MAX(0,1-D135-J135)</x:f>
        <x:v>0</x:v>
      </x:c>
      <x:c r="J135" s="2" t="n">
        <x:f>(1-$E$40)*INDEX('Assumptions'!$I$65:$I$101,MIN(C135,36)+1)</x:f>
        <x:v>0.64</x:v>
      </x:c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</x:row>
    <x:row r="136" ht="19" customHeight="1">
      <x:c r="A136" s="1"/>
      <x:c r="B136" s="1"/>
      <x:c r="C136" s="2" t="n">
        <x:v>85</x:v>
      </x:c>
      <x:c r="D136" s="30" t="n">
        <x:f>$E$40*INDEX('Assumptions'!$F$65:$F$101,MIN(C136,36)+1)</x:f>
        <x:v>0.36</x:v>
      </x:c>
      <x:c r="E136" s="30" t="n">
        <x:f>(D136-D135)*H135</x:f>
        <x:v>0</x:v>
      </x:c>
      <x:c r="F136" s="30" t="n">
        <x:f>(1-D136-J135)*(H135-H136)+(J136-J135)*H136</x:f>
        <x:v>0</x:v>
      </x:c>
      <x:c r="G136" s="30" t="n">
        <x:f>SUM(E137:E147)</x:f>
        <x:v>0</x:v>
      </x:c>
      <x:c r="H136" s="30" t="n">
        <x:f>IF($E$42=0,1-MIN(C136,$E$43)/$E$43,((1+$E$42)^$E$43-(1+$E$42)^MIN(C136,$E$43))/((1+$E$42)^$E$43-1))</x:f>
        <x:v>0</x:v>
      </x:c>
      <x:c r="I136" s="30" t="n">
        <x:f>MAX(0,1-D136-J136)</x:f>
        <x:v>0</x:v>
      </x:c>
      <x:c r="J136" s="2" t="n">
        <x:f>(1-$E$40)*INDEX('Assumptions'!$I$65:$I$101,MIN(C136,36)+1)</x:f>
        <x:v>0.64</x:v>
      </x:c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</x:row>
    <x:row r="137" ht="19" customHeight="1">
      <x:c r="A137" s="1"/>
      <x:c r="B137" s="1"/>
      <x:c r="C137" s="2" t="n">
        <x:v>86</x:v>
      </x:c>
      <x:c r="D137" s="30" t="n">
        <x:f>$E$40*INDEX('Assumptions'!$F$65:$F$101,MIN(C137,36)+1)</x:f>
        <x:v>0.36</x:v>
      </x:c>
      <x:c r="E137" s="30" t="n">
        <x:f>(D137-D136)*H136</x:f>
        <x:v>0</x:v>
      </x:c>
      <x:c r="F137" s="30" t="n">
        <x:f>(1-D137-J136)*(H136-H137)+(J137-J136)*H137</x:f>
        <x:v>0</x:v>
      </x:c>
      <x:c r="G137" s="30" t="n">
        <x:f>SUM(E138:E147)</x:f>
        <x:v>0</x:v>
      </x:c>
      <x:c r="H137" s="30" t="n">
        <x:f>IF($E$42=0,1-MIN(C137,$E$43)/$E$43,((1+$E$42)^$E$43-(1+$E$42)^MIN(C137,$E$43))/((1+$E$42)^$E$43-1))</x:f>
        <x:v>0</x:v>
      </x:c>
      <x:c r="I137" s="30" t="n">
        <x:f>MAX(0,1-D137-J137)</x:f>
        <x:v>0</x:v>
      </x:c>
      <x:c r="J137" s="2" t="n">
        <x:f>(1-$E$40)*INDEX('Assumptions'!$I$65:$I$101,MIN(C137,36)+1)</x:f>
        <x:v>0.64</x:v>
      </x:c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</x:row>
    <x:row r="138" ht="19" customHeight="1">
      <x:c r="A138" s="1"/>
      <x:c r="B138" s="1"/>
      <x:c r="C138" s="2" t="n">
        <x:v>87</x:v>
      </x:c>
      <x:c r="D138" s="30" t="n">
        <x:f>$E$40*INDEX('Assumptions'!$F$65:$F$101,MIN(C138,36)+1)</x:f>
        <x:v>0.36</x:v>
      </x:c>
      <x:c r="E138" s="30" t="n">
        <x:f>(D138-D137)*H137</x:f>
        <x:v>0</x:v>
      </x:c>
      <x:c r="F138" s="30" t="n">
        <x:f>(1-D138-J137)*(H137-H138)+(J138-J137)*H138</x:f>
        <x:v>0</x:v>
      </x:c>
      <x:c r="G138" s="30" t="n">
        <x:f>SUM(E139:E147)</x:f>
        <x:v>0</x:v>
      </x:c>
      <x:c r="H138" s="30" t="n">
        <x:f>IF($E$42=0,1-MIN(C138,$E$43)/$E$43,((1+$E$42)^$E$43-(1+$E$42)^MIN(C138,$E$43))/((1+$E$42)^$E$43-1))</x:f>
        <x:v>0</x:v>
      </x:c>
      <x:c r="I138" s="30" t="n">
        <x:f>MAX(0,1-D138-J138)</x:f>
        <x:v>0</x:v>
      </x:c>
      <x:c r="J138" s="2" t="n">
        <x:f>(1-$E$40)*INDEX('Assumptions'!$I$65:$I$101,MIN(C138,36)+1)</x:f>
        <x:v>0.64</x:v>
      </x:c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</x:row>
    <x:row r="139" ht="19" customHeight="1">
      <x:c r="A139" s="1"/>
      <x:c r="B139" s="1"/>
      <x:c r="C139" s="2" t="n">
        <x:v>88</x:v>
      </x:c>
      <x:c r="D139" s="30" t="n">
        <x:f>$E$40*INDEX('Assumptions'!$F$65:$F$101,MIN(C139,36)+1)</x:f>
        <x:v>0.36</x:v>
      </x:c>
      <x:c r="E139" s="30" t="n">
        <x:f>(D139-D138)*H138</x:f>
        <x:v>0</x:v>
      </x:c>
      <x:c r="F139" s="30" t="n">
        <x:f>(1-D139-J138)*(H138-H139)+(J139-J138)*H139</x:f>
        <x:v>0</x:v>
      </x:c>
      <x:c r="G139" s="30" t="n">
        <x:f>SUM(E140:E147)</x:f>
        <x:v>0</x:v>
      </x:c>
      <x:c r="H139" s="30" t="n">
        <x:f>IF($E$42=0,1-MIN(C139,$E$43)/$E$43,((1+$E$42)^$E$43-(1+$E$42)^MIN(C139,$E$43))/((1+$E$42)^$E$43-1))</x:f>
        <x:v>0</x:v>
      </x:c>
      <x:c r="I139" s="30" t="n">
        <x:f>MAX(0,1-D139-J139)</x:f>
        <x:v>0</x:v>
      </x:c>
      <x:c r="J139" s="2" t="n">
        <x:f>(1-$E$40)*INDEX('Assumptions'!$I$65:$I$101,MIN(C139,36)+1)</x:f>
        <x:v>0.64</x:v>
      </x:c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</x:row>
    <x:row r="140" ht="19" customHeight="1">
      <x:c r="A140" s="1"/>
      <x:c r="B140" s="1"/>
      <x:c r="C140" s="2" t="n">
        <x:v>89</x:v>
      </x:c>
      <x:c r="D140" s="30" t="n">
        <x:f>$E$40*INDEX('Assumptions'!$F$65:$F$101,MIN(C140,36)+1)</x:f>
        <x:v>0.36</x:v>
      </x:c>
      <x:c r="E140" s="30" t="n">
        <x:f>(D140-D139)*H139</x:f>
        <x:v>0</x:v>
      </x:c>
      <x:c r="F140" s="30" t="n">
        <x:f>(1-D140-J139)*(H139-H140)+(J140-J139)*H140</x:f>
        <x:v>0</x:v>
      </x:c>
      <x:c r="G140" s="30" t="n">
        <x:f>SUM(E141:E147)</x:f>
        <x:v>0</x:v>
      </x:c>
      <x:c r="H140" s="30" t="n">
        <x:f>IF($E$42=0,1-MIN(C140,$E$43)/$E$43,((1+$E$42)^$E$43-(1+$E$42)^MIN(C140,$E$43))/((1+$E$42)^$E$43-1))</x:f>
        <x:v>0</x:v>
      </x:c>
      <x:c r="I140" s="30" t="n">
        <x:f>MAX(0,1-D140-J140)</x:f>
        <x:v>0</x:v>
      </x:c>
      <x:c r="J140" s="2" t="n">
        <x:f>(1-$E$40)*INDEX('Assumptions'!$I$65:$I$101,MIN(C140,36)+1)</x:f>
        <x:v>0.64</x:v>
      </x:c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</x:row>
    <x:row r="141" ht="19" customHeight="1">
      <x:c r="A141" s="1"/>
      <x:c r="B141" s="1"/>
      <x:c r="C141" s="2" t="n">
        <x:v>90</x:v>
      </x:c>
      <x:c r="D141" s="30" t="n">
        <x:f>$E$40*INDEX('Assumptions'!$F$65:$F$101,MIN(C141,36)+1)</x:f>
        <x:v>0.36</x:v>
      </x:c>
      <x:c r="E141" s="30" t="n">
        <x:f>(D141-D140)*H140</x:f>
        <x:v>0</x:v>
      </x:c>
      <x:c r="F141" s="30" t="n">
        <x:f>(1-D141-J140)*(H140-H141)+(J141-J140)*H141</x:f>
        <x:v>0</x:v>
      </x:c>
      <x:c r="G141" s="30" t="n">
        <x:f>SUM(E142:E147)</x:f>
        <x:v>0</x:v>
      </x:c>
      <x:c r="H141" s="30" t="n">
        <x:f>IF($E$42=0,1-MIN(C141,$E$43)/$E$43,((1+$E$42)^$E$43-(1+$E$42)^MIN(C141,$E$43))/((1+$E$42)^$E$43-1))</x:f>
        <x:v>0</x:v>
      </x:c>
      <x:c r="I141" s="30" t="n">
        <x:f>MAX(0,1-D141-J141)</x:f>
        <x:v>0</x:v>
      </x:c>
      <x:c r="J141" s="2" t="n">
        <x:f>(1-$E$40)*INDEX('Assumptions'!$I$65:$I$101,MIN(C141,36)+1)</x:f>
        <x:v>0.64</x:v>
      </x:c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</x:row>
    <x:row r="142" ht="19" customHeight="1">
      <x:c r="A142" s="1"/>
      <x:c r="B142" s="1"/>
      <x:c r="C142" s="2" t="n">
        <x:v>91</x:v>
      </x:c>
      <x:c r="D142" s="30" t="n">
        <x:f>$E$40*INDEX('Assumptions'!$F$65:$F$101,MIN(C142,36)+1)</x:f>
        <x:v>0.36</x:v>
      </x:c>
      <x:c r="E142" s="30" t="n">
        <x:f>(D142-D141)*H141</x:f>
        <x:v>0</x:v>
      </x:c>
      <x:c r="F142" s="30" t="n">
        <x:f>(1-D142-J141)*(H141-H142)+(J142-J141)*H142</x:f>
        <x:v>0</x:v>
      </x:c>
      <x:c r="G142" s="30" t="n">
        <x:f>SUM(E143:E147)</x:f>
        <x:v>0</x:v>
      </x:c>
      <x:c r="H142" s="30" t="n">
        <x:f>IF($E$42=0,1-MIN(C142,$E$43)/$E$43,((1+$E$42)^$E$43-(1+$E$42)^MIN(C142,$E$43))/((1+$E$42)^$E$43-1))</x:f>
        <x:v>0</x:v>
      </x:c>
      <x:c r="I142" s="30" t="n">
        <x:f>MAX(0,1-D142-J142)</x:f>
        <x:v>0</x:v>
      </x:c>
      <x:c r="J142" s="2" t="n">
        <x:f>(1-$E$40)*INDEX('Assumptions'!$I$65:$I$101,MIN(C142,36)+1)</x:f>
        <x:v>0.64</x:v>
      </x:c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</x:row>
    <x:row r="143" ht="19" customHeight="1">
      <x:c r="A143" s="1"/>
      <x:c r="B143" s="1"/>
      <x:c r="C143" s="2" t="n">
        <x:v>92</x:v>
      </x:c>
      <x:c r="D143" s="30" t="n">
        <x:f>$E$40*INDEX('Assumptions'!$F$65:$F$101,MIN(C143,36)+1)</x:f>
        <x:v>0.36</x:v>
      </x:c>
      <x:c r="E143" s="30" t="n">
        <x:f>(D143-D142)*H142</x:f>
        <x:v>0</x:v>
      </x:c>
      <x:c r="F143" s="30" t="n">
        <x:f>(1-D143-J142)*(H142-H143)+(J143-J142)*H143</x:f>
        <x:v>0</x:v>
      </x:c>
      <x:c r="G143" s="30" t="n">
        <x:f>SUM(E144:E147)</x:f>
        <x:v>0</x:v>
      </x:c>
      <x:c r="H143" s="30" t="n">
        <x:f>IF($E$42=0,1-MIN(C143,$E$43)/$E$43,((1+$E$42)^$E$43-(1+$E$42)^MIN(C143,$E$43))/((1+$E$42)^$E$43-1))</x:f>
        <x:v>0</x:v>
      </x:c>
      <x:c r="I143" s="30" t="n">
        <x:f>MAX(0,1-D143-J143)</x:f>
        <x:v>0</x:v>
      </x:c>
      <x:c r="J143" s="2" t="n">
        <x:f>(1-$E$40)*INDEX('Assumptions'!$I$65:$I$101,MIN(C143,36)+1)</x:f>
        <x:v>0.64</x:v>
      </x:c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</x:row>
    <x:row r="144" ht="19" customHeight="1">
      <x:c r="A144" s="1"/>
      <x:c r="B144" s="1"/>
      <x:c r="C144" s="2" t="n">
        <x:v>93</x:v>
      </x:c>
      <x:c r="D144" s="30" t="n">
        <x:f>$E$40*INDEX('Assumptions'!$F$65:$F$101,MIN(C144,36)+1)</x:f>
        <x:v>0.36</x:v>
      </x:c>
      <x:c r="E144" s="30" t="n">
        <x:f>(D144-D143)*H143</x:f>
        <x:v>0</x:v>
      </x:c>
      <x:c r="F144" s="30" t="n">
        <x:f>(1-D144-J143)*(H143-H144)+(J144-J143)*H144</x:f>
        <x:v>0</x:v>
      </x:c>
      <x:c r="G144" s="30" t="n">
        <x:f>SUM(E145:E147)</x:f>
        <x:v>0</x:v>
      </x:c>
      <x:c r="H144" s="30" t="n">
        <x:f>IF($E$42=0,1-MIN(C144,$E$43)/$E$43,((1+$E$42)^$E$43-(1+$E$42)^MIN(C144,$E$43))/((1+$E$42)^$E$43-1))</x:f>
        <x:v>0</x:v>
      </x:c>
      <x:c r="I144" s="30" t="n">
        <x:f>MAX(0,1-D144-J144)</x:f>
        <x:v>0</x:v>
      </x:c>
      <x:c r="J144" s="2" t="n">
        <x:f>(1-$E$40)*INDEX('Assumptions'!$I$65:$I$101,MIN(C144,36)+1)</x:f>
        <x:v>0.64</x:v>
      </x:c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</x:row>
    <x:row r="145" ht="19" customHeight="1">
      <x:c r="A145" s="1"/>
      <x:c r="B145" s="1"/>
      <x:c r="C145" s="2" t="n">
        <x:v>94</x:v>
      </x:c>
      <x:c r="D145" s="30" t="n">
        <x:f>$E$40*INDEX('Assumptions'!$F$65:$F$101,MIN(C145,36)+1)</x:f>
        <x:v>0.36</x:v>
      </x:c>
      <x:c r="E145" s="30" t="n">
        <x:f>(D145-D144)*H144</x:f>
        <x:v>0</x:v>
      </x:c>
      <x:c r="F145" s="30" t="n">
        <x:f>(1-D145-J144)*(H144-H145)+(J145-J144)*H145</x:f>
        <x:v>0</x:v>
      </x:c>
      <x:c r="G145" s="30" t="n">
        <x:f>SUM(E146:E147)</x:f>
        <x:v>0</x:v>
      </x:c>
      <x:c r="H145" s="30" t="n">
        <x:f>IF($E$42=0,1-MIN(C145,$E$43)/$E$43,((1+$E$42)^$E$43-(1+$E$42)^MIN(C145,$E$43))/((1+$E$42)^$E$43-1))</x:f>
        <x:v>0</x:v>
      </x:c>
      <x:c r="I145" s="30" t="n">
        <x:f>MAX(0,1-D145-J145)</x:f>
        <x:v>0</x:v>
      </x:c>
      <x:c r="J145" s="2" t="n">
        <x:f>(1-$E$40)*INDEX('Assumptions'!$I$65:$I$101,MIN(C145,36)+1)</x:f>
        <x:v>0.64</x:v>
      </x:c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</x:row>
    <x:row r="146" ht="19" customHeight="1">
      <x:c r="A146" s="1"/>
      <x:c r="B146" s="1"/>
      <x:c r="C146" s="2" t="n">
        <x:v>95</x:v>
      </x:c>
      <x:c r="D146" s="30" t="n">
        <x:f>$E$40*INDEX('Assumptions'!$F$65:$F$101,MIN(C146,36)+1)</x:f>
        <x:v>0.36</x:v>
      </x:c>
      <x:c r="E146" s="30" t="n">
        <x:f>(D146-D145)*H145</x:f>
        <x:v>0</x:v>
      </x:c>
      <x:c r="F146" s="30" t="n">
        <x:f>(1-D146-J145)*(H145-H146)+(J146-J145)*H146</x:f>
        <x:v>0</x:v>
      </x:c>
      <x:c r="G146" s="30" t="n">
        <x:f>SUM(E147:E147)</x:f>
        <x:v>0</x:v>
      </x:c>
      <x:c r="H146" s="30" t="n">
        <x:f>IF($E$42=0,1-MIN(C146,$E$43)/$E$43,((1+$E$42)^$E$43-(1+$E$42)^MIN(C146,$E$43))/((1+$E$42)^$E$43-1))</x:f>
        <x:v>0</x:v>
      </x:c>
      <x:c r="I146" s="30" t="n">
        <x:f>MAX(0,1-D146-J146)</x:f>
        <x:v>0</x:v>
      </x:c>
      <x:c r="J146" s="2" t="n">
        <x:f>(1-$E$40)*INDEX('Assumptions'!$I$65:$I$101,MIN(C146,36)+1)</x:f>
        <x:v>0.64</x:v>
      </x:c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</x:row>
    <x:row r="147" ht="19" customHeight="1">
      <x:c r="A147" s="1"/>
      <x:c r="B147" s="1"/>
      <x:c r="C147" s="2" t="n">
        <x:v>96</x:v>
      </x:c>
      <x:c r="D147" s="30" t="n">
        <x:f>$E$40*INDEX('Assumptions'!$F$65:$F$101,MIN(C147,36)+1)</x:f>
        <x:v>0.36</x:v>
      </x:c>
      <x:c r="E147" s="30" t="n">
        <x:f>(D147-D146)*H146</x:f>
        <x:v>0</x:v>
      </x:c>
      <x:c r="F147" s="30" t="n">
        <x:f>(1-D147-J146)*(H146-H147)+(J147-J146)*H147</x:f>
        <x:v>0</x:v>
      </x:c>
      <x:c r="G147" s="30" t="n">
        <x:f>0</x:f>
        <x:v>0</x:v>
      </x:c>
      <x:c r="H147" s="30" t="n">
        <x:f>IF($E$42=0,1-MIN(C147,$E$43)/$E$43,((1+$E$42)^$E$43-(1+$E$42)^MIN(C147,$E$43))/((1+$E$42)^$E$43-1))</x:f>
        <x:v>0</x:v>
      </x:c>
      <x:c r="I147" s="30" t="n">
        <x:f>MAX(0,1-D147-J147)</x:f>
        <x:v>0</x:v>
      </x:c>
      <x:c r="J147" s="2" t="n">
        <x:f>(1-$E$40)*INDEX('Assumptions'!$I$65:$I$101,MIN(C147,36)+1)</x:f>
        <x:v>0.64</x:v>
      </x:c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</x:row>
    <x:row r="148" ht="19" customHeight="1">
      <x:c r="A148" s="1"/>
      <x:c r="B148" s="1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</x:row>
    <x:row r="149" ht="19" customHeight="1">
      <x:c r="A149" s="1"/>
      <x:c r="B149" s="1"/>
      <x:c r="C149" s="2" t="str">
        <x:v>Reversed age weights</x:v>
      </x:c>
      <x:c r="D149" s="2"/>
      <x:c r="E149" s="2"/>
      <x:c r="F149" s="2"/>
      <x:c r="G149" s="2" t="n">
        <x:v>96</x:v>
      </x:c>
      <x:c r="H149" s="2" t="n">
        <x:v>95</x:v>
      </x:c>
      <x:c r="I149" s="2" t="n">
        <x:v>94</x:v>
      </x:c>
      <x:c r="J149" s="2" t="n">
        <x:v>93</x:v>
      </x:c>
      <x:c r="K149" s="2" t="n">
        <x:v>92</x:v>
      </x:c>
      <x:c r="L149" s="2" t="n">
        <x:v>91</x:v>
      </x:c>
      <x:c r="M149" s="2" t="n">
        <x:v>90</x:v>
      </x:c>
      <x:c r="N149" s="2" t="n">
        <x:v>89</x:v>
      </x:c>
      <x:c r="O149" s="2" t="n">
        <x:v>88</x:v>
      </x:c>
      <x:c r="P149" s="2" t="n">
        <x:v>87</x:v>
      </x:c>
      <x:c r="Q149" s="2" t="n">
        <x:v>86</x:v>
      </x:c>
      <x:c r="R149" s="2" t="n">
        <x:v>85</x:v>
      </x:c>
      <x:c r="S149" s="2" t="n">
        <x:v>84</x:v>
      </x:c>
      <x:c r="T149" s="2" t="n">
        <x:v>83</x:v>
      </x:c>
      <x:c r="U149" s="2" t="n">
        <x:v>82</x:v>
      </x:c>
      <x:c r="V149" s="2" t="n">
        <x:v>81</x:v>
      </x:c>
      <x:c r="W149" s="2" t="n">
        <x:v>80</x:v>
      </x:c>
      <x:c r="X149" s="2" t="n">
        <x:v>79</x:v>
      </x:c>
      <x:c r="Y149" s="2" t="n">
        <x:v>78</x:v>
      </x:c>
      <x:c r="Z149" s="2" t="n">
        <x:v>77</x:v>
      </x:c>
      <x:c r="AA149" s="2" t="n">
        <x:v>76</x:v>
      </x:c>
      <x:c r="AB149" s="2" t="n">
        <x:v>75</x:v>
      </x:c>
      <x:c r="AC149" s="2" t="n">
        <x:v>74</x:v>
      </x:c>
      <x:c r="AD149" s="2" t="n">
        <x:v>73</x:v>
      </x:c>
      <x:c r="AE149" s="2" t="n">
        <x:v>72</x:v>
      </x:c>
      <x:c r="AF149" s="2" t="n">
        <x:v>71</x:v>
      </x:c>
      <x:c r="AG149" s="2" t="n">
        <x:v>70</x:v>
      </x:c>
      <x:c r="AH149" s="2" t="n">
        <x:v>69</x:v>
      </x:c>
      <x:c r="AI149" s="2" t="n">
        <x:v>68</x:v>
      </x:c>
      <x:c r="AJ149" s="2" t="n">
        <x:v>67</x:v>
      </x:c>
      <x:c r="AK149" s="2" t="n">
        <x:v>66</x:v>
      </x:c>
      <x:c r="AL149" s="2" t="n">
        <x:v>65</x:v>
      </x:c>
      <x:c r="AM149" s="2" t="n">
        <x:v>64</x:v>
      </x:c>
      <x:c r="AN149" s="2" t="n">
        <x:v>63</x:v>
      </x:c>
      <x:c r="AO149" s="2" t="n">
        <x:v>62</x:v>
      </x:c>
      <x:c r="AP149" s="2" t="n">
        <x:v>61</x:v>
      </x:c>
      <x:c r="AQ149" s="2" t="n">
        <x:v>60</x:v>
      </x:c>
      <x:c r="AR149" s="2" t="n">
        <x:v>59</x:v>
      </x:c>
      <x:c r="AS149" s="2" t="n">
        <x:v>58</x:v>
      </x:c>
      <x:c r="AT149" s="2" t="n">
        <x:v>57</x:v>
      </x:c>
      <x:c r="AU149" s="2" t="n">
        <x:v>56</x:v>
      </x:c>
      <x:c r="AV149" s="2" t="n">
        <x:v>55</x:v>
      </x:c>
      <x:c r="AW149" s="2" t="n">
        <x:v>54</x:v>
      </x:c>
      <x:c r="AX149" s="2" t="n">
        <x:v>53</x:v>
      </x:c>
      <x:c r="AY149" s="2" t="n">
        <x:v>52</x:v>
      </x:c>
      <x:c r="AZ149" s="2" t="n">
        <x:v>51</x:v>
      </x:c>
      <x:c r="BA149" s="2" t="n">
        <x:v>50</x:v>
      </x:c>
      <x:c r="BB149" s="2" t="n">
        <x:v>49</x:v>
      </x:c>
      <x:c r="BC149" s="2" t="n">
        <x:v>48</x:v>
      </x:c>
      <x:c r="BD149" s="2" t="n">
        <x:v>47</x:v>
      </x:c>
      <x:c r="BE149" s="2" t="n">
        <x:v>46</x:v>
      </x:c>
      <x:c r="BF149" s="2" t="n">
        <x:v>45</x:v>
      </x:c>
      <x:c r="BG149" s="2" t="n">
        <x:v>44</x:v>
      </x:c>
      <x:c r="BH149" s="2" t="n">
        <x:v>43</x:v>
      </x:c>
      <x:c r="BI149" s="2" t="n">
        <x:v>42</x:v>
      </x:c>
      <x:c r="BJ149" s="2" t="n">
        <x:v>41</x:v>
      </x:c>
      <x:c r="BK149" s="2" t="n">
        <x:v>40</x:v>
      </x:c>
      <x:c r="BL149" s="2" t="n">
        <x:v>39</x:v>
      </x:c>
      <x:c r="BM149" s="2" t="n">
        <x:v>38</x:v>
      </x:c>
      <x:c r="BN149" s="2" t="n">
        <x:v>37</x:v>
      </x:c>
      <x:c r="BO149" s="2" t="n">
        <x:v>36</x:v>
      </x:c>
      <x:c r="BP149" s="2" t="n">
        <x:v>35</x:v>
      </x:c>
      <x:c r="BQ149" s="2" t="n">
        <x:v>34</x:v>
      </x:c>
      <x:c r="BR149" s="2" t="n">
        <x:v>33</x:v>
      </x:c>
      <x:c r="BS149" s="2" t="n">
        <x:v>32</x:v>
      </x:c>
      <x:c r="BT149" s="2" t="n">
        <x:v>31</x:v>
      </x:c>
      <x:c r="BU149" s="2" t="n">
        <x:v>30</x:v>
      </x:c>
      <x:c r="BV149" s="2" t="n">
        <x:v>29</x:v>
      </x:c>
      <x:c r="BW149" s="2" t="n">
        <x:v>28</x:v>
      </x:c>
      <x:c r="BX149" s="2" t="n">
        <x:v>27</x:v>
      </x:c>
      <x:c r="BY149" s="2" t="n">
        <x:v>26</x:v>
      </x:c>
      <x:c r="BZ149" s="2" t="n">
        <x:v>25</x:v>
      </x:c>
      <x:c r="CA149" s="2" t="n">
        <x:v>24</x:v>
      </x:c>
      <x:c r="CB149" s="2" t="n">
        <x:v>23</x:v>
      </x:c>
      <x:c r="CC149" s="2" t="n">
        <x:v>22</x:v>
      </x:c>
      <x:c r="CD149" s="2" t="n">
        <x:v>21</x:v>
      </x:c>
      <x:c r="CE149" s="2" t="n">
        <x:v>20</x:v>
      </x:c>
      <x:c r="CF149" s="2" t="n">
        <x:v>19</x:v>
      </x:c>
      <x:c r="CG149" s="2" t="n">
        <x:v>18</x:v>
      </x:c>
      <x:c r="CH149" s="2" t="n">
        <x:v>17</x:v>
      </x:c>
      <x:c r="CI149" s="2" t="n">
        <x:v>16</x:v>
      </x:c>
      <x:c r="CJ149" s="2" t="n">
        <x:v>15</x:v>
      </x:c>
      <x:c r="CK149" s="2" t="n">
        <x:v>14</x:v>
      </x:c>
      <x:c r="CL149" s="2" t="n">
        <x:v>13</x:v>
      </x:c>
      <x:c r="CM149" s="2" t="n">
        <x:v>12</x:v>
      </x:c>
      <x:c r="CN149" s="2" t="n">
        <x:v>11</x:v>
      </x:c>
      <x:c r="CO149" s="2" t="n">
        <x:v>10</x:v>
      </x:c>
      <x:c r="CP149" s="2" t="n">
        <x:v>9</x:v>
      </x:c>
      <x:c r="CQ149" s="2" t="n">
        <x:v>8</x:v>
      </x:c>
      <x:c r="CR149" s="2" t="n">
        <x:v>7</x:v>
      </x:c>
      <x:c r="CS149" s="2" t="n">
        <x:v>6</x:v>
      </x:c>
      <x:c r="CT149" s="2" t="n">
        <x:v>5</x:v>
      </x:c>
      <x:c r="CU149" s="2" t="n">
        <x:v>4</x:v>
      </x:c>
      <x:c r="CV149" s="2" t="n">
        <x:v>3</x:v>
      </x:c>
      <x:c r="CW149" s="2" t="n">
        <x:v>2</x:v>
      </x:c>
      <x:c r="CX149" s="2" t="n">
        <x:v>1</x:v>
      </x:c>
      <x:c r="CY149" s="2" t="n">
        <x:v>0</x:v>
      </x:c>
    </x:row>
    <x:row r="150" ht="19" customHeight="1">
      <x:c r="A150" s="1"/>
      <x:c r="B150" s="1"/>
      <x:c r="C150" s="2" t="str">
        <x:v>Charge-off weights</x:v>
      </x:c>
      <x:c r="D150" s="2"/>
      <x:c r="E150" s="2"/>
      <x:c r="F150" s="2"/>
      <x:c r="G150" s="30" t="n">
        <x:f>E147</x:f>
        <x:v>0</x:v>
      </x:c>
      <x:c r="H150" s="30" t="n">
        <x:f>E146</x:f>
        <x:v>0</x:v>
      </x:c>
      <x:c r="I150" s="30" t="n">
        <x:f>E145</x:f>
        <x:v>0</x:v>
      </x:c>
      <x:c r="J150" s="30" t="n">
        <x:f>E144</x:f>
        <x:v>0</x:v>
      </x:c>
      <x:c r="K150" s="30" t="n">
        <x:f>E143</x:f>
        <x:v>0</x:v>
      </x:c>
      <x:c r="L150" s="30" t="n">
        <x:f>E142</x:f>
        <x:v>0</x:v>
      </x:c>
      <x:c r="M150" s="30" t="n">
        <x:f>E141</x:f>
        <x:v>0</x:v>
      </x:c>
      <x:c r="N150" s="30" t="n">
        <x:f>E140</x:f>
        <x:v>0</x:v>
      </x:c>
      <x:c r="O150" s="30" t="n">
        <x:f>E139</x:f>
        <x:v>0</x:v>
      </x:c>
      <x:c r="P150" s="30" t="n">
        <x:f>E138</x:f>
        <x:v>0</x:v>
      </x:c>
      <x:c r="Q150" s="30" t="n">
        <x:f>E137</x:f>
        <x:v>0</x:v>
      </x:c>
      <x:c r="R150" s="30" t="n">
        <x:f>E136</x:f>
        <x:v>0</x:v>
      </x:c>
      <x:c r="S150" s="30" t="n">
        <x:f>E135</x:f>
        <x:v>0</x:v>
      </x:c>
      <x:c r="T150" s="30" t="n">
        <x:f>E134</x:f>
        <x:v>0</x:v>
      </x:c>
      <x:c r="U150" s="30" t="n">
        <x:f>E133</x:f>
        <x:v>0</x:v>
      </x:c>
      <x:c r="V150" s="30" t="n">
        <x:f>E132</x:f>
        <x:v>0</x:v>
      </x:c>
      <x:c r="W150" s="30" t="n">
        <x:f>E131</x:f>
        <x:v>0</x:v>
      </x:c>
      <x:c r="X150" s="30" t="n">
        <x:f>E130</x:f>
        <x:v>0</x:v>
      </x:c>
      <x:c r="Y150" s="30" t="n">
        <x:f>E129</x:f>
        <x:v>0</x:v>
      </x:c>
      <x:c r="Z150" s="30" t="n">
        <x:f>E128</x:f>
        <x:v>0</x:v>
      </x:c>
      <x:c r="AA150" s="30" t="n">
        <x:f>E127</x:f>
        <x:v>0</x:v>
      </x:c>
      <x:c r="AB150" s="30" t="n">
        <x:f>E126</x:f>
        <x:v>0</x:v>
      </x:c>
      <x:c r="AC150" s="30" t="n">
        <x:f>E125</x:f>
        <x:v>0</x:v>
      </x:c>
      <x:c r="AD150" s="30" t="n">
        <x:f>E124</x:f>
        <x:v>0</x:v>
      </x:c>
      <x:c r="AE150" s="30" t="n">
        <x:f>E123</x:f>
        <x:v>0</x:v>
      </x:c>
      <x:c r="AF150" s="30" t="n">
        <x:f>E122</x:f>
        <x:v>0</x:v>
      </x:c>
      <x:c r="AG150" s="30" t="n">
        <x:f>E121</x:f>
        <x:v>0</x:v>
      </x:c>
      <x:c r="AH150" s="30" t="n">
        <x:f>E120</x:f>
        <x:v>0</x:v>
      </x:c>
      <x:c r="AI150" s="30" t="n">
        <x:f>E119</x:f>
        <x:v>0</x:v>
      </x:c>
      <x:c r="AJ150" s="30" t="n">
        <x:f>E118</x:f>
        <x:v>0</x:v>
      </x:c>
      <x:c r="AK150" s="30" t="n">
        <x:f>E117</x:f>
        <x:v>0</x:v>
      </x:c>
      <x:c r="AL150" s="30" t="n">
        <x:f>E116</x:f>
        <x:v>0</x:v>
      </x:c>
      <x:c r="AM150" s="30" t="n">
        <x:f>E115</x:f>
        <x:v>0</x:v>
      </x:c>
      <x:c r="AN150" s="30" t="n">
        <x:f>E114</x:f>
        <x:v>0</x:v>
      </x:c>
      <x:c r="AO150" s="30" t="n">
        <x:f>E113</x:f>
        <x:v>0</x:v>
      </x:c>
      <x:c r="AP150" s="30" t="n">
        <x:f>E112</x:f>
        <x:v>0</x:v>
      </x:c>
      <x:c r="AQ150" s="30" t="n">
        <x:f>E111</x:f>
        <x:v>0</x:v>
      </x:c>
      <x:c r="AR150" s="30" t="n">
        <x:f>E110</x:f>
        <x:v>0</x:v>
      </x:c>
      <x:c r="AS150" s="30" t="n">
        <x:f>E109</x:f>
        <x:v>0</x:v>
      </x:c>
      <x:c r="AT150" s="30" t="n">
        <x:f>E108</x:f>
        <x:v>0</x:v>
      </x:c>
      <x:c r="AU150" s="30" t="n">
        <x:f>E107</x:f>
        <x:v>0</x:v>
      </x:c>
      <x:c r="AV150" s="30" t="n">
        <x:f>E106</x:f>
        <x:v>0</x:v>
      </x:c>
      <x:c r="AW150" s="30" t="n">
        <x:f>E105</x:f>
        <x:v>0</x:v>
      </x:c>
      <x:c r="AX150" s="30" t="n">
        <x:f>E104</x:f>
        <x:v>0</x:v>
      </x:c>
      <x:c r="AY150" s="30" t="n">
        <x:f>E103</x:f>
        <x:v>0</x:v>
      </x:c>
      <x:c r="AZ150" s="30" t="n">
        <x:f>E102</x:f>
        <x:v>0</x:v>
      </x:c>
      <x:c r="BA150" s="30" t="n">
        <x:f>E101</x:f>
        <x:v>0</x:v>
      </x:c>
      <x:c r="BB150" s="30" t="n">
        <x:f>E100</x:f>
        <x:v>0</x:v>
      </x:c>
      <x:c r="BC150" s="30" t="n">
        <x:f>E99</x:f>
        <x:v>0</x:v>
      </x:c>
      <x:c r="BD150" s="30" t="n">
        <x:f>E98</x:f>
        <x:v>0</x:v>
      </x:c>
      <x:c r="BE150" s="30" t="n">
        <x:f>E97</x:f>
        <x:v>0</x:v>
      </x:c>
      <x:c r="BF150" s="30" t="n">
        <x:f>E96</x:f>
        <x:v>0</x:v>
      </x:c>
      <x:c r="BG150" s="30" t="n">
        <x:f>E95</x:f>
        <x:v>0</x:v>
      </x:c>
      <x:c r="BH150" s="30" t="n">
        <x:f>E94</x:f>
        <x:v>0</x:v>
      </x:c>
      <x:c r="BI150" s="30" t="n">
        <x:f>E93</x:f>
        <x:v>0</x:v>
      </x:c>
      <x:c r="BJ150" s="30" t="n">
        <x:f>E92</x:f>
        <x:v>0</x:v>
      </x:c>
      <x:c r="BK150" s="30" t="n">
        <x:f>E91</x:f>
        <x:v>0</x:v>
      </x:c>
      <x:c r="BL150" s="30" t="n">
        <x:f>E90</x:f>
        <x:v>0</x:v>
      </x:c>
      <x:c r="BM150" s="30" t="n">
        <x:f>E89</x:f>
        <x:v>0</x:v>
      </x:c>
      <x:c r="BN150" s="30" t="n">
        <x:f>E88</x:f>
        <x:v>0</x:v>
      </x:c>
      <x:c r="BO150" s="30" t="n">
        <x:f>E87</x:f>
        <x:v>0</x:v>
      </x:c>
      <x:c r="BP150" s="30" t="n">
        <x:f>E86</x:f>
        <x:v>0</x:v>
      </x:c>
      <x:c r="BQ150" s="30" t="n">
        <x:f>E85</x:f>
        <x:v>0</x:v>
      </x:c>
      <x:c r="BR150" s="30" t="n">
        <x:f>E84</x:f>
        <x:v>0</x:v>
      </x:c>
      <x:c r="BS150" s="30" t="n">
        <x:f>E83</x:f>
        <x:v>0</x:v>
      </x:c>
      <x:c r="BT150" s="30" t="n">
        <x:f>E82</x:f>
        <x:v>0</x:v>
      </x:c>
      <x:c r="BU150" s="30" t="n">
        <x:f>E81</x:f>
        <x:v>0</x:v>
      </x:c>
      <x:c r="BV150" s="30" t="n">
        <x:f>E80</x:f>
        <x:v>0</x:v>
      </x:c>
      <x:c r="BW150" s="30" t="n">
        <x:f>E79</x:f>
        <x:v>0</x:v>
      </x:c>
      <x:c r="BX150" s="30" t="n">
        <x:f>E78</x:f>
        <x:v>0</x:v>
      </x:c>
      <x:c r="BY150" s="30" t="n">
        <x:f>E77</x:f>
        <x:v>0</x:v>
      </x:c>
      <x:c r="BZ150" s="30" t="n">
        <x:f>E76</x:f>
        <x:v>0</x:v>
      </x:c>
      <x:c r="CA150" s="30" t="n">
        <x:f>E75</x:f>
        <x:v>0</x:v>
      </x:c>
      <x:c r="CB150" s="30" t="n">
        <x:f>E74</x:f>
        <x:v>0</x:v>
      </x:c>
      <x:c r="CC150" s="30" t="n">
        <x:f>E73</x:f>
        <x:v>0</x:v>
      </x:c>
      <x:c r="CD150" s="30" t="n">
        <x:f>E72</x:f>
        <x:v>0</x:v>
      </x:c>
      <x:c r="CE150" s="30" t="n">
        <x:f>E71</x:f>
        <x:v>0</x:v>
      </x:c>
      <x:c r="CF150" s="30" t="n">
        <x:f>E70</x:f>
        <x:v>0</x:v>
      </x:c>
      <x:c r="CG150" s="30" t="n">
        <x:f>E69</x:f>
        <x:v>0</x:v>
      </x:c>
      <x:c r="CH150" s="30" t="n">
        <x:f>E68</x:f>
        <x:v>0</x:v>
      </x:c>
      <x:c r="CI150" s="30" t="n">
        <x:f>E67</x:f>
        <x:v>0</x:v>
      </x:c>
      <x:c r="CJ150" s="30" t="n">
        <x:f>E66</x:f>
        <x:v>0</x:v>
      </x:c>
      <x:c r="CK150" s="30" t="n">
        <x:f>E65</x:f>
        <x:v>0</x:v>
      </x:c>
      <x:c r="CL150" s="30" t="n">
        <x:f>E64</x:f>
        <x:v>0</x:v>
      </x:c>
      <x:c r="CM150" s="30" t="n">
        <x:f>E63</x:f>
        <x:v>0</x:v>
      </x:c>
      <x:c r="CN150" s="30" t="n">
        <x:f>E62</x:f>
        <x:v>0</x:v>
      </x:c>
      <x:c r="CO150" s="30" t="n">
        <x:f>E61</x:f>
        <x:v>0</x:v>
      </x:c>
      <x:c r="CP150" s="30" t="n">
        <x:f>E60</x:f>
        <x:v>0</x:v>
      </x:c>
      <x:c r="CQ150" s="30" t="n">
        <x:f>E59</x:f>
        <x:v>0</x:v>
      </x:c>
      <x:c r="CR150" s="30" t="n">
        <x:f>E58</x:f>
        <x:v>0</x:v>
      </x:c>
      <x:c r="CS150" s="30" t="n">
        <x:f>E57</x:f>
        <x:v>0</x:v>
      </x:c>
      <x:c r="CT150" s="30" t="n">
        <x:f>E56</x:f>
        <x:v>0.021492102114820062</x:v>
      </x:c>
      <x:c r="CU150" s="30" t="n">
        <x:f>E55</x:f>
        <x:v>0.03356861661021723</x:v>
      </x:c>
      <x:c r="CV150" s="30" t="n">
        <x:f>E54</x:f>
        <x:v>0.05757051104622675</x:v>
      </x:c>
      <x:c r="CW150" s="30" t="n">
        <x:f>E53</x:f>
        <x:v>0.09212214364495211</x:v>
      </x:c>
      <x:c r="CX150" s="30" t="n">
        <x:f>E52</x:f>
        <x:v>0.14493647539142446</x:v>
      </x:c>
      <x:c r="CY150" s="30" t="n">
        <x:f>E51</x:f>
        <x:v>0</x:v>
      </x:c>
    </x:row>
    <x:row r="151" ht="19" customHeight="1">
      <x:c r="A151" s="1"/>
      <x:c r="B151" s="1"/>
      <x:c r="C151" s="2" t="str">
        <x:v>Repayment weights</x:v>
      </x:c>
      <x:c r="D151" s="2"/>
      <x:c r="E151" s="2"/>
      <x:c r="F151" s="2"/>
      <x:c r="G151" s="30" t="n">
        <x:f>F147</x:f>
        <x:v>0</x:v>
      </x:c>
      <x:c r="H151" s="30" t="n">
        <x:f>F146</x:f>
        <x:v>0</x:v>
      </x:c>
      <x:c r="I151" s="30" t="n">
        <x:f>F145</x:f>
        <x:v>0</x:v>
      </x:c>
      <x:c r="J151" s="30" t="n">
        <x:f>F144</x:f>
        <x:v>0</x:v>
      </x:c>
      <x:c r="K151" s="30" t="n">
        <x:f>F143</x:f>
        <x:v>0</x:v>
      </x:c>
      <x:c r="L151" s="30" t="n">
        <x:f>F142</x:f>
        <x:v>0</x:v>
      </x:c>
      <x:c r="M151" s="30" t="n">
        <x:f>F141</x:f>
        <x:v>0</x:v>
      </x:c>
      <x:c r="N151" s="30" t="n">
        <x:f>F140</x:f>
        <x:v>0</x:v>
      </x:c>
      <x:c r="O151" s="30" t="n">
        <x:f>F139</x:f>
        <x:v>0</x:v>
      </x:c>
      <x:c r="P151" s="30" t="n">
        <x:f>F138</x:f>
        <x:v>0</x:v>
      </x:c>
      <x:c r="Q151" s="30" t="n">
        <x:f>F137</x:f>
        <x:v>0</x:v>
      </x:c>
      <x:c r="R151" s="30" t="n">
        <x:f>F136</x:f>
        <x:v>0</x:v>
      </x:c>
      <x:c r="S151" s="30" t="n">
        <x:f>F135</x:f>
        <x:v>0</x:v>
      </x:c>
      <x:c r="T151" s="30" t="n">
        <x:f>F134</x:f>
        <x:v>0</x:v>
      </x:c>
      <x:c r="U151" s="30" t="n">
        <x:f>F133</x:f>
        <x:v>0</x:v>
      </x:c>
      <x:c r="V151" s="30" t="n">
        <x:f>F132</x:f>
        <x:v>0</x:v>
      </x:c>
      <x:c r="W151" s="30" t="n">
        <x:f>F131</x:f>
        <x:v>0</x:v>
      </x:c>
      <x:c r="X151" s="30" t="n">
        <x:f>F130</x:f>
        <x:v>0</x:v>
      </x:c>
      <x:c r="Y151" s="30" t="n">
        <x:f>F129</x:f>
        <x:v>0</x:v>
      </x:c>
      <x:c r="Z151" s="30" t="n">
        <x:f>F128</x:f>
        <x:v>0</x:v>
      </x:c>
      <x:c r="AA151" s="30" t="n">
        <x:f>F127</x:f>
        <x:v>0</x:v>
      </x:c>
      <x:c r="AB151" s="30" t="n">
        <x:f>F126</x:f>
        <x:v>0</x:v>
      </x:c>
      <x:c r="AC151" s="30" t="n">
        <x:f>F125</x:f>
        <x:v>0</x:v>
      </x:c>
      <x:c r="AD151" s="30" t="n">
        <x:f>F124</x:f>
        <x:v>0</x:v>
      </x:c>
      <x:c r="AE151" s="30" t="n">
        <x:f>F123</x:f>
        <x:v>0</x:v>
      </x:c>
      <x:c r="AF151" s="30" t="n">
        <x:f>F122</x:f>
        <x:v>0</x:v>
      </x:c>
      <x:c r="AG151" s="30" t="n">
        <x:f>F121</x:f>
        <x:v>0</x:v>
      </x:c>
      <x:c r="AH151" s="30" t="n">
        <x:f>F120</x:f>
        <x:v>0</x:v>
      </x:c>
      <x:c r="AI151" s="30" t="n">
        <x:f>F119</x:f>
        <x:v>0</x:v>
      </x:c>
      <x:c r="AJ151" s="30" t="n">
        <x:f>F118</x:f>
        <x:v>0</x:v>
      </x:c>
      <x:c r="AK151" s="30" t="n">
        <x:f>F117</x:f>
        <x:v>0</x:v>
      </x:c>
      <x:c r="AL151" s="30" t="n">
        <x:f>F116</x:f>
        <x:v>0</x:v>
      </x:c>
      <x:c r="AM151" s="30" t="n">
        <x:f>F115</x:f>
        <x:v>0</x:v>
      </x:c>
      <x:c r="AN151" s="30" t="n">
        <x:f>F114</x:f>
        <x:v>0</x:v>
      </x:c>
      <x:c r="AO151" s="30" t="n">
        <x:f>F113</x:f>
        <x:v>0</x:v>
      </x:c>
      <x:c r="AP151" s="30" t="n">
        <x:f>F112</x:f>
        <x:v>0</x:v>
      </x:c>
      <x:c r="AQ151" s="30" t="n">
        <x:f>F111</x:f>
        <x:v>0</x:v>
      </x:c>
      <x:c r="AR151" s="30" t="n">
        <x:f>F110</x:f>
        <x:v>0</x:v>
      </x:c>
      <x:c r="AS151" s="30" t="n">
        <x:f>F109</x:f>
        <x:v>0</x:v>
      </x:c>
      <x:c r="AT151" s="30" t="n">
        <x:f>F108</x:f>
        <x:v>0</x:v>
      </x:c>
      <x:c r="AU151" s="30" t="n">
        <x:f>F107</x:f>
        <x:v>0</x:v>
      </x:c>
      <x:c r="AV151" s="30" t="n">
        <x:f>F106</x:f>
        <x:v>0</x:v>
      </x:c>
      <x:c r="AW151" s="30" t="n">
        <x:f>F105</x:f>
        <x:v>0</x:v>
      </x:c>
      <x:c r="AX151" s="30" t="n">
        <x:f>F104</x:f>
        <x:v>0</x:v>
      </x:c>
      <x:c r="AY151" s="30" t="n">
        <x:f>F103</x:f>
        <x:v>0</x:v>
      </x:c>
      <x:c r="AZ151" s="30" t="n">
        <x:f>F102</x:f>
        <x:v>0</x:v>
      </x:c>
      <x:c r="BA151" s="30" t="n">
        <x:f>F101</x:f>
        <x:v>0</x:v>
      </x:c>
      <x:c r="BB151" s="30" t="n">
        <x:f>F100</x:f>
        <x:v>0</x:v>
      </x:c>
      <x:c r="BC151" s="30" t="n">
        <x:f>F99</x:f>
        <x:v>0</x:v>
      </x:c>
      <x:c r="BD151" s="30" t="n">
        <x:f>F98</x:f>
        <x:v>0</x:v>
      </x:c>
      <x:c r="BE151" s="30" t="n">
        <x:f>F97</x:f>
        <x:v>0</x:v>
      </x:c>
      <x:c r="BF151" s="30" t="n">
        <x:f>F96</x:f>
        <x:v>0</x:v>
      </x:c>
      <x:c r="BG151" s="30" t="n">
        <x:f>F95</x:f>
        <x:v>0</x:v>
      </x:c>
      <x:c r="BH151" s="30" t="n">
        <x:f>F94</x:f>
        <x:v>0</x:v>
      </x:c>
      <x:c r="BI151" s="30" t="n">
        <x:f>F93</x:f>
        <x:v>0</x:v>
      </x:c>
      <x:c r="BJ151" s="30" t="n">
        <x:f>F92</x:f>
        <x:v>0</x:v>
      </x:c>
      <x:c r="BK151" s="30" t="n">
        <x:f>F91</x:f>
        <x:v>0</x:v>
      </x:c>
      <x:c r="BL151" s="30" t="n">
        <x:f>F90</x:f>
        <x:v>0</x:v>
      </x:c>
      <x:c r="BM151" s="30" t="n">
        <x:f>F89</x:f>
        <x:v>0</x:v>
      </x:c>
      <x:c r="BN151" s="30" t="n">
        <x:f>F88</x:f>
        <x:v>0</x:v>
      </x:c>
      <x:c r="BO151" s="30" t="n">
        <x:f>F87</x:f>
        <x:v>0</x:v>
      </x:c>
      <x:c r="BP151" s="30" t="n">
        <x:f>F86</x:f>
        <x:v>0</x:v>
      </x:c>
      <x:c r="BQ151" s="30" t="n">
        <x:f>F85</x:f>
        <x:v>0</x:v>
      </x:c>
      <x:c r="BR151" s="30" t="n">
        <x:f>F84</x:f>
        <x:v>0</x:v>
      </x:c>
      <x:c r="BS151" s="30" t="n">
        <x:f>F83</x:f>
        <x:v>0</x:v>
      </x:c>
      <x:c r="BT151" s="30" t="n">
        <x:f>F82</x:f>
        <x:v>0</x:v>
      </x:c>
      <x:c r="BU151" s="30" t="n">
        <x:f>F81</x:f>
        <x:v>0</x:v>
      </x:c>
      <x:c r="BV151" s="30" t="n">
        <x:f>F80</x:f>
        <x:v>0</x:v>
      </x:c>
      <x:c r="BW151" s="30" t="n">
        <x:f>F79</x:f>
        <x:v>0</x:v>
      </x:c>
      <x:c r="BX151" s="30" t="n">
        <x:f>F78</x:f>
        <x:v>0</x:v>
      </x:c>
      <x:c r="BY151" s="30" t="n">
        <x:f>F77</x:f>
        <x:v>0</x:v>
      </x:c>
      <x:c r="BZ151" s="30" t="n">
        <x:f>F76</x:f>
        <x:v>0</x:v>
      </x:c>
      <x:c r="CA151" s="30" t="n">
        <x:f>F75</x:f>
        <x:v>0</x:v>
      </x:c>
      <x:c r="CB151" s="30" t="n">
        <x:f>F74</x:f>
        <x:v>0</x:v>
      </x:c>
      <x:c r="CC151" s="30" t="n">
        <x:f>F73</x:f>
        <x:v>0</x:v>
      </x:c>
      <x:c r="CD151" s="30" t="n">
        <x:f>F72</x:f>
        <x:v>0</x:v>
      </x:c>
      <x:c r="CE151" s="30" t="n">
        <x:f>F71</x:f>
        <x:v>0</x:v>
      </x:c>
      <x:c r="CF151" s="30" t="n">
        <x:f>F70</x:f>
        <x:v>0</x:v>
      </x:c>
      <x:c r="CG151" s="30" t="n">
        <x:f>F69</x:f>
        <x:v>0</x:v>
      </x:c>
      <x:c r="CH151" s="30" t="n">
        <x:f>F68</x:f>
        <x:v>0</x:v>
      </x:c>
      <x:c r="CI151" s="30" t="n">
        <x:f>F67</x:f>
        <x:v>0</x:v>
      </x:c>
      <x:c r="CJ151" s="30" t="n">
        <x:f>F66</x:f>
        <x:v>0</x:v>
      </x:c>
      <x:c r="CK151" s="30" t="n">
        <x:f>F65</x:f>
        <x:v>0</x:v>
      </x:c>
      <x:c r="CL151" s="30" t="n">
        <x:f>F64</x:f>
        <x:v>0</x:v>
      </x:c>
      <x:c r="CM151" s="30" t="n">
        <x:f>F63</x:f>
        <x:v>0</x:v>
      </x:c>
      <x:c r="CN151" s="30" t="n">
        <x:f>F62</x:f>
        <x:v>0</x:v>
      </x:c>
      <x:c r="CO151" s="30" t="n">
        <x:f>F61</x:f>
        <x:v>0</x:v>
      </x:c>
      <x:c r="CP151" s="30" t="n">
        <x:f>F60</x:f>
        <x:v>0</x:v>
      </x:c>
      <x:c r="CQ151" s="30" t="n">
        <x:f>F59</x:f>
        <x:v>0</x:v>
      </x:c>
      <x:c r="CR151" s="30" t="n">
        <x:f>F58</x:f>
        <x:v>0</x:v>
      </x:c>
      <x:c r="CS151" s="30" t="n">
        <x:f>F57</x:f>
        <x:v>0</x:v>
      </x:c>
      <x:c r="CT151" s="30" t="n">
        <x:f>F56</x:f>
        <x:v>0.03436708301471757</x:v>
      </x:c>
      <x:c r="CU151" s="30" t="n">
        <x:f>F55</x:f>
        <x:v>0.05953168653833649</x:v>
      </x:c>
      <x:c r="CV151" s="30" t="n">
        <x:f>F54</x:f>
        <x:v>0.10003529185085855</x:v>
      </x:c>
      <x:c r="CW151" s="30" t="n">
        <x:f>F53</x:f>
        <x:v>0.16885087350379402</x:v>
      </x:c>
      <x:c r="CX151" s="30" t="n">
        <x:f>F52</x:f>
        <x:v>0.2875252162846528</x:v>
      </x:c>
      <x:c r="CY151" s="30" t="n">
        <x:f>F51</x:f>
        <x:v>0</x:v>
      </x:c>
    </x:row>
    <x:row r="152" ht="19" customHeight="1">
      <x:c r="A152" s="1"/>
      <x:c r="B152" s="1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</x:row>
    <x:row r="153" ht="19" customHeight="1">
      <x:c r="A153" s="1"/>
      <x:c r="B153" s="1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</x:row>
    <x:row r="154" ht="19" customHeight="1">
      <x:c r="A154" s="1"/>
      <x:c r="B154" s="1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</x:row>
    <x:row r="155" ht="19" customHeight="1">
      <x:c r="A155" s="1"/>
      <x:c r="B155" s="1"/>
      <x:c r="C155" s="2" t="str">
        <x:v>Each original-equivalent exposure is conditional on survival to its opening age.</x:v>
      </x:c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</x:row>
    <x:row r="156" ht="19" customHeight="1">
      <x:c r="A156" s="1"/>
      <x:c r="B156" s="1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</x:row>
    <x:row r="157" ht="19" customHeight="1">
      <x:c r="A157" s="1"/>
      <x:c r="B157" s="1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</x:row>
    <x:row r="158" ht="19" customHeight="1">
      <x:c r="A158" s="1"/>
      <x:c r="B158" s="1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</x:row>
    <x:row r="159" ht="32" customHeight="1">
      <x:c r="A159" s="1"/>
      <x:c r="B159" s="1"/>
      <x:c r="C159" s="29" t="str">
        <x:v>Opening MOB</x:v>
      </x:c>
      <x:c r="D159" s="29" t="str">
        <x:v>Current balance ($)</x:v>
      </x:c>
      <x:c r="E159" s="29" t="str">
        <x:v>Original-equivalent ($)</x:v>
      </x:c>
      <x:c r="F159" s="29" t="str">
        <x:v>Remaining reserve ($)</x:v>
      </x:c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</x:row>
    <x:row r="160" ht="19" customHeight="1">
      <x:c r="A160" s="1"/>
      <x:c r="B160" s="1"/>
      <x:c r="C160" s="2" t="n">
        <x:v>0</x:v>
      </x:c>
      <x:c r="D160" s="31" t="n">
        <x:f>IF(OR(C160&gt;=$E$43,INDEX($I$51:$I$147,C160+1)&lt;=0.0000000001),0,IF($E$46=0,$E$44/MIN($E$43,COUNTIF($I$51:$I$110,"&gt;0.0000000001")),IF(C160=$E$45,$E$44,0)))</x:f>
        <x:v>15335999.999999996</x:v>
      </x:c>
      <x:c r="E160" s="31" t="n">
        <x:f>IF(D160=0,0,D160/(INDEX($I$51:$I$147,C160+1)*INDEX($H$51:$H$147,C160+1)))</x:f>
        <x:v>15335999.999999996</x:v>
      </x:c>
      <x:c r="F160" s="31" t="n">
        <x:f>E160*INDEX($G$51:$G$147,C160+1)</x:f>
        <x:v>5362843.521313975</x:v>
      </x:c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</x:row>
    <x:row r="161" ht="19" customHeight="1">
      <x:c r="A161" s="1"/>
      <x:c r="B161" s="1"/>
      <x:c r="C161" s="2" t="n">
        <x:v>1</x:v>
      </x:c>
      <x:c r="D161" s="31" t="n">
        <x:f>IF(OR(C161&gt;=$E$43,INDEX($I$51:$I$147,C161+1)&lt;=0.0000000001),0,IF($E$46=0,$E$44/MIN($E$43,COUNTIF($I$51:$I$110,"&gt;0.0000000001")),IF(C161=$E$45,$E$44,0)))</x:f>
        <x:v>15335999.999999996</x:v>
      </x:c>
      <x:c r="E161" s="31" t="n">
        <x:f>IF(D161=0,0,D161/(INDEX($I$51:$I$147,C161+1)*INDEX($H$51:$H$147,C161+1)))</x:f>
        <x:v>27021964.464902632</x:v>
      </x:c>
      <x:c r="F161" s="31" t="n">
        <x:f>E161*INDEX($G$51:$G$147,C161+1)</x:f>
        <x:v>5532838.380521933</x:v>
      </x:c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</x:row>
    <x:row r="162" ht="19" customHeight="1">
      <x:c r="A162" s="1"/>
      <x:c r="B162" s="1"/>
      <x:c r="C162" s="2" t="n">
        <x:v>2</x:v>
      </x:c>
      <x:c r="D162" s="31" t="n">
        <x:f>IF(OR(C162&gt;=$E$43,INDEX($I$51:$I$147,C162+1)&lt;=0.0000000001),0,IF($E$46=0,$E$44/MIN($E$43,COUNTIF($I$51:$I$110,"&gt;0.0000000001")),IF(C162=$E$45,$E$44,0)))</x:f>
        <x:v>15335999.999999996</x:v>
      </x:c>
      <x:c r="E162" s="31" t="n">
        <x:f>IF(D162=0,0,D162/(INDEX($I$51:$I$147,C162+1)*INDEX($H$51:$H$147,C162+1)))</x:f>
        <x:v>50025232.60611633</x:v>
      </x:c>
      <x:c r="F162" s="31" t="n">
        <x:f>E162*INDEX($G$51:$G$147,C162+1)</x:f>
        <x:v>5634403.468020419</x:v>
      </x:c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</x:row>
    <x:row r="163" ht="19" customHeight="1">
      <x:c r="A163" s="1"/>
      <x:c r="B163" s="1"/>
      <x:c r="C163" s="2" t="n">
        <x:v>3</x:v>
      </x:c>
      <x:c r="D163" s="31" t="n">
        <x:f>IF(OR(C163&gt;=$E$43,INDEX($I$51:$I$147,C163+1)&lt;=0.0000000001),0,IF($E$46=0,$E$44/MIN($E$43,COUNTIF($I$51:$I$110,"&gt;0.0000000001")),IF(C163=$E$45,$E$44,0)))</x:f>
        <x:v>15335999.999999996</x:v>
      </x:c>
      <x:c r="E163" s="31" t="n">
        <x:f>IF(D163=0,0,D163/(INDEX($I$51:$I$147,C163+1)*INDEX($H$51:$H$147,C163+1)))</x:f>
        <x:v>102954166.782376</x:v>
      </x:c>
      <x:c r="F163" s="31" t="n">
        <x:f>E163*INDEX($G$51:$G$147,C163+1)</x:f>
        <x:v>5668730.418774983</x:v>
      </x:c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</x:row>
    <x:row r="164" ht="19" customHeight="1">
      <x:c r="A164" s="1"/>
      <x:c r="B164" s="1"/>
      <x:c r="C164" s="2" t="n">
        <x:v>4</x:v>
      </x:c>
      <x:c r="D164" s="31" t="n">
        <x:f>IF(OR(C164&gt;=$E$43,INDEX($I$51:$I$147,C164+1)&lt;=0.0000000001),0,IF($E$46=0,$E$44/MIN($E$43,COUNTIF($I$51:$I$110,"&gt;0.0000000001")),IF(C164=$E$45,$E$44,0)))</x:f>
        <x:v>15335999.999999996</x:v>
      </x:c>
      <x:c r="E164" s="31" t="n">
        <x:f>IF(D164=0,0,D164/(INDEX($I$51:$I$147,C164+1)*INDEX($H$51:$H$147,C164+1)))</x:f>
        <x:v>274547506.63540405</x:v>
      </x:c>
      <x:c r="F164" s="31" t="n">
        <x:f>E164*INDEX($G$51:$G$147,C164+1)</x:f>
        <x:v>5900603.047977342</x:v>
      </x:c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</x:row>
    <x:row r="165" ht="19" customHeight="1">
      <x:c r="A165" s="1"/>
      <x:c r="B165" s="1"/>
      <x:c r="C165" s="2" t="n">
        <x:v>5</x:v>
      </x:c>
      <x:c r="D165" s="31" t="n">
        <x:f>IF(OR(C165&gt;=$E$43,INDEX($I$51:$I$147,C165+1)&lt;=0.0000000001),0,IF($E$46=0,$E$44/MIN($E$43,COUNTIF($I$51:$I$110,"&gt;0.0000000001")),IF(C165=$E$45,$E$44,0)))</x:f>
        <x:v>0</x:v>
      </x:c>
      <x:c r="E165" s="31" t="n">
        <x:f>IF(D165=0,0,D165/(INDEX($I$51:$I$147,C165+1)*INDEX($H$51:$H$147,C165+1)))</x:f>
        <x:v>0</x:v>
      </x:c>
      <x:c r="F165" s="31" t="n">
        <x:f>E165*INDEX($G$51:$G$147,C165+1)</x:f>
        <x:v>0</x:v>
      </x:c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</x:row>
    <x:row r="166" ht="19" customHeight="1">
      <x:c r="A166" s="1"/>
      <x:c r="B166" s="1"/>
      <x:c r="C166" s="2" t="n">
        <x:v>6</x:v>
      </x:c>
      <x:c r="D166" s="31" t="n">
        <x:f>IF(OR(C166&gt;=$E$43,INDEX($I$51:$I$147,C166+1)&lt;=0.0000000001),0,IF($E$46=0,$E$44/MIN($E$43,COUNTIF($I$51:$I$110,"&gt;0.0000000001")),IF(C166=$E$45,$E$44,0)))</x:f>
        <x:v>0</x:v>
      </x:c>
      <x:c r="E166" s="31" t="n">
        <x:f>IF(D166=0,0,D166/(INDEX($I$51:$I$147,C166+1)*INDEX($H$51:$H$147,C166+1)))</x:f>
        <x:v>0</x:v>
      </x:c>
      <x:c r="F166" s="31" t="n">
        <x:f>E166*INDEX($G$51:$G$147,C166+1)</x:f>
        <x:v>0</x:v>
      </x:c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</x:row>
    <x:row r="167" ht="19" customHeight="1">
      <x:c r="A167" s="1"/>
      <x:c r="B167" s="1"/>
      <x:c r="C167" s="2" t="n">
        <x:v>7</x:v>
      </x:c>
      <x:c r="D167" s="31" t="n">
        <x:f>IF(OR(C167&gt;=$E$43,INDEX($I$51:$I$147,C167+1)&lt;=0.0000000001),0,IF($E$46=0,$E$44/MIN($E$43,COUNTIF($I$51:$I$110,"&gt;0.0000000001")),IF(C167=$E$45,$E$44,0)))</x:f>
        <x:v>0</x:v>
      </x:c>
      <x:c r="E167" s="31" t="n">
        <x:f>IF(D167=0,0,D167/(INDEX($I$51:$I$147,C167+1)*INDEX($H$51:$H$147,C167+1)))</x:f>
        <x:v>0</x:v>
      </x:c>
      <x:c r="F167" s="31" t="n">
        <x:f>E167*INDEX($G$51:$G$147,C167+1)</x:f>
        <x:v>0</x:v>
      </x:c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</x:row>
    <x:row r="168" ht="19" customHeight="1">
      <x:c r="A168" s="1"/>
      <x:c r="B168" s="1"/>
      <x:c r="C168" s="2" t="n">
        <x:v>8</x:v>
      </x:c>
      <x:c r="D168" s="31" t="n">
        <x:f>IF(OR(C168&gt;=$E$43,INDEX($I$51:$I$147,C168+1)&lt;=0.0000000001),0,IF($E$46=0,$E$44/MIN($E$43,COUNTIF($I$51:$I$110,"&gt;0.0000000001")),IF(C168=$E$45,$E$44,0)))</x:f>
        <x:v>0</x:v>
      </x:c>
      <x:c r="E168" s="31" t="n">
        <x:f>IF(D168=0,0,D168/(INDEX($I$51:$I$147,C168+1)*INDEX($H$51:$H$147,C168+1)))</x:f>
        <x:v>0</x:v>
      </x:c>
      <x:c r="F168" s="31" t="n">
        <x:f>E168*INDEX($G$51:$G$147,C168+1)</x:f>
        <x:v>0</x:v>
      </x:c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</x:row>
    <x:row r="169" ht="19" customHeight="1">
      <x:c r="A169" s="1"/>
      <x:c r="B169" s="1"/>
      <x:c r="C169" s="2" t="n">
        <x:v>9</x:v>
      </x:c>
      <x:c r="D169" s="31" t="n">
        <x:f>IF(OR(C169&gt;=$E$43,INDEX($I$51:$I$147,C169+1)&lt;=0.0000000001),0,IF($E$46=0,$E$44/MIN($E$43,COUNTIF($I$51:$I$110,"&gt;0.0000000001")),IF(C169=$E$45,$E$44,0)))</x:f>
        <x:v>0</x:v>
      </x:c>
      <x:c r="E169" s="31" t="n">
        <x:f>IF(D169=0,0,D169/(INDEX($I$51:$I$147,C169+1)*INDEX($H$51:$H$147,C169+1)))</x:f>
        <x:v>0</x:v>
      </x:c>
      <x:c r="F169" s="31" t="n">
        <x:f>E169*INDEX($G$51:$G$147,C169+1)</x:f>
        <x:v>0</x:v>
      </x:c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</x:row>
    <x:row r="170" ht="19" customHeight="1">
      <x:c r="A170" s="1"/>
      <x:c r="B170" s="1"/>
      <x:c r="C170" s="2" t="n">
        <x:v>10</x:v>
      </x:c>
      <x:c r="D170" s="31" t="n">
        <x:f>IF(OR(C170&gt;=$E$43,INDEX($I$51:$I$147,C170+1)&lt;=0.0000000001),0,IF($E$46=0,$E$44/MIN($E$43,COUNTIF($I$51:$I$110,"&gt;0.0000000001")),IF(C170=$E$45,$E$44,0)))</x:f>
        <x:v>0</x:v>
      </x:c>
      <x:c r="E170" s="31" t="n">
        <x:f>IF(D170=0,0,D170/(INDEX($I$51:$I$147,C170+1)*INDEX($H$51:$H$147,C170+1)))</x:f>
        <x:v>0</x:v>
      </x:c>
      <x:c r="F170" s="31" t="n">
        <x:f>E170*INDEX($G$51:$G$147,C170+1)</x:f>
        <x:v>0</x:v>
      </x:c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</x:row>
    <x:row r="171" ht="19" customHeight="1">
      <x:c r="A171" s="1"/>
      <x:c r="B171" s="1"/>
      <x:c r="C171" s="2" t="n">
        <x:v>11</x:v>
      </x:c>
      <x:c r="D171" s="31" t="n">
        <x:f>IF(OR(C171&gt;=$E$43,INDEX($I$51:$I$147,C171+1)&lt;=0.0000000001),0,IF($E$46=0,$E$44/MIN($E$43,COUNTIF($I$51:$I$110,"&gt;0.0000000001")),IF(C171=$E$45,$E$44,0)))</x:f>
        <x:v>0</x:v>
      </x:c>
      <x:c r="E171" s="31" t="n">
        <x:f>IF(D171=0,0,D171/(INDEX($I$51:$I$147,C171+1)*INDEX($H$51:$H$147,C171+1)))</x:f>
        <x:v>0</x:v>
      </x:c>
      <x:c r="F171" s="31" t="n">
        <x:f>E171*INDEX($G$51:$G$147,C171+1)</x:f>
        <x:v>0</x:v>
      </x:c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</x:row>
    <x:row r="172" ht="19" customHeight="1">
      <x:c r="A172" s="1"/>
      <x:c r="B172" s="1"/>
      <x:c r="C172" s="2" t="n">
        <x:v>12</x:v>
      </x:c>
      <x:c r="D172" s="31" t="n">
        <x:f>IF(OR(C172&gt;=$E$43,INDEX($I$51:$I$147,C172+1)&lt;=0.0000000001),0,IF($E$46=0,$E$44/MIN($E$43,COUNTIF($I$51:$I$110,"&gt;0.0000000001")),IF(C172=$E$45,$E$44,0)))</x:f>
        <x:v>0</x:v>
      </x:c>
      <x:c r="E172" s="31" t="n">
        <x:f>IF(D172=0,0,D172/(INDEX($I$51:$I$147,C172+1)*INDEX($H$51:$H$147,C172+1)))</x:f>
        <x:v>0</x:v>
      </x:c>
      <x:c r="F172" s="31" t="n">
        <x:f>E172*INDEX($G$51:$G$147,C172+1)</x:f>
        <x:v>0</x:v>
      </x:c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</x:row>
    <x:row r="173" ht="19" customHeight="1">
      <x:c r="A173" s="1"/>
      <x:c r="B173" s="1"/>
      <x:c r="C173" s="2" t="n">
        <x:v>13</x:v>
      </x:c>
      <x:c r="D173" s="31" t="n">
        <x:f>IF(OR(C173&gt;=$E$43,INDEX($I$51:$I$147,C173+1)&lt;=0.0000000001),0,IF($E$46=0,$E$44/MIN($E$43,COUNTIF($I$51:$I$110,"&gt;0.0000000001")),IF(C173=$E$45,$E$44,0)))</x:f>
        <x:v>0</x:v>
      </x:c>
      <x:c r="E173" s="31" t="n">
        <x:f>IF(D173=0,0,D173/(INDEX($I$51:$I$147,C173+1)*INDEX($H$51:$H$147,C173+1)))</x:f>
        <x:v>0</x:v>
      </x:c>
      <x:c r="F173" s="31" t="n">
        <x:f>E173*INDEX($G$51:$G$147,C173+1)</x:f>
        <x:v>0</x:v>
      </x:c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</x:row>
    <x:row r="174" ht="19" customHeight="1">
      <x:c r="A174" s="1"/>
      <x:c r="B174" s="1"/>
      <x:c r="C174" s="2" t="n">
        <x:v>14</x:v>
      </x:c>
      <x:c r="D174" s="31" t="n">
        <x:f>IF(OR(C174&gt;=$E$43,INDEX($I$51:$I$147,C174+1)&lt;=0.0000000001),0,IF($E$46=0,$E$44/MIN($E$43,COUNTIF($I$51:$I$110,"&gt;0.0000000001")),IF(C174=$E$45,$E$44,0)))</x:f>
        <x:v>0</x:v>
      </x:c>
      <x:c r="E174" s="31" t="n">
        <x:f>IF(D174=0,0,D174/(INDEX($I$51:$I$147,C174+1)*INDEX($H$51:$H$147,C174+1)))</x:f>
        <x:v>0</x:v>
      </x:c>
      <x:c r="F174" s="31" t="n">
        <x:f>E174*INDEX($G$51:$G$147,C174+1)</x:f>
        <x:v>0</x:v>
      </x:c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</x:row>
    <x:row r="175" ht="19" customHeight="1">
      <x:c r="A175" s="1"/>
      <x:c r="B175" s="1"/>
      <x:c r="C175" s="2" t="n">
        <x:v>15</x:v>
      </x:c>
      <x:c r="D175" s="31" t="n">
        <x:f>IF(OR(C175&gt;=$E$43,INDEX($I$51:$I$147,C175+1)&lt;=0.0000000001),0,IF($E$46=0,$E$44/MIN($E$43,COUNTIF($I$51:$I$110,"&gt;0.0000000001")),IF(C175=$E$45,$E$44,0)))</x:f>
        <x:v>0</x:v>
      </x:c>
      <x:c r="E175" s="31" t="n">
        <x:f>IF(D175=0,0,D175/(INDEX($I$51:$I$147,C175+1)*INDEX($H$51:$H$147,C175+1)))</x:f>
        <x:v>0</x:v>
      </x:c>
      <x:c r="F175" s="31" t="n">
        <x:f>E175*INDEX($G$51:$G$147,C175+1)</x:f>
        <x:v>0</x:v>
      </x:c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</x:row>
    <x:row r="176" ht="19" customHeight="1">
      <x:c r="A176" s="1"/>
      <x:c r="B176" s="1"/>
      <x:c r="C176" s="2" t="n">
        <x:v>16</x:v>
      </x:c>
      <x:c r="D176" s="31" t="n">
        <x:f>IF(OR(C176&gt;=$E$43,INDEX($I$51:$I$147,C176+1)&lt;=0.0000000001),0,IF($E$46=0,$E$44/MIN($E$43,COUNTIF($I$51:$I$110,"&gt;0.0000000001")),IF(C176=$E$45,$E$44,0)))</x:f>
        <x:v>0</x:v>
      </x:c>
      <x:c r="E176" s="31" t="n">
        <x:f>IF(D176=0,0,D176/(INDEX($I$51:$I$147,C176+1)*INDEX($H$51:$H$147,C176+1)))</x:f>
        <x:v>0</x:v>
      </x:c>
      <x:c r="F176" s="31" t="n">
        <x:f>E176*INDEX($G$51:$G$147,C176+1)</x:f>
        <x:v>0</x:v>
      </x:c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</x:row>
    <x:row r="177" ht="19" customHeight="1">
      <x:c r="A177" s="1"/>
      <x:c r="B177" s="1"/>
      <x:c r="C177" s="2" t="n">
        <x:v>17</x:v>
      </x:c>
      <x:c r="D177" s="31" t="n">
        <x:f>IF(OR(C177&gt;=$E$43,INDEX($I$51:$I$147,C177+1)&lt;=0.0000000001),0,IF($E$46=0,$E$44/MIN($E$43,COUNTIF($I$51:$I$110,"&gt;0.0000000001")),IF(C177=$E$45,$E$44,0)))</x:f>
        <x:v>0</x:v>
      </x:c>
      <x:c r="E177" s="31" t="n">
        <x:f>IF(D177=0,0,D177/(INDEX($I$51:$I$147,C177+1)*INDEX($H$51:$H$147,C177+1)))</x:f>
        <x:v>0</x:v>
      </x:c>
      <x:c r="F177" s="31" t="n">
        <x:f>E177*INDEX($G$51:$G$147,C177+1)</x:f>
        <x:v>0</x:v>
      </x:c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</x:row>
    <x:row r="178" ht="19" customHeight="1">
      <x:c r="A178" s="1"/>
      <x:c r="B178" s="1"/>
      <x:c r="C178" s="2" t="n">
        <x:v>18</x:v>
      </x:c>
      <x:c r="D178" s="31" t="n">
        <x:f>IF(OR(C178&gt;=$E$43,INDEX($I$51:$I$147,C178+1)&lt;=0.0000000001),0,IF($E$46=0,$E$44/MIN($E$43,COUNTIF($I$51:$I$110,"&gt;0.0000000001")),IF(C178=$E$45,$E$44,0)))</x:f>
        <x:v>0</x:v>
      </x:c>
      <x:c r="E178" s="31" t="n">
        <x:f>IF(D178=0,0,D178/(INDEX($I$51:$I$147,C178+1)*INDEX($H$51:$H$147,C178+1)))</x:f>
        <x:v>0</x:v>
      </x:c>
      <x:c r="F178" s="31" t="n">
        <x:f>E178*INDEX($G$51:$G$147,C178+1)</x:f>
        <x:v>0</x:v>
      </x:c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</x:row>
    <x:row r="179" ht="19" customHeight="1">
      <x:c r="A179" s="1"/>
      <x:c r="B179" s="1"/>
      <x:c r="C179" s="2" t="n">
        <x:v>19</x:v>
      </x:c>
      <x:c r="D179" s="31" t="n">
        <x:f>IF(OR(C179&gt;=$E$43,INDEX($I$51:$I$147,C179+1)&lt;=0.0000000001),0,IF($E$46=0,$E$44/MIN($E$43,COUNTIF($I$51:$I$110,"&gt;0.0000000001")),IF(C179=$E$45,$E$44,0)))</x:f>
        <x:v>0</x:v>
      </x:c>
      <x:c r="E179" s="31" t="n">
        <x:f>IF(D179=0,0,D179/(INDEX($I$51:$I$147,C179+1)*INDEX($H$51:$H$147,C179+1)))</x:f>
        <x:v>0</x:v>
      </x:c>
      <x:c r="F179" s="31" t="n">
        <x:f>E179*INDEX($G$51:$G$147,C179+1)</x:f>
        <x:v>0</x:v>
      </x:c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</x:row>
    <x:row r="180" ht="19" customHeight="1">
      <x:c r="A180" s="1"/>
      <x:c r="B180" s="1"/>
      <x:c r="C180" s="2" t="n">
        <x:v>20</x:v>
      </x:c>
      <x:c r="D180" s="31" t="n">
        <x:f>IF(OR(C180&gt;=$E$43,INDEX($I$51:$I$147,C180+1)&lt;=0.0000000001),0,IF($E$46=0,$E$44/MIN($E$43,COUNTIF($I$51:$I$110,"&gt;0.0000000001")),IF(C180=$E$45,$E$44,0)))</x:f>
        <x:v>0</x:v>
      </x:c>
      <x:c r="E180" s="31" t="n">
        <x:f>IF(D180=0,0,D180/(INDEX($I$51:$I$147,C180+1)*INDEX($H$51:$H$147,C180+1)))</x:f>
        <x:v>0</x:v>
      </x:c>
      <x:c r="F180" s="31" t="n">
        <x:f>E180*INDEX($G$51:$G$147,C180+1)</x:f>
        <x:v>0</x:v>
      </x:c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</x:row>
    <x:row r="181" ht="19" customHeight="1">
      <x:c r="A181" s="1"/>
      <x:c r="B181" s="1"/>
      <x:c r="C181" s="2" t="n">
        <x:v>21</x:v>
      </x:c>
      <x:c r="D181" s="31" t="n">
        <x:f>IF(OR(C181&gt;=$E$43,INDEX($I$51:$I$147,C181+1)&lt;=0.0000000001),0,IF($E$46=0,$E$44/MIN($E$43,COUNTIF($I$51:$I$110,"&gt;0.0000000001")),IF(C181=$E$45,$E$44,0)))</x:f>
        <x:v>0</x:v>
      </x:c>
      <x:c r="E181" s="31" t="n">
        <x:f>IF(D181=0,0,D181/(INDEX($I$51:$I$147,C181+1)*INDEX($H$51:$H$147,C181+1)))</x:f>
        <x:v>0</x:v>
      </x:c>
      <x:c r="F181" s="31" t="n">
        <x:f>E181*INDEX($G$51:$G$147,C181+1)</x:f>
        <x:v>0</x:v>
      </x:c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</x:row>
    <x:row r="182" ht="19" customHeight="1">
      <x:c r="A182" s="1"/>
      <x:c r="B182" s="1"/>
      <x:c r="C182" s="2" t="n">
        <x:v>22</x:v>
      </x:c>
      <x:c r="D182" s="31" t="n">
        <x:f>IF(OR(C182&gt;=$E$43,INDEX($I$51:$I$147,C182+1)&lt;=0.0000000001),0,IF($E$46=0,$E$44/MIN($E$43,COUNTIF($I$51:$I$110,"&gt;0.0000000001")),IF(C182=$E$45,$E$44,0)))</x:f>
        <x:v>0</x:v>
      </x:c>
      <x:c r="E182" s="31" t="n">
        <x:f>IF(D182=0,0,D182/(INDEX($I$51:$I$147,C182+1)*INDEX($H$51:$H$147,C182+1)))</x:f>
        <x:v>0</x:v>
      </x:c>
      <x:c r="F182" s="31" t="n">
        <x:f>E182*INDEX($G$51:$G$147,C182+1)</x:f>
        <x:v>0</x:v>
      </x:c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</x:row>
    <x:row r="183" ht="19" customHeight="1">
      <x:c r="A183" s="1"/>
      <x:c r="B183" s="1"/>
      <x:c r="C183" s="2" t="n">
        <x:v>23</x:v>
      </x:c>
      <x:c r="D183" s="31" t="n">
        <x:f>IF(OR(C183&gt;=$E$43,INDEX($I$51:$I$147,C183+1)&lt;=0.0000000001),0,IF($E$46=0,$E$44/MIN($E$43,COUNTIF($I$51:$I$110,"&gt;0.0000000001")),IF(C183=$E$45,$E$44,0)))</x:f>
        <x:v>0</x:v>
      </x:c>
      <x:c r="E183" s="31" t="n">
        <x:f>IF(D183=0,0,D183/(INDEX($I$51:$I$147,C183+1)*INDEX($H$51:$H$147,C183+1)))</x:f>
        <x:v>0</x:v>
      </x:c>
      <x:c r="F183" s="31" t="n">
        <x:f>E183*INDEX($G$51:$G$147,C183+1)</x:f>
        <x:v>0</x:v>
      </x:c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</x:row>
    <x:row r="184" ht="19" customHeight="1">
      <x:c r="A184" s="1"/>
      <x:c r="B184" s="1"/>
      <x:c r="C184" s="2" t="n">
        <x:v>24</x:v>
      </x:c>
      <x:c r="D184" s="31" t="n">
        <x:f>IF(OR(C184&gt;=$E$43,INDEX($I$51:$I$147,C184+1)&lt;=0.0000000001),0,IF($E$46=0,$E$44/MIN($E$43,COUNTIF($I$51:$I$110,"&gt;0.0000000001")),IF(C184=$E$45,$E$44,0)))</x:f>
        <x:v>0</x:v>
      </x:c>
      <x:c r="E184" s="31" t="n">
        <x:f>IF(D184=0,0,D184/(INDEX($I$51:$I$147,C184+1)*INDEX($H$51:$H$147,C184+1)))</x:f>
        <x:v>0</x:v>
      </x:c>
      <x:c r="F184" s="31" t="n">
        <x:f>E184*INDEX($G$51:$G$147,C184+1)</x:f>
        <x:v>0</x:v>
      </x:c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</x:row>
    <x:row r="185" ht="19" customHeight="1">
      <x:c r="A185" s="1"/>
      <x:c r="B185" s="1"/>
      <x:c r="C185" s="2" t="n">
        <x:v>25</x:v>
      </x:c>
      <x:c r="D185" s="31" t="n">
        <x:f>IF(OR(C185&gt;=$E$43,INDEX($I$51:$I$147,C185+1)&lt;=0.0000000001),0,IF($E$46=0,$E$44/MIN($E$43,COUNTIF($I$51:$I$110,"&gt;0.0000000001")),IF(C185=$E$45,$E$44,0)))</x:f>
        <x:v>0</x:v>
      </x:c>
      <x:c r="E185" s="31" t="n">
        <x:f>IF(D185=0,0,D185/(INDEX($I$51:$I$147,C185+1)*INDEX($H$51:$H$147,C185+1)))</x:f>
        <x:v>0</x:v>
      </x:c>
      <x:c r="F185" s="31" t="n">
        <x:f>E185*INDEX($G$51:$G$147,C185+1)</x:f>
        <x:v>0</x:v>
      </x:c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</x:row>
    <x:row r="186" ht="19" customHeight="1">
      <x:c r="A186" s="1"/>
      <x:c r="B186" s="1"/>
      <x:c r="C186" s="2" t="n">
        <x:v>26</x:v>
      </x:c>
      <x:c r="D186" s="31" t="n">
        <x:f>IF(OR(C186&gt;=$E$43,INDEX($I$51:$I$147,C186+1)&lt;=0.0000000001),0,IF($E$46=0,$E$44/MIN($E$43,COUNTIF($I$51:$I$110,"&gt;0.0000000001")),IF(C186=$E$45,$E$44,0)))</x:f>
        <x:v>0</x:v>
      </x:c>
      <x:c r="E186" s="31" t="n">
        <x:f>IF(D186=0,0,D186/(INDEX($I$51:$I$147,C186+1)*INDEX($H$51:$H$147,C186+1)))</x:f>
        <x:v>0</x:v>
      </x:c>
      <x:c r="F186" s="31" t="n">
        <x:f>E186*INDEX($G$51:$G$147,C186+1)</x:f>
        <x:v>0</x:v>
      </x:c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</x:row>
    <x:row r="187" ht="19" customHeight="1">
      <x:c r="A187" s="1"/>
      <x:c r="B187" s="1"/>
      <x:c r="C187" s="2" t="n">
        <x:v>27</x:v>
      </x:c>
      <x:c r="D187" s="31" t="n">
        <x:f>IF(OR(C187&gt;=$E$43,INDEX($I$51:$I$147,C187+1)&lt;=0.0000000001),0,IF($E$46=0,$E$44/MIN($E$43,COUNTIF($I$51:$I$110,"&gt;0.0000000001")),IF(C187=$E$45,$E$44,0)))</x:f>
        <x:v>0</x:v>
      </x:c>
      <x:c r="E187" s="31" t="n">
        <x:f>IF(D187=0,0,D187/(INDEX($I$51:$I$147,C187+1)*INDEX($H$51:$H$147,C187+1)))</x:f>
        <x:v>0</x:v>
      </x:c>
      <x:c r="F187" s="31" t="n">
        <x:f>E187*INDEX($G$51:$G$147,C187+1)</x:f>
        <x:v>0</x:v>
      </x:c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</x:row>
    <x:row r="188" ht="19" customHeight="1">
      <x:c r="A188" s="1"/>
      <x:c r="B188" s="1"/>
      <x:c r="C188" s="2" t="n">
        <x:v>28</x:v>
      </x:c>
      <x:c r="D188" s="31" t="n">
        <x:f>IF(OR(C188&gt;=$E$43,INDEX($I$51:$I$147,C188+1)&lt;=0.0000000001),0,IF($E$46=0,$E$44/MIN($E$43,COUNTIF($I$51:$I$110,"&gt;0.0000000001")),IF(C188=$E$45,$E$44,0)))</x:f>
        <x:v>0</x:v>
      </x:c>
      <x:c r="E188" s="31" t="n">
        <x:f>IF(D188=0,0,D188/(INDEX($I$51:$I$147,C188+1)*INDEX($H$51:$H$147,C188+1)))</x:f>
        <x:v>0</x:v>
      </x:c>
      <x:c r="F188" s="31" t="n">
        <x:f>E188*INDEX($G$51:$G$147,C188+1)</x:f>
        <x:v>0</x:v>
      </x:c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</x:row>
    <x:row r="189" ht="19" customHeight="1">
      <x:c r="A189" s="1"/>
      <x:c r="B189" s="1"/>
      <x:c r="C189" s="2" t="n">
        <x:v>29</x:v>
      </x:c>
      <x:c r="D189" s="31" t="n">
        <x:f>IF(OR(C189&gt;=$E$43,INDEX($I$51:$I$147,C189+1)&lt;=0.0000000001),0,IF($E$46=0,$E$44/MIN($E$43,COUNTIF($I$51:$I$110,"&gt;0.0000000001")),IF(C189=$E$45,$E$44,0)))</x:f>
        <x:v>0</x:v>
      </x:c>
      <x:c r="E189" s="31" t="n">
        <x:f>IF(D189=0,0,D189/(INDEX($I$51:$I$147,C189+1)*INDEX($H$51:$H$147,C189+1)))</x:f>
        <x:v>0</x:v>
      </x:c>
      <x:c r="F189" s="31" t="n">
        <x:f>E189*INDEX($G$51:$G$147,C189+1)</x:f>
        <x:v>0</x:v>
      </x:c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</x:row>
    <x:row r="190" ht="19" customHeight="1">
      <x:c r="A190" s="1"/>
      <x:c r="B190" s="1"/>
      <x:c r="C190" s="2" t="n">
        <x:v>30</x:v>
      </x:c>
      <x:c r="D190" s="31" t="n">
        <x:f>IF(OR(C190&gt;=$E$43,INDEX($I$51:$I$147,C190+1)&lt;=0.0000000001),0,IF($E$46=0,$E$44/MIN($E$43,COUNTIF($I$51:$I$110,"&gt;0.0000000001")),IF(C190=$E$45,$E$44,0)))</x:f>
        <x:v>0</x:v>
      </x:c>
      <x:c r="E190" s="31" t="n">
        <x:f>IF(D190=0,0,D190/(INDEX($I$51:$I$147,C190+1)*INDEX($H$51:$H$147,C190+1)))</x:f>
        <x:v>0</x:v>
      </x:c>
      <x:c r="F190" s="31" t="n">
        <x:f>E190*INDEX($G$51:$G$147,C190+1)</x:f>
        <x:v>0</x:v>
      </x:c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</x:row>
    <x:row r="191" ht="19" customHeight="1">
      <x:c r="A191" s="1"/>
      <x:c r="B191" s="1"/>
      <x:c r="C191" s="2" t="n">
        <x:v>31</x:v>
      </x:c>
      <x:c r="D191" s="31" t="n">
        <x:f>IF(OR(C191&gt;=$E$43,INDEX($I$51:$I$147,C191+1)&lt;=0.0000000001),0,IF($E$46=0,$E$44/MIN($E$43,COUNTIF($I$51:$I$110,"&gt;0.0000000001")),IF(C191=$E$45,$E$44,0)))</x:f>
        <x:v>0</x:v>
      </x:c>
      <x:c r="E191" s="31" t="n">
        <x:f>IF(D191=0,0,D191/(INDEX($I$51:$I$147,C191+1)*INDEX($H$51:$H$147,C191+1)))</x:f>
        <x:v>0</x:v>
      </x:c>
      <x:c r="F191" s="31" t="n">
        <x:f>E191*INDEX($G$51:$G$147,C191+1)</x:f>
        <x:v>0</x:v>
      </x:c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</x:row>
    <x:row r="192" ht="19" customHeight="1">
      <x:c r="A192" s="1"/>
      <x:c r="B192" s="1"/>
      <x:c r="C192" s="2" t="n">
        <x:v>32</x:v>
      </x:c>
      <x:c r="D192" s="31" t="n">
        <x:f>IF(OR(C192&gt;=$E$43,INDEX($I$51:$I$147,C192+1)&lt;=0.0000000001),0,IF($E$46=0,$E$44/MIN($E$43,COUNTIF($I$51:$I$110,"&gt;0.0000000001")),IF(C192=$E$45,$E$44,0)))</x:f>
        <x:v>0</x:v>
      </x:c>
      <x:c r="E192" s="31" t="n">
        <x:f>IF(D192=0,0,D192/(INDEX($I$51:$I$147,C192+1)*INDEX($H$51:$H$147,C192+1)))</x:f>
        <x:v>0</x:v>
      </x:c>
      <x:c r="F192" s="31" t="n">
        <x:f>E192*INDEX($G$51:$G$147,C192+1)</x:f>
        <x:v>0</x:v>
      </x:c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</x:row>
    <x:row r="193" ht="19" customHeight="1">
      <x:c r="A193" s="1"/>
      <x:c r="B193" s="1"/>
      <x:c r="C193" s="2" t="n">
        <x:v>33</x:v>
      </x:c>
      <x:c r="D193" s="31" t="n">
        <x:f>IF(OR(C193&gt;=$E$43,INDEX($I$51:$I$147,C193+1)&lt;=0.0000000001),0,IF($E$46=0,$E$44/MIN($E$43,COUNTIF($I$51:$I$110,"&gt;0.0000000001")),IF(C193=$E$45,$E$44,0)))</x:f>
        <x:v>0</x:v>
      </x:c>
      <x:c r="E193" s="31" t="n">
        <x:f>IF(D193=0,0,D193/(INDEX($I$51:$I$147,C193+1)*INDEX($H$51:$H$147,C193+1)))</x:f>
        <x:v>0</x:v>
      </x:c>
      <x:c r="F193" s="31" t="n">
        <x:f>E193*INDEX($G$51:$G$147,C193+1)</x:f>
        <x:v>0</x:v>
      </x:c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</x:row>
    <x:row r="194" ht="19" customHeight="1">
      <x:c r="A194" s="1"/>
      <x:c r="B194" s="1"/>
      <x:c r="C194" s="2" t="n">
        <x:v>34</x:v>
      </x:c>
      <x:c r="D194" s="31" t="n">
        <x:f>IF(OR(C194&gt;=$E$43,INDEX($I$51:$I$147,C194+1)&lt;=0.0000000001),0,IF($E$46=0,$E$44/MIN($E$43,COUNTIF($I$51:$I$110,"&gt;0.0000000001")),IF(C194=$E$45,$E$44,0)))</x:f>
        <x:v>0</x:v>
      </x:c>
      <x:c r="E194" s="31" t="n">
        <x:f>IF(D194=0,0,D194/(INDEX($I$51:$I$147,C194+1)*INDEX($H$51:$H$147,C194+1)))</x:f>
        <x:v>0</x:v>
      </x:c>
      <x:c r="F194" s="31" t="n">
        <x:f>E194*INDEX($G$51:$G$147,C194+1)</x:f>
        <x:v>0</x:v>
      </x:c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</x:row>
    <x:row r="195" ht="19" customHeight="1">
      <x:c r="A195" s="1"/>
      <x:c r="B195" s="1"/>
      <x:c r="C195" s="2" t="n">
        <x:v>35</x:v>
      </x:c>
      <x:c r="D195" s="31" t="n">
        <x:f>IF(OR(C195&gt;=$E$43,INDEX($I$51:$I$147,C195+1)&lt;=0.0000000001),0,IF($E$46=0,$E$44/MIN($E$43,COUNTIF($I$51:$I$110,"&gt;0.0000000001")),IF(C195=$E$45,$E$44,0)))</x:f>
        <x:v>0</x:v>
      </x:c>
      <x:c r="E195" s="31" t="n">
        <x:f>IF(D195=0,0,D195/(INDEX($I$51:$I$147,C195+1)*INDEX($H$51:$H$147,C195+1)))</x:f>
        <x:v>0</x:v>
      </x:c>
      <x:c r="F195" s="31" t="n">
        <x:f>E195*INDEX($G$51:$G$147,C195+1)</x:f>
        <x:v>0</x:v>
      </x:c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</x:row>
    <x:row r="196" ht="19" customHeight="1">
      <x:c r="A196" s="1"/>
      <x:c r="B196" s="1"/>
      <x:c r="C196" s="2" t="n">
        <x:v>36</x:v>
      </x:c>
      <x:c r="D196" s="31" t="n">
        <x:f>IF(OR(C196&gt;=$E$43,INDEX($I$51:$I$147,C196+1)&lt;=0.0000000001),0,IF($E$46=0,$E$44/MIN($E$43,COUNTIF($I$51:$I$110,"&gt;0.0000000001")),IF(C196=$E$45,$E$44,0)))</x:f>
        <x:v>0</x:v>
      </x:c>
      <x:c r="E196" s="31" t="n">
        <x:f>IF(D196=0,0,D196/(INDEX($I$51:$I$147,C196+1)*INDEX($H$51:$H$147,C196+1)))</x:f>
        <x:v>0</x:v>
      </x:c>
      <x:c r="F196" s="31" t="n">
        <x:f>E196*INDEX($G$51:$G$147,C196+1)</x:f>
        <x:v>0</x:v>
      </x:c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</x:row>
    <x:row r="197" ht="19" customHeight="1">
      <x:c r="A197" s="1"/>
      <x:c r="B197" s="1"/>
      <x:c r="C197" s="2" t="n">
        <x:v>37</x:v>
      </x:c>
      <x:c r="D197" s="31" t="n">
        <x:f>IF(OR(C197&gt;=$E$43,INDEX($I$51:$I$147,C197+1)&lt;=0.0000000001),0,IF($E$46=0,$E$44/MIN($E$43,COUNTIF($I$51:$I$110,"&gt;0.0000000001")),IF(C197=$E$45,$E$44,0)))</x:f>
        <x:v>0</x:v>
      </x:c>
      <x:c r="E197" s="31" t="n">
        <x:f>IF(D197=0,0,D197/(INDEX($I$51:$I$147,C197+1)*INDEX($H$51:$H$147,C197+1)))</x:f>
        <x:v>0</x:v>
      </x:c>
      <x:c r="F197" s="31" t="n">
        <x:f>E197*INDEX($G$51:$G$147,C197+1)</x:f>
        <x:v>0</x:v>
      </x:c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</x:row>
    <x:row r="198" ht="19" customHeight="1">
      <x:c r="A198" s="1"/>
      <x:c r="B198" s="1"/>
      <x:c r="C198" s="2" t="n">
        <x:v>38</x:v>
      </x:c>
      <x:c r="D198" s="31" t="n">
        <x:f>IF(OR(C198&gt;=$E$43,INDEX($I$51:$I$147,C198+1)&lt;=0.0000000001),0,IF($E$46=0,$E$44/MIN($E$43,COUNTIF($I$51:$I$110,"&gt;0.0000000001")),IF(C198=$E$45,$E$44,0)))</x:f>
        <x:v>0</x:v>
      </x:c>
      <x:c r="E198" s="31" t="n">
        <x:f>IF(D198=0,0,D198/(INDEX($I$51:$I$147,C198+1)*INDEX($H$51:$H$147,C198+1)))</x:f>
        <x:v>0</x:v>
      </x:c>
      <x:c r="F198" s="31" t="n">
        <x:f>E198*INDEX($G$51:$G$147,C198+1)</x:f>
        <x:v>0</x:v>
      </x:c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</x:row>
    <x:row r="199" ht="19" customHeight="1">
      <x:c r="A199" s="1"/>
      <x:c r="B199" s="1"/>
      <x:c r="C199" s="2" t="n">
        <x:v>39</x:v>
      </x:c>
      <x:c r="D199" s="31" t="n">
        <x:f>IF(OR(C199&gt;=$E$43,INDEX($I$51:$I$147,C199+1)&lt;=0.0000000001),0,IF($E$46=0,$E$44/MIN($E$43,COUNTIF($I$51:$I$110,"&gt;0.0000000001")),IF(C199=$E$45,$E$44,0)))</x:f>
        <x:v>0</x:v>
      </x:c>
      <x:c r="E199" s="31" t="n">
        <x:f>IF(D199=0,0,D199/(INDEX($I$51:$I$147,C199+1)*INDEX($H$51:$H$147,C199+1)))</x:f>
        <x:v>0</x:v>
      </x:c>
      <x:c r="F199" s="31" t="n">
        <x:f>E199*INDEX($G$51:$G$147,C199+1)</x:f>
        <x:v>0</x:v>
      </x:c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</x:row>
    <x:row r="200" ht="19" customHeight="1">
      <x:c r="A200" s="1"/>
      <x:c r="B200" s="1"/>
      <x:c r="C200" s="2" t="n">
        <x:v>40</x:v>
      </x:c>
      <x:c r="D200" s="31" t="n">
        <x:f>IF(OR(C200&gt;=$E$43,INDEX($I$51:$I$147,C200+1)&lt;=0.0000000001),0,IF($E$46=0,$E$44/MIN($E$43,COUNTIF($I$51:$I$110,"&gt;0.0000000001")),IF(C200=$E$45,$E$44,0)))</x:f>
        <x:v>0</x:v>
      </x:c>
      <x:c r="E200" s="31" t="n">
        <x:f>IF(D200=0,0,D200/(INDEX($I$51:$I$147,C200+1)*INDEX($H$51:$H$147,C200+1)))</x:f>
        <x:v>0</x:v>
      </x:c>
      <x:c r="F200" s="31" t="n">
        <x:f>E200*INDEX($G$51:$G$147,C200+1)</x:f>
        <x:v>0</x:v>
      </x:c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</x:row>
    <x:row r="201" ht="19" customHeight="1">
      <x:c r="A201" s="1"/>
      <x:c r="B201" s="1"/>
      <x:c r="C201" s="2" t="n">
        <x:v>41</x:v>
      </x:c>
      <x:c r="D201" s="31" t="n">
        <x:f>IF(OR(C201&gt;=$E$43,INDEX($I$51:$I$147,C201+1)&lt;=0.0000000001),0,IF($E$46=0,$E$44/MIN($E$43,COUNTIF($I$51:$I$110,"&gt;0.0000000001")),IF(C201=$E$45,$E$44,0)))</x:f>
        <x:v>0</x:v>
      </x:c>
      <x:c r="E201" s="31" t="n">
        <x:f>IF(D201=0,0,D201/(INDEX($I$51:$I$147,C201+1)*INDEX($H$51:$H$147,C201+1)))</x:f>
        <x:v>0</x:v>
      </x:c>
      <x:c r="F201" s="31" t="n">
        <x:f>E201*INDEX($G$51:$G$147,C201+1)</x:f>
        <x:v>0</x:v>
      </x:c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</x:row>
    <x:row r="202" ht="19" customHeight="1">
      <x:c r="A202" s="1"/>
      <x:c r="B202" s="1"/>
      <x:c r="C202" s="2" t="n">
        <x:v>42</x:v>
      </x:c>
      <x:c r="D202" s="31" t="n">
        <x:f>IF(OR(C202&gt;=$E$43,INDEX($I$51:$I$147,C202+1)&lt;=0.0000000001),0,IF($E$46=0,$E$44/MIN($E$43,COUNTIF($I$51:$I$110,"&gt;0.0000000001")),IF(C202=$E$45,$E$44,0)))</x:f>
        <x:v>0</x:v>
      </x:c>
      <x:c r="E202" s="31" t="n">
        <x:f>IF(D202=0,0,D202/(INDEX($I$51:$I$147,C202+1)*INDEX($H$51:$H$147,C202+1)))</x:f>
        <x:v>0</x:v>
      </x:c>
      <x:c r="F202" s="31" t="n">
        <x:f>E202*INDEX($G$51:$G$147,C202+1)</x:f>
        <x:v>0</x:v>
      </x:c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</x:row>
    <x:row r="203" ht="19" customHeight="1">
      <x:c r="A203" s="1"/>
      <x:c r="B203" s="1"/>
      <x:c r="C203" s="2" t="n">
        <x:v>43</x:v>
      </x:c>
      <x:c r="D203" s="31" t="n">
        <x:f>IF(OR(C203&gt;=$E$43,INDEX($I$51:$I$147,C203+1)&lt;=0.0000000001),0,IF($E$46=0,$E$44/MIN($E$43,COUNTIF($I$51:$I$110,"&gt;0.0000000001")),IF(C203=$E$45,$E$44,0)))</x:f>
        <x:v>0</x:v>
      </x:c>
      <x:c r="E203" s="31" t="n">
        <x:f>IF(D203=0,0,D203/(INDEX($I$51:$I$147,C203+1)*INDEX($H$51:$H$147,C203+1)))</x:f>
        <x:v>0</x:v>
      </x:c>
      <x:c r="F203" s="31" t="n">
        <x:f>E203*INDEX($G$51:$G$147,C203+1)</x:f>
        <x:v>0</x:v>
      </x:c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</x:row>
    <x:row r="204" ht="19" customHeight="1">
      <x:c r="A204" s="1"/>
      <x:c r="B204" s="1"/>
      <x:c r="C204" s="2" t="n">
        <x:v>44</x:v>
      </x:c>
      <x:c r="D204" s="31" t="n">
        <x:f>IF(OR(C204&gt;=$E$43,INDEX($I$51:$I$147,C204+1)&lt;=0.0000000001),0,IF($E$46=0,$E$44/MIN($E$43,COUNTIF($I$51:$I$110,"&gt;0.0000000001")),IF(C204=$E$45,$E$44,0)))</x:f>
        <x:v>0</x:v>
      </x:c>
      <x:c r="E204" s="31" t="n">
        <x:f>IF(D204=0,0,D204/(INDEX($I$51:$I$147,C204+1)*INDEX($H$51:$H$147,C204+1)))</x:f>
        <x:v>0</x:v>
      </x:c>
      <x:c r="F204" s="31" t="n">
        <x:f>E204*INDEX($G$51:$G$147,C204+1)</x:f>
        <x:v>0</x:v>
      </x:c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</x:row>
    <x:row r="205" ht="19" customHeight="1">
      <x:c r="A205" s="1"/>
      <x:c r="B205" s="1"/>
      <x:c r="C205" s="2" t="n">
        <x:v>45</x:v>
      </x:c>
      <x:c r="D205" s="31" t="n">
        <x:f>IF(OR(C205&gt;=$E$43,INDEX($I$51:$I$147,C205+1)&lt;=0.0000000001),0,IF($E$46=0,$E$44/MIN($E$43,COUNTIF($I$51:$I$110,"&gt;0.0000000001")),IF(C205=$E$45,$E$44,0)))</x:f>
        <x:v>0</x:v>
      </x:c>
      <x:c r="E205" s="31" t="n">
        <x:f>IF(D205=0,0,D205/(INDEX($I$51:$I$147,C205+1)*INDEX($H$51:$H$147,C205+1)))</x:f>
        <x:v>0</x:v>
      </x:c>
      <x:c r="F205" s="31" t="n">
        <x:f>E205*INDEX($G$51:$G$147,C205+1)</x:f>
        <x:v>0</x:v>
      </x:c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</x:row>
    <x:row r="206" ht="19" customHeight="1">
      <x:c r="A206" s="1"/>
      <x:c r="B206" s="1"/>
      <x:c r="C206" s="2" t="n">
        <x:v>46</x:v>
      </x:c>
      <x:c r="D206" s="31" t="n">
        <x:f>IF(OR(C206&gt;=$E$43,INDEX($I$51:$I$147,C206+1)&lt;=0.0000000001),0,IF($E$46=0,$E$44/MIN($E$43,COUNTIF($I$51:$I$110,"&gt;0.0000000001")),IF(C206=$E$45,$E$44,0)))</x:f>
        <x:v>0</x:v>
      </x:c>
      <x:c r="E206" s="31" t="n">
        <x:f>IF(D206=0,0,D206/(INDEX($I$51:$I$147,C206+1)*INDEX($H$51:$H$147,C206+1)))</x:f>
        <x:v>0</x:v>
      </x:c>
      <x:c r="F206" s="31" t="n">
        <x:f>E206*INDEX($G$51:$G$147,C206+1)</x:f>
        <x:v>0</x:v>
      </x:c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</x:row>
    <x:row r="207" ht="19" customHeight="1">
      <x:c r="A207" s="1"/>
      <x:c r="B207" s="1"/>
      <x:c r="C207" s="2" t="n">
        <x:v>47</x:v>
      </x:c>
      <x:c r="D207" s="31" t="n">
        <x:f>IF(OR(C207&gt;=$E$43,INDEX($I$51:$I$147,C207+1)&lt;=0.0000000001),0,IF($E$46=0,$E$44/MIN($E$43,COUNTIF($I$51:$I$110,"&gt;0.0000000001")),IF(C207=$E$45,$E$44,0)))</x:f>
        <x:v>0</x:v>
      </x:c>
      <x:c r="E207" s="31" t="n">
        <x:f>IF(D207=0,0,D207/(INDEX($I$51:$I$147,C207+1)*INDEX($H$51:$H$147,C207+1)))</x:f>
        <x:v>0</x:v>
      </x:c>
      <x:c r="F207" s="31" t="n">
        <x:f>E207*INDEX($G$51:$G$147,C207+1)</x:f>
        <x:v>0</x:v>
      </x:c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</x:row>
    <x:row r="208" ht="19" customHeight="1">
      <x:c r="A208" s="1"/>
      <x:c r="B208" s="1"/>
      <x:c r="C208" s="2" t="n">
        <x:v>48</x:v>
      </x:c>
      <x:c r="D208" s="31" t="n">
        <x:f>IF(OR(C208&gt;=$E$43,INDEX($I$51:$I$147,C208+1)&lt;=0.0000000001),0,IF($E$46=0,$E$44/MIN($E$43,COUNTIF($I$51:$I$110,"&gt;0.0000000001")),IF(C208=$E$45,$E$44,0)))</x:f>
        <x:v>0</x:v>
      </x:c>
      <x:c r="E208" s="31" t="n">
        <x:f>IF(D208=0,0,D208/(INDEX($I$51:$I$147,C208+1)*INDEX($H$51:$H$147,C208+1)))</x:f>
        <x:v>0</x:v>
      </x:c>
      <x:c r="F208" s="31" t="n">
        <x:f>E208*INDEX($G$51:$G$147,C208+1)</x:f>
        <x:v>0</x:v>
      </x:c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</x:row>
    <x:row r="209" ht="19" customHeight="1">
      <x:c r="A209" s="1"/>
      <x:c r="B209" s="1"/>
      <x:c r="C209" s="2" t="n">
        <x:v>49</x:v>
      </x:c>
      <x:c r="D209" s="31" t="n">
        <x:f>IF(OR(C209&gt;=$E$43,INDEX($I$51:$I$147,C209+1)&lt;=0.0000000001),0,IF($E$46=0,$E$44/MIN($E$43,COUNTIF($I$51:$I$110,"&gt;0.0000000001")),IF(C209=$E$45,$E$44,0)))</x:f>
        <x:v>0</x:v>
      </x:c>
      <x:c r="E209" s="31" t="n">
        <x:f>IF(D209=0,0,D209/(INDEX($I$51:$I$147,C209+1)*INDEX($H$51:$H$147,C209+1)))</x:f>
        <x:v>0</x:v>
      </x:c>
      <x:c r="F209" s="31" t="n">
        <x:f>E209*INDEX($G$51:$G$147,C209+1)</x:f>
        <x:v>0</x:v>
      </x:c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</x:row>
    <x:row r="210" ht="19" customHeight="1">
      <x:c r="A210" s="1"/>
      <x:c r="B210" s="1"/>
      <x:c r="C210" s="2" t="n">
        <x:v>50</x:v>
      </x:c>
      <x:c r="D210" s="31" t="n">
        <x:f>IF(OR(C210&gt;=$E$43,INDEX($I$51:$I$147,C210+1)&lt;=0.0000000001),0,IF($E$46=0,$E$44/MIN($E$43,COUNTIF($I$51:$I$110,"&gt;0.0000000001")),IF(C210=$E$45,$E$44,0)))</x:f>
        <x:v>0</x:v>
      </x:c>
      <x:c r="E210" s="31" t="n">
        <x:f>IF(D210=0,0,D210/(INDEX($I$51:$I$147,C210+1)*INDEX($H$51:$H$147,C210+1)))</x:f>
        <x:v>0</x:v>
      </x:c>
      <x:c r="F210" s="31" t="n">
        <x:f>E210*INDEX($G$51:$G$147,C210+1)</x:f>
        <x:v>0</x:v>
      </x:c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</x:row>
    <x:row r="211" ht="19" customHeight="1">
      <x:c r="A211" s="1"/>
      <x:c r="B211" s="1"/>
      <x:c r="C211" s="2" t="n">
        <x:v>51</x:v>
      </x:c>
      <x:c r="D211" s="31" t="n">
        <x:f>IF(OR(C211&gt;=$E$43,INDEX($I$51:$I$147,C211+1)&lt;=0.0000000001),0,IF($E$46=0,$E$44/MIN($E$43,COUNTIF($I$51:$I$110,"&gt;0.0000000001")),IF(C211=$E$45,$E$44,0)))</x:f>
        <x:v>0</x:v>
      </x:c>
      <x:c r="E211" s="31" t="n">
        <x:f>IF(D211=0,0,D211/(INDEX($I$51:$I$147,C211+1)*INDEX($H$51:$H$147,C211+1)))</x:f>
        <x:v>0</x:v>
      </x:c>
      <x:c r="F211" s="31" t="n">
        <x:f>E211*INDEX($G$51:$G$147,C211+1)</x:f>
        <x:v>0</x:v>
      </x:c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</x:row>
    <x:row r="212" ht="19" customHeight="1">
      <x:c r="A212" s="1"/>
      <x:c r="B212" s="1"/>
      <x:c r="C212" s="2" t="n">
        <x:v>52</x:v>
      </x:c>
      <x:c r="D212" s="31" t="n">
        <x:f>IF(OR(C212&gt;=$E$43,INDEX($I$51:$I$147,C212+1)&lt;=0.0000000001),0,IF($E$46=0,$E$44/MIN($E$43,COUNTIF($I$51:$I$110,"&gt;0.0000000001")),IF(C212=$E$45,$E$44,0)))</x:f>
        <x:v>0</x:v>
      </x:c>
      <x:c r="E212" s="31" t="n">
        <x:f>IF(D212=0,0,D212/(INDEX($I$51:$I$147,C212+1)*INDEX($H$51:$H$147,C212+1)))</x:f>
        <x:v>0</x:v>
      </x:c>
      <x:c r="F212" s="31" t="n">
        <x:f>E212*INDEX($G$51:$G$147,C212+1)</x:f>
        <x:v>0</x:v>
      </x:c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</x:row>
    <x:row r="213" ht="19" customHeight="1">
      <x:c r="A213" s="1"/>
      <x:c r="B213" s="1"/>
      <x:c r="C213" s="2" t="n">
        <x:v>53</x:v>
      </x:c>
      <x:c r="D213" s="31" t="n">
        <x:f>IF(OR(C213&gt;=$E$43,INDEX($I$51:$I$147,C213+1)&lt;=0.0000000001),0,IF($E$46=0,$E$44/MIN($E$43,COUNTIF($I$51:$I$110,"&gt;0.0000000001")),IF(C213=$E$45,$E$44,0)))</x:f>
        <x:v>0</x:v>
      </x:c>
      <x:c r="E213" s="31" t="n">
        <x:f>IF(D213=0,0,D213/(INDEX($I$51:$I$147,C213+1)*INDEX($H$51:$H$147,C213+1)))</x:f>
        <x:v>0</x:v>
      </x:c>
      <x:c r="F213" s="31" t="n">
        <x:f>E213*INDEX($G$51:$G$147,C213+1)</x:f>
        <x:v>0</x:v>
      </x:c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</x:row>
    <x:row r="214" ht="19" customHeight="1">
      <x:c r="A214" s="1"/>
      <x:c r="B214" s="1"/>
      <x:c r="C214" s="2" t="n">
        <x:v>54</x:v>
      </x:c>
      <x:c r="D214" s="31" t="n">
        <x:f>IF(OR(C214&gt;=$E$43,INDEX($I$51:$I$147,C214+1)&lt;=0.0000000001),0,IF($E$46=0,$E$44/MIN($E$43,COUNTIF($I$51:$I$110,"&gt;0.0000000001")),IF(C214=$E$45,$E$44,0)))</x:f>
        <x:v>0</x:v>
      </x:c>
      <x:c r="E214" s="31" t="n">
        <x:f>IF(D214=0,0,D214/(INDEX($I$51:$I$147,C214+1)*INDEX($H$51:$H$147,C214+1)))</x:f>
        <x:v>0</x:v>
      </x:c>
      <x:c r="F214" s="31" t="n">
        <x:f>E214*INDEX($G$51:$G$147,C214+1)</x:f>
        <x:v>0</x:v>
      </x:c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</x:row>
    <x:row r="215" ht="19" customHeight="1">
      <x:c r="A215" s="1"/>
      <x:c r="B215" s="1"/>
      <x:c r="C215" s="2" t="n">
        <x:v>55</x:v>
      </x:c>
      <x:c r="D215" s="31" t="n">
        <x:f>IF(OR(C215&gt;=$E$43,INDEX($I$51:$I$147,C215+1)&lt;=0.0000000001),0,IF($E$46=0,$E$44/MIN($E$43,COUNTIF($I$51:$I$110,"&gt;0.0000000001")),IF(C215=$E$45,$E$44,0)))</x:f>
        <x:v>0</x:v>
      </x:c>
      <x:c r="E215" s="31" t="n">
        <x:f>IF(D215=0,0,D215/(INDEX($I$51:$I$147,C215+1)*INDEX($H$51:$H$147,C215+1)))</x:f>
        <x:v>0</x:v>
      </x:c>
      <x:c r="F215" s="31" t="n">
        <x:f>E215*INDEX($G$51:$G$147,C215+1)</x:f>
        <x:v>0</x:v>
      </x:c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</x:row>
    <x:row r="216" ht="19" customHeight="1">
      <x:c r="A216" s="1"/>
      <x:c r="B216" s="1"/>
      <x:c r="C216" s="2" t="n">
        <x:v>56</x:v>
      </x:c>
      <x:c r="D216" s="31" t="n">
        <x:f>IF(OR(C216&gt;=$E$43,INDEX($I$51:$I$147,C216+1)&lt;=0.0000000001),0,IF($E$46=0,$E$44/MIN($E$43,COUNTIF($I$51:$I$110,"&gt;0.0000000001")),IF(C216=$E$45,$E$44,0)))</x:f>
        <x:v>0</x:v>
      </x:c>
      <x:c r="E216" s="31" t="n">
        <x:f>IF(D216=0,0,D216/(INDEX($I$51:$I$147,C216+1)*INDEX($H$51:$H$147,C216+1)))</x:f>
        <x:v>0</x:v>
      </x:c>
      <x:c r="F216" s="31" t="n">
        <x:f>E216*INDEX($G$51:$G$147,C216+1)</x:f>
        <x:v>0</x:v>
      </x:c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</x:row>
    <x:row r="217" ht="19" customHeight="1">
      <x:c r="A217" s="1"/>
      <x:c r="B217" s="1"/>
      <x:c r="C217" s="2" t="n">
        <x:v>57</x:v>
      </x:c>
      <x:c r="D217" s="31" t="n">
        <x:f>IF(OR(C217&gt;=$E$43,INDEX($I$51:$I$147,C217+1)&lt;=0.0000000001),0,IF($E$46=0,$E$44/MIN($E$43,COUNTIF($I$51:$I$110,"&gt;0.0000000001")),IF(C217=$E$45,$E$44,0)))</x:f>
        <x:v>0</x:v>
      </x:c>
      <x:c r="E217" s="31" t="n">
        <x:f>IF(D217=0,0,D217/(INDEX($I$51:$I$147,C217+1)*INDEX($H$51:$H$147,C217+1)))</x:f>
        <x:v>0</x:v>
      </x:c>
      <x:c r="F217" s="31" t="n">
        <x:f>E217*INDEX($G$51:$G$147,C217+1)</x:f>
        <x:v>0</x:v>
      </x:c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</x:row>
    <x:row r="218" ht="19" customHeight="1">
      <x:c r="A218" s="1"/>
      <x:c r="B218" s="1"/>
      <x:c r="C218" s="2" t="n">
        <x:v>58</x:v>
      </x:c>
      <x:c r="D218" s="31" t="n">
        <x:f>IF(OR(C218&gt;=$E$43,INDEX($I$51:$I$147,C218+1)&lt;=0.0000000001),0,IF($E$46=0,$E$44/MIN($E$43,COUNTIF($I$51:$I$110,"&gt;0.0000000001")),IF(C218=$E$45,$E$44,0)))</x:f>
        <x:v>0</x:v>
      </x:c>
      <x:c r="E218" s="31" t="n">
        <x:f>IF(D218=0,0,D218/(INDEX($I$51:$I$147,C218+1)*INDEX($H$51:$H$147,C218+1)))</x:f>
        <x:v>0</x:v>
      </x:c>
      <x:c r="F218" s="31" t="n">
        <x:f>E218*INDEX($G$51:$G$147,C218+1)</x:f>
        <x:v>0</x:v>
      </x:c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</x:row>
    <x:row r="219" ht="19" customHeight="1">
      <x:c r="A219" s="1"/>
      <x:c r="B219" s="1"/>
      <x:c r="C219" s="2" t="n">
        <x:v>59</x:v>
      </x:c>
      <x:c r="D219" s="31" t="n">
        <x:f>IF(OR(C219&gt;=$E$43,INDEX($I$51:$I$147,C219+1)&lt;=0.0000000001),0,IF($E$46=0,$E$44/MIN($E$43,COUNTIF($I$51:$I$110,"&gt;0.0000000001")),IF(C219=$E$45,$E$44,0)))</x:f>
        <x:v>0</x:v>
      </x:c>
      <x:c r="E219" s="31" t="n">
        <x:f>IF(D219=0,0,D219/(INDEX($I$51:$I$147,C219+1)*INDEX($H$51:$H$147,C219+1)))</x:f>
        <x:v>0</x:v>
      </x:c>
      <x:c r="F219" s="31" t="n">
        <x:f>E219*INDEX($G$51:$G$147,C219+1)</x:f>
        <x:v>0</x:v>
      </x:c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</x:row>
  </x:sheetData>
  <x:conditionalFormatting sqref="G35:AP37">
    <x:cfRule type="expression" dxfId="3" priority="1">
      <x:formula>ABS(G35)&gt;0.01</x:formula>
    </x:cfRule>
  </x:conditionalFormatting>
  <x:pageMargins left="0.7" right="0.7" top="0.75" bottom="0.75" header="0.3" footer="0.3"/>
</x:worksheet>
</file>